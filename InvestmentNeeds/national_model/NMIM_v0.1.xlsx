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Settings" sheetId="3" state="visible" r:id="rId5"/>
    <sheet name="Inputs" sheetId="4" state="visible" r:id="rId6"/>
    <sheet name="MODULES-&gt;" sheetId="5" state="visible" r:id="rId7"/>
    <sheet name="Mitigation" sheetId="6" state="visible" r:id="rId8"/>
    <sheet name="Results_All" sheetId="7" state="visible" r:id="rId9"/>
    <sheet name="Check" sheetId="8" state="visible" r:id="rId10"/>
    <sheet name="DATA-&gt;" sheetId="9" state="visible" r:id="rId11"/>
    <sheet name="Data" sheetId="10" state="visible" r:id="rId12"/>
    <sheet name="PyKey" sheetId="11" state="visible" r:id="rId13"/>
  </sheets>
  <definedNames>
    <definedName function="false" hidden="true" localSheetId="6" name="_xlnm._FilterDatabase" vbProcedure="false">Results_All!$A$4:$V$190</definedName>
    <definedName function="false" hidden="false" name="p_bld_T_ae" vbProcedure="false">Inputs!$F$20</definedName>
    <definedName function="false" hidden="false" name="p_bld_T_chn" vbProcedure="false">Inputs!$F$21</definedName>
    <definedName function="false" hidden="false" name="p_bld_T_emdc" vbProcedure="false">Inputs!$F$22</definedName>
    <definedName function="false" hidden="false" name="p_capex_gas" vbProcedure="false">Inputs!$F$51</definedName>
    <definedName function="false" hidden="false" name="p_capex_sol24" vbProcedure="false">Inputs!$F$49</definedName>
    <definedName function="false" hidden="false" name="p_capex_st24" vbProcedure="false">Inputs!$F$64</definedName>
    <definedName function="false" hidden="false" name="p_capex_wnd24" vbProcedure="false">Inputs!$F$50</definedName>
    <definedName function="false" hidden="false" name="p_cbam_a_2050" vbProcedure="false">Inputs!$F$48</definedName>
    <definedName function="false" hidden="false" name="p_cf_fos" vbProcedure="false">Inputs!$F$56</definedName>
    <definedName function="false" hidden="false" name="p_cf_sol" vbProcedure="false">Inputs!$F$54</definedName>
    <definedName function="false" hidden="false" name="p_cf_wnd" vbProcedure="false">Inputs!$F$55</definedName>
    <definedName function="false" hidden="false" name="p_charger" vbProcedure="false">Inputs!$F$42</definedName>
    <definedName function="false" hidden="false" name="p_cpt_afolu" vbProcedure="false">Inputs!$F$79</definedName>
    <definedName function="false" hidden="false" name="p_cpt_nc" vbProcedure="false">Inputs!$F$78</definedName>
    <definedName function="false" hidden="false" name="p_cpt_res" vbProcedure="false">Inputs!$F$80</definedName>
    <definedName function="false" hidden="false" name="p_ef_coa" vbProcedure="false">Inputs!$F$69</definedName>
    <definedName function="false" hidden="false" name="p_ef_die" vbProcedure="false">Inputs!$F$72</definedName>
    <definedName function="false" hidden="false" name="p_ef_gso" vbProcedure="false">Inputs!$F$71</definedName>
    <definedName function="false" hidden="false" name="p_ef_ker" vbProcedure="false">Inputs!$F$74</definedName>
    <definedName function="false" hidden="false" name="p_ef_lpg" vbProcedure="false">Inputs!$F$73</definedName>
    <definedName function="false" hidden="false" name="p_ef_nga" vbProcedure="false">Inputs!$F$70</definedName>
    <definedName function="false" hidden="false" name="p_ef_oil" vbProcedure="false">Inputs!$F$75</definedName>
    <definedName function="false" hidden="false" name="p_ev0_ae" vbProcedure="false">Inputs!$F$26</definedName>
    <definedName function="false" hidden="false" name="p_ev0_chn" vbProcedure="false">Inputs!$F$27</definedName>
    <definedName function="false" hidden="false" name="p_ev0_emdc" vbProcedure="false">Inputs!$F$28</definedName>
    <definedName function="false" hidden="false" name="p_evb35_ae" vbProcedure="false">Inputs!$F$29</definedName>
    <definedName function="false" hidden="false" name="p_evb35_chn" vbProcedure="false">Inputs!$F$30</definedName>
    <definedName function="false" hidden="false" name="p_evb35_emdc" vbProcedure="false">Inputs!$F$31</definedName>
    <definedName function="false" hidden="false" name="p_ev_maint" vbProcedure="false">Inputs!$F$43</definedName>
    <definedName function="false" hidden="false" name="p_ev_parity" vbProcedure="false">Inputs!$F$41</definedName>
    <definedName function="false" hidden="false" name="p_ev_prem24" vbProcedure="false">Inputs!$F$40</definedName>
    <definedName function="false" hidden="false" name="p_ev_ratio" vbProcedure="false">Inputs!$F$34</definedName>
    <definedName function="false" hidden="false" name="p_ev_T_ae" vbProcedure="false">Inputs!$F$17</definedName>
    <definedName function="false" hidden="false" name="p_ev_T_chn" vbProcedure="false">Inputs!$F$18</definedName>
    <definedName function="false" hidden="false" name="p_ev_T_emdc" vbProcedure="false">Inputs!$F$19</definedName>
    <definedName function="false" hidden="false" name="p_fos_trend_cap" vbProcedure="false">Inputs!$F$33</definedName>
    <definedName function="false" hidden="false" name="p_grid_ratio" vbProcedure="false">Inputs!$F$62</definedName>
    <definedName function="false" hidden="false" name="p_g_conv_year" vbProcedure="false">Inputs!$F$12</definedName>
    <definedName function="false" hidden="false" name="p_g_lr_hic" vbProcedure="false">Inputs!$F$11</definedName>
    <definedName function="false" hidden="false" name="p_g_lr_lic" vbProcedure="false">Inputs!$F$8</definedName>
    <definedName function="false" hidden="false" name="p_g_lr_lmic" vbProcedure="false">Inputs!$F$9</definedName>
    <definedName function="false" hidden="false" name="p_g_lr_umic" vbProcedure="false">Inputs!$F$10</definedName>
    <definedName function="false" hidden="false" name="p_hp_ratio" vbProcedure="false">Inputs!$F$35</definedName>
    <definedName function="false" hidden="false" name="p_hr_coa" vbProcedure="false">Inputs!$F$66</definedName>
    <definedName function="false" hidden="false" name="p_hr_nga" vbProcedure="false">Inputs!$F$67</definedName>
    <definedName function="false" hidden="false" name="p_hr_oil" vbProcedure="false">Inputs!$F$68</definedName>
    <definedName function="false" hidden="false" name="p_ind_a_ae" vbProcedure="false">Inputs!$F$23</definedName>
    <definedName function="false" hidden="false" name="p_ind_a_chn" vbProcedure="false">Inputs!$F$24</definedName>
    <definedName function="false" hidden="false" name="p_ind_a_emdc" vbProcedure="false">Inputs!$F$25</definedName>
    <definedName function="false" hidden="false" name="p_ind_elec_sh" vbProcedure="false">Inputs!$F$36</definedName>
    <definedName function="false" hidden="false" name="p_ind_ratio" vbProcedure="false">Inputs!$F$37</definedName>
    <definedName function="false" hidden="false" name="p_k_bld" vbProcedure="false">Inputs!$F$45</definedName>
    <definedName function="false" hidden="false" name="p_k_ccs" vbProcedure="false">Inputs!$F$47</definedName>
    <definedName function="false" hidden="false" name="p_k_ind" vbProcedure="false">Inputs!$F$46</definedName>
    <definedName function="false" hidden="false" name="p_life_bld" vbProcedure="false">Inputs!$F$83</definedName>
    <definedName function="false" hidden="false" name="p_life_fos" vbProcedure="false">Inputs!$F$59</definedName>
    <definedName function="false" hidden="false" name="p_life_grid" vbProcedure="false">Inputs!$F$85</definedName>
    <definedName function="false" hidden="false" name="p_life_ind" vbProcedure="false">Inputs!$F$84</definedName>
    <definedName function="false" hidden="false" name="p_life_vre" vbProcedure="false">Inputs!$F$58</definedName>
    <definedName function="false" hidden="false" name="p_lr_sol" vbProcedure="false">Inputs!$F$52</definedName>
    <definedName function="false" hidden="false" name="p_lr_st" vbProcedure="false">Inputs!$F$65</definedName>
    <definedName function="false" hidden="false" name="p_lr_wnd" vbProcedure="false">Inputs!$F$53</definedName>
    <definedName function="false" hidden="false" name="p_lu_T" vbProcedure="false">Inputs!$F$81</definedName>
    <definedName function="false" hidden="false" name="p_nc_2030" vbProcedure="false">Inputs!$F$76</definedName>
    <definedName function="false" hidden="false" name="p_nc_2050" vbProcedure="false">Inputs!$F$77</definedName>
    <definedName function="false" hidden="false" name="p_om_fos" vbProcedure="false">Inputs!$F$61</definedName>
    <definedName function="false" hidden="false" name="p_om_vre" vbProcedure="false">Inputs!$F$60</definedName>
    <definedName function="false" hidden="false" name="p_phi" vbProcedure="false">Inputs!$F$13</definedName>
    <definedName function="false" hidden="false" name="p_pow_T_ae" vbProcedure="false">Inputs!$F$14</definedName>
    <definedName function="false" hidden="false" name="p_pow_T_chn" vbProcedure="false">Inputs!$F$15</definedName>
    <definedName function="false" hidden="false" name="p_pow_T_emdc" vbProcedure="false">Inputs!$F$16</definedName>
    <definedName function="false" hidden="false" name="p_r_wb" vbProcedure="false">Inputs!$F$82</definedName>
    <definedName function="false" hidden="false" name="p_sh_sol" vbProcedure="false">Inputs!$F$57</definedName>
    <definedName function="false" hidden="false" name="p_sig0_ratio" vbProcedure="false">Inputs!$F$32</definedName>
    <definedName function="false" hidden="false" name="p_st_h" vbProcedure="false">Inputs!$F$63</definedName>
    <definedName function="false" hidden="false" name="p_veh_gj" vbProcedure="false">Inputs!$F$38</definedName>
    <definedName function="false" hidden="false" name="p_veh_km" vbProcedure="false">Inputs!$F$44</definedName>
    <definedName function="false" hidden="false" name="p_veh_life" vbProcedure="false">Inputs!$F$39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<sst xmlns="http://schemas.openxmlformats.org/spreadsheetml/2006/main" count="11410" uniqueCount="4175">
  <si>
    <t xml:space="preserve">NMIM v0.1 - National Mitigation Investment Model (simplified)</t>
  </si>
  <si>
    <t xml:space="preserve">What it is</t>
  </si>
  <si>
    <t xml:space="preserve">A simplified national model of net zero mitigation investment for 186 countries, annual 2024-2050, built to CPAT norms. For each country it projects baseline (current trends) and net zero energy use, power capacity, investment by sector, emissions, fuel bills and air pollution, and the incremental cost of the net zero path under three lenses: (a) market WACC, (b) World Bank 6%, (c) 6% with local co-benefits.</t>
  </si>
  <si>
    <t xml:space="preserve">How to use</t>
  </si>
  <si>
    <t xml:space="preserve">Choose a country on Settings!C4. Mitigation recalculates in live formulas (CPAT layout: K = 2021 ... N = 2024 base year ... AN = 2050). Dashboard summarises it. Inputs holds every parameter (MTInputs column structure; edit column G). Results_All holds every country from the Python engine; Check compares the two.</t>
  </si>
  <si>
    <t xml:space="preserve">Method</t>
  </si>
  <si>
    <t xml:space="preserve">See NMIM_Method_v0_1.md. Baseline end use follows CPAT's activity equation with CPAT income-group elasticities and prices fixed in real terms; net zero applies sector transformations (EV sales, heat electrification, industrial abatement, fossil-free power by group target year); power capacity is a stock model with lives and learning; incremental cost sums capital charges on incremental capital in service.</t>
  </si>
  <si>
    <t xml:space="preserve">Consistency</t>
  </si>
  <si>
    <t xml:space="preserve">Codes and data follow CPAT (IMF CPAT 2024 panel; mit.&lt;indicator&gt;.&lt;fuel&gt;.&lt;sector&gt;.&lt;scenario&gt;). CBAM goods process CO2 comes from the CBAM Policy Tool's Country data. Market WACC is the v1.1 investment-needs workbook's (observed, Damodaran or IHLEG default).</t>
  </si>
  <si>
    <t xml:space="preserve">Colours</t>
  </si>
  <si>
    <t xml:space="preserve">Title 00B050; section 92D050; inputs EBF1DE (blue text); codes DCE6F1; base year DDD9C4; results to review FFF2CC.</t>
  </si>
  <si>
    <t xml:space="preserve">Caveats</t>
  </si>
  <si>
    <t xml:space="preserve">Simplified: no price response, no power optimisation, car-equivalent vehicles, assumed transformation dates; several formulas exceed the 100-character norm (to be split). Parameters marked † are assumptions.</t>
  </si>
  <si>
    <t xml:space="preserve">Version log</t>
  </si>
  <si>
    <t xml:space="preserve">v0.1 | 2026-10-20 | First build: 186 countries, 11 end-use rows, power stock model, three lenses; workbook = Python on key rows (Check).</t>
  </si>
  <si>
    <t xml:space="preserve">NMIM - Dashboard (selected country)</t>
  </si>
  <si>
    <t xml:space="preserve">Country</t>
  </si>
  <si>
    <t xml:space="preserve">USD bn a year unless stated</t>
  </si>
  <si>
    <t xml:space="preserve">Item</t>
  </si>
  <si>
    <t xml:space="preserve">GDP (2024 USD bn)</t>
  </si>
  <si>
    <t xml:space="preserve">Investment, baseline</t>
  </si>
  <si>
    <t xml:space="preserve">Investment, net zero</t>
  </si>
  <si>
    <t xml:space="preserve">Incremental investment</t>
  </si>
  <si>
    <t xml:space="preserve">  of which power generation</t>
  </si>
  <si>
    <t xml:space="preserve">  grids and storage</t>
  </si>
  <si>
    <t xml:space="preserve">  transport</t>
  </si>
  <si>
    <t xml:space="preserve">  buildings</t>
  </si>
  <si>
    <t xml:space="preserve">  industry</t>
  </si>
  <si>
    <t xml:space="preserve">  non-CO2 and land use</t>
  </si>
  <si>
    <t xml:space="preserve">Incremental cost (a) market WACC</t>
  </si>
  <si>
    <t xml:space="preserve">Incremental cost (b) World Bank 6%</t>
  </si>
  <si>
    <t xml:space="preserve">Incremental cost (c) 6% + local co-benefits</t>
  </si>
  <si>
    <t xml:space="preserve">GHG, baseline (MtCO2e)</t>
  </si>
  <si>
    <t xml:space="preserve">GHG, net zero (MtCO2e)</t>
  </si>
  <si>
    <t xml:space="preserve">NMIM - Settings</t>
  </si>
  <si>
    <t xml:space="preserve">Country (ISO3)</t>
  </si>
  <si>
    <t xml:space="preserve">IND</t>
  </si>
  <si>
    <t xml:space="preserve">Country name</t>
  </si>
  <si>
    <t xml:space="preserve">Data row</t>
  </si>
  <si>
    <t xml:space="preserve">Choose a country in C4 (ISO3 code from the Data sheet). Every formula on Mitigation recalculates for it.</t>
  </si>
  <si>
    <t xml:space="preserve">NMIM - Inputs (MTInputs column structure)</t>
  </si>
  <si>
    <t xml:space="preserve">Parameters; calculations read column F by name (defined names p_&lt;NameOfParameter&gt;)</t>
  </si>
  <si>
    <t xml:space="preserve">Parameters</t>
  </si>
  <si>
    <t xml:space="preserve">unit</t>
  </si>
  <si>
    <t xml:space="preserve">MT values</t>
  </si>
  <si>
    <t xml:space="preserve">Dashboard values</t>
  </si>
  <si>
    <t xml:space="preserve">Used for calculation</t>
  </si>
  <si>
    <t xml:space="preserve">Defaults</t>
  </si>
  <si>
    <t xml:space="preserve">NameOfParameter</t>
  </si>
  <si>
    <t xml:space="preserve">Source</t>
  </si>
  <si>
    <t xml:space="preserve">Fit</t>
  </si>
  <si>
    <t xml:space="preserve">Long-run real GDP growth, low income</t>
  </si>
  <si>
    <t xml:space="preserve">% a year</t>
  </si>
  <si>
    <t xml:space="preserve">g_lr_lic</t>
  </si>
  <si>
    <t xml:space="preserve">Assumption, SSP2-like convergence. †</t>
  </si>
  <si>
    <t xml:space="preserve">P</t>
  </si>
  <si>
    <t xml:space="preserve">Long-run real GDP growth, lower middle income</t>
  </si>
  <si>
    <t xml:space="preserve">g_lr_lmic</t>
  </si>
  <si>
    <t xml:space="preserve">Assumption. †</t>
  </si>
  <si>
    <t xml:space="preserve">Long-run real GDP growth, upper middle income</t>
  </si>
  <si>
    <t xml:space="preserve">g_lr_umic</t>
  </si>
  <si>
    <t xml:space="preserve">Long-run real GDP growth, high income</t>
  </si>
  <si>
    <t xml:space="preserve">g_lr_hic</t>
  </si>
  <si>
    <t xml:space="preserve">Year growth reaches its long-run rate</t>
  </si>
  <si>
    <t xml:space="preserve">year</t>
  </si>
  <si>
    <t xml:space="preserve">g_conv_year</t>
  </si>
  <si>
    <t xml:space="preserve">Assumption</t>
  </si>
  <si>
    <t xml:space="preserve">M</t>
  </si>
  <si>
    <t xml:space="preserve">Pass-through of local price level to capital cost</t>
  </si>
  <si>
    <t xml:space="preserve">elasticity</t>
  </si>
  <si>
    <t xml:space="preserve">phi</t>
  </si>
  <si>
    <t xml:space="preserve">As v1.1 workbook. †</t>
  </si>
  <si>
    <t xml:space="preserve">Fossil-free power, advanced economies</t>
  </si>
  <si>
    <t xml:space="preserve">pow_T_ae</t>
  </si>
  <si>
    <t xml:space="preserve">IEA Net Zero by 2050 (2021): AE power net zero 2035</t>
  </si>
  <si>
    <t xml:space="preserve">Fossil-free power, China</t>
  </si>
  <si>
    <t xml:space="preserve">pow_T_chn</t>
  </si>
  <si>
    <t xml:space="preserve">IEA NZE: global power net zero 2040</t>
  </si>
  <si>
    <t xml:space="preserve">Fossil-free power, other EMDCs</t>
  </si>
  <si>
    <t xml:space="preserve">pow_T_emdc</t>
  </si>
  <si>
    <t xml:space="preserve">Assumption: five years after the global NZE date. †</t>
  </si>
  <si>
    <t xml:space="preserve">100% EV car sales, advanced economies</t>
  </si>
  <si>
    <t xml:space="preserve">ev_T_ae</t>
  </si>
  <si>
    <t xml:space="preserve">IEA NZE: no new ICE car sales from 2035</t>
  </si>
  <si>
    <t xml:space="preserve">100% EV car sales, China</t>
  </si>
  <si>
    <t xml:space="preserve">ev_T_chn</t>
  </si>
  <si>
    <t xml:space="preserve">IEA NZE</t>
  </si>
  <si>
    <t xml:space="preserve">100% EV car sales, other EMDCs</t>
  </si>
  <si>
    <t xml:space="preserve">ev_T_emdc</t>
  </si>
  <si>
    <t xml:space="preserve">Assumption: five years later. †</t>
  </si>
  <si>
    <t xml:space="preserve">Fossil heating fully replaced, AE</t>
  </si>
  <si>
    <t xml:space="preserve">bld_T_ae</t>
  </si>
  <si>
    <t xml:space="preserve">Fossil heating fully replaced, China</t>
  </si>
  <si>
    <t xml:space="preserve">bld_T_chn</t>
  </si>
  <si>
    <t xml:space="preserve">Fossil heating fully replaced, EMDC</t>
  </si>
  <si>
    <t xml:space="preserve">bld_T_emdc</t>
  </si>
  <si>
    <t xml:space="preserve">Industrial fossil use abated by 2050, AE</t>
  </si>
  <si>
    <t xml:space="preserve">share</t>
  </si>
  <si>
    <t xml:space="preserve">ind_a_ae</t>
  </si>
  <si>
    <t xml:space="preserve">Assumption (IEA NZE heavy industry ~90%). †</t>
  </si>
  <si>
    <t xml:space="preserve">Industrial fossil use abated by 2050, China</t>
  </si>
  <si>
    <t xml:space="preserve">ind_a_chn</t>
  </si>
  <si>
    <t xml:space="preserve">Industrial fossil use abated by 2050, EMDC</t>
  </si>
  <si>
    <t xml:space="preserve">ind_a_emdc</t>
  </si>
  <si>
    <t xml:space="preserve">EV share of car sales 2024, AE</t>
  </si>
  <si>
    <t xml:space="preserve">ev0_ae</t>
  </si>
  <si>
    <t xml:space="preserve">IEA Global EV Outlook 2024, approx. (Europe 21%, US 10%). †</t>
  </si>
  <si>
    <t xml:space="preserve">EV share of car sales 2024, China</t>
  </si>
  <si>
    <t xml:space="preserve">ev0_chn</t>
  </si>
  <si>
    <t xml:space="preserve">IEA Global EV Outlook 2024, approx. †</t>
  </si>
  <si>
    <t xml:space="preserve">EV share of car sales 2024, EMDC</t>
  </si>
  <si>
    <t xml:space="preserve">ev0_emdc</t>
  </si>
  <si>
    <t xml:space="preserve">Baseline EV sales share 2035, AE</t>
  </si>
  <si>
    <t xml:space="preserve">evb35_ae</t>
  </si>
  <si>
    <t xml:space="preserve">Assumption, current-policies trend. †</t>
  </si>
  <si>
    <t xml:space="preserve">Baseline EV sales share 2035, China</t>
  </si>
  <si>
    <t xml:space="preserve">evb35_chn</t>
  </si>
  <si>
    <t xml:space="preserve">Baseline EV sales share 2035, EMDC</t>
  </si>
  <si>
    <t xml:space="preserve">evb35_emdc</t>
  </si>
  <si>
    <t xml:space="preserve">EV stock share / EV sales share, 2024</t>
  </si>
  <si>
    <t xml:space="preserve">ratio</t>
  </si>
  <si>
    <t xml:space="preserve">sig0_ratio</t>
  </si>
  <si>
    <t xml:space="preserve">Assumption (sales rose over ~5 years). †</t>
  </si>
  <si>
    <t xml:space="preserve">Cap on baseline fall in fossil generation share</t>
  </si>
  <si>
    <t xml:space="preserve">pp a year</t>
  </si>
  <si>
    <t xml:space="preserve">fos_trend_cap</t>
  </si>
  <si>
    <t xml:space="preserve">Assumption; trend from Ember 3-year change</t>
  </si>
  <si>
    <t xml:space="preserve">EV final energy per unit of ICE fuel displaced</t>
  </si>
  <si>
    <t xml:space="preserve">ev_ratio</t>
  </si>
  <si>
    <t xml:space="preserve">0.18 kWh/km vs 7.5 l/100 km gasoline</t>
  </si>
  <si>
    <t xml:space="preserve">Heat pump electricity per unit of fossil heat fuel</t>
  </si>
  <si>
    <t xml:space="preserve">hp_ratio</t>
  </si>
  <si>
    <t xml:space="preserve">COP ~3</t>
  </si>
  <si>
    <t xml:space="preserve">Share of abated industrial fuel that is electrified</t>
  </si>
  <si>
    <t xml:space="preserve">ind_elec_sh</t>
  </si>
  <si>
    <t xml:space="preserve">Assumption (rest H2, CCS, bio). †</t>
  </si>
  <si>
    <t xml:space="preserve">Electricity per unit of industrial fuel electrified</t>
  </si>
  <si>
    <t xml:space="preserve">ind_ratio</t>
  </si>
  <si>
    <t xml:space="preserve">Fuel per car-equivalent vehicle a year</t>
  </si>
  <si>
    <t xml:space="preserve">GJ/vehicle-yr</t>
  </si>
  <si>
    <t xml:space="preserve">veh_gj</t>
  </si>
  <si>
    <t xml:space="preserve">15,000 km x 7.5 l/100 km x 34.2 MJ/l</t>
  </si>
  <si>
    <t xml:space="preserve">Vehicle life</t>
  </si>
  <si>
    <t xml:space="preserve">years</t>
  </si>
  <si>
    <t xml:space="preserve">veh_life</t>
  </si>
  <si>
    <t xml:space="preserve">SISEPUEDE (Baik et al. 2019)</t>
  </si>
  <si>
    <t xml:space="preserve">EV purchase premium 2024</t>
  </si>
  <si>
    <t xml:space="preserve">USD/vehicle</t>
  </si>
  <si>
    <t xml:space="preserve">ev_prem24</t>
  </si>
  <si>
    <t xml:space="preserve">Assumption; SISEPUEDE USD 12,000 (2019). †</t>
  </si>
  <si>
    <t xml:space="preserve">Year the EV premium reaches zero</t>
  </si>
  <si>
    <t xml:space="preserve">ev_parity</t>
  </si>
  <si>
    <t xml:space="preserve">Assumption; IEA reports near parity in China by 2024. †</t>
  </si>
  <si>
    <t xml:space="preserve">Charging infrastructure per EV</t>
  </si>
  <si>
    <t xml:space="preserve">charger</t>
  </si>
  <si>
    <t xml:space="preserve">EV maintenance saving</t>
  </si>
  <si>
    <t xml:space="preserve">USD/km</t>
  </si>
  <si>
    <t xml:space="preserve">ev_maint</t>
  </si>
  <si>
    <t xml:space="preserve">SISEPUEDE (AAA 2019)</t>
  </si>
  <si>
    <t xml:space="preserve">Vehicle-km a year</t>
  </si>
  <si>
    <t xml:space="preserve">km/yr</t>
  </si>
  <si>
    <t xml:space="preserve">veh_km</t>
  </si>
  <si>
    <t xml:space="preserve">SISEPUEDE</t>
  </si>
  <si>
    <t xml:space="preserve">Capital per GJ a year of fossil heat replaced</t>
  </si>
  <si>
    <t xml:space="preserve">USD per GJ/yr</t>
  </si>
  <si>
    <t xml:space="preserve">k_bld</t>
  </si>
  <si>
    <t xml:space="preserve">Assumption: heat pump ~USD 10,000 for ~50 GJ/yr. †</t>
  </si>
  <si>
    <t xml:space="preserve">Capital per GJ a year of industrial fossil use abated</t>
  </si>
  <si>
    <t xml:space="preserve">k_ind</t>
  </si>
  <si>
    <t xml:space="preserve">Capital per tonne a year of CBAM process CO2 abated</t>
  </si>
  <si>
    <t xml:space="preserve">USD per tCO2/yr</t>
  </si>
  <si>
    <t xml:space="preserve">k_ccs</t>
  </si>
  <si>
    <t xml:space="preserve">Assumption, CCS on cement scale. †</t>
  </si>
  <si>
    <t xml:space="preserve">CBAM-goods process CO2 abated by 2050 (net zero)</t>
  </si>
  <si>
    <t xml:space="preserve">cbam_a_2050</t>
  </si>
  <si>
    <t xml:space="preserve">Utility solar PV capital cost 2024</t>
  </si>
  <si>
    <t xml:space="preserve">USD/kW</t>
  </si>
  <si>
    <t xml:space="preserve">capex_sol24</t>
  </si>
  <si>
    <t xml:space="preserve">IRENA (2024) Renewable Power Generation Costs in 2023. †</t>
  </si>
  <si>
    <t xml:space="preserve">G</t>
  </si>
  <si>
    <t xml:space="preserve">Onshore wind capital cost 2024</t>
  </si>
  <si>
    <t xml:space="preserve">capex_wnd24</t>
  </si>
  <si>
    <t xml:space="preserve">IRENA (2024). †</t>
  </si>
  <si>
    <t xml:space="preserve">Gas power capital cost (new fossil build)</t>
  </si>
  <si>
    <t xml:space="preserve">capex_gas</t>
  </si>
  <si>
    <t xml:space="preserve">CPAT legacy PowerTech (Egypt values)</t>
  </si>
  <si>
    <t xml:space="preserve">Real fall in solar capital cost</t>
  </si>
  <si>
    <t xml:space="preserve">a year</t>
  </si>
  <si>
    <t xml:space="preserve">lr_sol</t>
  </si>
  <si>
    <t xml:space="preserve">Assumption from IRENA/IEA trends. †</t>
  </si>
  <si>
    <t xml:space="preserve">Real fall in wind capital cost</t>
  </si>
  <si>
    <t xml:space="preserve">lr_wnd</t>
  </si>
  <si>
    <t xml:space="preserve">Solar capacity factor where Ember capacity is missing</t>
  </si>
  <si>
    <t xml:space="preserve">cf_sol</t>
  </si>
  <si>
    <t xml:space="preserve">Engineering norm. †</t>
  </si>
  <si>
    <t xml:space="preserve">Wind capacity factor where Ember capacity is missing</t>
  </si>
  <si>
    <t xml:space="preserve">cf_wnd</t>
  </si>
  <si>
    <t xml:space="preserve">Fossil capacity factor where Ember capacity is missing</t>
  </si>
  <si>
    <t xml:space="preserve">cf_fos</t>
  </si>
  <si>
    <t xml:space="preserve">Solar share of new VRE generation</t>
  </si>
  <si>
    <t xml:space="preserve">sh_sol</t>
  </si>
  <si>
    <t xml:space="preserve">VRE life</t>
  </si>
  <si>
    <t xml:space="preserve">life_vre</t>
  </si>
  <si>
    <t xml:space="preserve">Method note</t>
  </si>
  <si>
    <t xml:space="preserve">Fossil plant life</t>
  </si>
  <si>
    <t xml:space="preserve">life_fos</t>
  </si>
  <si>
    <t xml:space="preserve">CPAT PowerTech</t>
  </si>
  <si>
    <t xml:space="preserve">VRE O&amp;M, share of capital a year</t>
  </si>
  <si>
    <t xml:space="preserve">share/yr</t>
  </si>
  <si>
    <t xml:space="preserve">om_vre</t>
  </si>
  <si>
    <t xml:space="preserve">Fossil O&amp;M (fixed + variable)</t>
  </si>
  <si>
    <t xml:space="preserve">USD/kWh</t>
  </si>
  <si>
    <t xml:space="preserve">om_fos</t>
  </si>
  <si>
    <t xml:space="preserve">CPAT PowerTech gas: 0.0065 + 0.004</t>
  </si>
  <si>
    <t xml:space="preserve">Grid investment per USD of generation investment</t>
  </si>
  <si>
    <t xml:space="preserve">USD/USD</t>
  </si>
  <si>
    <t xml:space="preserve">grid_ratio</t>
  </si>
  <si>
    <t xml:space="preserve">IEA (2023) grids: 0.6-1 per USD of renewables (low end)</t>
  </si>
  <si>
    <t xml:space="preserve">Storage hours per kW of VRE added at full VRE</t>
  </si>
  <si>
    <t xml:space="preserve">hours</t>
  </si>
  <si>
    <t xml:space="preserve">st_h</t>
  </si>
  <si>
    <t xml:space="preserve">CPAT PowerParams st_ratio (2 kWh per kW). †</t>
  </si>
  <si>
    <t xml:space="preserve">Battery storage capital cost 2024</t>
  </si>
  <si>
    <t xml:space="preserve">capex_st24</t>
  </si>
  <si>
    <t xml:space="preserve">IRENA/BNEF 250-300 (method note Table C). †</t>
  </si>
  <si>
    <t xml:space="preserve">Real fall in storage capital cost</t>
  </si>
  <si>
    <t xml:space="preserve">lr_st</t>
  </si>
  <si>
    <t xml:space="preserve">Heat rate, coal power</t>
  </si>
  <si>
    <t xml:space="preserve">GJ/MWh</t>
  </si>
  <si>
    <t xml:space="preserve">hr_coa</t>
  </si>
  <si>
    <t xml:space="preserve">Heat rate, gas power</t>
  </si>
  <si>
    <t xml:space="preserve">hr_nga</t>
  </si>
  <si>
    <t xml:space="preserve">Heat rate, oil power</t>
  </si>
  <si>
    <t xml:space="preserve">hr_oil</t>
  </si>
  <si>
    <t xml:space="preserve">CO2 factor, coal</t>
  </si>
  <si>
    <t xml:space="preserve">tCO2/GJ</t>
  </si>
  <si>
    <t xml:space="preserve">ef_coa</t>
  </si>
  <si>
    <t xml:space="preserve">IPCC 2006 Table 2.2 (other bituminous)</t>
  </si>
  <si>
    <t xml:space="preserve">CO2 factor, natural gas</t>
  </si>
  <si>
    <t xml:space="preserve">ef_nga</t>
  </si>
  <si>
    <t xml:space="preserve">IPCC 2006 Table 2.2</t>
  </si>
  <si>
    <t xml:space="preserve">CO2 factor, gasoline</t>
  </si>
  <si>
    <t xml:space="preserve">ef_gso</t>
  </si>
  <si>
    <t xml:space="preserve">CO2 factor, diesel</t>
  </si>
  <si>
    <t xml:space="preserve">ef_die</t>
  </si>
  <si>
    <t xml:space="preserve">CO2 factor, LPG</t>
  </si>
  <si>
    <t xml:space="preserve">ef_lpg</t>
  </si>
  <si>
    <t xml:space="preserve">CO2 factor, kerosene</t>
  </si>
  <si>
    <t xml:space="preserve">ef_ker</t>
  </si>
  <si>
    <t xml:space="preserve">CO2 factor, other oil (residual fuel oil)</t>
  </si>
  <si>
    <t xml:space="preserve">ef_oil</t>
  </si>
  <si>
    <t xml:space="preserve">Non-CO2 and other process GHG cut by 2030</t>
  </si>
  <si>
    <t xml:space="preserve">nc_2030</t>
  </si>
  <si>
    <t xml:space="preserve">Global Methane Pledge (-30% methane by 2030)</t>
  </si>
  <si>
    <t xml:space="preserve">Non-CO2 and other process GHG cut by 2050</t>
  </si>
  <si>
    <t xml:space="preserve">nc_2050</t>
  </si>
  <si>
    <t xml:space="preserve">Cost per tonne, non-CO2 abatement</t>
  </si>
  <si>
    <t xml:space="preserve">USD/tCO2e</t>
  </si>
  <si>
    <t xml:space="preserve">cpt_nc</t>
  </si>
  <si>
    <t xml:space="preserve">As v1.1 (IPCC AR6 SPM C.12). †</t>
  </si>
  <si>
    <t xml:space="preserve">Cost per tonne, land-use emissions</t>
  </si>
  <si>
    <t xml:space="preserve">cpt_afolu</t>
  </si>
  <si>
    <t xml:space="preserve">As v1.1 (IPCC AR6 SPM C.9.1). †</t>
  </si>
  <si>
    <t xml:space="preserve">Cost per tonne, other energy CO2 (aviation, shipping, other)</t>
  </si>
  <si>
    <t xml:space="preserve">USD/tCO2</t>
  </si>
  <si>
    <t xml:space="preserve">cpt_res</t>
  </si>
  <si>
    <t xml:space="preserve">IPCC AR6 SPM C.12 threshold. †</t>
  </si>
  <si>
    <t xml:space="preserve">Net land-use emissions brought to zero</t>
  </si>
  <si>
    <t xml:space="preserve">lu_T</t>
  </si>
  <si>
    <t xml:space="preserve">Glasgow Leaders' Declaration on Forests (2021)</t>
  </si>
  <si>
    <t xml:space="preserve">World Bank social discount rate</t>
  </si>
  <si>
    <t xml:space="preserve">rate</t>
  </si>
  <si>
    <t xml:space="preserve">r_wb</t>
  </si>
  <si>
    <t xml:space="preserve">Fay et al. (2016)</t>
  </si>
  <si>
    <t xml:space="preserve">Asset life, buildings</t>
  </si>
  <si>
    <t xml:space="preserve">life_bld</t>
  </si>
  <si>
    <t xml:space="preserve">Asset life, industry</t>
  </si>
  <si>
    <t xml:space="preserve">life_ind</t>
  </si>
  <si>
    <t xml:space="preserve">Asset life, grids and storage</t>
  </si>
  <si>
    <t xml:space="preserve">life_grid</t>
  </si>
  <si>
    <t xml:space="preserve">Fuel</t>
  </si>
  <si>
    <t xml:space="preserve">Sector</t>
  </si>
  <si>
    <t xml:space="preserve">Description</t>
  </si>
  <si>
    <t xml:space="preserve">Unit</t>
  </si>
  <si>
    <t xml:space="preserve">Input Code</t>
  </si>
  <si>
    <t xml:space="preserve">Output Code</t>
  </si>
  <si>
    <t xml:space="preserve">Note</t>
  </si>
  <si>
    <t xml:space="preserve">Helper</t>
  </si>
  <si>
    <t xml:space="preserve">NMIM v0.1 - National Mitigation Investment Model (selected country: see Settings)</t>
  </si>
  <si>
    <t xml:space="preserve">1. Country scalars (column J)</t>
  </si>
  <si>
    <t xml:space="preserve">Data row of the selected country</t>
  </si>
  <si>
    <t xml:space="preserve">mit.sc.row</t>
  </si>
  <si>
    <t xml:space="preserve">IHLEG group (1 AE, 2 China, 3 EMDC)</t>
  </si>
  <si>
    <t xml:space="preserve">code</t>
  </si>
  <si>
    <t xml:space="preserve">Data / Inputs</t>
  </si>
  <si>
    <t xml:space="preserve">grp</t>
  </si>
  <si>
    <t xml:space="preserve">mit.sc.grp</t>
  </si>
  <si>
    <t xml:space="preserve">CPAT income group (1 LIC, 2 LMIC, 3 UMIC, 4 HIC)</t>
  </si>
  <si>
    <t xml:space="preserve">inc</t>
  </si>
  <si>
    <t xml:space="preserve">mit.sc.inc</t>
  </si>
  <si>
    <t xml:space="preserve">GDP 2024</t>
  </si>
  <si>
    <t xml:space="preserve">USD bn</t>
  </si>
  <si>
    <t xml:space="preserve">gdp24</t>
  </si>
  <si>
    <t xml:space="preserve">mit.sc.gdp24</t>
  </si>
  <si>
    <t xml:space="preserve">Real GDP growth 2025 (WEO)</t>
  </si>
  <si>
    <t xml:space="preserve">%</t>
  </si>
  <si>
    <t xml:space="preserve">g25</t>
  </si>
  <si>
    <t xml:space="preserve">mit.sc.g25</t>
  </si>
  <si>
    <t xml:space="preserve">Real GDP growth 2026 (WEO)</t>
  </si>
  <si>
    <t xml:space="preserve">g26</t>
  </si>
  <si>
    <t xml:space="preserve">mit.sc.g26</t>
  </si>
  <si>
    <t xml:space="preserve">Long-run real GDP growth</t>
  </si>
  <si>
    <t xml:space="preserve">CHOOSE(inc,{g_lr_lic},{g_lr_lmic},{g_lr_umic},{g_lr_hic})</t>
  </si>
  <si>
    <t xml:space="preserve">mit.sc.glr</t>
  </si>
  <si>
    <t xml:space="preserve">Local price factor on capital (price level^phi)</t>
  </si>
  <si>
    <t xml:space="preserve">x</t>
  </si>
  <si>
    <t xml:space="preserve">plevel^{phi}</t>
  </si>
  <si>
    <t xml:space="preserve">mit.sc.pf</t>
  </si>
  <si>
    <t xml:space="preserve">Market WACC (v1.1: observed, Damodaran or IHLEG default)</t>
  </si>
  <si>
    <t xml:space="preserve">wacc</t>
  </si>
  <si>
    <t xml:space="preserve">mit.sc.wacc</t>
  </si>
  <si>
    <t xml:space="preserve">Fossil-free power year</t>
  </si>
  <si>
    <t xml:space="preserve">CHOOSE(grp,{pow_T_ae},{pow_T_chn},{pow_T_emdc})</t>
  </si>
  <si>
    <t xml:space="preserve">mit.sc.pow_T</t>
  </si>
  <si>
    <t xml:space="preserve">100% EV sales year</t>
  </si>
  <si>
    <t xml:space="preserve">CHOOSE(grp,{ev_T_ae},{ev_T_chn},{ev_T_emdc})</t>
  </si>
  <si>
    <t xml:space="preserve">mit.sc.ev_T</t>
  </si>
  <si>
    <t xml:space="preserve">Fossil heating replaced by</t>
  </si>
  <si>
    <t xml:space="preserve">CHOOSE(grp,{bld_T_ae},{bld_T_chn},{bld_T_emdc})</t>
  </si>
  <si>
    <t xml:space="preserve">mit.sc.bld_T</t>
  </si>
  <si>
    <t xml:space="preserve">Industrial fossil use abated by 2050</t>
  </si>
  <si>
    <t xml:space="preserve">CHOOSE(grp,{ind_a_ae},{ind_a_chn},{ind_a_emdc})</t>
  </si>
  <si>
    <t xml:space="preserve">mit.sc.ind_a</t>
  </si>
  <si>
    <t xml:space="preserve">EV sales share 2024</t>
  </si>
  <si>
    <t xml:space="preserve">CHOOSE(grp,{ev0_ae},{ev0_chn},{ev0_emdc})</t>
  </si>
  <si>
    <t xml:space="preserve">mit.sc.ev0</t>
  </si>
  <si>
    <t xml:space="preserve">Baseline EV sales share 2035</t>
  </si>
  <si>
    <t xml:space="preserve">CHOOSE(grp,{evb35_ae},{evb35_chn},{evb35_emdc})</t>
  </si>
  <si>
    <t xml:space="preserve">mit.sc.evb35</t>
  </si>
  <si>
    <t xml:space="preserve">EV stock share 2024</t>
  </si>
  <si>
    <t xml:space="preserve">ev0*{sig0_ratio}</t>
  </si>
  <si>
    <t xml:space="preserve">mit.sc.sig0</t>
  </si>
  <si>
    <t xml:space="preserve">Generation / end-use electricity, 2024</t>
  </si>
  <si>
    <t xml:space="preserve">MIN(1.4,MAX(0.9,gen_tot/MAX(0.001,dem_twh24)))</t>
  </si>
  <si>
    <t xml:space="preserve">mit.sc.gcr</t>
  </si>
  <si>
    <t xml:space="preserve">Fossil share of generation 2024</t>
  </si>
  <si>
    <t xml:space="preserve">MIN(1,gen_fos/MAX(0.001,gen_tot))</t>
  </si>
  <si>
    <t xml:space="preserve">mit.sc.f0</t>
  </si>
  <si>
    <t xml:space="preserve">Baseline fall in fossil share</t>
  </si>
  <si>
    <t xml:space="preserve">MIN({fos_trend_cap},MAX(0,fos_trend))/100</t>
  </si>
  <si>
    <t xml:space="preserve">mit.sc.ftrend</t>
  </si>
  <si>
    <t xml:space="preserve">Clean firm generation (hydro, nuclear, bio, other)</t>
  </si>
  <si>
    <t xml:space="preserve">TWh</t>
  </si>
  <si>
    <t xml:space="preserve">gen_cfirm</t>
  </si>
  <si>
    <t xml:space="preserve">mit.sc.cfirm</t>
  </si>
  <si>
    <t xml:space="preserve">Coal share of fossil generation</t>
  </si>
  <si>
    <t xml:space="preserve">IF(gen_fos&gt;0,gen_coa/gen_fos,0)</t>
  </si>
  <si>
    <t xml:space="preserve">mit.sc.sh_coa</t>
  </si>
  <si>
    <t xml:space="preserve">Gas share of fossil generation</t>
  </si>
  <si>
    <t xml:space="preserve">IF(gen_fos&gt;0,gen_nga/gen_fos,0)</t>
  </si>
  <si>
    <t xml:space="preserve">mit.sc.sh_nga</t>
  </si>
  <si>
    <t xml:space="preserve">Oil share of fossil generation</t>
  </si>
  <si>
    <t xml:space="preserve">IF(gen_fos&gt;0,gen_oil/gen_fos,1)</t>
  </si>
  <si>
    <t xml:space="preserve">mit.sc.sh_oil</t>
  </si>
  <si>
    <t xml:space="preserve">Coal heat rate, calibrated to CPAT power fuel use</t>
  </si>
  <si>
    <t xml:space="preserve">IF(gen_coa&gt;0.1,MIN(14,MAX(7,con_coa_pow/gen_coa)),{hr_coa})</t>
  </si>
  <si>
    <t xml:space="preserve">mit.sc.hr_coa</t>
  </si>
  <si>
    <t xml:space="preserve">Gas heat rate, calibrated to CPAT power fuel use</t>
  </si>
  <si>
    <t xml:space="preserve">IF(gen_nga&gt;0.1,MIN(12,MAX(5.5,con_nga_pow/gen_nga)),{hr_nga}</t>
  </si>
  <si>
    <t xml:space="preserve">mit.sc.hr_nga</t>
  </si>
  <si>
    <t xml:space="preserve">Solar capacity factor</t>
  </si>
  <si>
    <t xml:space="preserve">IF(cap_sol&gt;0.05,MIN(0.3,MAX(0.1,gen_sol/(cap_sol*8.76))),{cf</t>
  </si>
  <si>
    <t xml:space="preserve">mit.sc.cf_sol</t>
  </si>
  <si>
    <t xml:space="preserve">Wind capacity factor</t>
  </si>
  <si>
    <t xml:space="preserve">IF(cap_wnd&gt;0.05,MIN(0.5,MAX(0.15,gen_wnd/(cap_wnd*8.76))),{c</t>
  </si>
  <si>
    <t xml:space="preserve">mit.sc.cf_wnd</t>
  </si>
  <si>
    <t xml:space="preserve">Fossil capacity factor</t>
  </si>
  <si>
    <t xml:space="preserve">IF(cap_fos&gt;0.05,MIN(0.8,MAX(0.2,gen_fos/(cap_fos*8.76))),{cf</t>
  </si>
  <si>
    <t xml:space="preserve">mit.sc.cf_fos</t>
  </si>
  <si>
    <t xml:space="preserve">Non-CO2 and other process GHG 2024</t>
  </si>
  <si>
    <t xml:space="preserve">MtCO2e</t>
  </si>
  <si>
    <t xml:space="preserve">MAX(0,ghg_exc-co2_24-cbam_proc24)</t>
  </si>
  <si>
    <t xml:space="preserve">mit.sc.nc24</t>
  </si>
  <si>
    <t xml:space="preserve">Net land-use source 2024</t>
  </si>
  <si>
    <t xml:space="preserve">MAX(0,ghg_inc-ghg_exc)</t>
  </si>
  <si>
    <t xml:space="preserve">mit.sc.lu24</t>
  </si>
  <si>
    <t xml:space="preserve">CBAM-goods process CO2 2024</t>
  </si>
  <si>
    <t xml:space="preserve">MtCO2</t>
  </si>
  <si>
    <t xml:space="preserve">cbam_proc24</t>
  </si>
  <si>
    <t xml:space="preserve">mit.sc.cbam24</t>
  </si>
  <si>
    <t xml:space="preserve">CBAM-goods output growth to 2030</t>
  </si>
  <si>
    <t xml:space="preserve">cbam_g</t>
  </si>
  <si>
    <t xml:space="preserve">mit.sc.cbam_g</t>
  </si>
  <si>
    <t xml:space="preserve">CRF at market WACC, grids</t>
  </si>
  <si>
    <t xml:space="preserve">wacc/(1-(1+wacc)^-{life_grid})</t>
  </si>
  <si>
    <t xml:space="preserve">mit.sc.crf_a_grid</t>
  </si>
  <si>
    <t xml:space="preserve">CRF at market WACC, generation</t>
  </si>
  <si>
    <t xml:space="preserve">wacc/(1-(1+wacc)^-{life_vre})</t>
  </si>
  <si>
    <t xml:space="preserve">mit.sc.crf_a_vre</t>
  </si>
  <si>
    <t xml:space="preserve">CRF at market WACC, vehicles</t>
  </si>
  <si>
    <t xml:space="preserve">wacc/(1-(1+wacc)^-{veh_life})</t>
  </si>
  <si>
    <t xml:space="preserve">mit.sc.crf_a_veh</t>
  </si>
  <si>
    <t xml:space="preserve">CRF at market WACC, buildings</t>
  </si>
  <si>
    <t xml:space="preserve">wacc/(1-(1+wacc)^-{life_bld})</t>
  </si>
  <si>
    <t xml:space="preserve">mit.sc.crf_a_bld</t>
  </si>
  <si>
    <t xml:space="preserve">CRF at market WACC, industry</t>
  </si>
  <si>
    <t xml:space="preserve">wacc/(1-(1+wacc)^-{life_ind})</t>
  </si>
  <si>
    <t xml:space="preserve">mit.sc.crf_a_ind</t>
  </si>
  <si>
    <t xml:space="preserve">CRF at 6%, grids</t>
  </si>
  <si>
    <t xml:space="preserve">{r_wb}/(1-(1+{r_wb})^-{life_grid})</t>
  </si>
  <si>
    <t xml:space="preserve">mit.sc.crf_b_grid</t>
  </si>
  <si>
    <t xml:space="preserve">CRF at 6%, generation</t>
  </si>
  <si>
    <t xml:space="preserve">{r_wb}/(1-(1+{r_wb})^-{life_vre})</t>
  </si>
  <si>
    <t xml:space="preserve">mit.sc.crf_b_vre</t>
  </si>
  <si>
    <t xml:space="preserve">CRF at 6%, vehicles</t>
  </si>
  <si>
    <t xml:space="preserve">{r_wb}/(1-(1+{r_wb})^-{veh_life})</t>
  </si>
  <si>
    <t xml:space="preserve">mit.sc.crf_b_veh</t>
  </si>
  <si>
    <t xml:space="preserve">CRF at 6%, buildings</t>
  </si>
  <si>
    <t xml:space="preserve">{r_wb}/(1-(1+{r_wb})^-{life_bld})</t>
  </si>
  <si>
    <t xml:space="preserve">mit.sc.crf_b_bld</t>
  </si>
  <si>
    <t xml:space="preserve">CRF at 6%, industry</t>
  </si>
  <si>
    <t xml:space="preserve">{r_wb}/(1-(1+{r_wb})^-{life_ind})</t>
  </si>
  <si>
    <t xml:space="preserve">mit.sc.crf_b_ind</t>
  </si>
  <si>
    <t xml:space="preserve">2. Macro</t>
  </si>
  <si>
    <t xml:space="preserve">Real GDP growth</t>
  </si>
  <si>
    <t xml:space="preserve">Model</t>
  </si>
  <si>
    <t xml:space="preserve">mit.gdp.gr</t>
  </si>
  <si>
    <t xml:space="preserve">Real GDP (2024 prices)</t>
  </si>
  <si>
    <t xml:space="preserve">mit.gdp.lvl</t>
  </si>
  <si>
    <t xml:space="preserve">3. Activity (baseline end use, CPAT equation, prices fixed real)</t>
  </si>
  <si>
    <t xml:space="preserve">gso</t>
  </si>
  <si>
    <t xml:space="preserve">rod</t>
  </si>
  <si>
    <t xml:space="preserve">Energy service demand (ICE-equivalent fuel)</t>
  </si>
  <si>
    <t xml:space="preserve">PJ</t>
  </si>
  <si>
    <t xml:space="preserve">CPAT data</t>
  </si>
  <si>
    <t xml:space="preserve">mit.act.gso.rod</t>
  </si>
  <si>
    <t xml:space="preserve">die</t>
  </si>
  <si>
    <t xml:space="preserve">mit.act.die.rod</t>
  </si>
  <si>
    <t xml:space="preserve">coa</t>
  </si>
  <si>
    <t xml:space="preserve">res</t>
  </si>
  <si>
    <t xml:space="preserve">Energy service demand</t>
  </si>
  <si>
    <t xml:space="preserve">mit.act.coa.res</t>
  </si>
  <si>
    <t xml:space="preserve">nga</t>
  </si>
  <si>
    <t xml:space="preserve">mit.act.nga.res</t>
  </si>
  <si>
    <t xml:space="preserve">lpg</t>
  </si>
  <si>
    <t xml:space="preserve">mit.act.lpg.res</t>
  </si>
  <si>
    <t xml:space="preserve">ker</t>
  </si>
  <si>
    <t xml:space="preserve">mit.act.ker.res</t>
  </si>
  <si>
    <t xml:space="preserve">ecy</t>
  </si>
  <si>
    <t xml:space="preserve">mit.act.ecy.res</t>
  </si>
  <si>
    <t xml:space="preserve">ind</t>
  </si>
  <si>
    <t xml:space="preserve">mit.act.coa.ind</t>
  </si>
  <si>
    <t xml:space="preserve">mit.act.nga.ind</t>
  </si>
  <si>
    <t xml:space="preserve">oil</t>
  </si>
  <si>
    <t xml:space="preserve">mit.act.oil.ind</t>
  </si>
  <si>
    <t xml:space="preserve">mit.act.ecy.ind</t>
  </si>
  <si>
    <t xml:space="preserve">4. Road transport</t>
  </si>
  <si>
    <t xml:space="preserve">Vehicle stock (car-equivalent)</t>
  </si>
  <si>
    <t xml:space="preserve">million</t>
  </si>
  <si>
    <t xml:space="preserve">mit.veh.stock</t>
  </si>
  <si>
    <t xml:space="preserve">Vehicle sales</t>
  </si>
  <si>
    <t xml:space="preserve">mit.veh.sales</t>
  </si>
  <si>
    <t xml:space="preserve">EV premium incl. nothing for charging</t>
  </si>
  <si>
    <t xml:space="preserve">mit.ev.prem</t>
  </si>
  <si>
    <t xml:space="preserve">EV share of sales</t>
  </si>
  <si>
    <t xml:space="preserve">mit.ev.shs.1</t>
  </si>
  <si>
    <t xml:space="preserve">EV share of stock</t>
  </si>
  <si>
    <t xml:space="preserve">mit.ev.stk.1</t>
  </si>
  <si>
    <t xml:space="preserve">Fossil fuel use</t>
  </si>
  <si>
    <t xml:space="preserve">mit.con.gso.rod.1</t>
  </si>
  <si>
    <t xml:space="preserve">mit.con.die.rod.1</t>
  </si>
  <si>
    <t xml:space="preserve">EV electricity</t>
  </si>
  <si>
    <t xml:space="preserve">mit.con.ecy.ev.1</t>
  </si>
  <si>
    <t xml:space="preserve">Investment: EV premium and chargers</t>
  </si>
  <si>
    <t xml:space="preserve">mit.inv.trn.1</t>
  </si>
  <si>
    <t xml:space="preserve">EV maintenance saving (negative cost)</t>
  </si>
  <si>
    <t xml:space="preserve">mit.om.trn.1</t>
  </si>
  <si>
    <t xml:space="preserve">mit.ev.shs.2</t>
  </si>
  <si>
    <t xml:space="preserve">mit.ev.stk.2</t>
  </si>
  <si>
    <t xml:space="preserve">mit.con.gso.rod.2</t>
  </si>
  <si>
    <t xml:space="preserve">mit.con.die.rod.2</t>
  </si>
  <si>
    <t xml:space="preserve">mit.con.ecy.ev.2</t>
  </si>
  <si>
    <t xml:space="preserve">mit.inv.trn.2</t>
  </si>
  <si>
    <t xml:space="preserve">mit.om.trn.2</t>
  </si>
  <si>
    <t xml:space="preserve">5. Buildings</t>
  </si>
  <si>
    <t xml:space="preserve">Share of fossil heat replaced (net zero)</t>
  </si>
  <si>
    <t xml:space="preserve">mit.bld.h.2</t>
  </si>
  <si>
    <t xml:space="preserve">mit.con.coa.res.1</t>
  </si>
  <si>
    <t xml:space="preserve">mit.con.nga.res.1</t>
  </si>
  <si>
    <t xml:space="preserve">mit.con.lpg.res.1</t>
  </si>
  <si>
    <t xml:space="preserve">mit.con.ker.res.1</t>
  </si>
  <si>
    <t xml:space="preserve">mit.con.coa.res.2</t>
  </si>
  <si>
    <t xml:space="preserve">mit.con.nga.res.2</t>
  </si>
  <si>
    <t xml:space="preserve">mit.con.lpg.res.2</t>
  </si>
  <si>
    <t xml:space="preserve">mit.con.ker.res.2</t>
  </si>
  <si>
    <t xml:space="preserve">Fossil heat fuel displaced</t>
  </si>
  <si>
    <t xml:space="preserve">mit.bld.disp.2</t>
  </si>
  <si>
    <t xml:space="preserve">Heat pump electricity</t>
  </si>
  <si>
    <t xml:space="preserve">mit.con.ecy.hp.2</t>
  </si>
  <si>
    <t xml:space="preserve">Investment: heat pumps and efficiency</t>
  </si>
  <si>
    <t xml:space="preserve">mit.inv.bld.2</t>
  </si>
  <si>
    <t xml:space="preserve">6. Industry</t>
  </si>
  <si>
    <t xml:space="preserve">Share of industrial fossil use abated (net zero)</t>
  </si>
  <si>
    <t xml:space="preserve">mit.ind.a.2</t>
  </si>
  <si>
    <t xml:space="preserve">mit.con.coa.ind.1</t>
  </si>
  <si>
    <t xml:space="preserve">mit.con.nga.ind.1</t>
  </si>
  <si>
    <t xml:space="preserve">mit.con.oil.ind.1</t>
  </si>
  <si>
    <t xml:space="preserve">mit.con.coa.ind.2</t>
  </si>
  <si>
    <t xml:space="preserve">mit.con.nga.ind.2</t>
  </si>
  <si>
    <t xml:space="preserve">mit.con.oil.ind.2</t>
  </si>
  <si>
    <t xml:space="preserve">Industrial fossil use abated</t>
  </si>
  <si>
    <t xml:space="preserve">mit.ind.abt.2</t>
  </si>
  <si>
    <t xml:space="preserve">Electricity for electrified industry</t>
  </si>
  <si>
    <t xml:space="preserve">mit.con.ecy.ix.2</t>
  </si>
  <si>
    <t xml:space="preserve">CBAM-goods process CO2 (CBAM tool output)</t>
  </si>
  <si>
    <t xml:space="preserve">mit.cbam.co2.1</t>
  </si>
  <si>
    <t xml:space="preserve">CBAM-goods process CO2 abated (net zero)</t>
  </si>
  <si>
    <t xml:space="preserve">mit.cbam.abt.2</t>
  </si>
  <si>
    <t xml:space="preserve">Investment: industrial fuel switch and CCS</t>
  </si>
  <si>
    <t xml:space="preserve">mit.inv.ind.2</t>
  </si>
  <si>
    <t xml:space="preserve">7. Power</t>
  </si>
  <si>
    <t xml:space="preserve">pow</t>
  </si>
  <si>
    <t xml:space="preserve">Solar capital cost</t>
  </si>
  <si>
    <t xml:space="preserve">mit.cap.sol.cost</t>
  </si>
  <si>
    <t xml:space="preserve">Wind capital cost</t>
  </si>
  <si>
    <t xml:space="preserve">mit.cap.wnd.cost</t>
  </si>
  <si>
    <t xml:space="preserve">Storage capital cost</t>
  </si>
  <si>
    <t xml:space="preserve">mit.cap.st.cost</t>
  </si>
  <si>
    <t xml:space="preserve">End-use electricity demand</t>
  </si>
  <si>
    <t xml:space="preserve">mit.dem.ecy.1</t>
  </si>
  <si>
    <t xml:space="preserve">Generation</t>
  </si>
  <si>
    <t xml:space="preserve">mit.gen.tot.1</t>
  </si>
  <si>
    <t xml:space="preserve">Fossil share of generation</t>
  </si>
  <si>
    <t xml:space="preserve">mit.gen.fsh.1</t>
  </si>
  <si>
    <t xml:space="preserve">Fossil generation</t>
  </si>
  <si>
    <t xml:space="preserve">mit.gen.fos.1</t>
  </si>
  <si>
    <t xml:space="preserve">VRE generation needed</t>
  </si>
  <si>
    <t xml:space="preserve">mit.gen.vre.1</t>
  </si>
  <si>
    <t xml:space="preserve">Solar generation</t>
  </si>
  <si>
    <t xml:space="preserve">mit.gen.sol.1</t>
  </si>
  <si>
    <t xml:space="preserve">Wind generation</t>
  </si>
  <si>
    <t xml:space="preserve">mit.gen.wnd.1</t>
  </si>
  <si>
    <t xml:space="preserve">Solar capacity</t>
  </si>
  <si>
    <t xml:space="preserve">GW</t>
  </si>
  <si>
    <t xml:space="preserve">mit.cap.sol.1</t>
  </si>
  <si>
    <t xml:space="preserve">Solar additions incl. replacement</t>
  </si>
  <si>
    <t xml:space="preserve">mit.add.sol.1</t>
  </si>
  <si>
    <t xml:space="preserve">Wind capacity</t>
  </si>
  <si>
    <t xml:space="preserve">mit.cap.wnd.1</t>
  </si>
  <si>
    <t xml:space="preserve">Wind additions incl. replacement</t>
  </si>
  <si>
    <t xml:space="preserve">mit.add.wnd.1</t>
  </si>
  <si>
    <t xml:space="preserve">Fossil capacity needed</t>
  </si>
  <si>
    <t xml:space="preserve">mit.cap.fos.need.1</t>
  </si>
  <si>
    <t xml:space="preserve">Fossil additions (gas)</t>
  </si>
  <si>
    <t xml:space="preserve">mit.add.fos.1</t>
  </si>
  <si>
    <t xml:space="preserve">Fossil capacity in service</t>
  </si>
  <si>
    <t xml:space="preserve">mit.cap.fos.stk.1</t>
  </si>
  <si>
    <t xml:space="preserve">Investment: generation</t>
  </si>
  <si>
    <t xml:space="preserve">mit.inv.gen.1</t>
  </si>
  <si>
    <t xml:space="preserve">VRE share of generation</t>
  </si>
  <si>
    <t xml:space="preserve">mit.gen.vsh.1</t>
  </si>
  <si>
    <t xml:space="preserve">Investment: grids and storage</t>
  </si>
  <si>
    <t xml:space="preserve">mit.inv.grid.1</t>
  </si>
  <si>
    <t xml:space="preserve">Power fuel use</t>
  </si>
  <si>
    <t xml:space="preserve">mit.con.coa.pow.1</t>
  </si>
  <si>
    <t xml:space="preserve">mit.con.nga.pow.1</t>
  </si>
  <si>
    <t xml:space="preserve">mit.con.oil.pow.1</t>
  </si>
  <si>
    <t xml:space="preserve">Power O&amp;M</t>
  </si>
  <si>
    <t xml:space="preserve">mit.om.pow.1</t>
  </si>
  <si>
    <t xml:space="preserve">mit.dem.ecy.2</t>
  </si>
  <si>
    <t xml:space="preserve">mit.gen.tot.2</t>
  </si>
  <si>
    <t xml:space="preserve">mit.gen.fsh.2</t>
  </si>
  <si>
    <t xml:space="preserve">mit.gen.fos.2</t>
  </si>
  <si>
    <t xml:space="preserve">mit.gen.vre.2</t>
  </si>
  <si>
    <t xml:space="preserve">mit.gen.sol.2</t>
  </si>
  <si>
    <t xml:space="preserve">mit.gen.wnd.2</t>
  </si>
  <si>
    <t xml:space="preserve">mit.cap.sol.2</t>
  </si>
  <si>
    <t xml:space="preserve">mit.add.sol.2</t>
  </si>
  <si>
    <t xml:space="preserve">mit.cap.wnd.2</t>
  </si>
  <si>
    <t xml:space="preserve">mit.add.wnd.2</t>
  </si>
  <si>
    <t xml:space="preserve">mit.cap.fos.need.2</t>
  </si>
  <si>
    <t xml:space="preserve">mit.add.fos.2</t>
  </si>
  <si>
    <t xml:space="preserve">mit.cap.fos.stk.2</t>
  </si>
  <si>
    <t xml:space="preserve">mit.inv.gen.2</t>
  </si>
  <si>
    <t xml:space="preserve">mit.gen.vsh.2</t>
  </si>
  <si>
    <t xml:space="preserve">mit.inv.grid.2</t>
  </si>
  <si>
    <t xml:space="preserve">mit.con.coa.pow.2</t>
  </si>
  <si>
    <t xml:space="preserve">mit.con.nga.pow.2</t>
  </si>
  <si>
    <t xml:space="preserve">mit.con.oil.pow.2</t>
  </si>
  <si>
    <t xml:space="preserve">mit.om.pow.2</t>
  </si>
  <si>
    <t xml:space="preserve">8. Non-CO2, process and land use</t>
  </si>
  <si>
    <t xml:space="preserve">Non-CO2 and process GHG abated (net zero)</t>
  </si>
  <si>
    <t xml:space="preserve">mit.nc.abt.2</t>
  </si>
  <si>
    <t xml:space="preserve">Net land-use emissions abated (net zero)</t>
  </si>
  <si>
    <t xml:space="preserve">mit.lu.abt.2</t>
  </si>
  <si>
    <t xml:space="preserve">Spending: non-CO2 and land-use abatement</t>
  </si>
  <si>
    <t xml:space="preserve">mit.inv.nco.2</t>
  </si>
  <si>
    <t xml:space="preserve">9. Emissions, fuel bills and air pollution</t>
  </si>
  <si>
    <t xml:space="preserve">Energy CO2</t>
  </si>
  <si>
    <t xml:space="preserve">mit.co2.en.1</t>
  </si>
  <si>
    <t xml:space="preserve">Other energy CO2 in CPAT not in the rows above (held flat)</t>
  </si>
  <si>
    <t xml:space="preserve">mit.co2.res.1</t>
  </si>
  <si>
    <t xml:space="preserve">Total GHG incl. land use</t>
  </si>
  <si>
    <t xml:space="preserve">mit.ghg.tot.1</t>
  </si>
  <si>
    <t xml:space="preserve">Fossil fuel bill at 2024 supply costs</t>
  </si>
  <si>
    <t xml:space="preserve">mit.fuel.bill.1</t>
  </si>
  <si>
    <t xml:space="preserve">Air pollution cost</t>
  </si>
  <si>
    <t xml:space="preserve">mit.airpol.1</t>
  </si>
  <si>
    <t xml:space="preserve">mit.co2.en.2</t>
  </si>
  <si>
    <t xml:space="preserve">Other energy CO2, net zero (abated with industry)</t>
  </si>
  <si>
    <t xml:space="preserve">mit.co2.res.2</t>
  </si>
  <si>
    <t xml:space="preserve">Spending: other energy CO2 abated (aviation, shipping, other)</t>
  </si>
  <si>
    <t xml:space="preserve">mit.inv.oth.2</t>
  </si>
  <si>
    <t xml:space="preserve">mit.ghg.tot.2</t>
  </si>
  <si>
    <t xml:space="preserve">mit.fuel.bill.2</t>
  </si>
  <si>
    <t xml:space="preserve">mit.airpol.2</t>
  </si>
  <si>
    <t xml:space="preserve">10. Investment and incremental investment</t>
  </si>
  <si>
    <t xml:space="preserve">Incremental investment: power generation</t>
  </si>
  <si>
    <t xml:space="preserve">mit.dinv.gen</t>
  </si>
  <si>
    <t xml:space="preserve">Incremental investment: grids and storage</t>
  </si>
  <si>
    <t xml:space="preserve">mit.dinv.grid</t>
  </si>
  <si>
    <t xml:space="preserve">Incremental investment: transport</t>
  </si>
  <si>
    <t xml:space="preserve">mit.dinv.trn</t>
  </si>
  <si>
    <t xml:space="preserve">Incremental investment: buildings</t>
  </si>
  <si>
    <t xml:space="preserve">mit.dinv.bld</t>
  </si>
  <si>
    <t xml:space="preserve">Incremental investment: industry</t>
  </si>
  <si>
    <t xml:space="preserve">mit.dinv.ind</t>
  </si>
  <si>
    <t xml:space="preserve">Incremental investment: non-co2 and land use</t>
  </si>
  <si>
    <t xml:space="preserve">mit.dinv.nco</t>
  </si>
  <si>
    <t xml:space="preserve">Incremental investment: other energy co2</t>
  </si>
  <si>
    <t xml:space="preserve">mit.dinv.oth</t>
  </si>
  <si>
    <t xml:space="preserve">Total investment, baseline</t>
  </si>
  <si>
    <t xml:space="preserve">mit.inv.tot.1</t>
  </si>
  <si>
    <t xml:space="preserve">Total investment, net zero</t>
  </si>
  <si>
    <t xml:space="preserve">mit.inv.tot.2</t>
  </si>
  <si>
    <t xml:space="preserve">Incremental investment, total</t>
  </si>
  <si>
    <t xml:space="preserve">mit.dinv.tot</t>
  </si>
  <si>
    <t xml:space="preserve">11. Incremental cost by lens</t>
  </si>
  <si>
    <t xml:space="preserve">Incremental capital in service: power generation</t>
  </si>
  <si>
    <t xml:space="preserve">mit.alive.gen</t>
  </si>
  <si>
    <t xml:space="preserve">Incremental capital in service: grids and storage</t>
  </si>
  <si>
    <t xml:space="preserve">mit.alive.grid</t>
  </si>
  <si>
    <t xml:space="preserve">Incremental capital in service: transport</t>
  </si>
  <si>
    <t xml:space="preserve">mit.alive.trn</t>
  </si>
  <si>
    <t xml:space="preserve">Incremental capital in service: buildings</t>
  </si>
  <si>
    <t xml:space="preserve">mit.alive.bld</t>
  </si>
  <si>
    <t xml:space="preserve">Incremental capital in service: industry</t>
  </si>
  <si>
    <t xml:space="preserve">mit.alive.ind</t>
  </si>
  <si>
    <t xml:space="preserve">Capital charge on incremental capital, lens (a)</t>
  </si>
  <si>
    <t xml:space="preserve">mit.kchg.a</t>
  </si>
  <si>
    <t xml:space="preserve">Capital charge on incremental capital, lens (b)</t>
  </si>
  <si>
    <t xml:space="preserve">mit.kchg.b</t>
  </si>
  <si>
    <t xml:space="preserve">Change in O&amp;M (net zero less baseline)</t>
  </si>
  <si>
    <t xml:space="preserve">mit.dom</t>
  </si>
  <si>
    <t xml:space="preserve">Fuel savings (baseline less net zero)</t>
  </si>
  <si>
    <t xml:space="preserve">mit.dfuel</t>
  </si>
  <si>
    <t xml:space="preserve">Air pollution avoided</t>
  </si>
  <si>
    <t xml:space="preserve">mit.dap</t>
  </si>
  <si>
    <t xml:space="preserve">INCREMENTAL COST (a) market WACC</t>
  </si>
  <si>
    <t xml:space="preserve">mit.ic.a</t>
  </si>
  <si>
    <t xml:space="preserve">INCREMENTAL COST (b) World Bank 6%</t>
  </si>
  <si>
    <t xml:space="preserve">mit.ic.b</t>
  </si>
  <si>
    <t xml:space="preserve">INCREMENTAL COST (c) 6% + local co-benefits</t>
  </si>
  <si>
    <t xml:space="preserve">mit.ic.c</t>
  </si>
  <si>
    <t xml:space="preserve">GHG abated (baseline less net zero)</t>
  </si>
  <si>
    <t xml:space="preserve">mit.ghg.abt</t>
  </si>
  <si>
    <t xml:space="preserve">Discount factor, market WACC</t>
  </si>
  <si>
    <t xml:space="preserve">mit.df.a</t>
  </si>
  <si>
    <t xml:space="preserve">Discount factor, 6%</t>
  </si>
  <si>
    <t xml:space="preserve">mit.df.b</t>
  </si>
  <si>
    <t xml:space="preserve">Results for all countries (Python engine, values), USD bn and MtCO2e</t>
  </si>
  <si>
    <t xml:space="preserve">Incremental cost is the annual cost in that year of all incremental capital in service (capital charge) plus the change in O&amp;M, less fuel savings (less air pollution avoided in lens c). Positive = net cost. PV = present value 2025-2050 at the lens rate.</t>
  </si>
  <si>
    <t xml:space="preserve">ISO3</t>
  </si>
  <si>
    <t xml:space="preserve">Group</t>
  </si>
  <si>
    <t xml:space="preserve">Market WACC</t>
  </si>
  <si>
    <t xml:space="preserve">GDP 2030</t>
  </si>
  <si>
    <t xml:space="preserve">Investment 2030, baseline</t>
  </si>
  <si>
    <t xml:space="preserve">Investment 2030, net zero</t>
  </si>
  <si>
    <t xml:space="preserve">Incremental investment 2030</t>
  </si>
  <si>
    <t xml:space="preserve">Incr. cost 2030 (a) market</t>
  </si>
  <si>
    <t xml:space="preserve">Incr. cost 2030 (b) 6%</t>
  </si>
  <si>
    <t xml:space="preserve">Incr. cost 2030 (c) 6% + co-ben.</t>
  </si>
  <si>
    <t xml:space="preserve">GHG 2030 baseline</t>
  </si>
  <si>
    <t xml:space="preserve">GHG 2030 net zero</t>
  </si>
  <si>
    <t xml:space="preserve">GHG 2050 net zero</t>
  </si>
  <si>
    <t xml:space="preserve">Cumulative investment 2025-50, net zero</t>
  </si>
  <si>
    <t xml:space="preserve">Cumulative incremental 2025-50</t>
  </si>
  <si>
    <t xml:space="preserve">PV incr. cost (a)</t>
  </si>
  <si>
    <t xml:space="preserve">PV incr. cost (b)</t>
  </si>
  <si>
    <t xml:space="preserve">PV incr. cost (c)</t>
  </si>
  <si>
    <t xml:space="preserve">Cumulative abatement 2025-50</t>
  </si>
  <si>
    <t xml:space="preserve">Energy CO2 2024, model</t>
  </si>
  <si>
    <t xml:space="preserve">Energy CO2 2024, CPAT</t>
  </si>
  <si>
    <t xml:space="preserve">USA</t>
  </si>
  <si>
    <t xml:space="preserve">United States</t>
  </si>
  <si>
    <t xml:space="preserve">AE</t>
  </si>
  <si>
    <t xml:space="preserve">CHN</t>
  </si>
  <si>
    <t xml:space="preserve">China</t>
  </si>
  <si>
    <t xml:space="preserve">India</t>
  </si>
  <si>
    <t xml:space="preserve">EMDC</t>
  </si>
  <si>
    <t xml:space="preserve">DEU</t>
  </si>
  <si>
    <t xml:space="preserve">Germany</t>
  </si>
  <si>
    <t xml:space="preserve">JPN</t>
  </si>
  <si>
    <t xml:space="preserve">Japan</t>
  </si>
  <si>
    <t xml:space="preserve">GBR</t>
  </si>
  <si>
    <t xml:space="preserve">United Kingdom</t>
  </si>
  <si>
    <t xml:space="preserve">FRA</t>
  </si>
  <si>
    <t xml:space="preserve">France</t>
  </si>
  <si>
    <t xml:space="preserve">CAN</t>
  </si>
  <si>
    <t xml:space="preserve">Canada</t>
  </si>
  <si>
    <t xml:space="preserve">BRA</t>
  </si>
  <si>
    <t xml:space="preserve">Brazil</t>
  </si>
  <si>
    <t xml:space="preserve">ITA</t>
  </si>
  <si>
    <t xml:space="preserve">Italy</t>
  </si>
  <si>
    <t xml:space="preserve">RUS</t>
  </si>
  <si>
    <t xml:space="preserve">Russian Federation</t>
  </si>
  <si>
    <t xml:space="preserve">KOR</t>
  </si>
  <si>
    <t xml:space="preserve">Korea, Rep.</t>
  </si>
  <si>
    <t xml:space="preserve">AUS</t>
  </si>
  <si>
    <t xml:space="preserve">Australia</t>
  </si>
  <si>
    <t xml:space="preserve">MEX</t>
  </si>
  <si>
    <t xml:space="preserve">Mexico</t>
  </si>
  <si>
    <t xml:space="preserve">ESP</t>
  </si>
  <si>
    <t xml:space="preserve">Spain</t>
  </si>
  <si>
    <t xml:space="preserve">IDN</t>
  </si>
  <si>
    <t xml:space="preserve">Indonesia</t>
  </si>
  <si>
    <t xml:space="preserve">TUR</t>
  </si>
  <si>
    <t xml:space="preserve">Türkiye</t>
  </si>
  <si>
    <t xml:space="preserve">SAU</t>
  </si>
  <si>
    <t xml:space="preserve">Saudi Arabia</t>
  </si>
  <si>
    <t xml:space="preserve">NLD</t>
  </si>
  <si>
    <t xml:space="preserve">Netherlands</t>
  </si>
  <si>
    <t xml:space="preserve">POL</t>
  </si>
  <si>
    <t xml:space="preserve">Poland</t>
  </si>
  <si>
    <t xml:space="preserve">CHE</t>
  </si>
  <si>
    <t xml:space="preserve">Switzerland</t>
  </si>
  <si>
    <t xml:space="preserve">ARG</t>
  </si>
  <si>
    <t xml:space="preserve">Argentina</t>
  </si>
  <si>
    <t xml:space="preserve">IRL</t>
  </si>
  <si>
    <t xml:space="preserve">Ireland</t>
  </si>
  <si>
    <t xml:space="preserve">SGP</t>
  </si>
  <si>
    <t xml:space="preserve">Singapore</t>
  </si>
  <si>
    <t xml:space="preserve">BEL</t>
  </si>
  <si>
    <t xml:space="preserve">Belgium</t>
  </si>
  <si>
    <t xml:space="preserve">VNM</t>
  </si>
  <si>
    <t xml:space="preserve">Viet Nam</t>
  </si>
  <si>
    <t xml:space="preserve">SWE</t>
  </si>
  <si>
    <t xml:space="preserve">Sweden</t>
  </si>
  <si>
    <t xml:space="preserve">ARE</t>
  </si>
  <si>
    <t xml:space="preserve">United Arab Emirates</t>
  </si>
  <si>
    <t xml:space="preserve">ISR</t>
  </si>
  <si>
    <t xml:space="preserve">Israel</t>
  </si>
  <si>
    <t xml:space="preserve">THA</t>
  </si>
  <si>
    <t xml:space="preserve">Thailand</t>
  </si>
  <si>
    <t xml:space="preserve">PHL</t>
  </si>
  <si>
    <t xml:space="preserve">Philippines</t>
  </si>
  <si>
    <t xml:space="preserve">BGD</t>
  </si>
  <si>
    <t xml:space="preserve">Bangladesh</t>
  </si>
  <si>
    <t xml:space="preserve">AUT</t>
  </si>
  <si>
    <t xml:space="preserve">Austria</t>
  </si>
  <si>
    <t xml:space="preserve">MYS</t>
  </si>
  <si>
    <t xml:space="preserve">Malaysia</t>
  </si>
  <si>
    <t xml:space="preserve">NOR</t>
  </si>
  <si>
    <t xml:space="preserve">Norway</t>
  </si>
  <si>
    <t xml:space="preserve">EGY</t>
  </si>
  <si>
    <t xml:space="preserve">Egypt, Arab Rep.</t>
  </si>
  <si>
    <t xml:space="preserve">COL</t>
  </si>
  <si>
    <t xml:space="preserve">Colombia</t>
  </si>
  <si>
    <t xml:space="preserve">DNK</t>
  </si>
  <si>
    <t xml:space="preserve">Denmark</t>
  </si>
  <si>
    <t xml:space="preserve">HKG</t>
  </si>
  <si>
    <t xml:space="preserve">Hong Kong SAR, China</t>
  </si>
  <si>
    <t xml:space="preserve">PAK</t>
  </si>
  <si>
    <t xml:space="preserve">Pakistan</t>
  </si>
  <si>
    <t xml:space="preserve">ZAF</t>
  </si>
  <si>
    <t xml:space="preserve">South Africa</t>
  </si>
  <si>
    <t xml:space="preserve">ROU</t>
  </si>
  <si>
    <t xml:space="preserve">Romania</t>
  </si>
  <si>
    <t xml:space="preserve">CZE</t>
  </si>
  <si>
    <t xml:space="preserve">Czechia</t>
  </si>
  <si>
    <t xml:space="preserve">KAZ</t>
  </si>
  <si>
    <t xml:space="preserve">Kazakhstan</t>
  </si>
  <si>
    <t xml:space="preserve">CHL</t>
  </si>
  <si>
    <t xml:space="preserve">Chile</t>
  </si>
  <si>
    <t xml:space="preserve">PER</t>
  </si>
  <si>
    <t xml:space="preserve">Peru</t>
  </si>
  <si>
    <t xml:space="preserve">PRT</t>
  </si>
  <si>
    <t xml:space="preserve">Portugal</t>
  </si>
  <si>
    <t xml:space="preserve">DZA</t>
  </si>
  <si>
    <t xml:space="preserve">Algeria</t>
  </si>
  <si>
    <t xml:space="preserve">IRN</t>
  </si>
  <si>
    <t xml:space="preserve">Iran, Islamic Rep.</t>
  </si>
  <si>
    <t xml:space="preserve">NGA</t>
  </si>
  <si>
    <t xml:space="preserve">Nigeria</t>
  </si>
  <si>
    <t xml:space="preserve">FIN</t>
  </si>
  <si>
    <t xml:space="preserve">Finland</t>
  </si>
  <si>
    <t xml:space="preserve">NZL</t>
  </si>
  <si>
    <t xml:space="preserve">New Zealand</t>
  </si>
  <si>
    <t xml:space="preserve">GRC</t>
  </si>
  <si>
    <t xml:space="preserve">Greece</t>
  </si>
  <si>
    <t xml:space="preserve">HUN</t>
  </si>
  <si>
    <t xml:space="preserve">Hungary</t>
  </si>
  <si>
    <t xml:space="preserve">ETH</t>
  </si>
  <si>
    <t xml:space="preserve">Ethiopia</t>
  </si>
  <si>
    <t xml:space="preserve">UKR</t>
  </si>
  <si>
    <t xml:space="preserve">Ukraine</t>
  </si>
  <si>
    <t xml:space="preserve">IRQ</t>
  </si>
  <si>
    <t xml:space="preserve">Iraq</t>
  </si>
  <si>
    <t xml:space="preserve">MAR</t>
  </si>
  <si>
    <t xml:space="preserve">Morocco</t>
  </si>
  <si>
    <t xml:space="preserve">UZB</t>
  </si>
  <si>
    <t xml:space="preserve">Uzbekistan</t>
  </si>
  <si>
    <t xml:space="preserve">KWT</t>
  </si>
  <si>
    <t xml:space="preserve">Kuwait</t>
  </si>
  <si>
    <t xml:space="preserve">KEN</t>
  </si>
  <si>
    <t xml:space="preserve">Kenya</t>
  </si>
  <si>
    <t xml:space="preserve">QAT</t>
  </si>
  <si>
    <t xml:space="preserve">Qatar</t>
  </si>
  <si>
    <t xml:space="preserve">DOM</t>
  </si>
  <si>
    <t xml:space="preserve">Dominican Republic</t>
  </si>
  <si>
    <t xml:space="preserve">VEN</t>
  </si>
  <si>
    <t xml:space="preserve">Venezuela, RB</t>
  </si>
  <si>
    <t xml:space="preserve">SVK</t>
  </si>
  <si>
    <t xml:space="preserve">Slovak Republic</t>
  </si>
  <si>
    <t xml:space="preserve">ECU</t>
  </si>
  <si>
    <t xml:space="preserve">Ecuador</t>
  </si>
  <si>
    <t xml:space="preserve">GTM</t>
  </si>
  <si>
    <t xml:space="preserve">Guatemala</t>
  </si>
  <si>
    <t xml:space="preserve">AGO</t>
  </si>
  <si>
    <t xml:space="preserve">Angola</t>
  </si>
  <si>
    <t xml:space="preserve">BGR</t>
  </si>
  <si>
    <t xml:space="preserve">Bulgaria</t>
  </si>
  <si>
    <t xml:space="preserve">OMN</t>
  </si>
  <si>
    <t xml:space="preserve">Oman</t>
  </si>
  <si>
    <t xml:space="preserve">PRI</t>
  </si>
  <si>
    <t xml:space="preserve">Puerto Rico (US)</t>
  </si>
  <si>
    <t xml:space="preserve">CIV</t>
  </si>
  <si>
    <t xml:space="preserve">Côte d'Ivoire</t>
  </si>
  <si>
    <t xml:space="preserve">CRI</t>
  </si>
  <si>
    <t xml:space="preserve">Costa Rica</t>
  </si>
  <si>
    <t xml:space="preserve">LKA</t>
  </si>
  <si>
    <t xml:space="preserve">Sri Lanka</t>
  </si>
  <si>
    <t xml:space="preserve">TZA</t>
  </si>
  <si>
    <t xml:space="preserve">Tanzania</t>
  </si>
  <si>
    <t xml:space="preserve">GHA</t>
  </si>
  <si>
    <t xml:space="preserve">Ghana</t>
  </si>
  <si>
    <t xml:space="preserve">HRV</t>
  </si>
  <si>
    <t xml:space="preserve">Croatia</t>
  </si>
  <si>
    <t xml:space="preserve">PAN</t>
  </si>
  <si>
    <t xml:space="preserve">Panama</t>
  </si>
  <si>
    <t xml:space="preserve">COD</t>
  </si>
  <si>
    <t xml:space="preserve">Congo, Dem. Rep.</t>
  </si>
  <si>
    <t xml:space="preserve">SRB</t>
  </si>
  <si>
    <t xml:space="preserve">Serbia</t>
  </si>
  <si>
    <t xml:space="preserve">LUX</t>
  </si>
  <si>
    <t xml:space="preserve">Luxembourg</t>
  </si>
  <si>
    <t xml:space="preserve">LTU</t>
  </si>
  <si>
    <t xml:space="preserve">Lithuania</t>
  </si>
  <si>
    <t xml:space="preserve">SYR</t>
  </si>
  <si>
    <t xml:space="preserve">Syrian Arab Republic</t>
  </si>
  <si>
    <t xml:space="preserve">URY</t>
  </si>
  <si>
    <t xml:space="preserve">Uruguay</t>
  </si>
  <si>
    <t xml:space="preserve">MMR</t>
  </si>
  <si>
    <t xml:space="preserve">Myanmar</t>
  </si>
  <si>
    <t xml:space="preserve">BLR</t>
  </si>
  <si>
    <t xml:space="preserve">Belarus</t>
  </si>
  <si>
    <t xml:space="preserve">UGA</t>
  </si>
  <si>
    <t xml:space="preserve">Uganda</t>
  </si>
  <si>
    <t xml:space="preserve">AZE</t>
  </si>
  <si>
    <t xml:space="preserve">Azerbaijan</t>
  </si>
  <si>
    <t xml:space="preserve">SVN</t>
  </si>
  <si>
    <t xml:space="preserve">Slovenia</t>
  </si>
  <si>
    <t xml:space="preserve">TKM</t>
  </si>
  <si>
    <t xml:space="preserve">Turkmenistan</t>
  </si>
  <si>
    <t xml:space="preserve">LBY</t>
  </si>
  <si>
    <t xml:space="preserve">Libya</t>
  </si>
  <si>
    <t xml:space="preserve">JOR</t>
  </si>
  <si>
    <t xml:space="preserve">Jordan</t>
  </si>
  <si>
    <t xml:space="preserve">ZWE</t>
  </si>
  <si>
    <t xml:space="preserve">Zimbabwe</t>
  </si>
  <si>
    <t xml:space="preserve">CMR</t>
  </si>
  <si>
    <t xml:space="preserve">Cameroon</t>
  </si>
  <si>
    <t xml:space="preserve">MAC</t>
  </si>
  <si>
    <t xml:space="preserve">Macao SAR, China</t>
  </si>
  <si>
    <t xml:space="preserve">TUN</t>
  </si>
  <si>
    <t xml:space="preserve">Tunisia</t>
  </si>
  <si>
    <t xml:space="preserve">KHM</t>
  </si>
  <si>
    <t xml:space="preserve">Cambodia</t>
  </si>
  <si>
    <t xml:space="preserve">PRY</t>
  </si>
  <si>
    <t xml:space="preserve">Paraguay</t>
  </si>
  <si>
    <t xml:space="preserve">GUY</t>
  </si>
  <si>
    <t xml:space="preserve">Guyana</t>
  </si>
  <si>
    <t xml:space="preserve">NPL</t>
  </si>
  <si>
    <t xml:space="preserve">Nepal</t>
  </si>
  <si>
    <t xml:space="preserve">LVA</t>
  </si>
  <si>
    <t xml:space="preserve">Latvia</t>
  </si>
  <si>
    <t xml:space="preserve">BOL</t>
  </si>
  <si>
    <t xml:space="preserve">Bolivia</t>
  </si>
  <si>
    <t xml:space="preserve">BHR</t>
  </si>
  <si>
    <t xml:space="preserve">Bahrain</t>
  </si>
  <si>
    <t xml:space="preserve">GEO</t>
  </si>
  <si>
    <t xml:space="preserve">Georgia</t>
  </si>
  <si>
    <t xml:space="preserve">EST</t>
  </si>
  <si>
    <t xml:space="preserve">Estonia</t>
  </si>
  <si>
    <t xml:space="preserve">HND</t>
  </si>
  <si>
    <t xml:space="preserve">Honduras</t>
  </si>
  <si>
    <t xml:space="preserve">CYP</t>
  </si>
  <si>
    <t xml:space="preserve">Cyprus</t>
  </si>
  <si>
    <t xml:space="preserve">SLV</t>
  </si>
  <si>
    <t xml:space="preserve">El Salvador</t>
  </si>
  <si>
    <t xml:space="preserve">SEN</t>
  </si>
  <si>
    <t xml:space="preserve">Senegal</t>
  </si>
  <si>
    <t xml:space="preserve">PNG</t>
  </si>
  <si>
    <t xml:space="preserve">Papua New Guinea</t>
  </si>
  <si>
    <t xml:space="preserve">GIN</t>
  </si>
  <si>
    <t xml:space="preserve">Guinea</t>
  </si>
  <si>
    <t xml:space="preserve">ISL</t>
  </si>
  <si>
    <t xml:space="preserve">Iceland</t>
  </si>
  <si>
    <t xml:space="preserve">MLI</t>
  </si>
  <si>
    <t xml:space="preserve">Mali</t>
  </si>
  <si>
    <t xml:space="preserve">ARM</t>
  </si>
  <si>
    <t xml:space="preserve">Armenia</t>
  </si>
  <si>
    <t xml:space="preserve">LBN</t>
  </si>
  <si>
    <t xml:space="preserve">Lebanon</t>
  </si>
  <si>
    <t xml:space="preserve">BIH</t>
  </si>
  <si>
    <t xml:space="preserve">Bosnia and Herzegovina</t>
  </si>
  <si>
    <t xml:space="preserve">ALB</t>
  </si>
  <si>
    <t xml:space="preserve">Albania</t>
  </si>
  <si>
    <t xml:space="preserve">MNG</t>
  </si>
  <si>
    <t xml:space="preserve">Mongolia</t>
  </si>
  <si>
    <t xml:space="preserve">ZMB</t>
  </si>
  <si>
    <t xml:space="preserve">Zambia</t>
  </si>
  <si>
    <t xml:space="preserve">SDN</t>
  </si>
  <si>
    <t xml:space="preserve">Sudan</t>
  </si>
  <si>
    <t xml:space="preserve">BEN</t>
  </si>
  <si>
    <t xml:space="preserve">Benin</t>
  </si>
  <si>
    <t xml:space="preserve">MLT</t>
  </si>
  <si>
    <t xml:space="preserve">Malta</t>
  </si>
  <si>
    <t xml:space="preserve">BFA</t>
  </si>
  <si>
    <t xml:space="preserve">Burkina Faso</t>
  </si>
  <si>
    <t xml:space="preserve">NER</t>
  </si>
  <si>
    <t xml:space="preserve">Niger</t>
  </si>
  <si>
    <t xml:space="preserve">TCD</t>
  </si>
  <si>
    <t xml:space="preserve">Chad</t>
  </si>
  <si>
    <t xml:space="preserve">TTO</t>
  </si>
  <si>
    <t xml:space="preserve">Trinidad and Tobago</t>
  </si>
  <si>
    <t xml:space="preserve">KGZ</t>
  </si>
  <si>
    <t xml:space="preserve">Kyrgyz Republic</t>
  </si>
  <si>
    <t xml:space="preserve">NIC</t>
  </si>
  <si>
    <t xml:space="preserve">Nicaragua</t>
  </si>
  <si>
    <t xml:space="preserve">GAB</t>
  </si>
  <si>
    <t xml:space="preserve">Gabon</t>
  </si>
  <si>
    <t xml:space="preserve">BWA</t>
  </si>
  <si>
    <t xml:space="preserve">Botswana</t>
  </si>
  <si>
    <t xml:space="preserve">MOZ</t>
  </si>
  <si>
    <t xml:space="preserve">Mozambique</t>
  </si>
  <si>
    <t xml:space="preserve">HTI</t>
  </si>
  <si>
    <t xml:space="preserve">Haiti</t>
  </si>
  <si>
    <t xml:space="preserve">RWA</t>
  </si>
  <si>
    <t xml:space="preserve">Rwanda</t>
  </si>
  <si>
    <t xml:space="preserve">MDG</t>
  </si>
  <si>
    <t xml:space="preserve">Madagascar</t>
  </si>
  <si>
    <t xml:space="preserve">AFG</t>
  </si>
  <si>
    <t xml:space="preserve">Afghanistan</t>
  </si>
  <si>
    <t xml:space="preserve">JAM</t>
  </si>
  <si>
    <t xml:space="preserve">Jamaica</t>
  </si>
  <si>
    <t xml:space="preserve">MDA</t>
  </si>
  <si>
    <t xml:space="preserve">Moldova</t>
  </si>
  <si>
    <t xml:space="preserve">TJK</t>
  </si>
  <si>
    <t xml:space="preserve">Tajikistan</t>
  </si>
  <si>
    <t xml:space="preserve">MKD</t>
  </si>
  <si>
    <t xml:space="preserve">North Macedonia</t>
  </si>
  <si>
    <t xml:space="preserve">LAO</t>
  </si>
  <si>
    <t xml:space="preserve">Lao PDR</t>
  </si>
  <si>
    <t xml:space="preserve">MUS</t>
  </si>
  <si>
    <t xml:space="preserve">Mauritius</t>
  </si>
  <si>
    <t xml:space="preserve">BHS</t>
  </si>
  <si>
    <t xml:space="preserve">Bahamas, The</t>
  </si>
  <si>
    <t xml:space="preserve">COG</t>
  </si>
  <si>
    <t xml:space="preserve">Congo, Rep.</t>
  </si>
  <si>
    <t xml:space="preserve">BRN</t>
  </si>
  <si>
    <t xml:space="preserve">Brunei Darussalam</t>
  </si>
  <si>
    <t xml:space="preserve">NAM</t>
  </si>
  <si>
    <t xml:space="preserve">Namibia</t>
  </si>
  <si>
    <t xml:space="preserve">SOM</t>
  </si>
  <si>
    <t xml:space="preserve">Somalia, Fed. Rep.</t>
  </si>
  <si>
    <t xml:space="preserve">TGO</t>
  </si>
  <si>
    <t xml:space="preserve">Togo</t>
  </si>
  <si>
    <t xml:space="preserve">MRT</t>
  </si>
  <si>
    <t xml:space="preserve">Mauritania</t>
  </si>
  <si>
    <t xml:space="preserve">XKX</t>
  </si>
  <si>
    <t xml:space="preserve">Kosovo</t>
  </si>
  <si>
    <t xml:space="preserve">MWI</t>
  </si>
  <si>
    <t xml:space="preserve">Malawi</t>
  </si>
  <si>
    <t xml:space="preserve">GNQ</t>
  </si>
  <si>
    <t xml:space="preserve">Equatorial Guinea</t>
  </si>
  <si>
    <t xml:space="preserve">MNE</t>
  </si>
  <si>
    <t xml:space="preserve">Montenegro</t>
  </si>
  <si>
    <t xml:space="preserve">SLE</t>
  </si>
  <si>
    <t xml:space="preserve">Sierra Leone</t>
  </si>
  <si>
    <t xml:space="preserve">BRB</t>
  </si>
  <si>
    <t xml:space="preserve">Barbados</t>
  </si>
  <si>
    <t xml:space="preserve">MDV</t>
  </si>
  <si>
    <t xml:space="preserve">Maldives</t>
  </si>
  <si>
    <t xml:space="preserve">YEM</t>
  </si>
  <si>
    <t xml:space="preserve">Yemen, Rep.</t>
  </si>
  <si>
    <t xml:space="preserve">FJI</t>
  </si>
  <si>
    <t xml:space="preserve">Fiji</t>
  </si>
  <si>
    <t xml:space="preserve">LBR</t>
  </si>
  <si>
    <t xml:space="preserve">Liberia</t>
  </si>
  <si>
    <t xml:space="preserve">SWZ</t>
  </si>
  <si>
    <t xml:space="preserve">Eswatini</t>
  </si>
  <si>
    <t xml:space="preserve">BDI</t>
  </si>
  <si>
    <t xml:space="preserve">Burundi</t>
  </si>
  <si>
    <t xml:space="preserve">DJI</t>
  </si>
  <si>
    <t xml:space="preserve">Djibouti</t>
  </si>
  <si>
    <t xml:space="preserve">SUR</t>
  </si>
  <si>
    <t xml:space="preserve">Suriname</t>
  </si>
  <si>
    <t xml:space="preserve">ABW</t>
  </si>
  <si>
    <t xml:space="preserve">Aruba</t>
  </si>
  <si>
    <t xml:space="preserve">BTN</t>
  </si>
  <si>
    <t xml:space="preserve">Bhutan</t>
  </si>
  <si>
    <t xml:space="preserve">BLZ</t>
  </si>
  <si>
    <t xml:space="preserve">Belize</t>
  </si>
  <si>
    <t xml:space="preserve">CPV</t>
  </si>
  <si>
    <t xml:space="preserve">Cabo Verde</t>
  </si>
  <si>
    <t xml:space="preserve">CAF</t>
  </si>
  <si>
    <t xml:space="preserve">Central African Republic</t>
  </si>
  <si>
    <t xml:space="preserve">GMB</t>
  </si>
  <si>
    <t xml:space="preserve">Gambia, The</t>
  </si>
  <si>
    <t xml:space="preserve">GNB</t>
  </si>
  <si>
    <t xml:space="preserve">Guinea-Bissau</t>
  </si>
  <si>
    <t xml:space="preserve">LCA</t>
  </si>
  <si>
    <t xml:space="preserve">St. Lucia</t>
  </si>
  <si>
    <t xml:space="preserve">LSO</t>
  </si>
  <si>
    <t xml:space="preserve">Lesotho</t>
  </si>
  <si>
    <t xml:space="preserve">SYC</t>
  </si>
  <si>
    <t xml:space="preserve">Seychelles</t>
  </si>
  <si>
    <t xml:space="preserve">ATG</t>
  </si>
  <si>
    <t xml:space="preserve">Antigua and Barbuda</t>
  </si>
  <si>
    <t xml:space="preserve">TLS</t>
  </si>
  <si>
    <t xml:space="preserve">Timor-Leste</t>
  </si>
  <si>
    <t xml:space="preserve">SLB</t>
  </si>
  <si>
    <t xml:space="preserve">Solomon Islands</t>
  </si>
  <si>
    <t xml:space="preserve">COM</t>
  </si>
  <si>
    <t xml:space="preserve">Comoros</t>
  </si>
  <si>
    <t xml:space="preserve">GRD</t>
  </si>
  <si>
    <t xml:space="preserve">Grenada</t>
  </si>
  <si>
    <t xml:space="preserve">VUT</t>
  </si>
  <si>
    <t xml:space="preserve">Vanuatu</t>
  </si>
  <si>
    <t xml:space="preserve">WSM</t>
  </si>
  <si>
    <t xml:space="preserve">Samoa</t>
  </si>
  <si>
    <t xml:space="preserve">VCT</t>
  </si>
  <si>
    <t xml:space="preserve">St. Vincent and the Grenadines</t>
  </si>
  <si>
    <t xml:space="preserve">KNA</t>
  </si>
  <si>
    <t xml:space="preserve">St. Kitts and Nevis</t>
  </si>
  <si>
    <t xml:space="preserve">STP</t>
  </si>
  <si>
    <t xml:space="preserve">São Tomé and Principe</t>
  </si>
  <si>
    <t xml:space="preserve">DMA</t>
  </si>
  <si>
    <t xml:space="preserve">Dominica</t>
  </si>
  <si>
    <t xml:space="preserve">TON</t>
  </si>
  <si>
    <t xml:space="preserve">Tonga</t>
  </si>
  <si>
    <t xml:space="preserve">PLW</t>
  </si>
  <si>
    <t xml:space="preserve">Palau</t>
  </si>
  <si>
    <t xml:space="preserve">NRU</t>
  </si>
  <si>
    <t xml:space="preserve">Naoero</t>
  </si>
  <si>
    <t xml:space="preserve">Check: workbook (live formulas) vs Python engine, selected country</t>
  </si>
  <si>
    <t xml:space="preserve">Differences should be 0 to rounding. Max abs difference in B3.</t>
  </si>
  <si>
    <t xml:space="preserve">Max abs diff</t>
  </si>
  <si>
    <t xml:space="preserve">Code</t>
  </si>
  <si>
    <t xml:space="preserve">WB 2024</t>
  </si>
  <si>
    <t xml:space="preserve">WB 2025</t>
  </si>
  <si>
    <t xml:space="preserve">WB 2030</t>
  </si>
  <si>
    <t xml:space="preserve">WB 2040</t>
  </si>
  <si>
    <t xml:space="preserve">WB 2050</t>
  </si>
  <si>
    <t xml:space="preserve">Py 2024</t>
  </si>
  <si>
    <t xml:space="preserve">Py 2025</t>
  </si>
  <si>
    <t xml:space="preserve">Py 2030</t>
  </si>
  <si>
    <t xml:space="preserve">Py 2040</t>
  </si>
  <si>
    <t xml:space="preserve">Py 2050</t>
  </si>
  <si>
    <t xml:space="preserve">Diff 2024</t>
  </si>
  <si>
    <t xml:space="preserve">Diff 2025</t>
  </si>
  <si>
    <t xml:space="preserve">Diff 2030</t>
  </si>
  <si>
    <t xml:space="preserve">Diff 2040</t>
  </si>
  <si>
    <t xml:space="preserve">Diff 2050</t>
  </si>
  <si>
    <t xml:space="preserve">Data: one row per country (CPAT 2024 panel, Ember, WEO, CBAM tool, v1.1 WACC). Built by extract_data_v0_1.py.</t>
  </si>
  <si>
    <t xml:space="preserve">countrycode</t>
  </si>
  <si>
    <t xml:space="preserve">name</t>
  </si>
  <si>
    <t xml:space="preserve">aei_coa_ind</t>
  </si>
  <si>
    <t xml:space="preserve">aei_coa_res</t>
  </si>
  <si>
    <t xml:space="preserve">aei_die_rod</t>
  </si>
  <si>
    <t xml:space="preserve">aei_ecy_ind</t>
  </si>
  <si>
    <t xml:space="preserve">aei_ecy_res</t>
  </si>
  <si>
    <t xml:space="preserve">aei_gso_rod</t>
  </si>
  <si>
    <t xml:space="preserve">aei_ker_res</t>
  </si>
  <si>
    <t xml:space="preserve">aei_lpg_res</t>
  </si>
  <si>
    <t xml:space="preserve">aei_nga_ind</t>
  </si>
  <si>
    <t xml:space="preserve">aei_nga_res</t>
  </si>
  <si>
    <t xml:space="preserve">aei_oil_ind</t>
  </si>
  <si>
    <t xml:space="preserve">ap_coa_ind</t>
  </si>
  <si>
    <t xml:space="preserve">ap_coa_pow</t>
  </si>
  <si>
    <t xml:space="preserve">ap_coa_res</t>
  </si>
  <si>
    <t xml:space="preserve">ap_die_rod</t>
  </si>
  <si>
    <t xml:space="preserve">ap_gso_rod</t>
  </si>
  <si>
    <t xml:space="preserve">ap_ker_res</t>
  </si>
  <si>
    <t xml:space="preserve">ap_lpg_res</t>
  </si>
  <si>
    <t xml:space="preserve">ap_nga_ind</t>
  </si>
  <si>
    <t xml:space="preserve">ap_nga_pow</t>
  </si>
  <si>
    <t xml:space="preserve">ap_nga_res</t>
  </si>
  <si>
    <t xml:space="preserve">ap_oil_ind</t>
  </si>
  <si>
    <t xml:space="preserve">ap_oil_pow</t>
  </si>
  <si>
    <t xml:space="preserve">cap_fos</t>
  </si>
  <si>
    <t xml:space="preserve">cap_sol</t>
  </si>
  <si>
    <t xml:space="preserve">cap_wnd</t>
  </si>
  <si>
    <t xml:space="preserve">co2_24</t>
  </si>
  <si>
    <t xml:space="preserve">con_coa_ind</t>
  </si>
  <si>
    <t xml:space="preserve">con_coa_ind_2021</t>
  </si>
  <si>
    <t xml:space="preserve">con_coa_ind_2022</t>
  </si>
  <si>
    <t xml:space="preserve">con_coa_ind_2023</t>
  </si>
  <si>
    <t xml:space="preserve">con_coa_pow</t>
  </si>
  <si>
    <t xml:space="preserve">con_coa_res</t>
  </si>
  <si>
    <t xml:space="preserve">con_coa_res_2021</t>
  </si>
  <si>
    <t xml:space="preserve">con_coa_res_2022</t>
  </si>
  <si>
    <t xml:space="preserve">con_coa_res_2023</t>
  </si>
  <si>
    <t xml:space="preserve">con_die_rod</t>
  </si>
  <si>
    <t xml:space="preserve">con_die_rod_2021</t>
  </si>
  <si>
    <t xml:space="preserve">con_die_rod_2022</t>
  </si>
  <si>
    <t xml:space="preserve">con_die_rod_2023</t>
  </si>
  <si>
    <t xml:space="preserve">con_ecy_ind</t>
  </si>
  <si>
    <t xml:space="preserve">con_ecy_ind_2021</t>
  </si>
  <si>
    <t xml:space="preserve">con_ecy_ind_2022</t>
  </si>
  <si>
    <t xml:space="preserve">con_ecy_ind_2023</t>
  </si>
  <si>
    <t xml:space="preserve">con_ecy_res</t>
  </si>
  <si>
    <t xml:space="preserve">con_ecy_res_2021</t>
  </si>
  <si>
    <t xml:space="preserve">con_ecy_res_2022</t>
  </si>
  <si>
    <t xml:space="preserve">con_ecy_res_2023</t>
  </si>
  <si>
    <t xml:space="preserve">con_gso_rod</t>
  </si>
  <si>
    <t xml:space="preserve">con_gso_rod_2021</t>
  </si>
  <si>
    <t xml:space="preserve">con_gso_rod_2022</t>
  </si>
  <si>
    <t xml:space="preserve">con_gso_rod_2023</t>
  </si>
  <si>
    <t xml:space="preserve">con_ker_res</t>
  </si>
  <si>
    <t xml:space="preserve">con_ker_res_2021</t>
  </si>
  <si>
    <t xml:space="preserve">con_ker_res_2022</t>
  </si>
  <si>
    <t xml:space="preserve">con_ker_res_2023</t>
  </si>
  <si>
    <t xml:space="preserve">con_lpg_res</t>
  </si>
  <si>
    <t xml:space="preserve">con_lpg_res_2021</t>
  </si>
  <si>
    <t xml:space="preserve">con_lpg_res_2022</t>
  </si>
  <si>
    <t xml:space="preserve">con_lpg_res_2023</t>
  </si>
  <si>
    <t xml:space="preserve">con_nga_ind</t>
  </si>
  <si>
    <t xml:space="preserve">con_nga_ind_2021</t>
  </si>
  <si>
    <t xml:space="preserve">con_nga_ind_2022</t>
  </si>
  <si>
    <t xml:space="preserve">con_nga_ind_2023</t>
  </si>
  <si>
    <t xml:space="preserve">con_nga_pow</t>
  </si>
  <si>
    <t xml:space="preserve">con_nga_res</t>
  </si>
  <si>
    <t xml:space="preserve">con_nga_res_2021</t>
  </si>
  <si>
    <t xml:space="preserve">con_nga_res_2022</t>
  </si>
  <si>
    <t xml:space="preserve">con_nga_res_2023</t>
  </si>
  <si>
    <t xml:space="preserve">con_oil_ind</t>
  </si>
  <si>
    <t xml:space="preserve">con_oil_ind_2021</t>
  </si>
  <si>
    <t xml:space="preserve">con_oil_ind_2022</t>
  </si>
  <si>
    <t xml:space="preserve">con_oil_ind_2023</t>
  </si>
  <si>
    <t xml:space="preserve">dem_twh24</t>
  </si>
  <si>
    <t xml:space="preserve">fos_trend</t>
  </si>
  <si>
    <t xml:space="preserve">gen_coa</t>
  </si>
  <si>
    <t xml:space="preserve">gen_fos</t>
  </si>
  <si>
    <t xml:space="preserve">gen_nga</t>
  </si>
  <si>
    <t xml:space="preserve">gen_oil</t>
  </si>
  <si>
    <t xml:space="preserve">gen_sol</t>
  </si>
  <si>
    <t xml:space="preserve">gen_tot</t>
  </si>
  <si>
    <t xml:space="preserve">gen_wnd</t>
  </si>
  <si>
    <t xml:space="preserve">ghg_exc</t>
  </si>
  <si>
    <t xml:space="preserve">ghg_inc</t>
  </si>
  <si>
    <t xml:space="preserve">inc_coa_ind</t>
  </si>
  <si>
    <t xml:space="preserve">inc_coa_res</t>
  </si>
  <si>
    <t xml:space="preserve">inc_die_rod</t>
  </si>
  <si>
    <t xml:space="preserve">inc_ecy_ind</t>
  </si>
  <si>
    <t xml:space="preserve">inc_ecy_res</t>
  </si>
  <si>
    <t xml:space="preserve">inc_gso_rod</t>
  </si>
  <si>
    <t xml:space="preserve">inc_ker_res</t>
  </si>
  <si>
    <t xml:space="preserve">inc_lpg_res</t>
  </si>
  <si>
    <t xml:space="preserve">inc_nga_ind</t>
  </si>
  <si>
    <t xml:space="preserve">inc_nga_res</t>
  </si>
  <si>
    <t xml:space="preserve">inc_oil_ind</t>
  </si>
  <si>
    <t xml:space="preserve">plevel</t>
  </si>
  <si>
    <t xml:space="preserve">sp_coa_ind</t>
  </si>
  <si>
    <t xml:space="preserve">sp_coa_pow</t>
  </si>
  <si>
    <t xml:space="preserve">sp_coa_res</t>
  </si>
  <si>
    <t xml:space="preserve">sp_die_rod</t>
  </si>
  <si>
    <t xml:space="preserve">sp_gso_rod</t>
  </si>
  <si>
    <t xml:space="preserve">sp_ker_res</t>
  </si>
  <si>
    <t xml:space="preserve">sp_lpg_res</t>
  </si>
  <si>
    <t xml:space="preserve">sp_nga_ind</t>
  </si>
  <si>
    <t xml:space="preserve">sp_nga_pow</t>
  </si>
  <si>
    <t xml:space="preserve">sp_nga_res</t>
  </si>
  <si>
    <t xml:space="preserve">sp_oil_ind</t>
  </si>
  <si>
    <t xml:space="preserve">sp_oil_pow</t>
  </si>
  <si>
    <t xml:space="preserve">Python results for the key rows (values; Check sheet reads these)</t>
  </si>
  <si>
    <t xml:space="preserve">key</t>
  </si>
  <si>
    <t xml:space="preserve">iso</t>
  </si>
  <si>
    <t xml:space="preserve">ABW|mit.gdp.lvl</t>
  </si>
  <si>
    <t xml:space="preserve">AFG|mit.gdp.lvl</t>
  </si>
  <si>
    <t xml:space="preserve">AGO|mit.gdp.lvl</t>
  </si>
  <si>
    <t xml:space="preserve">ALB|mit.gdp.lvl</t>
  </si>
  <si>
    <t xml:space="preserve">ARE|mit.gdp.lvl</t>
  </si>
  <si>
    <t xml:space="preserve">ARG|mit.gdp.lvl</t>
  </si>
  <si>
    <t xml:space="preserve">ARM|mit.gdp.lvl</t>
  </si>
  <si>
    <t xml:space="preserve">ATG|mit.gdp.lvl</t>
  </si>
  <si>
    <t xml:space="preserve">AUS|mit.gdp.lvl</t>
  </si>
  <si>
    <t xml:space="preserve">AUT|mit.gdp.lvl</t>
  </si>
  <si>
    <t xml:space="preserve">AZE|mit.gdp.lvl</t>
  </si>
  <si>
    <t xml:space="preserve">BDI|mit.gdp.lvl</t>
  </si>
  <si>
    <t xml:space="preserve">BEL|mit.gdp.lvl</t>
  </si>
  <si>
    <t xml:space="preserve">BEN|mit.gdp.lvl</t>
  </si>
  <si>
    <t xml:space="preserve">BFA|mit.gdp.lvl</t>
  </si>
  <si>
    <t xml:space="preserve">BGD|mit.gdp.lvl</t>
  </si>
  <si>
    <t xml:space="preserve">BGR|mit.gdp.lvl</t>
  </si>
  <si>
    <t xml:space="preserve">BHR|mit.gdp.lvl</t>
  </si>
  <si>
    <t xml:space="preserve">BHS|mit.gdp.lvl</t>
  </si>
  <si>
    <t xml:space="preserve">BIH|mit.gdp.lvl</t>
  </si>
  <si>
    <t xml:space="preserve">BLR|mit.gdp.lvl</t>
  </si>
  <si>
    <t xml:space="preserve">BLZ|mit.gdp.lvl</t>
  </si>
  <si>
    <t xml:space="preserve">BOL|mit.gdp.lvl</t>
  </si>
  <si>
    <t xml:space="preserve">BRA|mit.gdp.lvl</t>
  </si>
  <si>
    <t xml:space="preserve">BRB|mit.gdp.lvl</t>
  </si>
  <si>
    <t xml:space="preserve">BRN|mit.gdp.lvl</t>
  </si>
  <si>
    <t xml:space="preserve">BTN|mit.gdp.lvl</t>
  </si>
  <si>
    <t xml:space="preserve">BWA|mit.gdp.lvl</t>
  </si>
  <si>
    <t xml:space="preserve">CAF|mit.gdp.lvl</t>
  </si>
  <si>
    <t xml:space="preserve">CAN|mit.gdp.lvl</t>
  </si>
  <si>
    <t xml:space="preserve">CHE|mit.gdp.lvl</t>
  </si>
  <si>
    <t xml:space="preserve">CHL|mit.gdp.lvl</t>
  </si>
  <si>
    <t xml:space="preserve">CHN|mit.gdp.lvl</t>
  </si>
  <si>
    <t xml:space="preserve">CIV|mit.gdp.lvl</t>
  </si>
  <si>
    <t xml:space="preserve">CMR|mit.gdp.lvl</t>
  </si>
  <si>
    <t xml:space="preserve">COD|mit.gdp.lvl</t>
  </si>
  <si>
    <t xml:space="preserve">COG|mit.gdp.lvl</t>
  </si>
  <si>
    <t xml:space="preserve">COL|mit.gdp.lvl</t>
  </si>
  <si>
    <t xml:space="preserve">COM|mit.gdp.lvl</t>
  </si>
  <si>
    <t xml:space="preserve">CPV|mit.gdp.lvl</t>
  </si>
  <si>
    <t xml:space="preserve">CRI|mit.gdp.lvl</t>
  </si>
  <si>
    <t xml:space="preserve">CYP|mit.gdp.lvl</t>
  </si>
  <si>
    <t xml:space="preserve">CZE|mit.gdp.lvl</t>
  </si>
  <si>
    <t xml:space="preserve">DEU|mit.gdp.lvl</t>
  </si>
  <si>
    <t xml:space="preserve">DJI|mit.gdp.lvl</t>
  </si>
  <si>
    <t xml:space="preserve">DMA|mit.gdp.lvl</t>
  </si>
  <si>
    <t xml:space="preserve">DNK|mit.gdp.lvl</t>
  </si>
  <si>
    <t xml:space="preserve">DOM|mit.gdp.lvl</t>
  </si>
  <si>
    <t xml:space="preserve">DZA|mit.gdp.lvl</t>
  </si>
  <si>
    <t xml:space="preserve">ECU|mit.gdp.lvl</t>
  </si>
  <si>
    <t xml:space="preserve">EGY|mit.gdp.lvl</t>
  </si>
  <si>
    <t xml:space="preserve">ESP|mit.gdp.lvl</t>
  </si>
  <si>
    <t xml:space="preserve">EST|mit.gdp.lvl</t>
  </si>
  <si>
    <t xml:space="preserve">ETH|mit.gdp.lvl</t>
  </si>
  <si>
    <t xml:space="preserve">FIN|mit.gdp.lvl</t>
  </si>
  <si>
    <t xml:space="preserve">FJI|mit.gdp.lvl</t>
  </si>
  <si>
    <t xml:space="preserve">FRA|mit.gdp.lvl</t>
  </si>
  <si>
    <t xml:space="preserve">GAB|mit.gdp.lvl</t>
  </si>
  <si>
    <t xml:space="preserve">GBR|mit.gdp.lvl</t>
  </si>
  <si>
    <t xml:space="preserve">GEO|mit.gdp.lvl</t>
  </si>
  <si>
    <t xml:space="preserve">GHA|mit.gdp.lvl</t>
  </si>
  <si>
    <t xml:space="preserve">GIN|mit.gdp.lvl</t>
  </si>
  <si>
    <t xml:space="preserve">GMB|mit.gdp.lvl</t>
  </si>
  <si>
    <t xml:space="preserve">GNB|mit.gdp.lvl</t>
  </si>
  <si>
    <t xml:space="preserve">GNQ|mit.gdp.lvl</t>
  </si>
  <si>
    <t xml:space="preserve">GRC|mit.gdp.lvl</t>
  </si>
  <si>
    <t xml:space="preserve">GRD|mit.gdp.lvl</t>
  </si>
  <si>
    <t xml:space="preserve">GTM|mit.gdp.lvl</t>
  </si>
  <si>
    <t xml:space="preserve">GUY|mit.gdp.lvl</t>
  </si>
  <si>
    <t xml:space="preserve">HKG|mit.gdp.lvl</t>
  </si>
  <si>
    <t xml:space="preserve">HND|mit.gdp.lvl</t>
  </si>
  <si>
    <t xml:space="preserve">HRV|mit.gdp.lvl</t>
  </si>
  <si>
    <t xml:space="preserve">HTI|mit.gdp.lvl</t>
  </si>
  <si>
    <t xml:space="preserve">HUN|mit.gdp.lvl</t>
  </si>
  <si>
    <t xml:space="preserve">IDN|mit.gdp.lvl</t>
  </si>
  <si>
    <t xml:space="preserve">IND|mit.gdp.lvl</t>
  </si>
  <si>
    <t xml:space="preserve">IRL|mit.gdp.lvl</t>
  </si>
  <si>
    <t xml:space="preserve">IRN|mit.gdp.lvl</t>
  </si>
  <si>
    <t xml:space="preserve">IRQ|mit.gdp.lvl</t>
  </si>
  <si>
    <t xml:space="preserve">ISL|mit.gdp.lvl</t>
  </si>
  <si>
    <t xml:space="preserve">ISR|mit.gdp.lvl</t>
  </si>
  <si>
    <t xml:space="preserve">ITA|mit.gdp.lvl</t>
  </si>
  <si>
    <t xml:space="preserve">JAM|mit.gdp.lvl</t>
  </si>
  <si>
    <t xml:space="preserve">JOR|mit.gdp.lvl</t>
  </si>
  <si>
    <t xml:space="preserve">JPN|mit.gdp.lvl</t>
  </si>
  <si>
    <t xml:space="preserve">KAZ|mit.gdp.lvl</t>
  </si>
  <si>
    <t xml:space="preserve">KEN|mit.gdp.lvl</t>
  </si>
  <si>
    <t xml:space="preserve">KGZ|mit.gdp.lvl</t>
  </si>
  <si>
    <t xml:space="preserve">KHM|mit.gdp.lvl</t>
  </si>
  <si>
    <t xml:space="preserve">KNA|mit.gdp.lvl</t>
  </si>
  <si>
    <t xml:space="preserve">KOR|mit.gdp.lvl</t>
  </si>
  <si>
    <t xml:space="preserve">KWT|mit.gdp.lvl</t>
  </si>
  <si>
    <t xml:space="preserve">LAO|mit.gdp.lvl</t>
  </si>
  <si>
    <t xml:space="preserve">LBN|mit.gdp.lvl</t>
  </si>
  <si>
    <t xml:space="preserve">LBR|mit.gdp.lvl</t>
  </si>
  <si>
    <t xml:space="preserve">LBY|mit.gdp.lvl</t>
  </si>
  <si>
    <t xml:space="preserve">LCA|mit.gdp.lvl</t>
  </si>
  <si>
    <t xml:space="preserve">LKA|mit.gdp.lvl</t>
  </si>
  <si>
    <t xml:space="preserve">LSO|mit.gdp.lvl</t>
  </si>
  <si>
    <t xml:space="preserve">LTU|mit.gdp.lvl</t>
  </si>
  <si>
    <t xml:space="preserve">LUX|mit.gdp.lvl</t>
  </si>
  <si>
    <t xml:space="preserve">LVA|mit.gdp.lvl</t>
  </si>
  <si>
    <t xml:space="preserve">MAC|mit.gdp.lvl</t>
  </si>
  <si>
    <t xml:space="preserve">MAR|mit.gdp.lvl</t>
  </si>
  <si>
    <t xml:space="preserve">MDA|mit.gdp.lvl</t>
  </si>
  <si>
    <t xml:space="preserve">MDG|mit.gdp.lvl</t>
  </si>
  <si>
    <t xml:space="preserve">MDV|mit.gdp.lvl</t>
  </si>
  <si>
    <t xml:space="preserve">MEX|mit.gdp.lvl</t>
  </si>
  <si>
    <t xml:space="preserve">MKD|mit.gdp.lvl</t>
  </si>
  <si>
    <t xml:space="preserve">MLI|mit.gdp.lvl</t>
  </si>
  <si>
    <t xml:space="preserve">MLT|mit.gdp.lvl</t>
  </si>
  <si>
    <t xml:space="preserve">MMR|mit.gdp.lvl</t>
  </si>
  <si>
    <t xml:space="preserve">MNE|mit.gdp.lvl</t>
  </si>
  <si>
    <t xml:space="preserve">MNG|mit.gdp.lvl</t>
  </si>
  <si>
    <t xml:space="preserve">MOZ|mit.gdp.lvl</t>
  </si>
  <si>
    <t xml:space="preserve">MRT|mit.gdp.lvl</t>
  </si>
  <si>
    <t xml:space="preserve">MUS|mit.gdp.lvl</t>
  </si>
  <si>
    <t xml:space="preserve">MWI|mit.gdp.lvl</t>
  </si>
  <si>
    <t xml:space="preserve">MYS|mit.gdp.lvl</t>
  </si>
  <si>
    <t xml:space="preserve">NAM|mit.gdp.lvl</t>
  </si>
  <si>
    <t xml:space="preserve">NER|mit.gdp.lvl</t>
  </si>
  <si>
    <t xml:space="preserve">NGA|mit.gdp.lvl</t>
  </si>
  <si>
    <t xml:space="preserve">NIC|mit.gdp.lvl</t>
  </si>
  <si>
    <t xml:space="preserve">NLD|mit.gdp.lvl</t>
  </si>
  <si>
    <t xml:space="preserve">NOR|mit.gdp.lvl</t>
  </si>
  <si>
    <t xml:space="preserve">NPL|mit.gdp.lvl</t>
  </si>
  <si>
    <t xml:space="preserve">NRU|mit.gdp.lvl</t>
  </si>
  <si>
    <t xml:space="preserve">NZL|mit.gdp.lvl</t>
  </si>
  <si>
    <t xml:space="preserve">OMN|mit.gdp.lvl</t>
  </si>
  <si>
    <t xml:space="preserve">PAK|mit.gdp.lvl</t>
  </si>
  <si>
    <t xml:space="preserve">PAN|mit.gdp.lvl</t>
  </si>
  <si>
    <t xml:space="preserve">PER|mit.gdp.lvl</t>
  </si>
  <si>
    <t xml:space="preserve">PHL|mit.gdp.lvl</t>
  </si>
  <si>
    <t xml:space="preserve">PLW|mit.gdp.lvl</t>
  </si>
  <si>
    <t xml:space="preserve">PNG|mit.gdp.lvl</t>
  </si>
  <si>
    <t xml:space="preserve">POL|mit.gdp.lvl</t>
  </si>
  <si>
    <t xml:space="preserve">PRI|mit.gdp.lvl</t>
  </si>
  <si>
    <t xml:space="preserve">PRT|mit.gdp.lvl</t>
  </si>
  <si>
    <t xml:space="preserve">PRY|mit.gdp.lvl</t>
  </si>
  <si>
    <t xml:space="preserve">QAT|mit.gdp.lvl</t>
  </si>
  <si>
    <t xml:space="preserve">ROU|mit.gdp.lvl</t>
  </si>
  <si>
    <t xml:space="preserve">RUS|mit.gdp.lvl</t>
  </si>
  <si>
    <t xml:space="preserve">RWA|mit.gdp.lvl</t>
  </si>
  <si>
    <t xml:space="preserve">SAU|mit.gdp.lvl</t>
  </si>
  <si>
    <t xml:space="preserve">SDN|mit.gdp.lvl</t>
  </si>
  <si>
    <t xml:space="preserve">SEN|mit.gdp.lvl</t>
  </si>
  <si>
    <t xml:space="preserve">SGP|mit.gdp.lvl</t>
  </si>
  <si>
    <t xml:space="preserve">SLB|mit.gdp.lvl</t>
  </si>
  <si>
    <t xml:space="preserve">SLE|mit.gdp.lvl</t>
  </si>
  <si>
    <t xml:space="preserve">SLV|mit.gdp.lvl</t>
  </si>
  <si>
    <t xml:space="preserve">SOM|mit.gdp.lvl</t>
  </si>
  <si>
    <t xml:space="preserve">SRB|mit.gdp.lvl</t>
  </si>
  <si>
    <t xml:space="preserve">STP|mit.gdp.lvl</t>
  </si>
  <si>
    <t xml:space="preserve">SUR|mit.gdp.lvl</t>
  </si>
  <si>
    <t xml:space="preserve">SVK|mit.gdp.lvl</t>
  </si>
  <si>
    <t xml:space="preserve">SVN|mit.gdp.lvl</t>
  </si>
  <si>
    <t xml:space="preserve">SWE|mit.gdp.lvl</t>
  </si>
  <si>
    <t xml:space="preserve">SWZ|mit.gdp.lvl</t>
  </si>
  <si>
    <t xml:space="preserve">SYC|mit.gdp.lvl</t>
  </si>
  <si>
    <t xml:space="preserve">SYR|mit.gdp.lvl</t>
  </si>
  <si>
    <t xml:space="preserve">TCD|mit.gdp.lvl</t>
  </si>
  <si>
    <t xml:space="preserve">TGO|mit.gdp.lvl</t>
  </si>
  <si>
    <t xml:space="preserve">THA|mit.gdp.lvl</t>
  </si>
  <si>
    <t xml:space="preserve">TJK|mit.gdp.lvl</t>
  </si>
  <si>
    <t xml:space="preserve">TKM|mit.gdp.lvl</t>
  </si>
  <si>
    <t xml:space="preserve">TLS|mit.gdp.lvl</t>
  </si>
  <si>
    <t xml:space="preserve">TON|mit.gdp.lvl</t>
  </si>
  <si>
    <t xml:space="preserve">TTO|mit.gdp.lvl</t>
  </si>
  <si>
    <t xml:space="preserve">TUN|mit.gdp.lvl</t>
  </si>
  <si>
    <t xml:space="preserve">TUR|mit.gdp.lvl</t>
  </si>
  <si>
    <t xml:space="preserve">TZA|mit.gdp.lvl</t>
  </si>
  <si>
    <t xml:space="preserve">UGA|mit.gdp.lvl</t>
  </si>
  <si>
    <t xml:space="preserve">UKR|mit.gdp.lvl</t>
  </si>
  <si>
    <t xml:space="preserve">URY|mit.gdp.lvl</t>
  </si>
  <si>
    <t xml:space="preserve">USA|mit.gdp.lvl</t>
  </si>
  <si>
    <t xml:space="preserve">UZB|mit.gdp.lvl</t>
  </si>
  <si>
    <t xml:space="preserve">VCT|mit.gdp.lvl</t>
  </si>
  <si>
    <t xml:space="preserve">VEN|mit.gdp.lvl</t>
  </si>
  <si>
    <t xml:space="preserve">VNM|mit.gdp.lvl</t>
  </si>
  <si>
    <t xml:space="preserve">VUT|mit.gdp.lvl</t>
  </si>
  <si>
    <t xml:space="preserve">WSM|mit.gdp.lvl</t>
  </si>
  <si>
    <t xml:space="preserve">XKX|mit.gdp.lvl</t>
  </si>
  <si>
    <t xml:space="preserve">YEM|mit.gdp.lvl</t>
  </si>
  <si>
    <t xml:space="preserve">ZAF|mit.gdp.lvl</t>
  </si>
  <si>
    <t xml:space="preserve">ZMB|mit.gdp.lvl</t>
  </si>
  <si>
    <t xml:space="preserve">ZWE|mit.gdp.lvl</t>
  </si>
  <si>
    <t xml:space="preserve">ABW|mit.act.ecy.res</t>
  </si>
  <si>
    <t xml:space="preserve">AFG|mit.act.ecy.res</t>
  </si>
  <si>
    <t xml:space="preserve">AGO|mit.act.ecy.res</t>
  </si>
  <si>
    <t xml:space="preserve">ALB|mit.act.ecy.res</t>
  </si>
  <si>
    <t xml:space="preserve">ARE|mit.act.ecy.res</t>
  </si>
  <si>
    <t xml:space="preserve">ARG|mit.act.ecy.res</t>
  </si>
  <si>
    <t xml:space="preserve">ARM|mit.act.ecy.res</t>
  </si>
  <si>
    <t xml:space="preserve">ATG|mit.act.ecy.res</t>
  </si>
  <si>
    <t xml:space="preserve">AUS|mit.act.ecy.res</t>
  </si>
  <si>
    <t xml:space="preserve">AUT|mit.act.ecy.res</t>
  </si>
  <si>
    <t xml:space="preserve">AZE|mit.act.ecy.res</t>
  </si>
  <si>
    <t xml:space="preserve">BDI|mit.act.ecy.res</t>
  </si>
  <si>
    <t xml:space="preserve">BEL|mit.act.ecy.res</t>
  </si>
  <si>
    <t xml:space="preserve">BEN|mit.act.ecy.res</t>
  </si>
  <si>
    <t xml:space="preserve">BFA|mit.act.ecy.res</t>
  </si>
  <si>
    <t xml:space="preserve">BGD|mit.act.ecy.res</t>
  </si>
  <si>
    <t xml:space="preserve">BGR|mit.act.ecy.res</t>
  </si>
  <si>
    <t xml:space="preserve">BHR|mit.act.ecy.res</t>
  </si>
  <si>
    <t xml:space="preserve">BHS|mit.act.ecy.res</t>
  </si>
  <si>
    <t xml:space="preserve">BIH|mit.act.ecy.res</t>
  </si>
  <si>
    <t xml:space="preserve">BLR|mit.act.ecy.res</t>
  </si>
  <si>
    <t xml:space="preserve">BLZ|mit.act.ecy.res</t>
  </si>
  <si>
    <t xml:space="preserve">BOL|mit.act.ecy.res</t>
  </si>
  <si>
    <t xml:space="preserve">BRA|mit.act.ecy.res</t>
  </si>
  <si>
    <t xml:space="preserve">BRB|mit.act.ecy.res</t>
  </si>
  <si>
    <t xml:space="preserve">BRN|mit.act.ecy.res</t>
  </si>
  <si>
    <t xml:space="preserve">BTN|mit.act.ecy.res</t>
  </si>
  <si>
    <t xml:space="preserve">BWA|mit.act.ecy.res</t>
  </si>
  <si>
    <t xml:space="preserve">CAF|mit.act.ecy.res</t>
  </si>
  <si>
    <t xml:space="preserve">CAN|mit.act.ecy.res</t>
  </si>
  <si>
    <t xml:space="preserve">CHE|mit.act.ecy.res</t>
  </si>
  <si>
    <t xml:space="preserve">CHL|mit.act.ecy.res</t>
  </si>
  <si>
    <t xml:space="preserve">CHN|mit.act.ecy.res</t>
  </si>
  <si>
    <t xml:space="preserve">CIV|mit.act.ecy.res</t>
  </si>
  <si>
    <t xml:space="preserve">CMR|mit.act.ecy.res</t>
  </si>
  <si>
    <t xml:space="preserve">COD|mit.act.ecy.res</t>
  </si>
  <si>
    <t xml:space="preserve">COG|mit.act.ecy.res</t>
  </si>
  <si>
    <t xml:space="preserve">COL|mit.act.ecy.res</t>
  </si>
  <si>
    <t xml:space="preserve">COM|mit.act.ecy.res</t>
  </si>
  <si>
    <t xml:space="preserve">CPV|mit.act.ecy.res</t>
  </si>
  <si>
    <t xml:space="preserve">CRI|mit.act.ecy.res</t>
  </si>
  <si>
    <t xml:space="preserve">CYP|mit.act.ecy.res</t>
  </si>
  <si>
    <t xml:space="preserve">CZE|mit.act.ecy.res</t>
  </si>
  <si>
    <t xml:space="preserve">DEU|mit.act.ecy.res</t>
  </si>
  <si>
    <t xml:space="preserve">DJI|mit.act.ecy.res</t>
  </si>
  <si>
    <t xml:space="preserve">DMA|mit.act.ecy.res</t>
  </si>
  <si>
    <t xml:space="preserve">DNK|mit.act.ecy.res</t>
  </si>
  <si>
    <t xml:space="preserve">DOM|mit.act.ecy.res</t>
  </si>
  <si>
    <t xml:space="preserve">DZA|mit.act.ecy.res</t>
  </si>
  <si>
    <t xml:space="preserve">ECU|mit.act.ecy.res</t>
  </si>
  <si>
    <t xml:space="preserve">EGY|mit.act.ecy.res</t>
  </si>
  <si>
    <t xml:space="preserve">ESP|mit.act.ecy.res</t>
  </si>
  <si>
    <t xml:space="preserve">EST|mit.act.ecy.res</t>
  </si>
  <si>
    <t xml:space="preserve">ETH|mit.act.ecy.res</t>
  </si>
  <si>
    <t xml:space="preserve">FIN|mit.act.ecy.res</t>
  </si>
  <si>
    <t xml:space="preserve">FJI|mit.act.ecy.res</t>
  </si>
  <si>
    <t xml:space="preserve">FRA|mit.act.ecy.res</t>
  </si>
  <si>
    <t xml:space="preserve">GAB|mit.act.ecy.res</t>
  </si>
  <si>
    <t xml:space="preserve">GBR|mit.act.ecy.res</t>
  </si>
  <si>
    <t xml:space="preserve">GEO|mit.act.ecy.res</t>
  </si>
  <si>
    <t xml:space="preserve">GHA|mit.act.ecy.res</t>
  </si>
  <si>
    <t xml:space="preserve">GIN|mit.act.ecy.res</t>
  </si>
  <si>
    <t xml:space="preserve">GMB|mit.act.ecy.res</t>
  </si>
  <si>
    <t xml:space="preserve">GNB|mit.act.ecy.res</t>
  </si>
  <si>
    <t xml:space="preserve">GNQ|mit.act.ecy.res</t>
  </si>
  <si>
    <t xml:space="preserve">GRC|mit.act.ecy.res</t>
  </si>
  <si>
    <t xml:space="preserve">GRD|mit.act.ecy.res</t>
  </si>
  <si>
    <t xml:space="preserve">GTM|mit.act.ecy.res</t>
  </si>
  <si>
    <t xml:space="preserve">GUY|mit.act.ecy.res</t>
  </si>
  <si>
    <t xml:space="preserve">HKG|mit.act.ecy.res</t>
  </si>
  <si>
    <t xml:space="preserve">HND|mit.act.ecy.res</t>
  </si>
  <si>
    <t xml:space="preserve">HRV|mit.act.ecy.res</t>
  </si>
  <si>
    <t xml:space="preserve">HTI|mit.act.ecy.res</t>
  </si>
  <si>
    <t xml:space="preserve">HUN|mit.act.ecy.res</t>
  </si>
  <si>
    <t xml:space="preserve">IDN|mit.act.ecy.res</t>
  </si>
  <si>
    <t xml:space="preserve">IND|mit.act.ecy.res</t>
  </si>
  <si>
    <t xml:space="preserve">IRL|mit.act.ecy.res</t>
  </si>
  <si>
    <t xml:space="preserve">IRN|mit.act.ecy.res</t>
  </si>
  <si>
    <t xml:space="preserve">IRQ|mit.act.ecy.res</t>
  </si>
  <si>
    <t xml:space="preserve">ISL|mit.act.ecy.res</t>
  </si>
  <si>
    <t xml:space="preserve">ISR|mit.act.ecy.res</t>
  </si>
  <si>
    <t xml:space="preserve">ITA|mit.act.ecy.res</t>
  </si>
  <si>
    <t xml:space="preserve">JAM|mit.act.ecy.res</t>
  </si>
  <si>
    <t xml:space="preserve">JOR|mit.act.ecy.res</t>
  </si>
  <si>
    <t xml:space="preserve">JPN|mit.act.ecy.res</t>
  </si>
  <si>
    <t xml:space="preserve">KAZ|mit.act.ecy.res</t>
  </si>
  <si>
    <t xml:space="preserve">KEN|mit.act.ecy.res</t>
  </si>
  <si>
    <t xml:space="preserve">KGZ|mit.act.ecy.res</t>
  </si>
  <si>
    <t xml:space="preserve">KHM|mit.act.ecy.res</t>
  </si>
  <si>
    <t xml:space="preserve">KNA|mit.act.ecy.res</t>
  </si>
  <si>
    <t xml:space="preserve">KOR|mit.act.ecy.res</t>
  </si>
  <si>
    <t xml:space="preserve">KWT|mit.act.ecy.res</t>
  </si>
  <si>
    <t xml:space="preserve">LAO|mit.act.ecy.res</t>
  </si>
  <si>
    <t xml:space="preserve">LBN|mit.act.ecy.res</t>
  </si>
  <si>
    <t xml:space="preserve">LBR|mit.act.ecy.res</t>
  </si>
  <si>
    <t xml:space="preserve">LBY|mit.act.ecy.res</t>
  </si>
  <si>
    <t xml:space="preserve">LCA|mit.act.ecy.res</t>
  </si>
  <si>
    <t xml:space="preserve">LKA|mit.act.ecy.res</t>
  </si>
  <si>
    <t xml:space="preserve">LSO|mit.act.ecy.res</t>
  </si>
  <si>
    <t xml:space="preserve">LTU|mit.act.ecy.res</t>
  </si>
  <si>
    <t xml:space="preserve">LUX|mit.act.ecy.res</t>
  </si>
  <si>
    <t xml:space="preserve">LVA|mit.act.ecy.res</t>
  </si>
  <si>
    <t xml:space="preserve">MAC|mit.act.ecy.res</t>
  </si>
  <si>
    <t xml:space="preserve">MAR|mit.act.ecy.res</t>
  </si>
  <si>
    <t xml:space="preserve">MDA|mit.act.ecy.res</t>
  </si>
  <si>
    <t xml:space="preserve">MDG|mit.act.ecy.res</t>
  </si>
  <si>
    <t xml:space="preserve">MDV|mit.act.ecy.res</t>
  </si>
  <si>
    <t xml:space="preserve">MEX|mit.act.ecy.res</t>
  </si>
  <si>
    <t xml:space="preserve">MKD|mit.act.ecy.res</t>
  </si>
  <si>
    <t xml:space="preserve">MLI|mit.act.ecy.res</t>
  </si>
  <si>
    <t xml:space="preserve">MLT|mit.act.ecy.res</t>
  </si>
  <si>
    <t xml:space="preserve">MMR|mit.act.ecy.res</t>
  </si>
  <si>
    <t xml:space="preserve">MNE|mit.act.ecy.res</t>
  </si>
  <si>
    <t xml:space="preserve">MNG|mit.act.ecy.res</t>
  </si>
  <si>
    <t xml:space="preserve">MOZ|mit.act.ecy.res</t>
  </si>
  <si>
    <t xml:space="preserve">MRT|mit.act.ecy.res</t>
  </si>
  <si>
    <t xml:space="preserve">MUS|mit.act.ecy.res</t>
  </si>
  <si>
    <t xml:space="preserve">MWI|mit.act.ecy.res</t>
  </si>
  <si>
    <t xml:space="preserve">MYS|mit.act.ecy.res</t>
  </si>
  <si>
    <t xml:space="preserve">NAM|mit.act.ecy.res</t>
  </si>
  <si>
    <t xml:space="preserve">NER|mit.act.ecy.res</t>
  </si>
  <si>
    <t xml:space="preserve">NGA|mit.act.ecy.res</t>
  </si>
  <si>
    <t xml:space="preserve">NIC|mit.act.ecy.res</t>
  </si>
  <si>
    <t xml:space="preserve">NLD|mit.act.ecy.res</t>
  </si>
  <si>
    <t xml:space="preserve">NOR|mit.act.ecy.res</t>
  </si>
  <si>
    <t xml:space="preserve">NPL|mit.act.ecy.res</t>
  </si>
  <si>
    <t xml:space="preserve">NRU|mit.act.ecy.res</t>
  </si>
  <si>
    <t xml:space="preserve">NZL|mit.act.ecy.res</t>
  </si>
  <si>
    <t xml:space="preserve">OMN|mit.act.ecy.res</t>
  </si>
  <si>
    <t xml:space="preserve">PAK|mit.act.ecy.res</t>
  </si>
  <si>
    <t xml:space="preserve">PAN|mit.act.ecy.res</t>
  </si>
  <si>
    <t xml:space="preserve">PER|mit.act.ecy.res</t>
  </si>
  <si>
    <t xml:space="preserve">PHL|mit.act.ecy.res</t>
  </si>
  <si>
    <t xml:space="preserve">PLW|mit.act.ecy.res</t>
  </si>
  <si>
    <t xml:space="preserve">PNG|mit.act.ecy.res</t>
  </si>
  <si>
    <t xml:space="preserve">POL|mit.act.ecy.res</t>
  </si>
  <si>
    <t xml:space="preserve">PRI|mit.act.ecy.res</t>
  </si>
  <si>
    <t xml:space="preserve">PRT|mit.act.ecy.res</t>
  </si>
  <si>
    <t xml:space="preserve">PRY|mit.act.ecy.res</t>
  </si>
  <si>
    <t xml:space="preserve">QAT|mit.act.ecy.res</t>
  </si>
  <si>
    <t xml:space="preserve">ROU|mit.act.ecy.res</t>
  </si>
  <si>
    <t xml:space="preserve">RUS|mit.act.ecy.res</t>
  </si>
  <si>
    <t xml:space="preserve">RWA|mit.act.ecy.res</t>
  </si>
  <si>
    <t xml:space="preserve">SAU|mit.act.ecy.res</t>
  </si>
  <si>
    <t xml:space="preserve">SDN|mit.act.ecy.res</t>
  </si>
  <si>
    <t xml:space="preserve">SEN|mit.act.ecy.res</t>
  </si>
  <si>
    <t xml:space="preserve">SGP|mit.act.ecy.res</t>
  </si>
  <si>
    <t xml:space="preserve">SLB|mit.act.ecy.res</t>
  </si>
  <si>
    <t xml:space="preserve">SLE|mit.act.ecy.res</t>
  </si>
  <si>
    <t xml:space="preserve">SLV|mit.act.ecy.res</t>
  </si>
  <si>
    <t xml:space="preserve">SOM|mit.act.ecy.res</t>
  </si>
  <si>
    <t xml:space="preserve">SRB|mit.act.ecy.res</t>
  </si>
  <si>
    <t xml:space="preserve">STP|mit.act.ecy.res</t>
  </si>
  <si>
    <t xml:space="preserve">SUR|mit.act.ecy.res</t>
  </si>
  <si>
    <t xml:space="preserve">SVK|mit.act.ecy.res</t>
  </si>
  <si>
    <t xml:space="preserve">SVN|mit.act.ecy.res</t>
  </si>
  <si>
    <t xml:space="preserve">SWE|mit.act.ecy.res</t>
  </si>
  <si>
    <t xml:space="preserve">SWZ|mit.act.ecy.res</t>
  </si>
  <si>
    <t xml:space="preserve">SYC|mit.act.ecy.res</t>
  </si>
  <si>
    <t xml:space="preserve">SYR|mit.act.ecy.res</t>
  </si>
  <si>
    <t xml:space="preserve">TCD|mit.act.ecy.res</t>
  </si>
  <si>
    <t xml:space="preserve">TGO|mit.act.ecy.res</t>
  </si>
  <si>
    <t xml:space="preserve">THA|mit.act.ecy.res</t>
  </si>
  <si>
    <t xml:space="preserve">TJK|mit.act.ecy.res</t>
  </si>
  <si>
    <t xml:space="preserve">TKM|mit.act.ecy.res</t>
  </si>
  <si>
    <t xml:space="preserve">TLS|mit.act.ecy.res</t>
  </si>
  <si>
    <t xml:space="preserve">TON|mit.act.ecy.res</t>
  </si>
  <si>
    <t xml:space="preserve">TTO|mit.act.ecy.res</t>
  </si>
  <si>
    <t xml:space="preserve">TUN|mit.act.ecy.res</t>
  </si>
  <si>
    <t xml:space="preserve">TUR|mit.act.ecy.res</t>
  </si>
  <si>
    <t xml:space="preserve">TZA|mit.act.ecy.res</t>
  </si>
  <si>
    <t xml:space="preserve">UGA|mit.act.ecy.res</t>
  </si>
  <si>
    <t xml:space="preserve">UKR|mit.act.ecy.res</t>
  </si>
  <si>
    <t xml:space="preserve">URY|mit.act.ecy.res</t>
  </si>
  <si>
    <t xml:space="preserve">USA|mit.act.ecy.res</t>
  </si>
  <si>
    <t xml:space="preserve">UZB|mit.act.ecy.res</t>
  </si>
  <si>
    <t xml:space="preserve">VCT|mit.act.ecy.res</t>
  </si>
  <si>
    <t xml:space="preserve">VEN|mit.act.ecy.res</t>
  </si>
  <si>
    <t xml:space="preserve">VNM|mit.act.ecy.res</t>
  </si>
  <si>
    <t xml:space="preserve">VUT|mit.act.ecy.res</t>
  </si>
  <si>
    <t xml:space="preserve">WSM|mit.act.ecy.res</t>
  </si>
  <si>
    <t xml:space="preserve">XKX|mit.act.ecy.res</t>
  </si>
  <si>
    <t xml:space="preserve">YEM|mit.act.ecy.res</t>
  </si>
  <si>
    <t xml:space="preserve">ZAF|mit.act.ecy.res</t>
  </si>
  <si>
    <t xml:space="preserve">ZMB|mit.act.ecy.res</t>
  </si>
  <si>
    <t xml:space="preserve">ZWE|mit.act.ecy.res</t>
  </si>
  <si>
    <t xml:space="preserve">ABW|mit.gen.tot.2</t>
  </si>
  <si>
    <t xml:space="preserve">AFG|mit.gen.tot.2</t>
  </si>
  <si>
    <t xml:space="preserve">AGO|mit.gen.tot.2</t>
  </si>
  <si>
    <t xml:space="preserve">ALB|mit.gen.tot.2</t>
  </si>
  <si>
    <t xml:space="preserve">ARE|mit.gen.tot.2</t>
  </si>
  <si>
    <t xml:space="preserve">ARG|mit.gen.tot.2</t>
  </si>
  <si>
    <t xml:space="preserve">ARM|mit.gen.tot.2</t>
  </si>
  <si>
    <t xml:space="preserve">ATG|mit.gen.tot.2</t>
  </si>
  <si>
    <t xml:space="preserve">AUS|mit.gen.tot.2</t>
  </si>
  <si>
    <t xml:space="preserve">AUT|mit.gen.tot.2</t>
  </si>
  <si>
    <t xml:space="preserve">AZE|mit.gen.tot.2</t>
  </si>
  <si>
    <t xml:space="preserve">BDI|mit.gen.tot.2</t>
  </si>
  <si>
    <t xml:space="preserve">BEL|mit.gen.tot.2</t>
  </si>
  <si>
    <t xml:space="preserve">BEN|mit.gen.tot.2</t>
  </si>
  <si>
    <t xml:space="preserve">BFA|mit.gen.tot.2</t>
  </si>
  <si>
    <t xml:space="preserve">BGD|mit.gen.tot.2</t>
  </si>
  <si>
    <t xml:space="preserve">BGR|mit.gen.tot.2</t>
  </si>
  <si>
    <t xml:space="preserve">BHR|mit.gen.tot.2</t>
  </si>
  <si>
    <t xml:space="preserve">BHS|mit.gen.tot.2</t>
  </si>
  <si>
    <t xml:space="preserve">BIH|mit.gen.tot.2</t>
  </si>
  <si>
    <t xml:space="preserve">BLR|mit.gen.tot.2</t>
  </si>
  <si>
    <t xml:space="preserve">BLZ|mit.gen.tot.2</t>
  </si>
  <si>
    <t xml:space="preserve">BOL|mit.gen.tot.2</t>
  </si>
  <si>
    <t xml:space="preserve">BRA|mit.gen.tot.2</t>
  </si>
  <si>
    <t xml:space="preserve">BRB|mit.gen.tot.2</t>
  </si>
  <si>
    <t xml:space="preserve">BRN|mit.gen.tot.2</t>
  </si>
  <si>
    <t xml:space="preserve">BTN|mit.gen.tot.2</t>
  </si>
  <si>
    <t xml:space="preserve">BWA|mit.gen.tot.2</t>
  </si>
  <si>
    <t xml:space="preserve">CAF|mit.gen.tot.2</t>
  </si>
  <si>
    <t xml:space="preserve">CAN|mit.gen.tot.2</t>
  </si>
  <si>
    <t xml:space="preserve">CHE|mit.gen.tot.2</t>
  </si>
  <si>
    <t xml:space="preserve">CHL|mit.gen.tot.2</t>
  </si>
  <si>
    <t xml:space="preserve">CHN|mit.gen.tot.2</t>
  </si>
  <si>
    <t xml:space="preserve">CIV|mit.gen.tot.2</t>
  </si>
  <si>
    <t xml:space="preserve">CMR|mit.gen.tot.2</t>
  </si>
  <si>
    <t xml:space="preserve">COD|mit.gen.tot.2</t>
  </si>
  <si>
    <t xml:space="preserve">COG|mit.gen.tot.2</t>
  </si>
  <si>
    <t xml:space="preserve">COL|mit.gen.tot.2</t>
  </si>
  <si>
    <t xml:space="preserve">COM|mit.gen.tot.2</t>
  </si>
  <si>
    <t xml:space="preserve">CPV|mit.gen.tot.2</t>
  </si>
  <si>
    <t xml:space="preserve">CRI|mit.gen.tot.2</t>
  </si>
  <si>
    <t xml:space="preserve">CYP|mit.gen.tot.2</t>
  </si>
  <si>
    <t xml:space="preserve">CZE|mit.gen.tot.2</t>
  </si>
  <si>
    <t xml:space="preserve">DEU|mit.gen.tot.2</t>
  </si>
  <si>
    <t xml:space="preserve">DJI|mit.gen.tot.2</t>
  </si>
  <si>
    <t xml:space="preserve">DMA|mit.gen.tot.2</t>
  </si>
  <si>
    <t xml:space="preserve">DNK|mit.gen.tot.2</t>
  </si>
  <si>
    <t xml:space="preserve">DOM|mit.gen.tot.2</t>
  </si>
  <si>
    <t xml:space="preserve">DZA|mit.gen.tot.2</t>
  </si>
  <si>
    <t xml:space="preserve">ECU|mit.gen.tot.2</t>
  </si>
  <si>
    <t xml:space="preserve">EGY|mit.gen.tot.2</t>
  </si>
  <si>
    <t xml:space="preserve">ESP|mit.gen.tot.2</t>
  </si>
  <si>
    <t xml:space="preserve">EST|mit.gen.tot.2</t>
  </si>
  <si>
    <t xml:space="preserve">ETH|mit.gen.tot.2</t>
  </si>
  <si>
    <t xml:space="preserve">FIN|mit.gen.tot.2</t>
  </si>
  <si>
    <t xml:space="preserve">FJI|mit.gen.tot.2</t>
  </si>
  <si>
    <t xml:space="preserve">FRA|mit.gen.tot.2</t>
  </si>
  <si>
    <t xml:space="preserve">GAB|mit.gen.tot.2</t>
  </si>
  <si>
    <t xml:space="preserve">GBR|mit.gen.tot.2</t>
  </si>
  <si>
    <t xml:space="preserve">GEO|mit.gen.tot.2</t>
  </si>
  <si>
    <t xml:space="preserve">GHA|mit.gen.tot.2</t>
  </si>
  <si>
    <t xml:space="preserve">GIN|mit.gen.tot.2</t>
  </si>
  <si>
    <t xml:space="preserve">GMB|mit.gen.tot.2</t>
  </si>
  <si>
    <t xml:space="preserve">GNB|mit.gen.tot.2</t>
  </si>
  <si>
    <t xml:space="preserve">GNQ|mit.gen.tot.2</t>
  </si>
  <si>
    <t xml:space="preserve">GRC|mit.gen.tot.2</t>
  </si>
  <si>
    <t xml:space="preserve">GRD|mit.gen.tot.2</t>
  </si>
  <si>
    <t xml:space="preserve">GTM|mit.gen.tot.2</t>
  </si>
  <si>
    <t xml:space="preserve">GUY|mit.gen.tot.2</t>
  </si>
  <si>
    <t xml:space="preserve">HKG|mit.gen.tot.2</t>
  </si>
  <si>
    <t xml:space="preserve">HND|mit.gen.tot.2</t>
  </si>
  <si>
    <t xml:space="preserve">HRV|mit.gen.tot.2</t>
  </si>
  <si>
    <t xml:space="preserve">HTI|mit.gen.tot.2</t>
  </si>
  <si>
    <t xml:space="preserve">HUN|mit.gen.tot.2</t>
  </si>
  <si>
    <t xml:space="preserve">IDN|mit.gen.tot.2</t>
  </si>
  <si>
    <t xml:space="preserve">IND|mit.gen.tot.2</t>
  </si>
  <si>
    <t xml:space="preserve">IRL|mit.gen.tot.2</t>
  </si>
  <si>
    <t xml:space="preserve">IRN|mit.gen.tot.2</t>
  </si>
  <si>
    <t xml:space="preserve">IRQ|mit.gen.tot.2</t>
  </si>
  <si>
    <t xml:space="preserve">ISL|mit.gen.tot.2</t>
  </si>
  <si>
    <t xml:space="preserve">ISR|mit.gen.tot.2</t>
  </si>
  <si>
    <t xml:space="preserve">ITA|mit.gen.tot.2</t>
  </si>
  <si>
    <t xml:space="preserve">JAM|mit.gen.tot.2</t>
  </si>
  <si>
    <t xml:space="preserve">JOR|mit.gen.tot.2</t>
  </si>
  <si>
    <t xml:space="preserve">JPN|mit.gen.tot.2</t>
  </si>
  <si>
    <t xml:space="preserve">KAZ|mit.gen.tot.2</t>
  </si>
  <si>
    <t xml:space="preserve">KEN|mit.gen.tot.2</t>
  </si>
  <si>
    <t xml:space="preserve">KGZ|mit.gen.tot.2</t>
  </si>
  <si>
    <t xml:space="preserve">KHM|mit.gen.tot.2</t>
  </si>
  <si>
    <t xml:space="preserve">KNA|mit.gen.tot.2</t>
  </si>
  <si>
    <t xml:space="preserve">KOR|mit.gen.tot.2</t>
  </si>
  <si>
    <t xml:space="preserve">KWT|mit.gen.tot.2</t>
  </si>
  <si>
    <t xml:space="preserve">LAO|mit.gen.tot.2</t>
  </si>
  <si>
    <t xml:space="preserve">LBN|mit.gen.tot.2</t>
  </si>
  <si>
    <t xml:space="preserve">LBR|mit.gen.tot.2</t>
  </si>
  <si>
    <t xml:space="preserve">LBY|mit.gen.tot.2</t>
  </si>
  <si>
    <t xml:space="preserve">LCA|mit.gen.tot.2</t>
  </si>
  <si>
    <t xml:space="preserve">LKA|mit.gen.tot.2</t>
  </si>
  <si>
    <t xml:space="preserve">LSO|mit.gen.tot.2</t>
  </si>
  <si>
    <t xml:space="preserve">LTU|mit.gen.tot.2</t>
  </si>
  <si>
    <t xml:space="preserve">LUX|mit.gen.tot.2</t>
  </si>
  <si>
    <t xml:space="preserve">LVA|mit.gen.tot.2</t>
  </si>
  <si>
    <t xml:space="preserve">MAC|mit.gen.tot.2</t>
  </si>
  <si>
    <t xml:space="preserve">MAR|mit.gen.tot.2</t>
  </si>
  <si>
    <t xml:space="preserve">MDA|mit.gen.tot.2</t>
  </si>
  <si>
    <t xml:space="preserve">MDG|mit.gen.tot.2</t>
  </si>
  <si>
    <t xml:space="preserve">MDV|mit.gen.tot.2</t>
  </si>
  <si>
    <t xml:space="preserve">MEX|mit.gen.tot.2</t>
  </si>
  <si>
    <t xml:space="preserve">MKD|mit.gen.tot.2</t>
  </si>
  <si>
    <t xml:space="preserve">MLI|mit.gen.tot.2</t>
  </si>
  <si>
    <t xml:space="preserve">MLT|mit.gen.tot.2</t>
  </si>
  <si>
    <t xml:space="preserve">MMR|mit.gen.tot.2</t>
  </si>
  <si>
    <t xml:space="preserve">MNE|mit.gen.tot.2</t>
  </si>
  <si>
    <t xml:space="preserve">MNG|mit.gen.tot.2</t>
  </si>
  <si>
    <t xml:space="preserve">MOZ|mit.gen.tot.2</t>
  </si>
  <si>
    <t xml:space="preserve">MRT|mit.gen.tot.2</t>
  </si>
  <si>
    <t xml:space="preserve">MUS|mit.gen.tot.2</t>
  </si>
  <si>
    <t xml:space="preserve">MWI|mit.gen.tot.2</t>
  </si>
  <si>
    <t xml:space="preserve">MYS|mit.gen.tot.2</t>
  </si>
  <si>
    <t xml:space="preserve">NAM|mit.gen.tot.2</t>
  </si>
  <si>
    <t xml:space="preserve">NER|mit.gen.tot.2</t>
  </si>
  <si>
    <t xml:space="preserve">NGA|mit.gen.tot.2</t>
  </si>
  <si>
    <t xml:space="preserve">NIC|mit.gen.tot.2</t>
  </si>
  <si>
    <t xml:space="preserve">NLD|mit.gen.tot.2</t>
  </si>
  <si>
    <t xml:space="preserve">NOR|mit.gen.tot.2</t>
  </si>
  <si>
    <t xml:space="preserve">NPL|mit.gen.tot.2</t>
  </si>
  <si>
    <t xml:space="preserve">NRU|mit.gen.tot.2</t>
  </si>
  <si>
    <t xml:space="preserve">NZL|mit.gen.tot.2</t>
  </si>
  <si>
    <t xml:space="preserve">OMN|mit.gen.tot.2</t>
  </si>
  <si>
    <t xml:space="preserve">PAK|mit.gen.tot.2</t>
  </si>
  <si>
    <t xml:space="preserve">PAN|mit.gen.tot.2</t>
  </si>
  <si>
    <t xml:space="preserve">PER|mit.gen.tot.2</t>
  </si>
  <si>
    <t xml:space="preserve">PHL|mit.gen.tot.2</t>
  </si>
  <si>
    <t xml:space="preserve">PLW|mit.gen.tot.2</t>
  </si>
  <si>
    <t xml:space="preserve">PNG|mit.gen.tot.2</t>
  </si>
  <si>
    <t xml:space="preserve">POL|mit.gen.tot.2</t>
  </si>
  <si>
    <t xml:space="preserve">PRI|mit.gen.tot.2</t>
  </si>
  <si>
    <t xml:space="preserve">PRT|mit.gen.tot.2</t>
  </si>
  <si>
    <t xml:space="preserve">PRY|mit.gen.tot.2</t>
  </si>
  <si>
    <t xml:space="preserve">QAT|mit.gen.tot.2</t>
  </si>
  <si>
    <t xml:space="preserve">ROU|mit.gen.tot.2</t>
  </si>
  <si>
    <t xml:space="preserve">RUS|mit.gen.tot.2</t>
  </si>
  <si>
    <t xml:space="preserve">RWA|mit.gen.tot.2</t>
  </si>
  <si>
    <t xml:space="preserve">SAU|mit.gen.tot.2</t>
  </si>
  <si>
    <t xml:space="preserve">SDN|mit.gen.tot.2</t>
  </si>
  <si>
    <t xml:space="preserve">SEN|mit.gen.tot.2</t>
  </si>
  <si>
    <t xml:space="preserve">SGP|mit.gen.tot.2</t>
  </si>
  <si>
    <t xml:space="preserve">SLB|mit.gen.tot.2</t>
  </si>
  <si>
    <t xml:space="preserve">SLE|mit.gen.tot.2</t>
  </si>
  <si>
    <t xml:space="preserve">SLV|mit.gen.tot.2</t>
  </si>
  <si>
    <t xml:space="preserve">SOM|mit.gen.tot.2</t>
  </si>
  <si>
    <t xml:space="preserve">SRB|mit.gen.tot.2</t>
  </si>
  <si>
    <t xml:space="preserve">STP|mit.gen.tot.2</t>
  </si>
  <si>
    <t xml:space="preserve">SUR|mit.gen.tot.2</t>
  </si>
  <si>
    <t xml:space="preserve">SVK|mit.gen.tot.2</t>
  </si>
  <si>
    <t xml:space="preserve">SVN|mit.gen.tot.2</t>
  </si>
  <si>
    <t xml:space="preserve">SWE|mit.gen.tot.2</t>
  </si>
  <si>
    <t xml:space="preserve">SWZ|mit.gen.tot.2</t>
  </si>
  <si>
    <t xml:space="preserve">SYC|mit.gen.tot.2</t>
  </si>
  <si>
    <t xml:space="preserve">SYR|mit.gen.tot.2</t>
  </si>
  <si>
    <t xml:space="preserve">TCD|mit.gen.tot.2</t>
  </si>
  <si>
    <t xml:space="preserve">TGO|mit.gen.tot.2</t>
  </si>
  <si>
    <t xml:space="preserve">THA|mit.gen.tot.2</t>
  </si>
  <si>
    <t xml:space="preserve">TJK|mit.gen.tot.2</t>
  </si>
  <si>
    <t xml:space="preserve">TKM|mit.gen.tot.2</t>
  </si>
  <si>
    <t xml:space="preserve">TLS|mit.gen.tot.2</t>
  </si>
  <si>
    <t xml:space="preserve">TON|mit.gen.tot.2</t>
  </si>
  <si>
    <t xml:space="preserve">TTO|mit.gen.tot.2</t>
  </si>
  <si>
    <t xml:space="preserve">TUN|mit.gen.tot.2</t>
  </si>
  <si>
    <t xml:space="preserve">TUR|mit.gen.tot.2</t>
  </si>
  <si>
    <t xml:space="preserve">TZA|mit.gen.tot.2</t>
  </si>
  <si>
    <t xml:space="preserve">UGA|mit.gen.tot.2</t>
  </si>
  <si>
    <t xml:space="preserve">UKR|mit.gen.tot.2</t>
  </si>
  <si>
    <t xml:space="preserve">URY|mit.gen.tot.2</t>
  </si>
  <si>
    <t xml:space="preserve">USA|mit.gen.tot.2</t>
  </si>
  <si>
    <t xml:space="preserve">UZB|mit.gen.tot.2</t>
  </si>
  <si>
    <t xml:space="preserve">VCT|mit.gen.tot.2</t>
  </si>
  <si>
    <t xml:space="preserve">VEN|mit.gen.tot.2</t>
  </si>
  <si>
    <t xml:space="preserve">VNM|mit.gen.tot.2</t>
  </si>
  <si>
    <t xml:space="preserve">VUT|mit.gen.tot.2</t>
  </si>
  <si>
    <t xml:space="preserve">WSM|mit.gen.tot.2</t>
  </si>
  <si>
    <t xml:space="preserve">XKX|mit.gen.tot.2</t>
  </si>
  <si>
    <t xml:space="preserve">YEM|mit.gen.tot.2</t>
  </si>
  <si>
    <t xml:space="preserve">ZAF|mit.gen.tot.2</t>
  </si>
  <si>
    <t xml:space="preserve">ZMB|mit.gen.tot.2</t>
  </si>
  <si>
    <t xml:space="preserve">ZWE|mit.gen.tot.2</t>
  </si>
  <si>
    <t xml:space="preserve">ABW|mit.gen.fos.1</t>
  </si>
  <si>
    <t xml:space="preserve">AFG|mit.gen.fos.1</t>
  </si>
  <si>
    <t xml:space="preserve">AGO|mit.gen.fos.1</t>
  </si>
  <si>
    <t xml:space="preserve">ALB|mit.gen.fos.1</t>
  </si>
  <si>
    <t xml:space="preserve">ARE|mit.gen.fos.1</t>
  </si>
  <si>
    <t xml:space="preserve">ARG|mit.gen.fos.1</t>
  </si>
  <si>
    <t xml:space="preserve">ARM|mit.gen.fos.1</t>
  </si>
  <si>
    <t xml:space="preserve">ATG|mit.gen.fos.1</t>
  </si>
  <si>
    <t xml:space="preserve">AUS|mit.gen.fos.1</t>
  </si>
  <si>
    <t xml:space="preserve">AUT|mit.gen.fos.1</t>
  </si>
  <si>
    <t xml:space="preserve">AZE|mit.gen.fos.1</t>
  </si>
  <si>
    <t xml:space="preserve">BDI|mit.gen.fos.1</t>
  </si>
  <si>
    <t xml:space="preserve">BEL|mit.gen.fos.1</t>
  </si>
  <si>
    <t xml:space="preserve">BEN|mit.gen.fos.1</t>
  </si>
  <si>
    <t xml:space="preserve">BFA|mit.gen.fos.1</t>
  </si>
  <si>
    <t xml:space="preserve">BGD|mit.gen.fos.1</t>
  </si>
  <si>
    <t xml:space="preserve">BGR|mit.gen.fos.1</t>
  </si>
  <si>
    <t xml:space="preserve">BHR|mit.gen.fos.1</t>
  </si>
  <si>
    <t xml:space="preserve">BHS|mit.gen.fos.1</t>
  </si>
  <si>
    <t xml:space="preserve">BIH|mit.gen.fos.1</t>
  </si>
  <si>
    <t xml:space="preserve">BLR|mit.gen.fos.1</t>
  </si>
  <si>
    <t xml:space="preserve">BLZ|mit.gen.fos.1</t>
  </si>
  <si>
    <t xml:space="preserve">BOL|mit.gen.fos.1</t>
  </si>
  <si>
    <t xml:space="preserve">BRA|mit.gen.fos.1</t>
  </si>
  <si>
    <t xml:space="preserve">BRB|mit.gen.fos.1</t>
  </si>
  <si>
    <t xml:space="preserve">BRN|mit.gen.fos.1</t>
  </si>
  <si>
    <t xml:space="preserve">BTN|mit.gen.fos.1</t>
  </si>
  <si>
    <t xml:space="preserve">BWA|mit.gen.fos.1</t>
  </si>
  <si>
    <t xml:space="preserve">CAF|mit.gen.fos.1</t>
  </si>
  <si>
    <t xml:space="preserve">CAN|mit.gen.fos.1</t>
  </si>
  <si>
    <t xml:space="preserve">CHE|mit.gen.fos.1</t>
  </si>
  <si>
    <t xml:space="preserve">CHL|mit.gen.fos.1</t>
  </si>
  <si>
    <t xml:space="preserve">CHN|mit.gen.fos.1</t>
  </si>
  <si>
    <t xml:space="preserve">CIV|mit.gen.fos.1</t>
  </si>
  <si>
    <t xml:space="preserve">CMR|mit.gen.fos.1</t>
  </si>
  <si>
    <t xml:space="preserve">COD|mit.gen.fos.1</t>
  </si>
  <si>
    <t xml:space="preserve">COG|mit.gen.fos.1</t>
  </si>
  <si>
    <t xml:space="preserve">COL|mit.gen.fos.1</t>
  </si>
  <si>
    <t xml:space="preserve">COM|mit.gen.fos.1</t>
  </si>
  <si>
    <t xml:space="preserve">CPV|mit.gen.fos.1</t>
  </si>
  <si>
    <t xml:space="preserve">CRI|mit.gen.fos.1</t>
  </si>
  <si>
    <t xml:space="preserve">CYP|mit.gen.fos.1</t>
  </si>
  <si>
    <t xml:space="preserve">CZE|mit.gen.fos.1</t>
  </si>
  <si>
    <t xml:space="preserve">DEU|mit.gen.fos.1</t>
  </si>
  <si>
    <t xml:space="preserve">DJI|mit.gen.fos.1</t>
  </si>
  <si>
    <t xml:space="preserve">DMA|mit.gen.fos.1</t>
  </si>
  <si>
    <t xml:space="preserve">DNK|mit.gen.fos.1</t>
  </si>
  <si>
    <t xml:space="preserve">DOM|mit.gen.fos.1</t>
  </si>
  <si>
    <t xml:space="preserve">DZA|mit.gen.fos.1</t>
  </si>
  <si>
    <t xml:space="preserve">ECU|mit.gen.fos.1</t>
  </si>
  <si>
    <t xml:space="preserve">EGY|mit.gen.fos.1</t>
  </si>
  <si>
    <t xml:space="preserve">ESP|mit.gen.fos.1</t>
  </si>
  <si>
    <t xml:space="preserve">EST|mit.gen.fos.1</t>
  </si>
  <si>
    <t xml:space="preserve">ETH|mit.gen.fos.1</t>
  </si>
  <si>
    <t xml:space="preserve">FIN|mit.gen.fos.1</t>
  </si>
  <si>
    <t xml:space="preserve">FJI|mit.gen.fos.1</t>
  </si>
  <si>
    <t xml:space="preserve">FRA|mit.gen.fos.1</t>
  </si>
  <si>
    <t xml:space="preserve">GAB|mit.gen.fos.1</t>
  </si>
  <si>
    <t xml:space="preserve">GBR|mit.gen.fos.1</t>
  </si>
  <si>
    <t xml:space="preserve">GEO|mit.gen.fos.1</t>
  </si>
  <si>
    <t xml:space="preserve">GHA|mit.gen.fos.1</t>
  </si>
  <si>
    <t xml:space="preserve">GIN|mit.gen.fos.1</t>
  </si>
  <si>
    <t xml:space="preserve">GMB|mit.gen.fos.1</t>
  </si>
  <si>
    <t xml:space="preserve">GNB|mit.gen.fos.1</t>
  </si>
  <si>
    <t xml:space="preserve">GNQ|mit.gen.fos.1</t>
  </si>
  <si>
    <t xml:space="preserve">GRC|mit.gen.fos.1</t>
  </si>
  <si>
    <t xml:space="preserve">GRD|mit.gen.fos.1</t>
  </si>
  <si>
    <t xml:space="preserve">GTM|mit.gen.fos.1</t>
  </si>
  <si>
    <t xml:space="preserve">GUY|mit.gen.fos.1</t>
  </si>
  <si>
    <t xml:space="preserve">HKG|mit.gen.fos.1</t>
  </si>
  <si>
    <t xml:space="preserve">HND|mit.gen.fos.1</t>
  </si>
  <si>
    <t xml:space="preserve">HRV|mit.gen.fos.1</t>
  </si>
  <si>
    <t xml:space="preserve">HTI|mit.gen.fos.1</t>
  </si>
  <si>
    <t xml:space="preserve">HUN|mit.gen.fos.1</t>
  </si>
  <si>
    <t xml:space="preserve">IDN|mit.gen.fos.1</t>
  </si>
  <si>
    <t xml:space="preserve">IND|mit.gen.fos.1</t>
  </si>
  <si>
    <t xml:space="preserve">IRL|mit.gen.fos.1</t>
  </si>
  <si>
    <t xml:space="preserve">IRN|mit.gen.fos.1</t>
  </si>
  <si>
    <t xml:space="preserve">IRQ|mit.gen.fos.1</t>
  </si>
  <si>
    <t xml:space="preserve">ISL|mit.gen.fos.1</t>
  </si>
  <si>
    <t xml:space="preserve">ISR|mit.gen.fos.1</t>
  </si>
  <si>
    <t xml:space="preserve">ITA|mit.gen.fos.1</t>
  </si>
  <si>
    <t xml:space="preserve">JAM|mit.gen.fos.1</t>
  </si>
  <si>
    <t xml:space="preserve">JOR|mit.gen.fos.1</t>
  </si>
  <si>
    <t xml:space="preserve">JPN|mit.gen.fos.1</t>
  </si>
  <si>
    <t xml:space="preserve">KAZ|mit.gen.fos.1</t>
  </si>
  <si>
    <t xml:space="preserve">KEN|mit.gen.fos.1</t>
  </si>
  <si>
    <t xml:space="preserve">KGZ|mit.gen.fos.1</t>
  </si>
  <si>
    <t xml:space="preserve">KHM|mit.gen.fos.1</t>
  </si>
  <si>
    <t xml:space="preserve">KNA|mit.gen.fos.1</t>
  </si>
  <si>
    <t xml:space="preserve">KOR|mit.gen.fos.1</t>
  </si>
  <si>
    <t xml:space="preserve">KWT|mit.gen.fos.1</t>
  </si>
  <si>
    <t xml:space="preserve">LAO|mit.gen.fos.1</t>
  </si>
  <si>
    <t xml:space="preserve">LBN|mit.gen.fos.1</t>
  </si>
  <si>
    <t xml:space="preserve">LBR|mit.gen.fos.1</t>
  </si>
  <si>
    <t xml:space="preserve">LBY|mit.gen.fos.1</t>
  </si>
  <si>
    <t xml:space="preserve">LCA|mit.gen.fos.1</t>
  </si>
  <si>
    <t xml:space="preserve">LKA|mit.gen.fos.1</t>
  </si>
  <si>
    <t xml:space="preserve">LSO|mit.gen.fos.1</t>
  </si>
  <si>
    <t xml:space="preserve">LTU|mit.gen.fos.1</t>
  </si>
  <si>
    <t xml:space="preserve">LUX|mit.gen.fos.1</t>
  </si>
  <si>
    <t xml:space="preserve">LVA|mit.gen.fos.1</t>
  </si>
  <si>
    <t xml:space="preserve">MAC|mit.gen.fos.1</t>
  </si>
  <si>
    <t xml:space="preserve">MAR|mit.gen.fos.1</t>
  </si>
  <si>
    <t xml:space="preserve">MDA|mit.gen.fos.1</t>
  </si>
  <si>
    <t xml:space="preserve">MDG|mit.gen.fos.1</t>
  </si>
  <si>
    <t xml:space="preserve">MDV|mit.gen.fos.1</t>
  </si>
  <si>
    <t xml:space="preserve">MEX|mit.gen.fos.1</t>
  </si>
  <si>
    <t xml:space="preserve">MKD|mit.gen.fos.1</t>
  </si>
  <si>
    <t xml:space="preserve">MLI|mit.gen.fos.1</t>
  </si>
  <si>
    <t xml:space="preserve">MLT|mit.gen.fos.1</t>
  </si>
  <si>
    <t xml:space="preserve">MMR|mit.gen.fos.1</t>
  </si>
  <si>
    <t xml:space="preserve">MNE|mit.gen.fos.1</t>
  </si>
  <si>
    <t xml:space="preserve">MNG|mit.gen.fos.1</t>
  </si>
  <si>
    <t xml:space="preserve">MOZ|mit.gen.fos.1</t>
  </si>
  <si>
    <t xml:space="preserve">MRT|mit.gen.fos.1</t>
  </si>
  <si>
    <t xml:space="preserve">MUS|mit.gen.fos.1</t>
  </si>
  <si>
    <t xml:space="preserve">MWI|mit.gen.fos.1</t>
  </si>
  <si>
    <t xml:space="preserve">MYS|mit.gen.fos.1</t>
  </si>
  <si>
    <t xml:space="preserve">NAM|mit.gen.fos.1</t>
  </si>
  <si>
    <t xml:space="preserve">NER|mit.gen.fos.1</t>
  </si>
  <si>
    <t xml:space="preserve">NGA|mit.gen.fos.1</t>
  </si>
  <si>
    <t xml:space="preserve">NIC|mit.gen.fos.1</t>
  </si>
  <si>
    <t xml:space="preserve">NLD|mit.gen.fos.1</t>
  </si>
  <si>
    <t xml:space="preserve">NOR|mit.gen.fos.1</t>
  </si>
  <si>
    <t xml:space="preserve">NPL|mit.gen.fos.1</t>
  </si>
  <si>
    <t xml:space="preserve">NRU|mit.gen.fos.1</t>
  </si>
  <si>
    <t xml:space="preserve">NZL|mit.gen.fos.1</t>
  </si>
  <si>
    <t xml:space="preserve">OMN|mit.gen.fos.1</t>
  </si>
  <si>
    <t xml:space="preserve">PAK|mit.gen.fos.1</t>
  </si>
  <si>
    <t xml:space="preserve">PAN|mit.gen.fos.1</t>
  </si>
  <si>
    <t xml:space="preserve">PER|mit.gen.fos.1</t>
  </si>
  <si>
    <t xml:space="preserve">PHL|mit.gen.fos.1</t>
  </si>
  <si>
    <t xml:space="preserve">PLW|mit.gen.fos.1</t>
  </si>
  <si>
    <t xml:space="preserve">PNG|mit.gen.fos.1</t>
  </si>
  <si>
    <t xml:space="preserve">POL|mit.gen.fos.1</t>
  </si>
  <si>
    <t xml:space="preserve">PRI|mit.gen.fos.1</t>
  </si>
  <si>
    <t xml:space="preserve">PRT|mit.gen.fos.1</t>
  </si>
  <si>
    <t xml:space="preserve">PRY|mit.gen.fos.1</t>
  </si>
  <si>
    <t xml:space="preserve">QAT|mit.gen.fos.1</t>
  </si>
  <si>
    <t xml:space="preserve">ROU|mit.gen.fos.1</t>
  </si>
  <si>
    <t xml:space="preserve">RUS|mit.gen.fos.1</t>
  </si>
  <si>
    <t xml:space="preserve">RWA|mit.gen.fos.1</t>
  </si>
  <si>
    <t xml:space="preserve">SAU|mit.gen.fos.1</t>
  </si>
  <si>
    <t xml:space="preserve">SDN|mit.gen.fos.1</t>
  </si>
  <si>
    <t xml:space="preserve">SEN|mit.gen.fos.1</t>
  </si>
  <si>
    <t xml:space="preserve">SGP|mit.gen.fos.1</t>
  </si>
  <si>
    <t xml:space="preserve">SLB|mit.gen.fos.1</t>
  </si>
  <si>
    <t xml:space="preserve">SLE|mit.gen.fos.1</t>
  </si>
  <si>
    <t xml:space="preserve">SLV|mit.gen.fos.1</t>
  </si>
  <si>
    <t xml:space="preserve">SOM|mit.gen.fos.1</t>
  </si>
  <si>
    <t xml:space="preserve">SRB|mit.gen.fos.1</t>
  </si>
  <si>
    <t xml:space="preserve">STP|mit.gen.fos.1</t>
  </si>
  <si>
    <t xml:space="preserve">SUR|mit.gen.fos.1</t>
  </si>
  <si>
    <t xml:space="preserve">SVK|mit.gen.fos.1</t>
  </si>
  <si>
    <t xml:space="preserve">SVN|mit.gen.fos.1</t>
  </si>
  <si>
    <t xml:space="preserve">SWE|mit.gen.fos.1</t>
  </si>
  <si>
    <t xml:space="preserve">SWZ|mit.gen.fos.1</t>
  </si>
  <si>
    <t xml:space="preserve">SYC|mit.gen.fos.1</t>
  </si>
  <si>
    <t xml:space="preserve">SYR|mit.gen.fos.1</t>
  </si>
  <si>
    <t xml:space="preserve">TCD|mit.gen.fos.1</t>
  </si>
  <si>
    <t xml:space="preserve">TGO|mit.gen.fos.1</t>
  </si>
  <si>
    <t xml:space="preserve">THA|mit.gen.fos.1</t>
  </si>
  <si>
    <t xml:space="preserve">TJK|mit.gen.fos.1</t>
  </si>
  <si>
    <t xml:space="preserve">TKM|mit.gen.fos.1</t>
  </si>
  <si>
    <t xml:space="preserve">TLS|mit.gen.fos.1</t>
  </si>
  <si>
    <t xml:space="preserve">TON|mit.gen.fos.1</t>
  </si>
  <si>
    <t xml:space="preserve">TTO|mit.gen.fos.1</t>
  </si>
  <si>
    <t xml:space="preserve">TUN|mit.gen.fos.1</t>
  </si>
  <si>
    <t xml:space="preserve">TUR|mit.gen.fos.1</t>
  </si>
  <si>
    <t xml:space="preserve">TZA|mit.gen.fos.1</t>
  </si>
  <si>
    <t xml:space="preserve">UGA|mit.gen.fos.1</t>
  </si>
  <si>
    <t xml:space="preserve">UKR|mit.gen.fos.1</t>
  </si>
  <si>
    <t xml:space="preserve">URY|mit.gen.fos.1</t>
  </si>
  <si>
    <t xml:space="preserve">USA|mit.gen.fos.1</t>
  </si>
  <si>
    <t xml:space="preserve">UZB|mit.gen.fos.1</t>
  </si>
  <si>
    <t xml:space="preserve">VCT|mit.gen.fos.1</t>
  </si>
  <si>
    <t xml:space="preserve">VEN|mit.gen.fos.1</t>
  </si>
  <si>
    <t xml:space="preserve">VNM|mit.gen.fos.1</t>
  </si>
  <si>
    <t xml:space="preserve">VUT|mit.gen.fos.1</t>
  </si>
  <si>
    <t xml:space="preserve">WSM|mit.gen.fos.1</t>
  </si>
  <si>
    <t xml:space="preserve">XKX|mit.gen.fos.1</t>
  </si>
  <si>
    <t xml:space="preserve">YEM|mit.gen.fos.1</t>
  </si>
  <si>
    <t xml:space="preserve">ZAF|mit.gen.fos.1</t>
  </si>
  <si>
    <t xml:space="preserve">ZMB|mit.gen.fos.1</t>
  </si>
  <si>
    <t xml:space="preserve">ZWE|mit.gen.fos.1</t>
  </si>
  <si>
    <t xml:space="preserve">ABW|mit.inv.gen.2</t>
  </si>
  <si>
    <t xml:space="preserve">AFG|mit.inv.gen.2</t>
  </si>
  <si>
    <t xml:space="preserve">AGO|mit.inv.gen.2</t>
  </si>
  <si>
    <t xml:space="preserve">ALB|mit.inv.gen.2</t>
  </si>
  <si>
    <t xml:space="preserve">ARE|mit.inv.gen.2</t>
  </si>
  <si>
    <t xml:space="preserve">ARG|mit.inv.gen.2</t>
  </si>
  <si>
    <t xml:space="preserve">ARM|mit.inv.gen.2</t>
  </si>
  <si>
    <t xml:space="preserve">ATG|mit.inv.gen.2</t>
  </si>
  <si>
    <t xml:space="preserve">AUS|mit.inv.gen.2</t>
  </si>
  <si>
    <t xml:space="preserve">AUT|mit.inv.gen.2</t>
  </si>
  <si>
    <t xml:space="preserve">AZE|mit.inv.gen.2</t>
  </si>
  <si>
    <t xml:space="preserve">BDI|mit.inv.gen.2</t>
  </si>
  <si>
    <t xml:space="preserve">BEL|mit.inv.gen.2</t>
  </si>
  <si>
    <t xml:space="preserve">BEN|mit.inv.gen.2</t>
  </si>
  <si>
    <t xml:space="preserve">BFA|mit.inv.gen.2</t>
  </si>
  <si>
    <t xml:space="preserve">BGD|mit.inv.gen.2</t>
  </si>
  <si>
    <t xml:space="preserve">BGR|mit.inv.gen.2</t>
  </si>
  <si>
    <t xml:space="preserve">BHR|mit.inv.gen.2</t>
  </si>
  <si>
    <t xml:space="preserve">BHS|mit.inv.gen.2</t>
  </si>
  <si>
    <t xml:space="preserve">BIH|mit.inv.gen.2</t>
  </si>
  <si>
    <t xml:space="preserve">BLR|mit.inv.gen.2</t>
  </si>
  <si>
    <t xml:space="preserve">BLZ|mit.inv.gen.2</t>
  </si>
  <si>
    <t xml:space="preserve">BOL|mit.inv.gen.2</t>
  </si>
  <si>
    <t xml:space="preserve">BRA|mit.inv.gen.2</t>
  </si>
  <si>
    <t xml:space="preserve">BRB|mit.inv.gen.2</t>
  </si>
  <si>
    <t xml:space="preserve">BRN|mit.inv.gen.2</t>
  </si>
  <si>
    <t xml:space="preserve">BTN|mit.inv.gen.2</t>
  </si>
  <si>
    <t xml:space="preserve">BWA|mit.inv.gen.2</t>
  </si>
  <si>
    <t xml:space="preserve">CAF|mit.inv.gen.2</t>
  </si>
  <si>
    <t xml:space="preserve">CAN|mit.inv.gen.2</t>
  </si>
  <si>
    <t xml:space="preserve">CHE|mit.inv.gen.2</t>
  </si>
  <si>
    <t xml:space="preserve">CHL|mit.inv.gen.2</t>
  </si>
  <si>
    <t xml:space="preserve">CHN|mit.inv.gen.2</t>
  </si>
  <si>
    <t xml:space="preserve">CIV|mit.inv.gen.2</t>
  </si>
  <si>
    <t xml:space="preserve">CMR|mit.inv.gen.2</t>
  </si>
  <si>
    <t xml:space="preserve">COD|mit.inv.gen.2</t>
  </si>
  <si>
    <t xml:space="preserve">COG|mit.inv.gen.2</t>
  </si>
  <si>
    <t xml:space="preserve">COL|mit.inv.gen.2</t>
  </si>
  <si>
    <t xml:space="preserve">COM|mit.inv.gen.2</t>
  </si>
  <si>
    <t xml:space="preserve">CPV|mit.inv.gen.2</t>
  </si>
  <si>
    <t xml:space="preserve">CRI|mit.inv.gen.2</t>
  </si>
  <si>
    <t xml:space="preserve">CYP|mit.inv.gen.2</t>
  </si>
  <si>
    <t xml:space="preserve">CZE|mit.inv.gen.2</t>
  </si>
  <si>
    <t xml:space="preserve">DEU|mit.inv.gen.2</t>
  </si>
  <si>
    <t xml:space="preserve">DJI|mit.inv.gen.2</t>
  </si>
  <si>
    <t xml:space="preserve">DMA|mit.inv.gen.2</t>
  </si>
  <si>
    <t xml:space="preserve">DNK|mit.inv.gen.2</t>
  </si>
  <si>
    <t xml:space="preserve">DOM|mit.inv.gen.2</t>
  </si>
  <si>
    <t xml:space="preserve">DZA|mit.inv.gen.2</t>
  </si>
  <si>
    <t xml:space="preserve">ECU|mit.inv.gen.2</t>
  </si>
  <si>
    <t xml:space="preserve">EGY|mit.inv.gen.2</t>
  </si>
  <si>
    <t xml:space="preserve">ESP|mit.inv.gen.2</t>
  </si>
  <si>
    <t xml:space="preserve">EST|mit.inv.gen.2</t>
  </si>
  <si>
    <t xml:space="preserve">ETH|mit.inv.gen.2</t>
  </si>
  <si>
    <t xml:space="preserve">FIN|mit.inv.gen.2</t>
  </si>
  <si>
    <t xml:space="preserve">FJI|mit.inv.gen.2</t>
  </si>
  <si>
    <t xml:space="preserve">FRA|mit.inv.gen.2</t>
  </si>
  <si>
    <t xml:space="preserve">GAB|mit.inv.gen.2</t>
  </si>
  <si>
    <t xml:space="preserve">GBR|mit.inv.gen.2</t>
  </si>
  <si>
    <t xml:space="preserve">GEO|mit.inv.gen.2</t>
  </si>
  <si>
    <t xml:space="preserve">GHA|mit.inv.gen.2</t>
  </si>
  <si>
    <t xml:space="preserve">GIN|mit.inv.gen.2</t>
  </si>
  <si>
    <t xml:space="preserve">GMB|mit.inv.gen.2</t>
  </si>
  <si>
    <t xml:space="preserve">GNB|mit.inv.gen.2</t>
  </si>
  <si>
    <t xml:space="preserve">GNQ|mit.inv.gen.2</t>
  </si>
  <si>
    <t xml:space="preserve">GRC|mit.inv.gen.2</t>
  </si>
  <si>
    <t xml:space="preserve">GRD|mit.inv.gen.2</t>
  </si>
  <si>
    <t xml:space="preserve">GTM|mit.inv.gen.2</t>
  </si>
  <si>
    <t xml:space="preserve">GUY|mit.inv.gen.2</t>
  </si>
  <si>
    <t xml:space="preserve">HKG|mit.inv.gen.2</t>
  </si>
  <si>
    <t xml:space="preserve">HND|mit.inv.gen.2</t>
  </si>
  <si>
    <t xml:space="preserve">HRV|mit.inv.gen.2</t>
  </si>
  <si>
    <t xml:space="preserve">HTI|mit.inv.gen.2</t>
  </si>
  <si>
    <t xml:space="preserve">HUN|mit.inv.gen.2</t>
  </si>
  <si>
    <t xml:space="preserve">IDN|mit.inv.gen.2</t>
  </si>
  <si>
    <t xml:space="preserve">IND|mit.inv.gen.2</t>
  </si>
  <si>
    <t xml:space="preserve">IRL|mit.inv.gen.2</t>
  </si>
  <si>
    <t xml:space="preserve">IRN|mit.inv.gen.2</t>
  </si>
  <si>
    <t xml:space="preserve">IRQ|mit.inv.gen.2</t>
  </si>
  <si>
    <t xml:space="preserve">ISL|mit.inv.gen.2</t>
  </si>
  <si>
    <t xml:space="preserve">ISR|mit.inv.gen.2</t>
  </si>
  <si>
    <t xml:space="preserve">ITA|mit.inv.gen.2</t>
  </si>
  <si>
    <t xml:space="preserve">JAM|mit.inv.gen.2</t>
  </si>
  <si>
    <t xml:space="preserve">JOR|mit.inv.gen.2</t>
  </si>
  <si>
    <t xml:space="preserve">JPN|mit.inv.gen.2</t>
  </si>
  <si>
    <t xml:space="preserve">KAZ|mit.inv.gen.2</t>
  </si>
  <si>
    <t xml:space="preserve">KEN|mit.inv.gen.2</t>
  </si>
  <si>
    <t xml:space="preserve">KGZ|mit.inv.gen.2</t>
  </si>
  <si>
    <t xml:space="preserve">KHM|mit.inv.gen.2</t>
  </si>
  <si>
    <t xml:space="preserve">KNA|mit.inv.gen.2</t>
  </si>
  <si>
    <t xml:space="preserve">KOR|mit.inv.gen.2</t>
  </si>
  <si>
    <t xml:space="preserve">KWT|mit.inv.gen.2</t>
  </si>
  <si>
    <t xml:space="preserve">LAO|mit.inv.gen.2</t>
  </si>
  <si>
    <t xml:space="preserve">LBN|mit.inv.gen.2</t>
  </si>
  <si>
    <t xml:space="preserve">LBR|mit.inv.gen.2</t>
  </si>
  <si>
    <t xml:space="preserve">LBY|mit.inv.gen.2</t>
  </si>
  <si>
    <t xml:space="preserve">LCA|mit.inv.gen.2</t>
  </si>
  <si>
    <t xml:space="preserve">LKA|mit.inv.gen.2</t>
  </si>
  <si>
    <t xml:space="preserve">LSO|mit.inv.gen.2</t>
  </si>
  <si>
    <t xml:space="preserve">LTU|mit.inv.gen.2</t>
  </si>
  <si>
    <t xml:space="preserve">LUX|mit.inv.gen.2</t>
  </si>
  <si>
    <t xml:space="preserve">LVA|mit.inv.gen.2</t>
  </si>
  <si>
    <t xml:space="preserve">MAC|mit.inv.gen.2</t>
  </si>
  <si>
    <t xml:space="preserve">MAR|mit.inv.gen.2</t>
  </si>
  <si>
    <t xml:space="preserve">MDA|mit.inv.gen.2</t>
  </si>
  <si>
    <t xml:space="preserve">MDG|mit.inv.gen.2</t>
  </si>
  <si>
    <t xml:space="preserve">MDV|mit.inv.gen.2</t>
  </si>
  <si>
    <t xml:space="preserve">MEX|mit.inv.gen.2</t>
  </si>
  <si>
    <t xml:space="preserve">MKD|mit.inv.gen.2</t>
  </si>
  <si>
    <t xml:space="preserve">MLI|mit.inv.gen.2</t>
  </si>
  <si>
    <t xml:space="preserve">MLT|mit.inv.gen.2</t>
  </si>
  <si>
    <t xml:space="preserve">MMR|mit.inv.gen.2</t>
  </si>
  <si>
    <t xml:space="preserve">MNE|mit.inv.gen.2</t>
  </si>
  <si>
    <t xml:space="preserve">MNG|mit.inv.gen.2</t>
  </si>
  <si>
    <t xml:space="preserve">MOZ|mit.inv.gen.2</t>
  </si>
  <si>
    <t xml:space="preserve">MRT|mit.inv.gen.2</t>
  </si>
  <si>
    <t xml:space="preserve">MUS|mit.inv.gen.2</t>
  </si>
  <si>
    <t xml:space="preserve">MWI|mit.inv.gen.2</t>
  </si>
  <si>
    <t xml:space="preserve">MYS|mit.inv.gen.2</t>
  </si>
  <si>
    <t xml:space="preserve">NAM|mit.inv.gen.2</t>
  </si>
  <si>
    <t xml:space="preserve">NER|mit.inv.gen.2</t>
  </si>
  <si>
    <t xml:space="preserve">NGA|mit.inv.gen.2</t>
  </si>
  <si>
    <t xml:space="preserve">NIC|mit.inv.gen.2</t>
  </si>
  <si>
    <t xml:space="preserve">NLD|mit.inv.gen.2</t>
  </si>
  <si>
    <t xml:space="preserve">NOR|mit.inv.gen.2</t>
  </si>
  <si>
    <t xml:space="preserve">NPL|mit.inv.gen.2</t>
  </si>
  <si>
    <t xml:space="preserve">NRU|mit.inv.gen.2</t>
  </si>
  <si>
    <t xml:space="preserve">NZL|mit.inv.gen.2</t>
  </si>
  <si>
    <t xml:space="preserve">OMN|mit.inv.gen.2</t>
  </si>
  <si>
    <t xml:space="preserve">PAK|mit.inv.gen.2</t>
  </si>
  <si>
    <t xml:space="preserve">PAN|mit.inv.gen.2</t>
  </si>
  <si>
    <t xml:space="preserve">PER|mit.inv.gen.2</t>
  </si>
  <si>
    <t xml:space="preserve">PHL|mit.inv.gen.2</t>
  </si>
  <si>
    <t xml:space="preserve">PLW|mit.inv.gen.2</t>
  </si>
  <si>
    <t xml:space="preserve">PNG|mit.inv.gen.2</t>
  </si>
  <si>
    <t xml:space="preserve">POL|mit.inv.gen.2</t>
  </si>
  <si>
    <t xml:space="preserve">PRI|mit.inv.gen.2</t>
  </si>
  <si>
    <t xml:space="preserve">PRT|mit.inv.gen.2</t>
  </si>
  <si>
    <t xml:space="preserve">PRY|mit.inv.gen.2</t>
  </si>
  <si>
    <t xml:space="preserve">QAT|mit.inv.gen.2</t>
  </si>
  <si>
    <t xml:space="preserve">ROU|mit.inv.gen.2</t>
  </si>
  <si>
    <t xml:space="preserve">RUS|mit.inv.gen.2</t>
  </si>
  <si>
    <t xml:space="preserve">RWA|mit.inv.gen.2</t>
  </si>
  <si>
    <t xml:space="preserve">SAU|mit.inv.gen.2</t>
  </si>
  <si>
    <t xml:space="preserve">SDN|mit.inv.gen.2</t>
  </si>
  <si>
    <t xml:space="preserve">SEN|mit.inv.gen.2</t>
  </si>
  <si>
    <t xml:space="preserve">SGP|mit.inv.gen.2</t>
  </si>
  <si>
    <t xml:space="preserve">SLB|mit.inv.gen.2</t>
  </si>
  <si>
    <t xml:space="preserve">SLE|mit.inv.gen.2</t>
  </si>
  <si>
    <t xml:space="preserve">SLV|mit.inv.gen.2</t>
  </si>
  <si>
    <t xml:space="preserve">SOM|mit.inv.gen.2</t>
  </si>
  <si>
    <t xml:space="preserve">SRB|mit.inv.gen.2</t>
  </si>
  <si>
    <t xml:space="preserve">STP|mit.inv.gen.2</t>
  </si>
  <si>
    <t xml:space="preserve">SUR|mit.inv.gen.2</t>
  </si>
  <si>
    <t xml:space="preserve">SVK|mit.inv.gen.2</t>
  </si>
  <si>
    <t xml:space="preserve">SVN|mit.inv.gen.2</t>
  </si>
  <si>
    <t xml:space="preserve">SWE|mit.inv.gen.2</t>
  </si>
  <si>
    <t xml:space="preserve">SWZ|mit.inv.gen.2</t>
  </si>
  <si>
    <t xml:space="preserve">SYC|mit.inv.gen.2</t>
  </si>
  <si>
    <t xml:space="preserve">SYR|mit.inv.gen.2</t>
  </si>
  <si>
    <t xml:space="preserve">TCD|mit.inv.gen.2</t>
  </si>
  <si>
    <t xml:space="preserve">TGO|mit.inv.gen.2</t>
  </si>
  <si>
    <t xml:space="preserve">THA|mit.inv.gen.2</t>
  </si>
  <si>
    <t xml:space="preserve">TJK|mit.inv.gen.2</t>
  </si>
  <si>
    <t xml:space="preserve">TKM|mit.inv.gen.2</t>
  </si>
  <si>
    <t xml:space="preserve">TLS|mit.inv.gen.2</t>
  </si>
  <si>
    <t xml:space="preserve">TON|mit.inv.gen.2</t>
  </si>
  <si>
    <t xml:space="preserve">TTO|mit.inv.gen.2</t>
  </si>
  <si>
    <t xml:space="preserve">TUN|mit.inv.gen.2</t>
  </si>
  <si>
    <t xml:space="preserve">TUR|mit.inv.gen.2</t>
  </si>
  <si>
    <t xml:space="preserve">TZA|mit.inv.gen.2</t>
  </si>
  <si>
    <t xml:space="preserve">UGA|mit.inv.gen.2</t>
  </si>
  <si>
    <t xml:space="preserve">UKR|mit.inv.gen.2</t>
  </si>
  <si>
    <t xml:space="preserve">URY|mit.inv.gen.2</t>
  </si>
  <si>
    <t xml:space="preserve">USA|mit.inv.gen.2</t>
  </si>
  <si>
    <t xml:space="preserve">UZB|mit.inv.gen.2</t>
  </si>
  <si>
    <t xml:space="preserve">VCT|mit.inv.gen.2</t>
  </si>
  <si>
    <t xml:space="preserve">VEN|mit.inv.gen.2</t>
  </si>
  <si>
    <t xml:space="preserve">VNM|mit.inv.gen.2</t>
  </si>
  <si>
    <t xml:space="preserve">VUT|mit.inv.gen.2</t>
  </si>
  <si>
    <t xml:space="preserve">WSM|mit.inv.gen.2</t>
  </si>
  <si>
    <t xml:space="preserve">XKX|mit.inv.gen.2</t>
  </si>
  <si>
    <t xml:space="preserve">YEM|mit.inv.gen.2</t>
  </si>
  <si>
    <t xml:space="preserve">ZAF|mit.inv.gen.2</t>
  </si>
  <si>
    <t xml:space="preserve">ZMB|mit.inv.gen.2</t>
  </si>
  <si>
    <t xml:space="preserve">ZWE|mit.inv.gen.2</t>
  </si>
  <si>
    <t xml:space="preserve">ABW|mit.inv.grid.2</t>
  </si>
  <si>
    <t xml:space="preserve">AFG|mit.inv.grid.2</t>
  </si>
  <si>
    <t xml:space="preserve">AGO|mit.inv.grid.2</t>
  </si>
  <si>
    <t xml:space="preserve">ALB|mit.inv.grid.2</t>
  </si>
  <si>
    <t xml:space="preserve">ARE|mit.inv.grid.2</t>
  </si>
  <si>
    <t xml:space="preserve">ARG|mit.inv.grid.2</t>
  </si>
  <si>
    <t xml:space="preserve">ARM|mit.inv.grid.2</t>
  </si>
  <si>
    <t xml:space="preserve">ATG|mit.inv.grid.2</t>
  </si>
  <si>
    <t xml:space="preserve">AUS|mit.inv.grid.2</t>
  </si>
  <si>
    <t xml:space="preserve">AUT|mit.inv.grid.2</t>
  </si>
  <si>
    <t xml:space="preserve">AZE|mit.inv.grid.2</t>
  </si>
  <si>
    <t xml:space="preserve">BDI|mit.inv.grid.2</t>
  </si>
  <si>
    <t xml:space="preserve">BEL|mit.inv.grid.2</t>
  </si>
  <si>
    <t xml:space="preserve">BEN|mit.inv.grid.2</t>
  </si>
  <si>
    <t xml:space="preserve">BFA|mit.inv.grid.2</t>
  </si>
  <si>
    <t xml:space="preserve">BGD|mit.inv.grid.2</t>
  </si>
  <si>
    <t xml:space="preserve">BGR|mit.inv.grid.2</t>
  </si>
  <si>
    <t xml:space="preserve">BHR|mit.inv.grid.2</t>
  </si>
  <si>
    <t xml:space="preserve">BHS|mit.inv.grid.2</t>
  </si>
  <si>
    <t xml:space="preserve">BIH|mit.inv.grid.2</t>
  </si>
  <si>
    <t xml:space="preserve">BLR|mit.inv.grid.2</t>
  </si>
  <si>
    <t xml:space="preserve">BLZ|mit.inv.grid.2</t>
  </si>
  <si>
    <t xml:space="preserve">BOL|mit.inv.grid.2</t>
  </si>
  <si>
    <t xml:space="preserve">BRA|mit.inv.grid.2</t>
  </si>
  <si>
    <t xml:space="preserve">BRB|mit.inv.grid.2</t>
  </si>
  <si>
    <t xml:space="preserve">BRN|mit.inv.grid.2</t>
  </si>
  <si>
    <t xml:space="preserve">BTN|mit.inv.grid.2</t>
  </si>
  <si>
    <t xml:space="preserve">BWA|mit.inv.grid.2</t>
  </si>
  <si>
    <t xml:space="preserve">CAF|mit.inv.grid.2</t>
  </si>
  <si>
    <t xml:space="preserve">CAN|mit.inv.grid.2</t>
  </si>
  <si>
    <t xml:space="preserve">CHE|mit.inv.grid.2</t>
  </si>
  <si>
    <t xml:space="preserve">CHL|mit.inv.grid.2</t>
  </si>
  <si>
    <t xml:space="preserve">CHN|mit.inv.grid.2</t>
  </si>
  <si>
    <t xml:space="preserve">CIV|mit.inv.grid.2</t>
  </si>
  <si>
    <t xml:space="preserve">CMR|mit.inv.grid.2</t>
  </si>
  <si>
    <t xml:space="preserve">COD|mit.inv.grid.2</t>
  </si>
  <si>
    <t xml:space="preserve">COG|mit.inv.grid.2</t>
  </si>
  <si>
    <t xml:space="preserve">COL|mit.inv.grid.2</t>
  </si>
  <si>
    <t xml:space="preserve">COM|mit.inv.grid.2</t>
  </si>
  <si>
    <t xml:space="preserve">CPV|mit.inv.grid.2</t>
  </si>
  <si>
    <t xml:space="preserve">CRI|mit.inv.grid.2</t>
  </si>
  <si>
    <t xml:space="preserve">CYP|mit.inv.grid.2</t>
  </si>
  <si>
    <t xml:space="preserve">CZE|mit.inv.grid.2</t>
  </si>
  <si>
    <t xml:space="preserve">DEU|mit.inv.grid.2</t>
  </si>
  <si>
    <t xml:space="preserve">DJI|mit.inv.grid.2</t>
  </si>
  <si>
    <t xml:space="preserve">DMA|mit.inv.grid.2</t>
  </si>
  <si>
    <t xml:space="preserve">DNK|mit.inv.grid.2</t>
  </si>
  <si>
    <t xml:space="preserve">DOM|mit.inv.grid.2</t>
  </si>
  <si>
    <t xml:space="preserve">DZA|mit.inv.grid.2</t>
  </si>
  <si>
    <t xml:space="preserve">ECU|mit.inv.grid.2</t>
  </si>
  <si>
    <t xml:space="preserve">EGY|mit.inv.grid.2</t>
  </si>
  <si>
    <t xml:space="preserve">ESP|mit.inv.grid.2</t>
  </si>
  <si>
    <t xml:space="preserve">EST|mit.inv.grid.2</t>
  </si>
  <si>
    <t xml:space="preserve">ETH|mit.inv.grid.2</t>
  </si>
  <si>
    <t xml:space="preserve">FIN|mit.inv.grid.2</t>
  </si>
  <si>
    <t xml:space="preserve">FJI|mit.inv.grid.2</t>
  </si>
  <si>
    <t xml:space="preserve">FRA|mit.inv.grid.2</t>
  </si>
  <si>
    <t xml:space="preserve">GAB|mit.inv.grid.2</t>
  </si>
  <si>
    <t xml:space="preserve">GBR|mit.inv.grid.2</t>
  </si>
  <si>
    <t xml:space="preserve">GEO|mit.inv.grid.2</t>
  </si>
  <si>
    <t xml:space="preserve">GHA|mit.inv.grid.2</t>
  </si>
  <si>
    <t xml:space="preserve">GIN|mit.inv.grid.2</t>
  </si>
  <si>
    <t xml:space="preserve">GMB|mit.inv.grid.2</t>
  </si>
  <si>
    <t xml:space="preserve">GNB|mit.inv.grid.2</t>
  </si>
  <si>
    <t xml:space="preserve">GNQ|mit.inv.grid.2</t>
  </si>
  <si>
    <t xml:space="preserve">GRC|mit.inv.grid.2</t>
  </si>
  <si>
    <t xml:space="preserve">GRD|mit.inv.grid.2</t>
  </si>
  <si>
    <t xml:space="preserve">GTM|mit.inv.grid.2</t>
  </si>
  <si>
    <t xml:space="preserve">GUY|mit.inv.grid.2</t>
  </si>
  <si>
    <t xml:space="preserve">HKG|mit.inv.grid.2</t>
  </si>
  <si>
    <t xml:space="preserve">HND|mit.inv.grid.2</t>
  </si>
  <si>
    <t xml:space="preserve">HRV|mit.inv.grid.2</t>
  </si>
  <si>
    <t xml:space="preserve">HTI|mit.inv.grid.2</t>
  </si>
  <si>
    <t xml:space="preserve">HUN|mit.inv.grid.2</t>
  </si>
  <si>
    <t xml:space="preserve">IDN|mit.inv.grid.2</t>
  </si>
  <si>
    <t xml:space="preserve">IND|mit.inv.grid.2</t>
  </si>
  <si>
    <t xml:space="preserve">IRL|mit.inv.grid.2</t>
  </si>
  <si>
    <t xml:space="preserve">IRN|mit.inv.grid.2</t>
  </si>
  <si>
    <t xml:space="preserve">IRQ|mit.inv.grid.2</t>
  </si>
  <si>
    <t xml:space="preserve">ISL|mit.inv.grid.2</t>
  </si>
  <si>
    <t xml:space="preserve">ISR|mit.inv.grid.2</t>
  </si>
  <si>
    <t xml:space="preserve">ITA|mit.inv.grid.2</t>
  </si>
  <si>
    <t xml:space="preserve">JAM|mit.inv.grid.2</t>
  </si>
  <si>
    <t xml:space="preserve">JOR|mit.inv.grid.2</t>
  </si>
  <si>
    <t xml:space="preserve">JPN|mit.inv.grid.2</t>
  </si>
  <si>
    <t xml:space="preserve">KAZ|mit.inv.grid.2</t>
  </si>
  <si>
    <t xml:space="preserve">KEN|mit.inv.grid.2</t>
  </si>
  <si>
    <t xml:space="preserve">KGZ|mit.inv.grid.2</t>
  </si>
  <si>
    <t xml:space="preserve">KHM|mit.inv.grid.2</t>
  </si>
  <si>
    <t xml:space="preserve">KNA|mit.inv.grid.2</t>
  </si>
  <si>
    <t xml:space="preserve">KOR|mit.inv.grid.2</t>
  </si>
  <si>
    <t xml:space="preserve">KWT|mit.inv.grid.2</t>
  </si>
  <si>
    <t xml:space="preserve">LAO|mit.inv.grid.2</t>
  </si>
  <si>
    <t xml:space="preserve">LBN|mit.inv.grid.2</t>
  </si>
  <si>
    <t xml:space="preserve">LBR|mit.inv.grid.2</t>
  </si>
  <si>
    <t xml:space="preserve">LBY|mit.inv.grid.2</t>
  </si>
  <si>
    <t xml:space="preserve">LCA|mit.inv.grid.2</t>
  </si>
  <si>
    <t xml:space="preserve">LKA|mit.inv.grid.2</t>
  </si>
  <si>
    <t xml:space="preserve">LSO|mit.inv.grid.2</t>
  </si>
  <si>
    <t xml:space="preserve">LTU|mit.inv.grid.2</t>
  </si>
  <si>
    <t xml:space="preserve">LUX|mit.inv.grid.2</t>
  </si>
  <si>
    <t xml:space="preserve">LVA|mit.inv.grid.2</t>
  </si>
  <si>
    <t xml:space="preserve">MAC|mit.inv.grid.2</t>
  </si>
  <si>
    <t xml:space="preserve">MAR|mit.inv.grid.2</t>
  </si>
  <si>
    <t xml:space="preserve">MDA|mit.inv.grid.2</t>
  </si>
  <si>
    <t xml:space="preserve">MDG|mit.inv.grid.2</t>
  </si>
  <si>
    <t xml:space="preserve">MDV|mit.inv.grid.2</t>
  </si>
  <si>
    <t xml:space="preserve">MEX|mit.inv.grid.2</t>
  </si>
  <si>
    <t xml:space="preserve">MKD|mit.inv.grid.2</t>
  </si>
  <si>
    <t xml:space="preserve">MLI|mit.inv.grid.2</t>
  </si>
  <si>
    <t xml:space="preserve">MLT|mit.inv.grid.2</t>
  </si>
  <si>
    <t xml:space="preserve">MMR|mit.inv.grid.2</t>
  </si>
  <si>
    <t xml:space="preserve">MNE|mit.inv.grid.2</t>
  </si>
  <si>
    <t xml:space="preserve">MNG|mit.inv.grid.2</t>
  </si>
  <si>
    <t xml:space="preserve">MOZ|mit.inv.grid.2</t>
  </si>
  <si>
    <t xml:space="preserve">MRT|mit.inv.grid.2</t>
  </si>
  <si>
    <t xml:space="preserve">MUS|mit.inv.grid.2</t>
  </si>
  <si>
    <t xml:space="preserve">MWI|mit.inv.grid.2</t>
  </si>
  <si>
    <t xml:space="preserve">MYS|mit.inv.grid.2</t>
  </si>
  <si>
    <t xml:space="preserve">NAM|mit.inv.grid.2</t>
  </si>
  <si>
    <t xml:space="preserve">NER|mit.inv.grid.2</t>
  </si>
  <si>
    <t xml:space="preserve">NGA|mit.inv.grid.2</t>
  </si>
  <si>
    <t xml:space="preserve">NIC|mit.inv.grid.2</t>
  </si>
  <si>
    <t xml:space="preserve">NLD|mit.inv.grid.2</t>
  </si>
  <si>
    <t xml:space="preserve">NOR|mit.inv.grid.2</t>
  </si>
  <si>
    <t xml:space="preserve">NPL|mit.inv.grid.2</t>
  </si>
  <si>
    <t xml:space="preserve">NRU|mit.inv.grid.2</t>
  </si>
  <si>
    <t xml:space="preserve">NZL|mit.inv.grid.2</t>
  </si>
  <si>
    <t xml:space="preserve">OMN|mit.inv.grid.2</t>
  </si>
  <si>
    <t xml:space="preserve">PAK|mit.inv.grid.2</t>
  </si>
  <si>
    <t xml:space="preserve">PAN|mit.inv.grid.2</t>
  </si>
  <si>
    <t xml:space="preserve">PER|mit.inv.grid.2</t>
  </si>
  <si>
    <t xml:space="preserve">PHL|mit.inv.grid.2</t>
  </si>
  <si>
    <t xml:space="preserve">PLW|mit.inv.grid.2</t>
  </si>
  <si>
    <t xml:space="preserve">PNG|mit.inv.grid.2</t>
  </si>
  <si>
    <t xml:space="preserve">POL|mit.inv.grid.2</t>
  </si>
  <si>
    <t xml:space="preserve">PRI|mit.inv.grid.2</t>
  </si>
  <si>
    <t xml:space="preserve">PRT|mit.inv.grid.2</t>
  </si>
  <si>
    <t xml:space="preserve">PRY|mit.inv.grid.2</t>
  </si>
  <si>
    <t xml:space="preserve">QAT|mit.inv.grid.2</t>
  </si>
  <si>
    <t xml:space="preserve">ROU|mit.inv.grid.2</t>
  </si>
  <si>
    <t xml:space="preserve">RUS|mit.inv.grid.2</t>
  </si>
  <si>
    <t xml:space="preserve">RWA|mit.inv.grid.2</t>
  </si>
  <si>
    <t xml:space="preserve">SAU|mit.inv.grid.2</t>
  </si>
  <si>
    <t xml:space="preserve">SDN|mit.inv.grid.2</t>
  </si>
  <si>
    <t xml:space="preserve">SEN|mit.inv.grid.2</t>
  </si>
  <si>
    <t xml:space="preserve">SGP|mit.inv.grid.2</t>
  </si>
  <si>
    <t xml:space="preserve">SLB|mit.inv.grid.2</t>
  </si>
  <si>
    <t xml:space="preserve">SLE|mit.inv.grid.2</t>
  </si>
  <si>
    <t xml:space="preserve">SLV|mit.inv.grid.2</t>
  </si>
  <si>
    <t xml:space="preserve">SOM|mit.inv.grid.2</t>
  </si>
  <si>
    <t xml:space="preserve">SRB|mit.inv.grid.2</t>
  </si>
  <si>
    <t xml:space="preserve">STP|mit.inv.grid.2</t>
  </si>
  <si>
    <t xml:space="preserve">SUR|mit.inv.grid.2</t>
  </si>
  <si>
    <t xml:space="preserve">SVK|mit.inv.grid.2</t>
  </si>
  <si>
    <t xml:space="preserve">SVN|mit.inv.grid.2</t>
  </si>
  <si>
    <t xml:space="preserve">SWE|mit.inv.grid.2</t>
  </si>
  <si>
    <t xml:space="preserve">SWZ|mit.inv.grid.2</t>
  </si>
  <si>
    <t xml:space="preserve">SYC|mit.inv.grid.2</t>
  </si>
  <si>
    <t xml:space="preserve">SYR|mit.inv.grid.2</t>
  </si>
  <si>
    <t xml:space="preserve">TCD|mit.inv.grid.2</t>
  </si>
  <si>
    <t xml:space="preserve">TGO|mit.inv.grid.2</t>
  </si>
  <si>
    <t xml:space="preserve">THA|mit.inv.grid.2</t>
  </si>
  <si>
    <t xml:space="preserve">TJK|mit.inv.grid.2</t>
  </si>
  <si>
    <t xml:space="preserve">TKM|mit.inv.grid.2</t>
  </si>
  <si>
    <t xml:space="preserve">TLS|mit.inv.grid.2</t>
  </si>
  <si>
    <t xml:space="preserve">TON|mit.inv.grid.2</t>
  </si>
  <si>
    <t xml:space="preserve">TTO|mit.inv.grid.2</t>
  </si>
  <si>
    <t xml:space="preserve">TUN|mit.inv.grid.2</t>
  </si>
  <si>
    <t xml:space="preserve">TUR|mit.inv.grid.2</t>
  </si>
  <si>
    <t xml:space="preserve">TZA|mit.inv.grid.2</t>
  </si>
  <si>
    <t xml:space="preserve">UGA|mit.inv.grid.2</t>
  </si>
  <si>
    <t xml:space="preserve">UKR|mit.inv.grid.2</t>
  </si>
  <si>
    <t xml:space="preserve">URY|mit.inv.grid.2</t>
  </si>
  <si>
    <t xml:space="preserve">USA|mit.inv.grid.2</t>
  </si>
  <si>
    <t xml:space="preserve">UZB|mit.inv.grid.2</t>
  </si>
  <si>
    <t xml:space="preserve">VCT|mit.inv.grid.2</t>
  </si>
  <si>
    <t xml:space="preserve">VEN|mit.inv.grid.2</t>
  </si>
  <si>
    <t xml:space="preserve">VNM|mit.inv.grid.2</t>
  </si>
  <si>
    <t xml:space="preserve">VUT|mit.inv.grid.2</t>
  </si>
  <si>
    <t xml:space="preserve">WSM|mit.inv.grid.2</t>
  </si>
  <si>
    <t xml:space="preserve">XKX|mit.inv.grid.2</t>
  </si>
  <si>
    <t xml:space="preserve">YEM|mit.inv.grid.2</t>
  </si>
  <si>
    <t xml:space="preserve">ZAF|mit.inv.grid.2</t>
  </si>
  <si>
    <t xml:space="preserve">ZMB|mit.inv.grid.2</t>
  </si>
  <si>
    <t xml:space="preserve">ZWE|mit.inv.grid.2</t>
  </si>
  <si>
    <t xml:space="preserve">ABW|mit.inv.trn.2</t>
  </si>
  <si>
    <t xml:space="preserve">AFG|mit.inv.trn.2</t>
  </si>
  <si>
    <t xml:space="preserve">AGO|mit.inv.trn.2</t>
  </si>
  <si>
    <t xml:space="preserve">ALB|mit.inv.trn.2</t>
  </si>
  <si>
    <t xml:space="preserve">ARE|mit.inv.trn.2</t>
  </si>
  <si>
    <t xml:space="preserve">ARG|mit.inv.trn.2</t>
  </si>
  <si>
    <t xml:space="preserve">ARM|mit.inv.trn.2</t>
  </si>
  <si>
    <t xml:space="preserve">ATG|mit.inv.trn.2</t>
  </si>
  <si>
    <t xml:space="preserve">AUS|mit.inv.trn.2</t>
  </si>
  <si>
    <t xml:space="preserve">AUT|mit.inv.trn.2</t>
  </si>
  <si>
    <t xml:space="preserve">AZE|mit.inv.trn.2</t>
  </si>
  <si>
    <t xml:space="preserve">BDI|mit.inv.trn.2</t>
  </si>
  <si>
    <t xml:space="preserve">BEL|mit.inv.trn.2</t>
  </si>
  <si>
    <t xml:space="preserve">BEN|mit.inv.trn.2</t>
  </si>
  <si>
    <t xml:space="preserve">BFA|mit.inv.trn.2</t>
  </si>
  <si>
    <t xml:space="preserve">BGD|mit.inv.trn.2</t>
  </si>
  <si>
    <t xml:space="preserve">BGR|mit.inv.trn.2</t>
  </si>
  <si>
    <t xml:space="preserve">BHR|mit.inv.trn.2</t>
  </si>
  <si>
    <t xml:space="preserve">BHS|mit.inv.trn.2</t>
  </si>
  <si>
    <t xml:space="preserve">BIH|mit.inv.trn.2</t>
  </si>
  <si>
    <t xml:space="preserve">BLR|mit.inv.trn.2</t>
  </si>
  <si>
    <t xml:space="preserve">BLZ|mit.inv.trn.2</t>
  </si>
  <si>
    <t xml:space="preserve">BOL|mit.inv.trn.2</t>
  </si>
  <si>
    <t xml:space="preserve">BRA|mit.inv.trn.2</t>
  </si>
  <si>
    <t xml:space="preserve">BRB|mit.inv.trn.2</t>
  </si>
  <si>
    <t xml:space="preserve">BRN|mit.inv.trn.2</t>
  </si>
  <si>
    <t xml:space="preserve">BTN|mit.inv.trn.2</t>
  </si>
  <si>
    <t xml:space="preserve">BWA|mit.inv.trn.2</t>
  </si>
  <si>
    <t xml:space="preserve">CAF|mit.inv.trn.2</t>
  </si>
  <si>
    <t xml:space="preserve">CAN|mit.inv.trn.2</t>
  </si>
  <si>
    <t xml:space="preserve">CHE|mit.inv.trn.2</t>
  </si>
  <si>
    <t xml:space="preserve">CHL|mit.inv.trn.2</t>
  </si>
  <si>
    <t xml:space="preserve">CHN|mit.inv.trn.2</t>
  </si>
  <si>
    <t xml:space="preserve">CIV|mit.inv.trn.2</t>
  </si>
  <si>
    <t xml:space="preserve">CMR|mit.inv.trn.2</t>
  </si>
  <si>
    <t xml:space="preserve">COD|mit.inv.trn.2</t>
  </si>
  <si>
    <t xml:space="preserve">COG|mit.inv.trn.2</t>
  </si>
  <si>
    <t xml:space="preserve">COL|mit.inv.trn.2</t>
  </si>
  <si>
    <t xml:space="preserve">COM|mit.inv.trn.2</t>
  </si>
  <si>
    <t xml:space="preserve">CPV|mit.inv.trn.2</t>
  </si>
  <si>
    <t xml:space="preserve">CRI|mit.inv.trn.2</t>
  </si>
  <si>
    <t xml:space="preserve">CYP|mit.inv.trn.2</t>
  </si>
  <si>
    <t xml:space="preserve">CZE|mit.inv.trn.2</t>
  </si>
  <si>
    <t xml:space="preserve">DEU|mit.inv.trn.2</t>
  </si>
  <si>
    <t xml:space="preserve">DJI|mit.inv.trn.2</t>
  </si>
  <si>
    <t xml:space="preserve">DMA|mit.inv.trn.2</t>
  </si>
  <si>
    <t xml:space="preserve">DNK|mit.inv.trn.2</t>
  </si>
  <si>
    <t xml:space="preserve">DOM|mit.inv.trn.2</t>
  </si>
  <si>
    <t xml:space="preserve">DZA|mit.inv.trn.2</t>
  </si>
  <si>
    <t xml:space="preserve">ECU|mit.inv.trn.2</t>
  </si>
  <si>
    <t xml:space="preserve">EGY|mit.inv.trn.2</t>
  </si>
  <si>
    <t xml:space="preserve">ESP|mit.inv.trn.2</t>
  </si>
  <si>
    <t xml:space="preserve">EST|mit.inv.trn.2</t>
  </si>
  <si>
    <t xml:space="preserve">ETH|mit.inv.trn.2</t>
  </si>
  <si>
    <t xml:space="preserve">FIN|mit.inv.trn.2</t>
  </si>
  <si>
    <t xml:space="preserve">FJI|mit.inv.trn.2</t>
  </si>
  <si>
    <t xml:space="preserve">FRA|mit.inv.trn.2</t>
  </si>
  <si>
    <t xml:space="preserve">GAB|mit.inv.trn.2</t>
  </si>
  <si>
    <t xml:space="preserve">GBR|mit.inv.trn.2</t>
  </si>
  <si>
    <t xml:space="preserve">GEO|mit.inv.trn.2</t>
  </si>
  <si>
    <t xml:space="preserve">GHA|mit.inv.trn.2</t>
  </si>
  <si>
    <t xml:space="preserve">GIN|mit.inv.trn.2</t>
  </si>
  <si>
    <t xml:space="preserve">GMB|mit.inv.trn.2</t>
  </si>
  <si>
    <t xml:space="preserve">GNB|mit.inv.trn.2</t>
  </si>
  <si>
    <t xml:space="preserve">GNQ|mit.inv.trn.2</t>
  </si>
  <si>
    <t xml:space="preserve">GRC|mit.inv.trn.2</t>
  </si>
  <si>
    <t xml:space="preserve">GRD|mit.inv.trn.2</t>
  </si>
  <si>
    <t xml:space="preserve">GTM|mit.inv.trn.2</t>
  </si>
  <si>
    <t xml:space="preserve">GUY|mit.inv.trn.2</t>
  </si>
  <si>
    <t xml:space="preserve">HKG|mit.inv.trn.2</t>
  </si>
  <si>
    <t xml:space="preserve">HND|mit.inv.trn.2</t>
  </si>
  <si>
    <t xml:space="preserve">HRV|mit.inv.trn.2</t>
  </si>
  <si>
    <t xml:space="preserve">HTI|mit.inv.trn.2</t>
  </si>
  <si>
    <t xml:space="preserve">HUN|mit.inv.trn.2</t>
  </si>
  <si>
    <t xml:space="preserve">IDN|mit.inv.trn.2</t>
  </si>
  <si>
    <t xml:space="preserve">IND|mit.inv.trn.2</t>
  </si>
  <si>
    <t xml:space="preserve">IRL|mit.inv.trn.2</t>
  </si>
  <si>
    <t xml:space="preserve">IRN|mit.inv.trn.2</t>
  </si>
  <si>
    <t xml:space="preserve">IRQ|mit.inv.trn.2</t>
  </si>
  <si>
    <t xml:space="preserve">ISL|mit.inv.trn.2</t>
  </si>
  <si>
    <t xml:space="preserve">ISR|mit.inv.trn.2</t>
  </si>
  <si>
    <t xml:space="preserve">ITA|mit.inv.trn.2</t>
  </si>
  <si>
    <t xml:space="preserve">JAM|mit.inv.trn.2</t>
  </si>
  <si>
    <t xml:space="preserve">JOR|mit.inv.trn.2</t>
  </si>
  <si>
    <t xml:space="preserve">JPN|mit.inv.trn.2</t>
  </si>
  <si>
    <t xml:space="preserve">KAZ|mit.inv.trn.2</t>
  </si>
  <si>
    <t xml:space="preserve">KEN|mit.inv.trn.2</t>
  </si>
  <si>
    <t xml:space="preserve">KGZ|mit.inv.trn.2</t>
  </si>
  <si>
    <t xml:space="preserve">KHM|mit.inv.trn.2</t>
  </si>
  <si>
    <t xml:space="preserve">KNA|mit.inv.trn.2</t>
  </si>
  <si>
    <t xml:space="preserve">KOR|mit.inv.trn.2</t>
  </si>
  <si>
    <t xml:space="preserve">KWT|mit.inv.trn.2</t>
  </si>
  <si>
    <t xml:space="preserve">LAO|mit.inv.trn.2</t>
  </si>
  <si>
    <t xml:space="preserve">LBN|mit.inv.trn.2</t>
  </si>
  <si>
    <t xml:space="preserve">LBR|mit.inv.trn.2</t>
  </si>
  <si>
    <t xml:space="preserve">LBY|mit.inv.trn.2</t>
  </si>
  <si>
    <t xml:space="preserve">LCA|mit.inv.trn.2</t>
  </si>
  <si>
    <t xml:space="preserve">LKA|mit.inv.trn.2</t>
  </si>
  <si>
    <t xml:space="preserve">LSO|mit.inv.trn.2</t>
  </si>
  <si>
    <t xml:space="preserve">LTU|mit.inv.trn.2</t>
  </si>
  <si>
    <t xml:space="preserve">LUX|mit.inv.trn.2</t>
  </si>
  <si>
    <t xml:space="preserve">LVA|mit.inv.trn.2</t>
  </si>
  <si>
    <t xml:space="preserve">MAC|mit.inv.trn.2</t>
  </si>
  <si>
    <t xml:space="preserve">MAR|mit.inv.trn.2</t>
  </si>
  <si>
    <t xml:space="preserve">MDA|mit.inv.trn.2</t>
  </si>
  <si>
    <t xml:space="preserve">MDG|mit.inv.trn.2</t>
  </si>
  <si>
    <t xml:space="preserve">MDV|mit.inv.trn.2</t>
  </si>
  <si>
    <t xml:space="preserve">MEX|mit.inv.trn.2</t>
  </si>
  <si>
    <t xml:space="preserve">MKD|mit.inv.trn.2</t>
  </si>
  <si>
    <t xml:space="preserve">MLI|mit.inv.trn.2</t>
  </si>
  <si>
    <t xml:space="preserve">MLT|mit.inv.trn.2</t>
  </si>
  <si>
    <t xml:space="preserve">MMR|mit.inv.trn.2</t>
  </si>
  <si>
    <t xml:space="preserve">MNE|mit.inv.trn.2</t>
  </si>
  <si>
    <t xml:space="preserve">MNG|mit.inv.trn.2</t>
  </si>
  <si>
    <t xml:space="preserve">MOZ|mit.inv.trn.2</t>
  </si>
  <si>
    <t xml:space="preserve">MRT|mit.inv.trn.2</t>
  </si>
  <si>
    <t xml:space="preserve">MUS|mit.inv.trn.2</t>
  </si>
  <si>
    <t xml:space="preserve">MWI|mit.inv.trn.2</t>
  </si>
  <si>
    <t xml:space="preserve">MYS|mit.inv.trn.2</t>
  </si>
  <si>
    <t xml:space="preserve">NAM|mit.inv.trn.2</t>
  </si>
  <si>
    <t xml:space="preserve">NER|mit.inv.trn.2</t>
  </si>
  <si>
    <t xml:space="preserve">NGA|mit.inv.trn.2</t>
  </si>
  <si>
    <t xml:space="preserve">NIC|mit.inv.trn.2</t>
  </si>
  <si>
    <t xml:space="preserve">NLD|mit.inv.trn.2</t>
  </si>
  <si>
    <t xml:space="preserve">NOR|mit.inv.trn.2</t>
  </si>
  <si>
    <t xml:space="preserve">NPL|mit.inv.trn.2</t>
  </si>
  <si>
    <t xml:space="preserve">NRU|mit.inv.trn.2</t>
  </si>
  <si>
    <t xml:space="preserve">NZL|mit.inv.trn.2</t>
  </si>
  <si>
    <t xml:space="preserve">OMN|mit.inv.trn.2</t>
  </si>
  <si>
    <t xml:space="preserve">PAK|mit.inv.trn.2</t>
  </si>
  <si>
    <t xml:space="preserve">PAN|mit.inv.trn.2</t>
  </si>
  <si>
    <t xml:space="preserve">PER|mit.inv.trn.2</t>
  </si>
  <si>
    <t xml:space="preserve">PHL|mit.inv.trn.2</t>
  </si>
  <si>
    <t xml:space="preserve">PLW|mit.inv.trn.2</t>
  </si>
  <si>
    <t xml:space="preserve">PNG|mit.inv.trn.2</t>
  </si>
  <si>
    <t xml:space="preserve">POL|mit.inv.trn.2</t>
  </si>
  <si>
    <t xml:space="preserve">PRI|mit.inv.trn.2</t>
  </si>
  <si>
    <t xml:space="preserve">PRT|mit.inv.trn.2</t>
  </si>
  <si>
    <t xml:space="preserve">PRY|mit.inv.trn.2</t>
  </si>
  <si>
    <t xml:space="preserve">QAT|mit.inv.trn.2</t>
  </si>
  <si>
    <t xml:space="preserve">ROU|mit.inv.trn.2</t>
  </si>
  <si>
    <t xml:space="preserve">RUS|mit.inv.trn.2</t>
  </si>
  <si>
    <t xml:space="preserve">RWA|mit.inv.trn.2</t>
  </si>
  <si>
    <t xml:space="preserve">SAU|mit.inv.trn.2</t>
  </si>
  <si>
    <t xml:space="preserve">SDN|mit.inv.trn.2</t>
  </si>
  <si>
    <t xml:space="preserve">SEN|mit.inv.trn.2</t>
  </si>
  <si>
    <t xml:space="preserve">SGP|mit.inv.trn.2</t>
  </si>
  <si>
    <t xml:space="preserve">SLB|mit.inv.trn.2</t>
  </si>
  <si>
    <t xml:space="preserve">SLE|mit.inv.trn.2</t>
  </si>
  <si>
    <t xml:space="preserve">SLV|mit.inv.trn.2</t>
  </si>
  <si>
    <t xml:space="preserve">SOM|mit.inv.trn.2</t>
  </si>
  <si>
    <t xml:space="preserve">SRB|mit.inv.trn.2</t>
  </si>
  <si>
    <t xml:space="preserve">STP|mit.inv.trn.2</t>
  </si>
  <si>
    <t xml:space="preserve">SUR|mit.inv.trn.2</t>
  </si>
  <si>
    <t xml:space="preserve">SVK|mit.inv.trn.2</t>
  </si>
  <si>
    <t xml:space="preserve">SVN|mit.inv.trn.2</t>
  </si>
  <si>
    <t xml:space="preserve">SWE|mit.inv.trn.2</t>
  </si>
  <si>
    <t xml:space="preserve">SWZ|mit.inv.trn.2</t>
  </si>
  <si>
    <t xml:space="preserve">SYC|mit.inv.trn.2</t>
  </si>
  <si>
    <t xml:space="preserve">SYR|mit.inv.trn.2</t>
  </si>
  <si>
    <t xml:space="preserve">TCD|mit.inv.trn.2</t>
  </si>
  <si>
    <t xml:space="preserve">TGO|mit.inv.trn.2</t>
  </si>
  <si>
    <t xml:space="preserve">THA|mit.inv.trn.2</t>
  </si>
  <si>
    <t xml:space="preserve">TJK|mit.inv.trn.2</t>
  </si>
  <si>
    <t xml:space="preserve">TKM|mit.inv.trn.2</t>
  </si>
  <si>
    <t xml:space="preserve">TLS|mit.inv.trn.2</t>
  </si>
  <si>
    <t xml:space="preserve">TON|mit.inv.trn.2</t>
  </si>
  <si>
    <t xml:space="preserve">TTO|mit.inv.trn.2</t>
  </si>
  <si>
    <t xml:space="preserve">TUN|mit.inv.trn.2</t>
  </si>
  <si>
    <t xml:space="preserve">TUR|mit.inv.trn.2</t>
  </si>
  <si>
    <t xml:space="preserve">TZA|mit.inv.trn.2</t>
  </si>
  <si>
    <t xml:space="preserve">UGA|mit.inv.trn.2</t>
  </si>
  <si>
    <t xml:space="preserve">UKR|mit.inv.trn.2</t>
  </si>
  <si>
    <t xml:space="preserve">URY|mit.inv.trn.2</t>
  </si>
  <si>
    <t xml:space="preserve">USA|mit.inv.trn.2</t>
  </si>
  <si>
    <t xml:space="preserve">UZB|mit.inv.trn.2</t>
  </si>
  <si>
    <t xml:space="preserve">VCT|mit.inv.trn.2</t>
  </si>
  <si>
    <t xml:space="preserve">VEN|mit.inv.trn.2</t>
  </si>
  <si>
    <t xml:space="preserve">VNM|mit.inv.trn.2</t>
  </si>
  <si>
    <t xml:space="preserve">VUT|mit.inv.trn.2</t>
  </si>
  <si>
    <t xml:space="preserve">WSM|mit.inv.trn.2</t>
  </si>
  <si>
    <t xml:space="preserve">XKX|mit.inv.trn.2</t>
  </si>
  <si>
    <t xml:space="preserve">YEM|mit.inv.trn.2</t>
  </si>
  <si>
    <t xml:space="preserve">ZAF|mit.inv.trn.2</t>
  </si>
  <si>
    <t xml:space="preserve">ZMB|mit.inv.trn.2</t>
  </si>
  <si>
    <t xml:space="preserve">ZWE|mit.inv.trn.2</t>
  </si>
  <si>
    <t xml:space="preserve">ABW|mit.inv.bld.2</t>
  </si>
  <si>
    <t xml:space="preserve">AFG|mit.inv.bld.2</t>
  </si>
  <si>
    <t xml:space="preserve">AGO|mit.inv.bld.2</t>
  </si>
  <si>
    <t xml:space="preserve">ALB|mit.inv.bld.2</t>
  </si>
  <si>
    <t xml:space="preserve">ARE|mit.inv.bld.2</t>
  </si>
  <si>
    <t xml:space="preserve">ARG|mit.inv.bld.2</t>
  </si>
  <si>
    <t xml:space="preserve">ARM|mit.inv.bld.2</t>
  </si>
  <si>
    <t xml:space="preserve">ATG|mit.inv.bld.2</t>
  </si>
  <si>
    <t xml:space="preserve">AUS|mit.inv.bld.2</t>
  </si>
  <si>
    <t xml:space="preserve">AUT|mit.inv.bld.2</t>
  </si>
  <si>
    <t xml:space="preserve">AZE|mit.inv.bld.2</t>
  </si>
  <si>
    <t xml:space="preserve">BDI|mit.inv.bld.2</t>
  </si>
  <si>
    <t xml:space="preserve">BEL|mit.inv.bld.2</t>
  </si>
  <si>
    <t xml:space="preserve">BEN|mit.inv.bld.2</t>
  </si>
  <si>
    <t xml:space="preserve">BFA|mit.inv.bld.2</t>
  </si>
  <si>
    <t xml:space="preserve">BGD|mit.inv.bld.2</t>
  </si>
  <si>
    <t xml:space="preserve">BGR|mit.inv.bld.2</t>
  </si>
  <si>
    <t xml:space="preserve">BHR|mit.inv.bld.2</t>
  </si>
  <si>
    <t xml:space="preserve">BHS|mit.inv.bld.2</t>
  </si>
  <si>
    <t xml:space="preserve">BIH|mit.inv.bld.2</t>
  </si>
  <si>
    <t xml:space="preserve">BLR|mit.inv.bld.2</t>
  </si>
  <si>
    <t xml:space="preserve">BLZ|mit.inv.bld.2</t>
  </si>
  <si>
    <t xml:space="preserve">BOL|mit.inv.bld.2</t>
  </si>
  <si>
    <t xml:space="preserve">BRA|mit.inv.bld.2</t>
  </si>
  <si>
    <t xml:space="preserve">BRB|mit.inv.bld.2</t>
  </si>
  <si>
    <t xml:space="preserve">BRN|mit.inv.bld.2</t>
  </si>
  <si>
    <t xml:space="preserve">BTN|mit.inv.bld.2</t>
  </si>
  <si>
    <t xml:space="preserve">BWA|mit.inv.bld.2</t>
  </si>
  <si>
    <t xml:space="preserve">CAF|mit.inv.bld.2</t>
  </si>
  <si>
    <t xml:space="preserve">CAN|mit.inv.bld.2</t>
  </si>
  <si>
    <t xml:space="preserve">CHE|mit.inv.bld.2</t>
  </si>
  <si>
    <t xml:space="preserve">CHL|mit.inv.bld.2</t>
  </si>
  <si>
    <t xml:space="preserve">CHN|mit.inv.bld.2</t>
  </si>
  <si>
    <t xml:space="preserve">CIV|mit.inv.bld.2</t>
  </si>
  <si>
    <t xml:space="preserve">CMR|mit.inv.bld.2</t>
  </si>
  <si>
    <t xml:space="preserve">COD|mit.inv.bld.2</t>
  </si>
  <si>
    <t xml:space="preserve">COG|mit.inv.bld.2</t>
  </si>
  <si>
    <t xml:space="preserve">COL|mit.inv.bld.2</t>
  </si>
  <si>
    <t xml:space="preserve">COM|mit.inv.bld.2</t>
  </si>
  <si>
    <t xml:space="preserve">CPV|mit.inv.bld.2</t>
  </si>
  <si>
    <t xml:space="preserve">CRI|mit.inv.bld.2</t>
  </si>
  <si>
    <t xml:space="preserve">CYP|mit.inv.bld.2</t>
  </si>
  <si>
    <t xml:space="preserve">CZE|mit.inv.bld.2</t>
  </si>
  <si>
    <t xml:space="preserve">DEU|mit.inv.bld.2</t>
  </si>
  <si>
    <t xml:space="preserve">DJI|mit.inv.bld.2</t>
  </si>
  <si>
    <t xml:space="preserve">DMA|mit.inv.bld.2</t>
  </si>
  <si>
    <t xml:space="preserve">DNK|mit.inv.bld.2</t>
  </si>
  <si>
    <t xml:space="preserve">DOM|mit.inv.bld.2</t>
  </si>
  <si>
    <t xml:space="preserve">DZA|mit.inv.bld.2</t>
  </si>
  <si>
    <t xml:space="preserve">ECU|mit.inv.bld.2</t>
  </si>
  <si>
    <t xml:space="preserve">EGY|mit.inv.bld.2</t>
  </si>
  <si>
    <t xml:space="preserve">ESP|mit.inv.bld.2</t>
  </si>
  <si>
    <t xml:space="preserve">EST|mit.inv.bld.2</t>
  </si>
  <si>
    <t xml:space="preserve">ETH|mit.inv.bld.2</t>
  </si>
  <si>
    <t xml:space="preserve">FIN|mit.inv.bld.2</t>
  </si>
  <si>
    <t xml:space="preserve">FJI|mit.inv.bld.2</t>
  </si>
  <si>
    <t xml:space="preserve">FRA|mit.inv.bld.2</t>
  </si>
  <si>
    <t xml:space="preserve">GAB|mit.inv.bld.2</t>
  </si>
  <si>
    <t xml:space="preserve">GBR|mit.inv.bld.2</t>
  </si>
  <si>
    <t xml:space="preserve">GEO|mit.inv.bld.2</t>
  </si>
  <si>
    <t xml:space="preserve">GHA|mit.inv.bld.2</t>
  </si>
  <si>
    <t xml:space="preserve">GIN|mit.inv.bld.2</t>
  </si>
  <si>
    <t xml:space="preserve">GMB|mit.inv.bld.2</t>
  </si>
  <si>
    <t xml:space="preserve">GNB|mit.inv.bld.2</t>
  </si>
  <si>
    <t xml:space="preserve">GNQ|mit.inv.bld.2</t>
  </si>
  <si>
    <t xml:space="preserve">GRC|mit.inv.bld.2</t>
  </si>
  <si>
    <t xml:space="preserve">GRD|mit.inv.bld.2</t>
  </si>
  <si>
    <t xml:space="preserve">GTM|mit.inv.bld.2</t>
  </si>
  <si>
    <t xml:space="preserve">GUY|mit.inv.bld.2</t>
  </si>
  <si>
    <t xml:space="preserve">HKG|mit.inv.bld.2</t>
  </si>
  <si>
    <t xml:space="preserve">HND|mit.inv.bld.2</t>
  </si>
  <si>
    <t xml:space="preserve">HRV|mit.inv.bld.2</t>
  </si>
  <si>
    <t xml:space="preserve">HTI|mit.inv.bld.2</t>
  </si>
  <si>
    <t xml:space="preserve">HUN|mit.inv.bld.2</t>
  </si>
  <si>
    <t xml:space="preserve">IDN|mit.inv.bld.2</t>
  </si>
  <si>
    <t xml:space="preserve">IND|mit.inv.bld.2</t>
  </si>
  <si>
    <t xml:space="preserve">IRL|mit.inv.bld.2</t>
  </si>
  <si>
    <t xml:space="preserve">IRN|mit.inv.bld.2</t>
  </si>
  <si>
    <t xml:space="preserve">IRQ|mit.inv.bld.2</t>
  </si>
  <si>
    <t xml:space="preserve">ISL|mit.inv.bld.2</t>
  </si>
  <si>
    <t xml:space="preserve">ISR|mit.inv.bld.2</t>
  </si>
  <si>
    <t xml:space="preserve">ITA|mit.inv.bld.2</t>
  </si>
  <si>
    <t xml:space="preserve">JAM|mit.inv.bld.2</t>
  </si>
  <si>
    <t xml:space="preserve">JOR|mit.inv.bld.2</t>
  </si>
  <si>
    <t xml:space="preserve">JPN|mit.inv.bld.2</t>
  </si>
  <si>
    <t xml:space="preserve">KAZ|mit.inv.bld.2</t>
  </si>
  <si>
    <t xml:space="preserve">KEN|mit.inv.bld.2</t>
  </si>
  <si>
    <t xml:space="preserve">KGZ|mit.inv.bld.2</t>
  </si>
  <si>
    <t xml:space="preserve">KHM|mit.inv.bld.2</t>
  </si>
  <si>
    <t xml:space="preserve">KNA|mit.inv.bld.2</t>
  </si>
  <si>
    <t xml:space="preserve">KOR|mit.inv.bld.2</t>
  </si>
  <si>
    <t xml:space="preserve">KWT|mit.inv.bld.2</t>
  </si>
  <si>
    <t xml:space="preserve">LAO|mit.inv.bld.2</t>
  </si>
  <si>
    <t xml:space="preserve">LBN|mit.inv.bld.2</t>
  </si>
  <si>
    <t xml:space="preserve">LBR|mit.inv.bld.2</t>
  </si>
  <si>
    <t xml:space="preserve">LBY|mit.inv.bld.2</t>
  </si>
  <si>
    <t xml:space="preserve">LCA|mit.inv.bld.2</t>
  </si>
  <si>
    <t xml:space="preserve">LKA|mit.inv.bld.2</t>
  </si>
  <si>
    <t xml:space="preserve">LSO|mit.inv.bld.2</t>
  </si>
  <si>
    <t xml:space="preserve">LTU|mit.inv.bld.2</t>
  </si>
  <si>
    <t xml:space="preserve">LUX|mit.inv.bld.2</t>
  </si>
  <si>
    <t xml:space="preserve">LVA|mit.inv.bld.2</t>
  </si>
  <si>
    <t xml:space="preserve">MAC|mit.inv.bld.2</t>
  </si>
  <si>
    <t xml:space="preserve">MAR|mit.inv.bld.2</t>
  </si>
  <si>
    <t xml:space="preserve">MDA|mit.inv.bld.2</t>
  </si>
  <si>
    <t xml:space="preserve">MDG|mit.inv.bld.2</t>
  </si>
  <si>
    <t xml:space="preserve">MDV|mit.inv.bld.2</t>
  </si>
  <si>
    <t xml:space="preserve">MEX|mit.inv.bld.2</t>
  </si>
  <si>
    <t xml:space="preserve">MKD|mit.inv.bld.2</t>
  </si>
  <si>
    <t xml:space="preserve">MLI|mit.inv.bld.2</t>
  </si>
  <si>
    <t xml:space="preserve">MLT|mit.inv.bld.2</t>
  </si>
  <si>
    <t xml:space="preserve">MMR|mit.inv.bld.2</t>
  </si>
  <si>
    <t xml:space="preserve">MNE|mit.inv.bld.2</t>
  </si>
  <si>
    <t xml:space="preserve">MNG|mit.inv.bld.2</t>
  </si>
  <si>
    <t xml:space="preserve">MOZ|mit.inv.bld.2</t>
  </si>
  <si>
    <t xml:space="preserve">MRT|mit.inv.bld.2</t>
  </si>
  <si>
    <t xml:space="preserve">MUS|mit.inv.bld.2</t>
  </si>
  <si>
    <t xml:space="preserve">MWI|mit.inv.bld.2</t>
  </si>
  <si>
    <t xml:space="preserve">MYS|mit.inv.bld.2</t>
  </si>
  <si>
    <t xml:space="preserve">NAM|mit.inv.bld.2</t>
  </si>
  <si>
    <t xml:space="preserve">NER|mit.inv.bld.2</t>
  </si>
  <si>
    <t xml:space="preserve">NGA|mit.inv.bld.2</t>
  </si>
  <si>
    <t xml:space="preserve">NIC|mit.inv.bld.2</t>
  </si>
  <si>
    <t xml:space="preserve">NLD|mit.inv.bld.2</t>
  </si>
  <si>
    <t xml:space="preserve">NOR|mit.inv.bld.2</t>
  </si>
  <si>
    <t xml:space="preserve">NPL|mit.inv.bld.2</t>
  </si>
  <si>
    <t xml:space="preserve">NRU|mit.inv.bld.2</t>
  </si>
  <si>
    <t xml:space="preserve">NZL|mit.inv.bld.2</t>
  </si>
  <si>
    <t xml:space="preserve">OMN|mit.inv.bld.2</t>
  </si>
  <si>
    <t xml:space="preserve">PAK|mit.inv.bld.2</t>
  </si>
  <si>
    <t xml:space="preserve">PAN|mit.inv.bld.2</t>
  </si>
  <si>
    <t xml:space="preserve">PER|mit.inv.bld.2</t>
  </si>
  <si>
    <t xml:space="preserve">PHL|mit.inv.bld.2</t>
  </si>
  <si>
    <t xml:space="preserve">PLW|mit.inv.bld.2</t>
  </si>
  <si>
    <t xml:space="preserve">PNG|mit.inv.bld.2</t>
  </si>
  <si>
    <t xml:space="preserve">POL|mit.inv.bld.2</t>
  </si>
  <si>
    <t xml:space="preserve">PRI|mit.inv.bld.2</t>
  </si>
  <si>
    <t xml:space="preserve">PRT|mit.inv.bld.2</t>
  </si>
  <si>
    <t xml:space="preserve">PRY|mit.inv.bld.2</t>
  </si>
  <si>
    <t xml:space="preserve">QAT|mit.inv.bld.2</t>
  </si>
  <si>
    <t xml:space="preserve">ROU|mit.inv.bld.2</t>
  </si>
  <si>
    <t xml:space="preserve">RUS|mit.inv.bld.2</t>
  </si>
  <si>
    <t xml:space="preserve">RWA|mit.inv.bld.2</t>
  </si>
  <si>
    <t xml:space="preserve">SAU|mit.inv.bld.2</t>
  </si>
  <si>
    <t xml:space="preserve">SDN|mit.inv.bld.2</t>
  </si>
  <si>
    <t xml:space="preserve">SEN|mit.inv.bld.2</t>
  </si>
  <si>
    <t xml:space="preserve">SGP|mit.inv.bld.2</t>
  </si>
  <si>
    <t xml:space="preserve">SLB|mit.inv.bld.2</t>
  </si>
  <si>
    <t xml:space="preserve">SLE|mit.inv.bld.2</t>
  </si>
  <si>
    <t xml:space="preserve">SLV|mit.inv.bld.2</t>
  </si>
  <si>
    <t xml:space="preserve">SOM|mit.inv.bld.2</t>
  </si>
  <si>
    <t xml:space="preserve">SRB|mit.inv.bld.2</t>
  </si>
  <si>
    <t xml:space="preserve">STP|mit.inv.bld.2</t>
  </si>
  <si>
    <t xml:space="preserve">SUR|mit.inv.bld.2</t>
  </si>
  <si>
    <t xml:space="preserve">SVK|mit.inv.bld.2</t>
  </si>
  <si>
    <t xml:space="preserve">SVN|mit.inv.bld.2</t>
  </si>
  <si>
    <t xml:space="preserve">SWE|mit.inv.bld.2</t>
  </si>
  <si>
    <t xml:space="preserve">SWZ|mit.inv.bld.2</t>
  </si>
  <si>
    <t xml:space="preserve">SYC|mit.inv.bld.2</t>
  </si>
  <si>
    <t xml:space="preserve">SYR|mit.inv.bld.2</t>
  </si>
  <si>
    <t xml:space="preserve">TCD|mit.inv.bld.2</t>
  </si>
  <si>
    <t xml:space="preserve">TGO|mit.inv.bld.2</t>
  </si>
  <si>
    <t xml:space="preserve">THA|mit.inv.bld.2</t>
  </si>
  <si>
    <t xml:space="preserve">TJK|mit.inv.bld.2</t>
  </si>
  <si>
    <t xml:space="preserve">TKM|mit.inv.bld.2</t>
  </si>
  <si>
    <t xml:space="preserve">TLS|mit.inv.bld.2</t>
  </si>
  <si>
    <t xml:space="preserve">TON|mit.inv.bld.2</t>
  </si>
  <si>
    <t xml:space="preserve">TTO|mit.inv.bld.2</t>
  </si>
  <si>
    <t xml:space="preserve">TUN|mit.inv.bld.2</t>
  </si>
  <si>
    <t xml:space="preserve">TUR|mit.inv.bld.2</t>
  </si>
  <si>
    <t xml:space="preserve">TZA|mit.inv.bld.2</t>
  </si>
  <si>
    <t xml:space="preserve">UGA|mit.inv.bld.2</t>
  </si>
  <si>
    <t xml:space="preserve">UKR|mit.inv.bld.2</t>
  </si>
  <si>
    <t xml:space="preserve">URY|mit.inv.bld.2</t>
  </si>
  <si>
    <t xml:space="preserve">USA|mit.inv.bld.2</t>
  </si>
  <si>
    <t xml:space="preserve">UZB|mit.inv.bld.2</t>
  </si>
  <si>
    <t xml:space="preserve">VCT|mit.inv.bld.2</t>
  </si>
  <si>
    <t xml:space="preserve">VEN|mit.inv.bld.2</t>
  </si>
  <si>
    <t xml:space="preserve">VNM|mit.inv.bld.2</t>
  </si>
  <si>
    <t xml:space="preserve">VUT|mit.inv.bld.2</t>
  </si>
  <si>
    <t xml:space="preserve">WSM|mit.inv.bld.2</t>
  </si>
  <si>
    <t xml:space="preserve">XKX|mit.inv.bld.2</t>
  </si>
  <si>
    <t xml:space="preserve">YEM|mit.inv.bld.2</t>
  </si>
  <si>
    <t xml:space="preserve">ZAF|mit.inv.bld.2</t>
  </si>
  <si>
    <t xml:space="preserve">ZMB|mit.inv.bld.2</t>
  </si>
  <si>
    <t xml:space="preserve">ZWE|mit.inv.bld.2</t>
  </si>
  <si>
    <t xml:space="preserve">ABW|mit.inv.ind.2</t>
  </si>
  <si>
    <t xml:space="preserve">AFG|mit.inv.ind.2</t>
  </si>
  <si>
    <t xml:space="preserve">AGO|mit.inv.ind.2</t>
  </si>
  <si>
    <t xml:space="preserve">ALB|mit.inv.ind.2</t>
  </si>
  <si>
    <t xml:space="preserve">ARE|mit.inv.ind.2</t>
  </si>
  <si>
    <t xml:space="preserve">ARG|mit.inv.ind.2</t>
  </si>
  <si>
    <t xml:space="preserve">ARM|mit.inv.ind.2</t>
  </si>
  <si>
    <t xml:space="preserve">ATG|mit.inv.ind.2</t>
  </si>
  <si>
    <t xml:space="preserve">AUS|mit.inv.ind.2</t>
  </si>
  <si>
    <t xml:space="preserve">AUT|mit.inv.ind.2</t>
  </si>
  <si>
    <t xml:space="preserve">AZE|mit.inv.ind.2</t>
  </si>
  <si>
    <t xml:space="preserve">BDI|mit.inv.ind.2</t>
  </si>
  <si>
    <t xml:space="preserve">BEL|mit.inv.ind.2</t>
  </si>
  <si>
    <t xml:space="preserve">BEN|mit.inv.ind.2</t>
  </si>
  <si>
    <t xml:space="preserve">BFA|mit.inv.ind.2</t>
  </si>
  <si>
    <t xml:space="preserve">BGD|mit.inv.ind.2</t>
  </si>
  <si>
    <t xml:space="preserve">BGR|mit.inv.ind.2</t>
  </si>
  <si>
    <t xml:space="preserve">BHR|mit.inv.ind.2</t>
  </si>
  <si>
    <t xml:space="preserve">BHS|mit.inv.ind.2</t>
  </si>
  <si>
    <t xml:space="preserve">BIH|mit.inv.ind.2</t>
  </si>
  <si>
    <t xml:space="preserve">BLR|mit.inv.ind.2</t>
  </si>
  <si>
    <t xml:space="preserve">BLZ|mit.inv.ind.2</t>
  </si>
  <si>
    <t xml:space="preserve">BOL|mit.inv.ind.2</t>
  </si>
  <si>
    <t xml:space="preserve">BRA|mit.inv.ind.2</t>
  </si>
  <si>
    <t xml:space="preserve">BRB|mit.inv.ind.2</t>
  </si>
  <si>
    <t xml:space="preserve">BRN|mit.inv.ind.2</t>
  </si>
  <si>
    <t xml:space="preserve">BTN|mit.inv.ind.2</t>
  </si>
  <si>
    <t xml:space="preserve">BWA|mit.inv.ind.2</t>
  </si>
  <si>
    <t xml:space="preserve">CAF|mit.inv.ind.2</t>
  </si>
  <si>
    <t xml:space="preserve">CAN|mit.inv.ind.2</t>
  </si>
  <si>
    <t xml:space="preserve">CHE|mit.inv.ind.2</t>
  </si>
  <si>
    <t xml:space="preserve">CHL|mit.inv.ind.2</t>
  </si>
  <si>
    <t xml:space="preserve">CHN|mit.inv.ind.2</t>
  </si>
  <si>
    <t xml:space="preserve">CIV|mit.inv.ind.2</t>
  </si>
  <si>
    <t xml:space="preserve">CMR|mit.inv.ind.2</t>
  </si>
  <si>
    <t xml:space="preserve">COD|mit.inv.ind.2</t>
  </si>
  <si>
    <t xml:space="preserve">COG|mit.inv.ind.2</t>
  </si>
  <si>
    <t xml:space="preserve">COL|mit.inv.ind.2</t>
  </si>
  <si>
    <t xml:space="preserve">COM|mit.inv.ind.2</t>
  </si>
  <si>
    <t xml:space="preserve">CPV|mit.inv.ind.2</t>
  </si>
  <si>
    <t xml:space="preserve">CRI|mit.inv.ind.2</t>
  </si>
  <si>
    <t xml:space="preserve">CYP|mit.inv.ind.2</t>
  </si>
  <si>
    <t xml:space="preserve">CZE|mit.inv.ind.2</t>
  </si>
  <si>
    <t xml:space="preserve">DEU|mit.inv.ind.2</t>
  </si>
  <si>
    <t xml:space="preserve">DJI|mit.inv.ind.2</t>
  </si>
  <si>
    <t xml:space="preserve">DMA|mit.inv.ind.2</t>
  </si>
  <si>
    <t xml:space="preserve">DNK|mit.inv.ind.2</t>
  </si>
  <si>
    <t xml:space="preserve">DOM|mit.inv.ind.2</t>
  </si>
  <si>
    <t xml:space="preserve">DZA|mit.inv.ind.2</t>
  </si>
  <si>
    <t xml:space="preserve">ECU|mit.inv.ind.2</t>
  </si>
  <si>
    <t xml:space="preserve">EGY|mit.inv.ind.2</t>
  </si>
  <si>
    <t xml:space="preserve">ESP|mit.inv.ind.2</t>
  </si>
  <si>
    <t xml:space="preserve">EST|mit.inv.ind.2</t>
  </si>
  <si>
    <t xml:space="preserve">ETH|mit.inv.ind.2</t>
  </si>
  <si>
    <t xml:space="preserve">FIN|mit.inv.ind.2</t>
  </si>
  <si>
    <t xml:space="preserve">FJI|mit.inv.ind.2</t>
  </si>
  <si>
    <t xml:space="preserve">FRA|mit.inv.ind.2</t>
  </si>
  <si>
    <t xml:space="preserve">GAB|mit.inv.ind.2</t>
  </si>
  <si>
    <t xml:space="preserve">GBR|mit.inv.ind.2</t>
  </si>
  <si>
    <t xml:space="preserve">GEO|mit.inv.ind.2</t>
  </si>
  <si>
    <t xml:space="preserve">GHA|mit.inv.ind.2</t>
  </si>
  <si>
    <t xml:space="preserve">GIN|mit.inv.ind.2</t>
  </si>
  <si>
    <t xml:space="preserve">GMB|mit.inv.ind.2</t>
  </si>
  <si>
    <t xml:space="preserve">GNB|mit.inv.ind.2</t>
  </si>
  <si>
    <t xml:space="preserve">GNQ|mit.inv.ind.2</t>
  </si>
  <si>
    <t xml:space="preserve">GRC|mit.inv.ind.2</t>
  </si>
  <si>
    <t xml:space="preserve">GRD|mit.inv.ind.2</t>
  </si>
  <si>
    <t xml:space="preserve">GTM|mit.inv.ind.2</t>
  </si>
  <si>
    <t xml:space="preserve">GUY|mit.inv.ind.2</t>
  </si>
  <si>
    <t xml:space="preserve">HKG|mit.inv.ind.2</t>
  </si>
  <si>
    <t xml:space="preserve">HND|mit.inv.ind.2</t>
  </si>
  <si>
    <t xml:space="preserve">HRV|mit.inv.ind.2</t>
  </si>
  <si>
    <t xml:space="preserve">HTI|mit.inv.ind.2</t>
  </si>
  <si>
    <t xml:space="preserve">HUN|mit.inv.ind.2</t>
  </si>
  <si>
    <t xml:space="preserve">IDN|mit.inv.ind.2</t>
  </si>
  <si>
    <t xml:space="preserve">IND|mit.inv.ind.2</t>
  </si>
  <si>
    <t xml:space="preserve">IRL|mit.inv.ind.2</t>
  </si>
  <si>
    <t xml:space="preserve">IRN|mit.inv.ind.2</t>
  </si>
  <si>
    <t xml:space="preserve">IRQ|mit.inv.ind.2</t>
  </si>
  <si>
    <t xml:space="preserve">ISL|mit.inv.ind.2</t>
  </si>
  <si>
    <t xml:space="preserve">ISR|mit.inv.ind.2</t>
  </si>
  <si>
    <t xml:space="preserve">ITA|mit.inv.ind.2</t>
  </si>
  <si>
    <t xml:space="preserve">JAM|mit.inv.ind.2</t>
  </si>
  <si>
    <t xml:space="preserve">JOR|mit.inv.ind.2</t>
  </si>
  <si>
    <t xml:space="preserve">JPN|mit.inv.ind.2</t>
  </si>
  <si>
    <t xml:space="preserve">KAZ|mit.inv.ind.2</t>
  </si>
  <si>
    <t xml:space="preserve">KEN|mit.inv.ind.2</t>
  </si>
  <si>
    <t xml:space="preserve">KGZ|mit.inv.ind.2</t>
  </si>
  <si>
    <t xml:space="preserve">KHM|mit.inv.ind.2</t>
  </si>
  <si>
    <t xml:space="preserve">KNA|mit.inv.ind.2</t>
  </si>
  <si>
    <t xml:space="preserve">KOR|mit.inv.ind.2</t>
  </si>
  <si>
    <t xml:space="preserve">KWT|mit.inv.ind.2</t>
  </si>
  <si>
    <t xml:space="preserve">LAO|mit.inv.ind.2</t>
  </si>
  <si>
    <t xml:space="preserve">LBN|mit.inv.ind.2</t>
  </si>
  <si>
    <t xml:space="preserve">LBR|mit.inv.ind.2</t>
  </si>
  <si>
    <t xml:space="preserve">LBY|mit.inv.ind.2</t>
  </si>
  <si>
    <t xml:space="preserve">LCA|mit.inv.ind.2</t>
  </si>
  <si>
    <t xml:space="preserve">LKA|mit.inv.ind.2</t>
  </si>
  <si>
    <t xml:space="preserve">LSO|mit.inv.ind.2</t>
  </si>
  <si>
    <t xml:space="preserve">LTU|mit.inv.ind.2</t>
  </si>
  <si>
    <t xml:space="preserve">LUX|mit.inv.ind.2</t>
  </si>
  <si>
    <t xml:space="preserve">LVA|mit.inv.ind.2</t>
  </si>
  <si>
    <t xml:space="preserve">MAC|mit.inv.ind.2</t>
  </si>
  <si>
    <t xml:space="preserve">MAR|mit.inv.ind.2</t>
  </si>
  <si>
    <t xml:space="preserve">MDA|mit.inv.ind.2</t>
  </si>
  <si>
    <t xml:space="preserve">MDG|mit.inv.ind.2</t>
  </si>
  <si>
    <t xml:space="preserve">MDV|mit.inv.ind.2</t>
  </si>
  <si>
    <t xml:space="preserve">MEX|mit.inv.ind.2</t>
  </si>
  <si>
    <t xml:space="preserve">MKD|mit.inv.ind.2</t>
  </si>
  <si>
    <t xml:space="preserve">MLI|mit.inv.ind.2</t>
  </si>
  <si>
    <t xml:space="preserve">MLT|mit.inv.ind.2</t>
  </si>
  <si>
    <t xml:space="preserve">MMR|mit.inv.ind.2</t>
  </si>
  <si>
    <t xml:space="preserve">MNE|mit.inv.ind.2</t>
  </si>
  <si>
    <t xml:space="preserve">MNG|mit.inv.ind.2</t>
  </si>
  <si>
    <t xml:space="preserve">MOZ|mit.inv.ind.2</t>
  </si>
  <si>
    <t xml:space="preserve">MRT|mit.inv.ind.2</t>
  </si>
  <si>
    <t xml:space="preserve">MUS|mit.inv.ind.2</t>
  </si>
  <si>
    <t xml:space="preserve">MWI|mit.inv.ind.2</t>
  </si>
  <si>
    <t xml:space="preserve">MYS|mit.inv.ind.2</t>
  </si>
  <si>
    <t xml:space="preserve">NAM|mit.inv.ind.2</t>
  </si>
  <si>
    <t xml:space="preserve">NER|mit.inv.ind.2</t>
  </si>
  <si>
    <t xml:space="preserve">NGA|mit.inv.ind.2</t>
  </si>
  <si>
    <t xml:space="preserve">NIC|mit.inv.ind.2</t>
  </si>
  <si>
    <t xml:space="preserve">NLD|mit.inv.ind.2</t>
  </si>
  <si>
    <t xml:space="preserve">NOR|mit.inv.ind.2</t>
  </si>
  <si>
    <t xml:space="preserve">NPL|mit.inv.ind.2</t>
  </si>
  <si>
    <t xml:space="preserve">NRU|mit.inv.ind.2</t>
  </si>
  <si>
    <t xml:space="preserve">NZL|mit.inv.ind.2</t>
  </si>
  <si>
    <t xml:space="preserve">OMN|mit.inv.ind.2</t>
  </si>
  <si>
    <t xml:space="preserve">PAK|mit.inv.ind.2</t>
  </si>
  <si>
    <t xml:space="preserve">PAN|mit.inv.ind.2</t>
  </si>
  <si>
    <t xml:space="preserve">PER|mit.inv.ind.2</t>
  </si>
  <si>
    <t xml:space="preserve">PHL|mit.inv.ind.2</t>
  </si>
  <si>
    <t xml:space="preserve">PLW|mit.inv.ind.2</t>
  </si>
  <si>
    <t xml:space="preserve">PNG|mit.inv.ind.2</t>
  </si>
  <si>
    <t xml:space="preserve">POL|mit.inv.ind.2</t>
  </si>
  <si>
    <t xml:space="preserve">PRI|mit.inv.ind.2</t>
  </si>
  <si>
    <t xml:space="preserve">PRT|mit.inv.ind.2</t>
  </si>
  <si>
    <t xml:space="preserve">PRY|mit.inv.ind.2</t>
  </si>
  <si>
    <t xml:space="preserve">QAT|mit.inv.ind.2</t>
  </si>
  <si>
    <t xml:space="preserve">ROU|mit.inv.ind.2</t>
  </si>
  <si>
    <t xml:space="preserve">RUS|mit.inv.ind.2</t>
  </si>
  <si>
    <t xml:space="preserve">RWA|mit.inv.ind.2</t>
  </si>
  <si>
    <t xml:space="preserve">SAU|mit.inv.ind.2</t>
  </si>
  <si>
    <t xml:space="preserve">SDN|mit.inv.ind.2</t>
  </si>
  <si>
    <t xml:space="preserve">SEN|mit.inv.ind.2</t>
  </si>
  <si>
    <t xml:space="preserve">SGP|mit.inv.ind.2</t>
  </si>
  <si>
    <t xml:space="preserve">SLB|mit.inv.ind.2</t>
  </si>
  <si>
    <t xml:space="preserve">SLE|mit.inv.ind.2</t>
  </si>
  <si>
    <t xml:space="preserve">SLV|mit.inv.ind.2</t>
  </si>
  <si>
    <t xml:space="preserve">SOM|mit.inv.ind.2</t>
  </si>
  <si>
    <t xml:space="preserve">SRB|mit.inv.ind.2</t>
  </si>
  <si>
    <t xml:space="preserve">STP|mit.inv.ind.2</t>
  </si>
  <si>
    <t xml:space="preserve">SUR|mit.inv.ind.2</t>
  </si>
  <si>
    <t xml:space="preserve">SVK|mit.inv.ind.2</t>
  </si>
  <si>
    <t xml:space="preserve">SVN|mit.inv.ind.2</t>
  </si>
  <si>
    <t xml:space="preserve">SWE|mit.inv.ind.2</t>
  </si>
  <si>
    <t xml:space="preserve">SWZ|mit.inv.ind.2</t>
  </si>
  <si>
    <t xml:space="preserve">SYC|mit.inv.ind.2</t>
  </si>
  <si>
    <t xml:space="preserve">SYR|mit.inv.ind.2</t>
  </si>
  <si>
    <t xml:space="preserve">TCD|mit.inv.ind.2</t>
  </si>
  <si>
    <t xml:space="preserve">TGO|mit.inv.ind.2</t>
  </si>
  <si>
    <t xml:space="preserve">THA|mit.inv.ind.2</t>
  </si>
  <si>
    <t xml:space="preserve">TJK|mit.inv.ind.2</t>
  </si>
  <si>
    <t xml:space="preserve">TKM|mit.inv.ind.2</t>
  </si>
  <si>
    <t xml:space="preserve">TLS|mit.inv.ind.2</t>
  </si>
  <si>
    <t xml:space="preserve">TON|mit.inv.ind.2</t>
  </si>
  <si>
    <t xml:space="preserve">TTO|mit.inv.ind.2</t>
  </si>
  <si>
    <t xml:space="preserve">TUN|mit.inv.ind.2</t>
  </si>
  <si>
    <t xml:space="preserve">TUR|mit.inv.ind.2</t>
  </si>
  <si>
    <t xml:space="preserve">TZA|mit.inv.ind.2</t>
  </si>
  <si>
    <t xml:space="preserve">UGA|mit.inv.ind.2</t>
  </si>
  <si>
    <t xml:space="preserve">UKR|mit.inv.ind.2</t>
  </si>
  <si>
    <t xml:space="preserve">URY|mit.inv.ind.2</t>
  </si>
  <si>
    <t xml:space="preserve">USA|mit.inv.ind.2</t>
  </si>
  <si>
    <t xml:space="preserve">UZB|mit.inv.ind.2</t>
  </si>
  <si>
    <t xml:space="preserve">VCT|mit.inv.ind.2</t>
  </si>
  <si>
    <t xml:space="preserve">VEN|mit.inv.ind.2</t>
  </si>
  <si>
    <t xml:space="preserve">VNM|mit.inv.ind.2</t>
  </si>
  <si>
    <t xml:space="preserve">VUT|mit.inv.ind.2</t>
  </si>
  <si>
    <t xml:space="preserve">WSM|mit.inv.ind.2</t>
  </si>
  <si>
    <t xml:space="preserve">XKX|mit.inv.ind.2</t>
  </si>
  <si>
    <t xml:space="preserve">YEM|mit.inv.ind.2</t>
  </si>
  <si>
    <t xml:space="preserve">ZAF|mit.inv.ind.2</t>
  </si>
  <si>
    <t xml:space="preserve">ZMB|mit.inv.ind.2</t>
  </si>
  <si>
    <t xml:space="preserve">ZWE|mit.inv.ind.2</t>
  </si>
  <si>
    <t xml:space="preserve">ABW|mit.inv.tot.1</t>
  </si>
  <si>
    <t xml:space="preserve">AFG|mit.inv.tot.1</t>
  </si>
  <si>
    <t xml:space="preserve">AGO|mit.inv.tot.1</t>
  </si>
  <si>
    <t xml:space="preserve">ALB|mit.inv.tot.1</t>
  </si>
  <si>
    <t xml:space="preserve">ARE|mit.inv.tot.1</t>
  </si>
  <si>
    <t xml:space="preserve">ARG|mit.inv.tot.1</t>
  </si>
  <si>
    <t xml:space="preserve">ARM|mit.inv.tot.1</t>
  </si>
  <si>
    <t xml:space="preserve">ATG|mit.inv.tot.1</t>
  </si>
  <si>
    <t xml:space="preserve">AUS|mit.inv.tot.1</t>
  </si>
  <si>
    <t xml:space="preserve">AUT|mit.inv.tot.1</t>
  </si>
  <si>
    <t xml:space="preserve">AZE|mit.inv.tot.1</t>
  </si>
  <si>
    <t xml:space="preserve">BDI|mit.inv.tot.1</t>
  </si>
  <si>
    <t xml:space="preserve">BEL|mit.inv.tot.1</t>
  </si>
  <si>
    <t xml:space="preserve">BEN|mit.inv.tot.1</t>
  </si>
  <si>
    <t xml:space="preserve">BFA|mit.inv.tot.1</t>
  </si>
  <si>
    <t xml:space="preserve">BGD|mit.inv.tot.1</t>
  </si>
  <si>
    <t xml:space="preserve">BGR|mit.inv.tot.1</t>
  </si>
  <si>
    <t xml:space="preserve">BHR|mit.inv.tot.1</t>
  </si>
  <si>
    <t xml:space="preserve">BHS|mit.inv.tot.1</t>
  </si>
  <si>
    <t xml:space="preserve">BIH|mit.inv.tot.1</t>
  </si>
  <si>
    <t xml:space="preserve">BLR|mit.inv.tot.1</t>
  </si>
  <si>
    <t xml:space="preserve">BLZ|mit.inv.tot.1</t>
  </si>
  <si>
    <t xml:space="preserve">BOL|mit.inv.tot.1</t>
  </si>
  <si>
    <t xml:space="preserve">BRA|mit.inv.tot.1</t>
  </si>
  <si>
    <t xml:space="preserve">BRB|mit.inv.tot.1</t>
  </si>
  <si>
    <t xml:space="preserve">BRN|mit.inv.tot.1</t>
  </si>
  <si>
    <t xml:space="preserve">BTN|mit.inv.tot.1</t>
  </si>
  <si>
    <t xml:space="preserve">BWA|mit.inv.tot.1</t>
  </si>
  <si>
    <t xml:space="preserve">CAF|mit.inv.tot.1</t>
  </si>
  <si>
    <t xml:space="preserve">CAN|mit.inv.tot.1</t>
  </si>
  <si>
    <t xml:space="preserve">CHE|mit.inv.tot.1</t>
  </si>
  <si>
    <t xml:space="preserve">CHL|mit.inv.tot.1</t>
  </si>
  <si>
    <t xml:space="preserve">CHN|mit.inv.tot.1</t>
  </si>
  <si>
    <t xml:space="preserve">CIV|mit.inv.tot.1</t>
  </si>
  <si>
    <t xml:space="preserve">CMR|mit.inv.tot.1</t>
  </si>
  <si>
    <t xml:space="preserve">COD|mit.inv.tot.1</t>
  </si>
  <si>
    <t xml:space="preserve">COG|mit.inv.tot.1</t>
  </si>
  <si>
    <t xml:space="preserve">COL|mit.inv.tot.1</t>
  </si>
  <si>
    <t xml:space="preserve">COM|mit.inv.tot.1</t>
  </si>
  <si>
    <t xml:space="preserve">CPV|mit.inv.tot.1</t>
  </si>
  <si>
    <t xml:space="preserve">CRI|mit.inv.tot.1</t>
  </si>
  <si>
    <t xml:space="preserve">CYP|mit.inv.tot.1</t>
  </si>
  <si>
    <t xml:space="preserve">CZE|mit.inv.tot.1</t>
  </si>
  <si>
    <t xml:space="preserve">DEU|mit.inv.tot.1</t>
  </si>
  <si>
    <t xml:space="preserve">DJI|mit.inv.tot.1</t>
  </si>
  <si>
    <t xml:space="preserve">DMA|mit.inv.tot.1</t>
  </si>
  <si>
    <t xml:space="preserve">DNK|mit.inv.tot.1</t>
  </si>
  <si>
    <t xml:space="preserve">DOM|mit.inv.tot.1</t>
  </si>
  <si>
    <t xml:space="preserve">DZA|mit.inv.tot.1</t>
  </si>
  <si>
    <t xml:space="preserve">ECU|mit.inv.tot.1</t>
  </si>
  <si>
    <t xml:space="preserve">EGY|mit.inv.tot.1</t>
  </si>
  <si>
    <t xml:space="preserve">ESP|mit.inv.tot.1</t>
  </si>
  <si>
    <t xml:space="preserve">EST|mit.inv.tot.1</t>
  </si>
  <si>
    <t xml:space="preserve">ETH|mit.inv.tot.1</t>
  </si>
  <si>
    <t xml:space="preserve">FIN|mit.inv.tot.1</t>
  </si>
  <si>
    <t xml:space="preserve">FJI|mit.inv.tot.1</t>
  </si>
  <si>
    <t xml:space="preserve">FRA|mit.inv.tot.1</t>
  </si>
  <si>
    <t xml:space="preserve">GAB|mit.inv.tot.1</t>
  </si>
  <si>
    <t xml:space="preserve">GBR|mit.inv.tot.1</t>
  </si>
  <si>
    <t xml:space="preserve">GEO|mit.inv.tot.1</t>
  </si>
  <si>
    <t xml:space="preserve">GHA|mit.inv.tot.1</t>
  </si>
  <si>
    <t xml:space="preserve">GIN|mit.inv.tot.1</t>
  </si>
  <si>
    <t xml:space="preserve">GMB|mit.inv.tot.1</t>
  </si>
  <si>
    <t xml:space="preserve">GNB|mit.inv.tot.1</t>
  </si>
  <si>
    <t xml:space="preserve">GNQ|mit.inv.tot.1</t>
  </si>
  <si>
    <t xml:space="preserve">GRC|mit.inv.tot.1</t>
  </si>
  <si>
    <t xml:space="preserve">GRD|mit.inv.tot.1</t>
  </si>
  <si>
    <t xml:space="preserve">GTM|mit.inv.tot.1</t>
  </si>
  <si>
    <t xml:space="preserve">GUY|mit.inv.tot.1</t>
  </si>
  <si>
    <t xml:space="preserve">HKG|mit.inv.tot.1</t>
  </si>
  <si>
    <t xml:space="preserve">HND|mit.inv.tot.1</t>
  </si>
  <si>
    <t xml:space="preserve">HRV|mit.inv.tot.1</t>
  </si>
  <si>
    <t xml:space="preserve">HTI|mit.inv.tot.1</t>
  </si>
  <si>
    <t xml:space="preserve">HUN|mit.inv.tot.1</t>
  </si>
  <si>
    <t xml:space="preserve">IDN|mit.inv.tot.1</t>
  </si>
  <si>
    <t xml:space="preserve">IND|mit.inv.tot.1</t>
  </si>
  <si>
    <t xml:space="preserve">IRL|mit.inv.tot.1</t>
  </si>
  <si>
    <t xml:space="preserve">IRN|mit.inv.tot.1</t>
  </si>
  <si>
    <t xml:space="preserve">IRQ|mit.inv.tot.1</t>
  </si>
  <si>
    <t xml:space="preserve">ISL|mit.inv.tot.1</t>
  </si>
  <si>
    <t xml:space="preserve">ISR|mit.inv.tot.1</t>
  </si>
  <si>
    <t xml:space="preserve">ITA|mit.inv.tot.1</t>
  </si>
  <si>
    <t xml:space="preserve">JAM|mit.inv.tot.1</t>
  </si>
  <si>
    <t xml:space="preserve">JOR|mit.inv.tot.1</t>
  </si>
  <si>
    <t xml:space="preserve">JPN|mit.inv.tot.1</t>
  </si>
  <si>
    <t xml:space="preserve">KAZ|mit.inv.tot.1</t>
  </si>
  <si>
    <t xml:space="preserve">KEN|mit.inv.tot.1</t>
  </si>
  <si>
    <t xml:space="preserve">KGZ|mit.inv.tot.1</t>
  </si>
  <si>
    <t xml:space="preserve">KHM|mit.inv.tot.1</t>
  </si>
  <si>
    <t xml:space="preserve">KNA|mit.inv.tot.1</t>
  </si>
  <si>
    <t xml:space="preserve">KOR|mit.inv.tot.1</t>
  </si>
  <si>
    <t xml:space="preserve">KWT|mit.inv.tot.1</t>
  </si>
  <si>
    <t xml:space="preserve">LAO|mit.inv.tot.1</t>
  </si>
  <si>
    <t xml:space="preserve">LBN|mit.inv.tot.1</t>
  </si>
  <si>
    <t xml:space="preserve">LBR|mit.inv.tot.1</t>
  </si>
  <si>
    <t xml:space="preserve">LBY|mit.inv.tot.1</t>
  </si>
  <si>
    <t xml:space="preserve">LCA|mit.inv.tot.1</t>
  </si>
  <si>
    <t xml:space="preserve">LKA|mit.inv.tot.1</t>
  </si>
  <si>
    <t xml:space="preserve">LSO|mit.inv.tot.1</t>
  </si>
  <si>
    <t xml:space="preserve">LTU|mit.inv.tot.1</t>
  </si>
  <si>
    <t xml:space="preserve">LUX|mit.inv.tot.1</t>
  </si>
  <si>
    <t xml:space="preserve">LVA|mit.inv.tot.1</t>
  </si>
  <si>
    <t xml:space="preserve">MAC|mit.inv.tot.1</t>
  </si>
  <si>
    <t xml:space="preserve">MAR|mit.inv.tot.1</t>
  </si>
  <si>
    <t xml:space="preserve">MDA|mit.inv.tot.1</t>
  </si>
  <si>
    <t xml:space="preserve">MDG|mit.inv.tot.1</t>
  </si>
  <si>
    <t xml:space="preserve">MDV|mit.inv.tot.1</t>
  </si>
  <si>
    <t xml:space="preserve">MEX|mit.inv.tot.1</t>
  </si>
  <si>
    <t xml:space="preserve">MKD|mit.inv.tot.1</t>
  </si>
  <si>
    <t xml:space="preserve">MLI|mit.inv.tot.1</t>
  </si>
  <si>
    <t xml:space="preserve">MLT|mit.inv.tot.1</t>
  </si>
  <si>
    <t xml:space="preserve">MMR|mit.inv.tot.1</t>
  </si>
  <si>
    <t xml:space="preserve">MNE|mit.inv.tot.1</t>
  </si>
  <si>
    <t xml:space="preserve">MNG|mit.inv.tot.1</t>
  </si>
  <si>
    <t xml:space="preserve">MOZ|mit.inv.tot.1</t>
  </si>
  <si>
    <t xml:space="preserve">MRT|mit.inv.tot.1</t>
  </si>
  <si>
    <t xml:space="preserve">MUS|mit.inv.tot.1</t>
  </si>
  <si>
    <t xml:space="preserve">MWI|mit.inv.tot.1</t>
  </si>
  <si>
    <t xml:space="preserve">MYS|mit.inv.tot.1</t>
  </si>
  <si>
    <t xml:space="preserve">NAM|mit.inv.tot.1</t>
  </si>
  <si>
    <t xml:space="preserve">NER|mit.inv.tot.1</t>
  </si>
  <si>
    <t xml:space="preserve">NGA|mit.inv.tot.1</t>
  </si>
  <si>
    <t xml:space="preserve">NIC|mit.inv.tot.1</t>
  </si>
  <si>
    <t xml:space="preserve">NLD|mit.inv.tot.1</t>
  </si>
  <si>
    <t xml:space="preserve">NOR|mit.inv.tot.1</t>
  </si>
  <si>
    <t xml:space="preserve">NPL|mit.inv.tot.1</t>
  </si>
  <si>
    <t xml:space="preserve">NRU|mit.inv.tot.1</t>
  </si>
  <si>
    <t xml:space="preserve">NZL|mit.inv.tot.1</t>
  </si>
  <si>
    <t xml:space="preserve">OMN|mit.inv.tot.1</t>
  </si>
  <si>
    <t xml:space="preserve">PAK|mit.inv.tot.1</t>
  </si>
  <si>
    <t xml:space="preserve">PAN|mit.inv.tot.1</t>
  </si>
  <si>
    <t xml:space="preserve">PER|mit.inv.tot.1</t>
  </si>
  <si>
    <t xml:space="preserve">PHL|mit.inv.tot.1</t>
  </si>
  <si>
    <t xml:space="preserve">PLW|mit.inv.tot.1</t>
  </si>
  <si>
    <t xml:space="preserve">PNG|mit.inv.tot.1</t>
  </si>
  <si>
    <t xml:space="preserve">POL|mit.inv.tot.1</t>
  </si>
  <si>
    <t xml:space="preserve">PRI|mit.inv.tot.1</t>
  </si>
  <si>
    <t xml:space="preserve">PRT|mit.inv.tot.1</t>
  </si>
  <si>
    <t xml:space="preserve">PRY|mit.inv.tot.1</t>
  </si>
  <si>
    <t xml:space="preserve">QAT|mit.inv.tot.1</t>
  </si>
  <si>
    <t xml:space="preserve">ROU|mit.inv.tot.1</t>
  </si>
  <si>
    <t xml:space="preserve">RUS|mit.inv.tot.1</t>
  </si>
  <si>
    <t xml:space="preserve">RWA|mit.inv.tot.1</t>
  </si>
  <si>
    <t xml:space="preserve">SAU|mit.inv.tot.1</t>
  </si>
  <si>
    <t xml:space="preserve">SDN|mit.inv.tot.1</t>
  </si>
  <si>
    <t xml:space="preserve">SEN|mit.inv.tot.1</t>
  </si>
  <si>
    <t xml:space="preserve">SGP|mit.inv.tot.1</t>
  </si>
  <si>
    <t xml:space="preserve">SLB|mit.inv.tot.1</t>
  </si>
  <si>
    <t xml:space="preserve">SLE|mit.inv.tot.1</t>
  </si>
  <si>
    <t xml:space="preserve">SLV|mit.inv.tot.1</t>
  </si>
  <si>
    <t xml:space="preserve">SOM|mit.inv.tot.1</t>
  </si>
  <si>
    <t xml:space="preserve">SRB|mit.inv.tot.1</t>
  </si>
  <si>
    <t xml:space="preserve">STP|mit.inv.tot.1</t>
  </si>
  <si>
    <t xml:space="preserve">SUR|mit.inv.tot.1</t>
  </si>
  <si>
    <t xml:space="preserve">SVK|mit.inv.tot.1</t>
  </si>
  <si>
    <t xml:space="preserve">SVN|mit.inv.tot.1</t>
  </si>
  <si>
    <t xml:space="preserve">SWE|mit.inv.tot.1</t>
  </si>
  <si>
    <t xml:space="preserve">SWZ|mit.inv.tot.1</t>
  </si>
  <si>
    <t xml:space="preserve">SYC|mit.inv.tot.1</t>
  </si>
  <si>
    <t xml:space="preserve">SYR|mit.inv.tot.1</t>
  </si>
  <si>
    <t xml:space="preserve">TCD|mit.inv.tot.1</t>
  </si>
  <si>
    <t xml:space="preserve">TGO|mit.inv.tot.1</t>
  </si>
  <si>
    <t xml:space="preserve">THA|mit.inv.tot.1</t>
  </si>
  <si>
    <t xml:space="preserve">TJK|mit.inv.tot.1</t>
  </si>
  <si>
    <t xml:space="preserve">TKM|mit.inv.tot.1</t>
  </si>
  <si>
    <t xml:space="preserve">TLS|mit.inv.tot.1</t>
  </si>
  <si>
    <t xml:space="preserve">TON|mit.inv.tot.1</t>
  </si>
  <si>
    <t xml:space="preserve">TTO|mit.inv.tot.1</t>
  </si>
  <si>
    <t xml:space="preserve">TUN|mit.inv.tot.1</t>
  </si>
  <si>
    <t xml:space="preserve">TUR|mit.inv.tot.1</t>
  </si>
  <si>
    <t xml:space="preserve">TZA|mit.inv.tot.1</t>
  </si>
  <si>
    <t xml:space="preserve">UGA|mit.inv.tot.1</t>
  </si>
  <si>
    <t xml:space="preserve">UKR|mit.inv.tot.1</t>
  </si>
  <si>
    <t xml:space="preserve">URY|mit.inv.tot.1</t>
  </si>
  <si>
    <t xml:space="preserve">USA|mit.inv.tot.1</t>
  </si>
  <si>
    <t xml:space="preserve">UZB|mit.inv.tot.1</t>
  </si>
  <si>
    <t xml:space="preserve">VCT|mit.inv.tot.1</t>
  </si>
  <si>
    <t xml:space="preserve">VEN|mit.inv.tot.1</t>
  </si>
  <si>
    <t xml:space="preserve">VNM|mit.inv.tot.1</t>
  </si>
  <si>
    <t xml:space="preserve">VUT|mit.inv.tot.1</t>
  </si>
  <si>
    <t xml:space="preserve">WSM|mit.inv.tot.1</t>
  </si>
  <si>
    <t xml:space="preserve">XKX|mit.inv.tot.1</t>
  </si>
  <si>
    <t xml:space="preserve">YEM|mit.inv.tot.1</t>
  </si>
  <si>
    <t xml:space="preserve">ZAF|mit.inv.tot.1</t>
  </si>
  <si>
    <t xml:space="preserve">ZMB|mit.inv.tot.1</t>
  </si>
  <si>
    <t xml:space="preserve">ZWE|mit.inv.tot.1</t>
  </si>
  <si>
    <t xml:space="preserve">ABW|mit.inv.tot.2</t>
  </si>
  <si>
    <t xml:space="preserve">AFG|mit.inv.tot.2</t>
  </si>
  <si>
    <t xml:space="preserve">AGO|mit.inv.tot.2</t>
  </si>
  <si>
    <t xml:space="preserve">ALB|mit.inv.tot.2</t>
  </si>
  <si>
    <t xml:space="preserve">ARE|mit.inv.tot.2</t>
  </si>
  <si>
    <t xml:space="preserve">ARG|mit.inv.tot.2</t>
  </si>
  <si>
    <t xml:space="preserve">ARM|mit.inv.tot.2</t>
  </si>
  <si>
    <t xml:space="preserve">ATG|mit.inv.tot.2</t>
  </si>
  <si>
    <t xml:space="preserve">AUS|mit.inv.tot.2</t>
  </si>
  <si>
    <t xml:space="preserve">AUT|mit.inv.tot.2</t>
  </si>
  <si>
    <t xml:space="preserve">AZE|mit.inv.tot.2</t>
  </si>
  <si>
    <t xml:space="preserve">BDI|mit.inv.tot.2</t>
  </si>
  <si>
    <t xml:space="preserve">BEL|mit.inv.tot.2</t>
  </si>
  <si>
    <t xml:space="preserve">BEN|mit.inv.tot.2</t>
  </si>
  <si>
    <t xml:space="preserve">BFA|mit.inv.tot.2</t>
  </si>
  <si>
    <t xml:space="preserve">BGD|mit.inv.tot.2</t>
  </si>
  <si>
    <t xml:space="preserve">BGR|mit.inv.tot.2</t>
  </si>
  <si>
    <t xml:space="preserve">BHR|mit.inv.tot.2</t>
  </si>
  <si>
    <t xml:space="preserve">BHS|mit.inv.tot.2</t>
  </si>
  <si>
    <t xml:space="preserve">BIH|mit.inv.tot.2</t>
  </si>
  <si>
    <t xml:space="preserve">BLR|mit.inv.tot.2</t>
  </si>
  <si>
    <t xml:space="preserve">BLZ|mit.inv.tot.2</t>
  </si>
  <si>
    <t xml:space="preserve">BOL|mit.inv.tot.2</t>
  </si>
  <si>
    <t xml:space="preserve">BRA|mit.inv.tot.2</t>
  </si>
  <si>
    <t xml:space="preserve">BRB|mit.inv.tot.2</t>
  </si>
  <si>
    <t xml:space="preserve">BRN|mit.inv.tot.2</t>
  </si>
  <si>
    <t xml:space="preserve">BTN|mit.inv.tot.2</t>
  </si>
  <si>
    <t xml:space="preserve">BWA|mit.inv.tot.2</t>
  </si>
  <si>
    <t xml:space="preserve">CAF|mit.inv.tot.2</t>
  </si>
  <si>
    <t xml:space="preserve">CAN|mit.inv.tot.2</t>
  </si>
  <si>
    <t xml:space="preserve">CHE|mit.inv.tot.2</t>
  </si>
  <si>
    <t xml:space="preserve">CHL|mit.inv.tot.2</t>
  </si>
  <si>
    <t xml:space="preserve">CHN|mit.inv.tot.2</t>
  </si>
  <si>
    <t xml:space="preserve">CIV|mit.inv.tot.2</t>
  </si>
  <si>
    <t xml:space="preserve">CMR|mit.inv.tot.2</t>
  </si>
  <si>
    <t xml:space="preserve">COD|mit.inv.tot.2</t>
  </si>
  <si>
    <t xml:space="preserve">COG|mit.inv.tot.2</t>
  </si>
  <si>
    <t xml:space="preserve">COL|mit.inv.tot.2</t>
  </si>
  <si>
    <t xml:space="preserve">COM|mit.inv.tot.2</t>
  </si>
  <si>
    <t xml:space="preserve">CPV|mit.inv.tot.2</t>
  </si>
  <si>
    <t xml:space="preserve">CRI|mit.inv.tot.2</t>
  </si>
  <si>
    <t xml:space="preserve">CYP|mit.inv.tot.2</t>
  </si>
  <si>
    <t xml:space="preserve">CZE|mit.inv.tot.2</t>
  </si>
  <si>
    <t xml:space="preserve">DEU|mit.inv.tot.2</t>
  </si>
  <si>
    <t xml:space="preserve">DJI|mit.inv.tot.2</t>
  </si>
  <si>
    <t xml:space="preserve">DMA|mit.inv.tot.2</t>
  </si>
  <si>
    <t xml:space="preserve">DNK|mit.inv.tot.2</t>
  </si>
  <si>
    <t xml:space="preserve">DOM|mit.inv.tot.2</t>
  </si>
  <si>
    <t xml:space="preserve">DZA|mit.inv.tot.2</t>
  </si>
  <si>
    <t xml:space="preserve">ECU|mit.inv.tot.2</t>
  </si>
  <si>
    <t xml:space="preserve">EGY|mit.inv.tot.2</t>
  </si>
  <si>
    <t xml:space="preserve">ESP|mit.inv.tot.2</t>
  </si>
  <si>
    <t xml:space="preserve">EST|mit.inv.tot.2</t>
  </si>
  <si>
    <t xml:space="preserve">ETH|mit.inv.tot.2</t>
  </si>
  <si>
    <t xml:space="preserve">FIN|mit.inv.tot.2</t>
  </si>
  <si>
    <t xml:space="preserve">FJI|mit.inv.tot.2</t>
  </si>
  <si>
    <t xml:space="preserve">FRA|mit.inv.tot.2</t>
  </si>
  <si>
    <t xml:space="preserve">GAB|mit.inv.tot.2</t>
  </si>
  <si>
    <t xml:space="preserve">GBR|mit.inv.tot.2</t>
  </si>
  <si>
    <t xml:space="preserve">GEO|mit.inv.tot.2</t>
  </si>
  <si>
    <t xml:space="preserve">GHA|mit.inv.tot.2</t>
  </si>
  <si>
    <t xml:space="preserve">GIN|mit.inv.tot.2</t>
  </si>
  <si>
    <t xml:space="preserve">GMB|mit.inv.tot.2</t>
  </si>
  <si>
    <t xml:space="preserve">GNB|mit.inv.tot.2</t>
  </si>
  <si>
    <t xml:space="preserve">GNQ|mit.inv.tot.2</t>
  </si>
  <si>
    <t xml:space="preserve">GRC|mit.inv.tot.2</t>
  </si>
  <si>
    <t xml:space="preserve">GRD|mit.inv.tot.2</t>
  </si>
  <si>
    <t xml:space="preserve">GTM|mit.inv.tot.2</t>
  </si>
  <si>
    <t xml:space="preserve">GUY|mit.inv.tot.2</t>
  </si>
  <si>
    <t xml:space="preserve">HKG|mit.inv.tot.2</t>
  </si>
  <si>
    <t xml:space="preserve">HND|mit.inv.tot.2</t>
  </si>
  <si>
    <t xml:space="preserve">HRV|mit.inv.tot.2</t>
  </si>
  <si>
    <t xml:space="preserve">HTI|mit.inv.tot.2</t>
  </si>
  <si>
    <t xml:space="preserve">HUN|mit.inv.tot.2</t>
  </si>
  <si>
    <t xml:space="preserve">IDN|mit.inv.tot.2</t>
  </si>
  <si>
    <t xml:space="preserve">IND|mit.inv.tot.2</t>
  </si>
  <si>
    <t xml:space="preserve">IRL|mit.inv.tot.2</t>
  </si>
  <si>
    <t xml:space="preserve">IRN|mit.inv.tot.2</t>
  </si>
  <si>
    <t xml:space="preserve">IRQ|mit.inv.tot.2</t>
  </si>
  <si>
    <t xml:space="preserve">ISL|mit.inv.tot.2</t>
  </si>
  <si>
    <t xml:space="preserve">ISR|mit.inv.tot.2</t>
  </si>
  <si>
    <t xml:space="preserve">ITA|mit.inv.tot.2</t>
  </si>
  <si>
    <t xml:space="preserve">JAM|mit.inv.tot.2</t>
  </si>
  <si>
    <t xml:space="preserve">JOR|mit.inv.tot.2</t>
  </si>
  <si>
    <t xml:space="preserve">JPN|mit.inv.tot.2</t>
  </si>
  <si>
    <t xml:space="preserve">KAZ|mit.inv.tot.2</t>
  </si>
  <si>
    <t xml:space="preserve">KEN|mit.inv.tot.2</t>
  </si>
  <si>
    <t xml:space="preserve">KGZ|mit.inv.tot.2</t>
  </si>
  <si>
    <t xml:space="preserve">KHM|mit.inv.tot.2</t>
  </si>
  <si>
    <t xml:space="preserve">KNA|mit.inv.tot.2</t>
  </si>
  <si>
    <t xml:space="preserve">KOR|mit.inv.tot.2</t>
  </si>
  <si>
    <t xml:space="preserve">KWT|mit.inv.tot.2</t>
  </si>
  <si>
    <t xml:space="preserve">LAO|mit.inv.tot.2</t>
  </si>
  <si>
    <t xml:space="preserve">LBN|mit.inv.tot.2</t>
  </si>
  <si>
    <t xml:space="preserve">LBR|mit.inv.tot.2</t>
  </si>
  <si>
    <t xml:space="preserve">LBY|mit.inv.tot.2</t>
  </si>
  <si>
    <t xml:space="preserve">LCA|mit.inv.tot.2</t>
  </si>
  <si>
    <t xml:space="preserve">LKA|mit.inv.tot.2</t>
  </si>
  <si>
    <t xml:space="preserve">LSO|mit.inv.tot.2</t>
  </si>
  <si>
    <t xml:space="preserve">LTU|mit.inv.tot.2</t>
  </si>
  <si>
    <t xml:space="preserve">LUX|mit.inv.tot.2</t>
  </si>
  <si>
    <t xml:space="preserve">LVA|mit.inv.tot.2</t>
  </si>
  <si>
    <t xml:space="preserve">MAC|mit.inv.tot.2</t>
  </si>
  <si>
    <t xml:space="preserve">MAR|mit.inv.tot.2</t>
  </si>
  <si>
    <t xml:space="preserve">MDA|mit.inv.tot.2</t>
  </si>
  <si>
    <t xml:space="preserve">MDG|mit.inv.tot.2</t>
  </si>
  <si>
    <t xml:space="preserve">MDV|mit.inv.tot.2</t>
  </si>
  <si>
    <t xml:space="preserve">MEX|mit.inv.tot.2</t>
  </si>
  <si>
    <t xml:space="preserve">MKD|mit.inv.tot.2</t>
  </si>
  <si>
    <t xml:space="preserve">MLI|mit.inv.tot.2</t>
  </si>
  <si>
    <t xml:space="preserve">MLT|mit.inv.tot.2</t>
  </si>
  <si>
    <t xml:space="preserve">MMR|mit.inv.tot.2</t>
  </si>
  <si>
    <t xml:space="preserve">MNE|mit.inv.tot.2</t>
  </si>
  <si>
    <t xml:space="preserve">MNG|mit.inv.tot.2</t>
  </si>
  <si>
    <t xml:space="preserve">MOZ|mit.inv.tot.2</t>
  </si>
  <si>
    <t xml:space="preserve">MRT|mit.inv.tot.2</t>
  </si>
  <si>
    <t xml:space="preserve">MUS|mit.inv.tot.2</t>
  </si>
  <si>
    <t xml:space="preserve">MWI|mit.inv.tot.2</t>
  </si>
  <si>
    <t xml:space="preserve">MYS|mit.inv.tot.2</t>
  </si>
  <si>
    <t xml:space="preserve">NAM|mit.inv.tot.2</t>
  </si>
  <si>
    <t xml:space="preserve">NER|mit.inv.tot.2</t>
  </si>
  <si>
    <t xml:space="preserve">NGA|mit.inv.tot.2</t>
  </si>
  <si>
    <t xml:space="preserve">NIC|mit.inv.tot.2</t>
  </si>
  <si>
    <t xml:space="preserve">NLD|mit.inv.tot.2</t>
  </si>
  <si>
    <t xml:space="preserve">NOR|mit.inv.tot.2</t>
  </si>
  <si>
    <t xml:space="preserve">NPL|mit.inv.tot.2</t>
  </si>
  <si>
    <t xml:space="preserve">NRU|mit.inv.tot.2</t>
  </si>
  <si>
    <t xml:space="preserve">NZL|mit.inv.tot.2</t>
  </si>
  <si>
    <t xml:space="preserve">OMN|mit.inv.tot.2</t>
  </si>
  <si>
    <t xml:space="preserve">PAK|mit.inv.tot.2</t>
  </si>
  <si>
    <t xml:space="preserve">PAN|mit.inv.tot.2</t>
  </si>
  <si>
    <t xml:space="preserve">PER|mit.inv.tot.2</t>
  </si>
  <si>
    <t xml:space="preserve">PHL|mit.inv.tot.2</t>
  </si>
  <si>
    <t xml:space="preserve">PLW|mit.inv.tot.2</t>
  </si>
  <si>
    <t xml:space="preserve">PNG|mit.inv.tot.2</t>
  </si>
  <si>
    <t xml:space="preserve">POL|mit.inv.tot.2</t>
  </si>
  <si>
    <t xml:space="preserve">PRI|mit.inv.tot.2</t>
  </si>
  <si>
    <t xml:space="preserve">PRT|mit.inv.tot.2</t>
  </si>
  <si>
    <t xml:space="preserve">PRY|mit.inv.tot.2</t>
  </si>
  <si>
    <t xml:space="preserve">QAT|mit.inv.tot.2</t>
  </si>
  <si>
    <t xml:space="preserve">ROU|mit.inv.tot.2</t>
  </si>
  <si>
    <t xml:space="preserve">RUS|mit.inv.tot.2</t>
  </si>
  <si>
    <t xml:space="preserve">RWA|mit.inv.tot.2</t>
  </si>
  <si>
    <t xml:space="preserve">SAU|mit.inv.tot.2</t>
  </si>
  <si>
    <t xml:space="preserve">SDN|mit.inv.tot.2</t>
  </si>
  <si>
    <t xml:space="preserve">SEN|mit.inv.tot.2</t>
  </si>
  <si>
    <t xml:space="preserve">SGP|mit.inv.tot.2</t>
  </si>
  <si>
    <t xml:space="preserve">SLB|mit.inv.tot.2</t>
  </si>
  <si>
    <t xml:space="preserve">SLE|mit.inv.tot.2</t>
  </si>
  <si>
    <t xml:space="preserve">SLV|mit.inv.tot.2</t>
  </si>
  <si>
    <t xml:space="preserve">SOM|mit.inv.tot.2</t>
  </si>
  <si>
    <t xml:space="preserve">SRB|mit.inv.tot.2</t>
  </si>
  <si>
    <t xml:space="preserve">STP|mit.inv.tot.2</t>
  </si>
  <si>
    <t xml:space="preserve">SUR|mit.inv.tot.2</t>
  </si>
  <si>
    <t xml:space="preserve">SVK|mit.inv.tot.2</t>
  </si>
  <si>
    <t xml:space="preserve">SVN|mit.inv.tot.2</t>
  </si>
  <si>
    <t xml:space="preserve">SWE|mit.inv.tot.2</t>
  </si>
  <si>
    <t xml:space="preserve">SWZ|mit.inv.tot.2</t>
  </si>
  <si>
    <t xml:space="preserve">SYC|mit.inv.tot.2</t>
  </si>
  <si>
    <t xml:space="preserve">SYR|mit.inv.tot.2</t>
  </si>
  <si>
    <t xml:space="preserve">TCD|mit.inv.tot.2</t>
  </si>
  <si>
    <t xml:space="preserve">TGO|mit.inv.tot.2</t>
  </si>
  <si>
    <t xml:space="preserve">THA|mit.inv.tot.2</t>
  </si>
  <si>
    <t xml:space="preserve">TJK|mit.inv.tot.2</t>
  </si>
  <si>
    <t xml:space="preserve">TKM|mit.inv.tot.2</t>
  </si>
  <si>
    <t xml:space="preserve">TLS|mit.inv.tot.2</t>
  </si>
  <si>
    <t xml:space="preserve">TON|mit.inv.tot.2</t>
  </si>
  <si>
    <t xml:space="preserve">TTO|mit.inv.tot.2</t>
  </si>
  <si>
    <t xml:space="preserve">TUN|mit.inv.tot.2</t>
  </si>
  <si>
    <t xml:space="preserve">TUR|mit.inv.tot.2</t>
  </si>
  <si>
    <t xml:space="preserve">TZA|mit.inv.tot.2</t>
  </si>
  <si>
    <t xml:space="preserve">UGA|mit.inv.tot.2</t>
  </si>
  <si>
    <t xml:space="preserve">UKR|mit.inv.tot.2</t>
  </si>
  <si>
    <t xml:space="preserve">URY|mit.inv.tot.2</t>
  </si>
  <si>
    <t xml:space="preserve">USA|mit.inv.tot.2</t>
  </si>
  <si>
    <t xml:space="preserve">UZB|mit.inv.tot.2</t>
  </si>
  <si>
    <t xml:space="preserve">VCT|mit.inv.tot.2</t>
  </si>
  <si>
    <t xml:space="preserve">VEN|mit.inv.tot.2</t>
  </si>
  <si>
    <t xml:space="preserve">VNM|mit.inv.tot.2</t>
  </si>
  <si>
    <t xml:space="preserve">VUT|mit.inv.tot.2</t>
  </si>
  <si>
    <t xml:space="preserve">WSM|mit.inv.tot.2</t>
  </si>
  <si>
    <t xml:space="preserve">XKX|mit.inv.tot.2</t>
  </si>
  <si>
    <t xml:space="preserve">YEM|mit.inv.tot.2</t>
  </si>
  <si>
    <t xml:space="preserve">ZAF|mit.inv.tot.2</t>
  </si>
  <si>
    <t xml:space="preserve">ZMB|mit.inv.tot.2</t>
  </si>
  <si>
    <t xml:space="preserve">ZWE|mit.inv.tot.2</t>
  </si>
  <si>
    <t xml:space="preserve">ABW|mit.ghg.tot.1</t>
  </si>
  <si>
    <t xml:space="preserve">AFG|mit.ghg.tot.1</t>
  </si>
  <si>
    <t xml:space="preserve">AGO|mit.ghg.tot.1</t>
  </si>
  <si>
    <t xml:space="preserve">ALB|mit.ghg.tot.1</t>
  </si>
  <si>
    <t xml:space="preserve">ARE|mit.ghg.tot.1</t>
  </si>
  <si>
    <t xml:space="preserve">ARG|mit.ghg.tot.1</t>
  </si>
  <si>
    <t xml:space="preserve">ARM|mit.ghg.tot.1</t>
  </si>
  <si>
    <t xml:space="preserve">ATG|mit.ghg.tot.1</t>
  </si>
  <si>
    <t xml:space="preserve">AUS|mit.ghg.tot.1</t>
  </si>
  <si>
    <t xml:space="preserve">AUT|mit.ghg.tot.1</t>
  </si>
  <si>
    <t xml:space="preserve">AZE|mit.ghg.tot.1</t>
  </si>
  <si>
    <t xml:space="preserve">BDI|mit.ghg.tot.1</t>
  </si>
  <si>
    <t xml:space="preserve">BEL|mit.ghg.tot.1</t>
  </si>
  <si>
    <t xml:space="preserve">BEN|mit.ghg.tot.1</t>
  </si>
  <si>
    <t xml:space="preserve">BFA|mit.ghg.tot.1</t>
  </si>
  <si>
    <t xml:space="preserve">BGD|mit.ghg.tot.1</t>
  </si>
  <si>
    <t xml:space="preserve">BGR|mit.ghg.tot.1</t>
  </si>
  <si>
    <t xml:space="preserve">BHR|mit.ghg.tot.1</t>
  </si>
  <si>
    <t xml:space="preserve">BHS|mit.ghg.tot.1</t>
  </si>
  <si>
    <t xml:space="preserve">BIH|mit.ghg.tot.1</t>
  </si>
  <si>
    <t xml:space="preserve">BLR|mit.ghg.tot.1</t>
  </si>
  <si>
    <t xml:space="preserve">BLZ|mit.ghg.tot.1</t>
  </si>
  <si>
    <t xml:space="preserve">BOL|mit.ghg.tot.1</t>
  </si>
  <si>
    <t xml:space="preserve">BRA|mit.ghg.tot.1</t>
  </si>
  <si>
    <t xml:space="preserve">BRB|mit.ghg.tot.1</t>
  </si>
  <si>
    <t xml:space="preserve">BRN|mit.ghg.tot.1</t>
  </si>
  <si>
    <t xml:space="preserve">BTN|mit.ghg.tot.1</t>
  </si>
  <si>
    <t xml:space="preserve">BWA|mit.ghg.tot.1</t>
  </si>
  <si>
    <t xml:space="preserve">CAF|mit.ghg.tot.1</t>
  </si>
  <si>
    <t xml:space="preserve">CAN|mit.ghg.tot.1</t>
  </si>
  <si>
    <t xml:space="preserve">CHE|mit.ghg.tot.1</t>
  </si>
  <si>
    <t xml:space="preserve">CHL|mit.ghg.tot.1</t>
  </si>
  <si>
    <t xml:space="preserve">CHN|mit.ghg.tot.1</t>
  </si>
  <si>
    <t xml:space="preserve">CIV|mit.ghg.tot.1</t>
  </si>
  <si>
    <t xml:space="preserve">CMR|mit.ghg.tot.1</t>
  </si>
  <si>
    <t xml:space="preserve">COD|mit.ghg.tot.1</t>
  </si>
  <si>
    <t xml:space="preserve">COG|mit.ghg.tot.1</t>
  </si>
  <si>
    <t xml:space="preserve">COL|mit.ghg.tot.1</t>
  </si>
  <si>
    <t xml:space="preserve">COM|mit.ghg.tot.1</t>
  </si>
  <si>
    <t xml:space="preserve">CPV|mit.ghg.tot.1</t>
  </si>
  <si>
    <t xml:space="preserve">CRI|mit.ghg.tot.1</t>
  </si>
  <si>
    <t xml:space="preserve">CYP|mit.ghg.tot.1</t>
  </si>
  <si>
    <t xml:space="preserve">CZE|mit.ghg.tot.1</t>
  </si>
  <si>
    <t xml:space="preserve">DEU|mit.ghg.tot.1</t>
  </si>
  <si>
    <t xml:space="preserve">DJI|mit.ghg.tot.1</t>
  </si>
  <si>
    <t xml:space="preserve">DMA|mit.ghg.tot.1</t>
  </si>
  <si>
    <t xml:space="preserve">DNK|mit.ghg.tot.1</t>
  </si>
  <si>
    <t xml:space="preserve">DOM|mit.ghg.tot.1</t>
  </si>
  <si>
    <t xml:space="preserve">DZA|mit.ghg.tot.1</t>
  </si>
  <si>
    <t xml:space="preserve">ECU|mit.ghg.tot.1</t>
  </si>
  <si>
    <t xml:space="preserve">EGY|mit.ghg.tot.1</t>
  </si>
  <si>
    <t xml:space="preserve">ESP|mit.ghg.tot.1</t>
  </si>
  <si>
    <t xml:space="preserve">EST|mit.ghg.tot.1</t>
  </si>
  <si>
    <t xml:space="preserve">ETH|mit.ghg.tot.1</t>
  </si>
  <si>
    <t xml:space="preserve">FIN|mit.ghg.tot.1</t>
  </si>
  <si>
    <t xml:space="preserve">FJI|mit.ghg.tot.1</t>
  </si>
  <si>
    <t xml:space="preserve">FRA|mit.ghg.tot.1</t>
  </si>
  <si>
    <t xml:space="preserve">GAB|mit.ghg.tot.1</t>
  </si>
  <si>
    <t xml:space="preserve">GBR|mit.ghg.tot.1</t>
  </si>
  <si>
    <t xml:space="preserve">GEO|mit.ghg.tot.1</t>
  </si>
  <si>
    <t xml:space="preserve">GHA|mit.ghg.tot.1</t>
  </si>
  <si>
    <t xml:space="preserve">GIN|mit.ghg.tot.1</t>
  </si>
  <si>
    <t xml:space="preserve">GMB|mit.ghg.tot.1</t>
  </si>
  <si>
    <t xml:space="preserve">GNB|mit.ghg.tot.1</t>
  </si>
  <si>
    <t xml:space="preserve">GNQ|mit.ghg.tot.1</t>
  </si>
  <si>
    <t xml:space="preserve">GRC|mit.ghg.tot.1</t>
  </si>
  <si>
    <t xml:space="preserve">GRD|mit.ghg.tot.1</t>
  </si>
  <si>
    <t xml:space="preserve">GTM|mit.ghg.tot.1</t>
  </si>
  <si>
    <t xml:space="preserve">GUY|mit.ghg.tot.1</t>
  </si>
  <si>
    <t xml:space="preserve">HKG|mit.ghg.tot.1</t>
  </si>
  <si>
    <t xml:space="preserve">HND|mit.ghg.tot.1</t>
  </si>
  <si>
    <t xml:space="preserve">HRV|mit.ghg.tot.1</t>
  </si>
  <si>
    <t xml:space="preserve">HTI|mit.ghg.tot.1</t>
  </si>
  <si>
    <t xml:space="preserve">HUN|mit.ghg.tot.1</t>
  </si>
  <si>
    <t xml:space="preserve">IDN|mit.ghg.tot.1</t>
  </si>
  <si>
    <t xml:space="preserve">IND|mit.ghg.tot.1</t>
  </si>
  <si>
    <t xml:space="preserve">IRL|mit.ghg.tot.1</t>
  </si>
  <si>
    <t xml:space="preserve">IRN|mit.ghg.tot.1</t>
  </si>
  <si>
    <t xml:space="preserve">IRQ|mit.ghg.tot.1</t>
  </si>
  <si>
    <t xml:space="preserve">ISL|mit.ghg.tot.1</t>
  </si>
  <si>
    <t xml:space="preserve">ISR|mit.ghg.tot.1</t>
  </si>
  <si>
    <t xml:space="preserve">ITA|mit.ghg.tot.1</t>
  </si>
  <si>
    <t xml:space="preserve">JAM|mit.ghg.tot.1</t>
  </si>
  <si>
    <t xml:space="preserve">JOR|mit.ghg.tot.1</t>
  </si>
  <si>
    <t xml:space="preserve">JPN|mit.ghg.tot.1</t>
  </si>
  <si>
    <t xml:space="preserve">KAZ|mit.ghg.tot.1</t>
  </si>
  <si>
    <t xml:space="preserve">KEN|mit.ghg.tot.1</t>
  </si>
  <si>
    <t xml:space="preserve">KGZ|mit.ghg.tot.1</t>
  </si>
  <si>
    <t xml:space="preserve">KHM|mit.ghg.tot.1</t>
  </si>
  <si>
    <t xml:space="preserve">KNA|mit.ghg.tot.1</t>
  </si>
  <si>
    <t xml:space="preserve">KOR|mit.ghg.tot.1</t>
  </si>
  <si>
    <t xml:space="preserve">KWT|mit.ghg.tot.1</t>
  </si>
  <si>
    <t xml:space="preserve">LAO|mit.ghg.tot.1</t>
  </si>
  <si>
    <t xml:space="preserve">LBN|mit.ghg.tot.1</t>
  </si>
  <si>
    <t xml:space="preserve">LBR|mit.ghg.tot.1</t>
  </si>
  <si>
    <t xml:space="preserve">LBY|mit.ghg.tot.1</t>
  </si>
  <si>
    <t xml:space="preserve">LCA|mit.ghg.tot.1</t>
  </si>
  <si>
    <t xml:space="preserve">LKA|mit.ghg.tot.1</t>
  </si>
  <si>
    <t xml:space="preserve">LSO|mit.ghg.tot.1</t>
  </si>
  <si>
    <t xml:space="preserve">LTU|mit.ghg.tot.1</t>
  </si>
  <si>
    <t xml:space="preserve">LUX|mit.ghg.tot.1</t>
  </si>
  <si>
    <t xml:space="preserve">LVA|mit.ghg.tot.1</t>
  </si>
  <si>
    <t xml:space="preserve">MAC|mit.ghg.tot.1</t>
  </si>
  <si>
    <t xml:space="preserve">MAR|mit.ghg.tot.1</t>
  </si>
  <si>
    <t xml:space="preserve">MDA|mit.ghg.tot.1</t>
  </si>
  <si>
    <t xml:space="preserve">MDG|mit.ghg.tot.1</t>
  </si>
  <si>
    <t xml:space="preserve">MDV|mit.ghg.tot.1</t>
  </si>
  <si>
    <t xml:space="preserve">MEX|mit.ghg.tot.1</t>
  </si>
  <si>
    <t xml:space="preserve">MKD|mit.ghg.tot.1</t>
  </si>
  <si>
    <t xml:space="preserve">MLI|mit.ghg.tot.1</t>
  </si>
  <si>
    <t xml:space="preserve">MLT|mit.ghg.tot.1</t>
  </si>
  <si>
    <t xml:space="preserve">MMR|mit.ghg.tot.1</t>
  </si>
  <si>
    <t xml:space="preserve">MNE|mit.ghg.tot.1</t>
  </si>
  <si>
    <t xml:space="preserve">MNG|mit.ghg.tot.1</t>
  </si>
  <si>
    <t xml:space="preserve">MOZ|mit.ghg.tot.1</t>
  </si>
  <si>
    <t xml:space="preserve">MRT|mit.ghg.tot.1</t>
  </si>
  <si>
    <t xml:space="preserve">MUS|mit.ghg.tot.1</t>
  </si>
  <si>
    <t xml:space="preserve">MWI|mit.ghg.tot.1</t>
  </si>
  <si>
    <t xml:space="preserve">MYS|mit.ghg.tot.1</t>
  </si>
  <si>
    <t xml:space="preserve">NAM|mit.ghg.tot.1</t>
  </si>
  <si>
    <t xml:space="preserve">NER|mit.ghg.tot.1</t>
  </si>
  <si>
    <t xml:space="preserve">NGA|mit.ghg.tot.1</t>
  </si>
  <si>
    <t xml:space="preserve">NIC|mit.ghg.tot.1</t>
  </si>
  <si>
    <t xml:space="preserve">NLD|mit.ghg.tot.1</t>
  </si>
  <si>
    <t xml:space="preserve">NOR|mit.ghg.tot.1</t>
  </si>
  <si>
    <t xml:space="preserve">NPL|mit.ghg.tot.1</t>
  </si>
  <si>
    <t xml:space="preserve">NRU|mit.ghg.tot.1</t>
  </si>
  <si>
    <t xml:space="preserve">NZL|mit.ghg.tot.1</t>
  </si>
  <si>
    <t xml:space="preserve">OMN|mit.ghg.tot.1</t>
  </si>
  <si>
    <t xml:space="preserve">PAK|mit.ghg.tot.1</t>
  </si>
  <si>
    <t xml:space="preserve">PAN|mit.ghg.tot.1</t>
  </si>
  <si>
    <t xml:space="preserve">PER|mit.ghg.tot.1</t>
  </si>
  <si>
    <t xml:space="preserve">PHL|mit.ghg.tot.1</t>
  </si>
  <si>
    <t xml:space="preserve">PLW|mit.ghg.tot.1</t>
  </si>
  <si>
    <t xml:space="preserve">PNG|mit.ghg.tot.1</t>
  </si>
  <si>
    <t xml:space="preserve">POL|mit.ghg.tot.1</t>
  </si>
  <si>
    <t xml:space="preserve">PRI|mit.ghg.tot.1</t>
  </si>
  <si>
    <t xml:space="preserve">PRT|mit.ghg.tot.1</t>
  </si>
  <si>
    <t xml:space="preserve">PRY|mit.ghg.tot.1</t>
  </si>
  <si>
    <t xml:space="preserve">QAT|mit.ghg.tot.1</t>
  </si>
  <si>
    <t xml:space="preserve">ROU|mit.ghg.tot.1</t>
  </si>
  <si>
    <t xml:space="preserve">RUS|mit.ghg.tot.1</t>
  </si>
  <si>
    <t xml:space="preserve">RWA|mit.ghg.tot.1</t>
  </si>
  <si>
    <t xml:space="preserve">SAU|mit.ghg.tot.1</t>
  </si>
  <si>
    <t xml:space="preserve">SDN|mit.ghg.tot.1</t>
  </si>
  <si>
    <t xml:space="preserve">SEN|mit.ghg.tot.1</t>
  </si>
  <si>
    <t xml:space="preserve">SGP|mit.ghg.tot.1</t>
  </si>
  <si>
    <t xml:space="preserve">SLB|mit.ghg.tot.1</t>
  </si>
  <si>
    <t xml:space="preserve">SLE|mit.ghg.tot.1</t>
  </si>
  <si>
    <t xml:space="preserve">SLV|mit.ghg.tot.1</t>
  </si>
  <si>
    <t xml:space="preserve">SOM|mit.ghg.tot.1</t>
  </si>
  <si>
    <t xml:space="preserve">SRB|mit.ghg.tot.1</t>
  </si>
  <si>
    <t xml:space="preserve">STP|mit.ghg.tot.1</t>
  </si>
  <si>
    <t xml:space="preserve">SUR|mit.ghg.tot.1</t>
  </si>
  <si>
    <t xml:space="preserve">SVK|mit.ghg.tot.1</t>
  </si>
  <si>
    <t xml:space="preserve">SVN|mit.ghg.tot.1</t>
  </si>
  <si>
    <t xml:space="preserve">SWE|mit.ghg.tot.1</t>
  </si>
  <si>
    <t xml:space="preserve">SWZ|mit.ghg.tot.1</t>
  </si>
  <si>
    <t xml:space="preserve">SYC|mit.ghg.tot.1</t>
  </si>
  <si>
    <t xml:space="preserve">SYR|mit.ghg.tot.1</t>
  </si>
  <si>
    <t xml:space="preserve">TCD|mit.ghg.tot.1</t>
  </si>
  <si>
    <t xml:space="preserve">TGO|mit.ghg.tot.1</t>
  </si>
  <si>
    <t xml:space="preserve">THA|mit.ghg.tot.1</t>
  </si>
  <si>
    <t xml:space="preserve">TJK|mit.ghg.tot.1</t>
  </si>
  <si>
    <t xml:space="preserve">TKM|mit.ghg.tot.1</t>
  </si>
  <si>
    <t xml:space="preserve">TLS|mit.ghg.tot.1</t>
  </si>
  <si>
    <t xml:space="preserve">TON|mit.ghg.tot.1</t>
  </si>
  <si>
    <t xml:space="preserve">TTO|mit.ghg.tot.1</t>
  </si>
  <si>
    <t xml:space="preserve">TUN|mit.ghg.tot.1</t>
  </si>
  <si>
    <t xml:space="preserve">TUR|mit.ghg.tot.1</t>
  </si>
  <si>
    <t xml:space="preserve">TZA|mit.ghg.tot.1</t>
  </si>
  <si>
    <t xml:space="preserve">UGA|mit.ghg.tot.1</t>
  </si>
  <si>
    <t xml:space="preserve">UKR|mit.ghg.tot.1</t>
  </si>
  <si>
    <t xml:space="preserve">URY|mit.ghg.tot.1</t>
  </si>
  <si>
    <t xml:space="preserve">USA|mit.ghg.tot.1</t>
  </si>
  <si>
    <t xml:space="preserve">UZB|mit.ghg.tot.1</t>
  </si>
  <si>
    <t xml:space="preserve">VCT|mit.ghg.tot.1</t>
  </si>
  <si>
    <t xml:space="preserve">VEN|mit.ghg.tot.1</t>
  </si>
  <si>
    <t xml:space="preserve">VNM|mit.ghg.tot.1</t>
  </si>
  <si>
    <t xml:space="preserve">VUT|mit.ghg.tot.1</t>
  </si>
  <si>
    <t xml:space="preserve">WSM|mit.ghg.tot.1</t>
  </si>
  <si>
    <t xml:space="preserve">XKX|mit.ghg.tot.1</t>
  </si>
  <si>
    <t xml:space="preserve">YEM|mit.ghg.tot.1</t>
  </si>
  <si>
    <t xml:space="preserve">ZAF|mit.ghg.tot.1</t>
  </si>
  <si>
    <t xml:space="preserve">ZMB|mit.ghg.tot.1</t>
  </si>
  <si>
    <t xml:space="preserve">ZWE|mit.ghg.tot.1</t>
  </si>
  <si>
    <t xml:space="preserve">ABW|mit.ghg.tot.2</t>
  </si>
  <si>
    <t xml:space="preserve">AFG|mit.ghg.tot.2</t>
  </si>
  <si>
    <t xml:space="preserve">AGO|mit.ghg.tot.2</t>
  </si>
  <si>
    <t xml:space="preserve">ALB|mit.ghg.tot.2</t>
  </si>
  <si>
    <t xml:space="preserve">ARE|mit.ghg.tot.2</t>
  </si>
  <si>
    <t xml:space="preserve">ARG|mit.ghg.tot.2</t>
  </si>
  <si>
    <t xml:space="preserve">ARM|mit.ghg.tot.2</t>
  </si>
  <si>
    <t xml:space="preserve">ATG|mit.ghg.tot.2</t>
  </si>
  <si>
    <t xml:space="preserve">AUS|mit.ghg.tot.2</t>
  </si>
  <si>
    <t xml:space="preserve">AUT|mit.ghg.tot.2</t>
  </si>
  <si>
    <t xml:space="preserve">AZE|mit.ghg.tot.2</t>
  </si>
  <si>
    <t xml:space="preserve">BDI|mit.ghg.tot.2</t>
  </si>
  <si>
    <t xml:space="preserve">BEL|mit.ghg.tot.2</t>
  </si>
  <si>
    <t xml:space="preserve">BEN|mit.ghg.tot.2</t>
  </si>
  <si>
    <t xml:space="preserve">BFA|mit.ghg.tot.2</t>
  </si>
  <si>
    <t xml:space="preserve">BGD|mit.ghg.tot.2</t>
  </si>
  <si>
    <t xml:space="preserve">BGR|mit.ghg.tot.2</t>
  </si>
  <si>
    <t xml:space="preserve">BHR|mit.ghg.tot.2</t>
  </si>
  <si>
    <t xml:space="preserve">BHS|mit.ghg.tot.2</t>
  </si>
  <si>
    <t xml:space="preserve">BIH|mit.ghg.tot.2</t>
  </si>
  <si>
    <t xml:space="preserve">BLR|mit.ghg.tot.2</t>
  </si>
  <si>
    <t xml:space="preserve">BLZ|mit.ghg.tot.2</t>
  </si>
  <si>
    <t xml:space="preserve">BOL|mit.ghg.tot.2</t>
  </si>
  <si>
    <t xml:space="preserve">BRA|mit.ghg.tot.2</t>
  </si>
  <si>
    <t xml:space="preserve">BRB|mit.ghg.tot.2</t>
  </si>
  <si>
    <t xml:space="preserve">BRN|mit.ghg.tot.2</t>
  </si>
  <si>
    <t xml:space="preserve">BTN|mit.ghg.tot.2</t>
  </si>
  <si>
    <t xml:space="preserve">BWA|mit.ghg.tot.2</t>
  </si>
  <si>
    <t xml:space="preserve">CAF|mit.ghg.tot.2</t>
  </si>
  <si>
    <t xml:space="preserve">CAN|mit.ghg.tot.2</t>
  </si>
  <si>
    <t xml:space="preserve">CHE|mit.ghg.tot.2</t>
  </si>
  <si>
    <t xml:space="preserve">CHL|mit.ghg.tot.2</t>
  </si>
  <si>
    <t xml:space="preserve">CHN|mit.ghg.tot.2</t>
  </si>
  <si>
    <t xml:space="preserve">CIV|mit.ghg.tot.2</t>
  </si>
  <si>
    <t xml:space="preserve">CMR|mit.ghg.tot.2</t>
  </si>
  <si>
    <t xml:space="preserve">COD|mit.ghg.tot.2</t>
  </si>
  <si>
    <t xml:space="preserve">COG|mit.ghg.tot.2</t>
  </si>
  <si>
    <t xml:space="preserve">COL|mit.ghg.tot.2</t>
  </si>
  <si>
    <t xml:space="preserve">COM|mit.ghg.tot.2</t>
  </si>
  <si>
    <t xml:space="preserve">CPV|mit.ghg.tot.2</t>
  </si>
  <si>
    <t xml:space="preserve">CRI|mit.ghg.tot.2</t>
  </si>
  <si>
    <t xml:space="preserve">CYP|mit.ghg.tot.2</t>
  </si>
  <si>
    <t xml:space="preserve">CZE|mit.ghg.tot.2</t>
  </si>
  <si>
    <t xml:space="preserve">DEU|mit.ghg.tot.2</t>
  </si>
  <si>
    <t xml:space="preserve">DJI|mit.ghg.tot.2</t>
  </si>
  <si>
    <t xml:space="preserve">DMA|mit.ghg.tot.2</t>
  </si>
  <si>
    <t xml:space="preserve">DNK|mit.ghg.tot.2</t>
  </si>
  <si>
    <t xml:space="preserve">DOM|mit.ghg.tot.2</t>
  </si>
  <si>
    <t xml:space="preserve">DZA|mit.ghg.tot.2</t>
  </si>
  <si>
    <t xml:space="preserve">ECU|mit.ghg.tot.2</t>
  </si>
  <si>
    <t xml:space="preserve">EGY|mit.ghg.tot.2</t>
  </si>
  <si>
    <t xml:space="preserve">ESP|mit.ghg.tot.2</t>
  </si>
  <si>
    <t xml:space="preserve">EST|mit.ghg.tot.2</t>
  </si>
  <si>
    <t xml:space="preserve">ETH|mit.ghg.tot.2</t>
  </si>
  <si>
    <t xml:space="preserve">FIN|mit.ghg.tot.2</t>
  </si>
  <si>
    <t xml:space="preserve">FJI|mit.ghg.tot.2</t>
  </si>
  <si>
    <t xml:space="preserve">FRA|mit.ghg.tot.2</t>
  </si>
  <si>
    <t xml:space="preserve">GAB|mit.ghg.tot.2</t>
  </si>
  <si>
    <t xml:space="preserve">GBR|mit.ghg.tot.2</t>
  </si>
  <si>
    <t xml:space="preserve">GEO|mit.ghg.tot.2</t>
  </si>
  <si>
    <t xml:space="preserve">GHA|mit.ghg.tot.2</t>
  </si>
  <si>
    <t xml:space="preserve">GIN|mit.ghg.tot.2</t>
  </si>
  <si>
    <t xml:space="preserve">GMB|mit.ghg.tot.2</t>
  </si>
  <si>
    <t xml:space="preserve">GNB|mit.ghg.tot.2</t>
  </si>
  <si>
    <t xml:space="preserve">GNQ|mit.ghg.tot.2</t>
  </si>
  <si>
    <t xml:space="preserve">GRC|mit.ghg.tot.2</t>
  </si>
  <si>
    <t xml:space="preserve">GRD|mit.ghg.tot.2</t>
  </si>
  <si>
    <t xml:space="preserve">GTM|mit.ghg.tot.2</t>
  </si>
  <si>
    <t xml:space="preserve">GUY|mit.ghg.tot.2</t>
  </si>
  <si>
    <t xml:space="preserve">HKG|mit.ghg.tot.2</t>
  </si>
  <si>
    <t xml:space="preserve">HND|mit.ghg.tot.2</t>
  </si>
  <si>
    <t xml:space="preserve">HRV|mit.ghg.tot.2</t>
  </si>
  <si>
    <t xml:space="preserve">HTI|mit.ghg.tot.2</t>
  </si>
  <si>
    <t xml:space="preserve">HUN|mit.ghg.tot.2</t>
  </si>
  <si>
    <t xml:space="preserve">IDN|mit.ghg.tot.2</t>
  </si>
  <si>
    <t xml:space="preserve">IND|mit.ghg.tot.2</t>
  </si>
  <si>
    <t xml:space="preserve">IRL|mit.ghg.tot.2</t>
  </si>
  <si>
    <t xml:space="preserve">IRN|mit.ghg.tot.2</t>
  </si>
  <si>
    <t xml:space="preserve">IRQ|mit.ghg.tot.2</t>
  </si>
  <si>
    <t xml:space="preserve">ISL|mit.ghg.tot.2</t>
  </si>
  <si>
    <t xml:space="preserve">ISR|mit.ghg.tot.2</t>
  </si>
  <si>
    <t xml:space="preserve">ITA|mit.ghg.tot.2</t>
  </si>
  <si>
    <t xml:space="preserve">JAM|mit.ghg.tot.2</t>
  </si>
  <si>
    <t xml:space="preserve">JOR|mit.ghg.tot.2</t>
  </si>
  <si>
    <t xml:space="preserve">JPN|mit.ghg.tot.2</t>
  </si>
  <si>
    <t xml:space="preserve">KAZ|mit.ghg.tot.2</t>
  </si>
  <si>
    <t xml:space="preserve">KEN|mit.ghg.tot.2</t>
  </si>
  <si>
    <t xml:space="preserve">KGZ|mit.ghg.tot.2</t>
  </si>
  <si>
    <t xml:space="preserve">KHM|mit.ghg.tot.2</t>
  </si>
  <si>
    <t xml:space="preserve">KNA|mit.ghg.tot.2</t>
  </si>
  <si>
    <t xml:space="preserve">KOR|mit.ghg.tot.2</t>
  </si>
  <si>
    <t xml:space="preserve">KWT|mit.ghg.tot.2</t>
  </si>
  <si>
    <t xml:space="preserve">LAO|mit.ghg.tot.2</t>
  </si>
  <si>
    <t xml:space="preserve">LBN|mit.ghg.tot.2</t>
  </si>
  <si>
    <t xml:space="preserve">LBR|mit.ghg.tot.2</t>
  </si>
  <si>
    <t xml:space="preserve">LBY|mit.ghg.tot.2</t>
  </si>
  <si>
    <t xml:space="preserve">LCA|mit.ghg.tot.2</t>
  </si>
  <si>
    <t xml:space="preserve">LKA|mit.ghg.tot.2</t>
  </si>
  <si>
    <t xml:space="preserve">LSO|mit.ghg.tot.2</t>
  </si>
  <si>
    <t xml:space="preserve">LTU|mit.ghg.tot.2</t>
  </si>
  <si>
    <t xml:space="preserve">LUX|mit.ghg.tot.2</t>
  </si>
  <si>
    <t xml:space="preserve">LVA|mit.ghg.tot.2</t>
  </si>
  <si>
    <t xml:space="preserve">MAC|mit.ghg.tot.2</t>
  </si>
  <si>
    <t xml:space="preserve">MAR|mit.ghg.tot.2</t>
  </si>
  <si>
    <t xml:space="preserve">MDA|mit.ghg.tot.2</t>
  </si>
  <si>
    <t xml:space="preserve">MDG|mit.ghg.tot.2</t>
  </si>
  <si>
    <t xml:space="preserve">MDV|mit.ghg.tot.2</t>
  </si>
  <si>
    <t xml:space="preserve">MEX|mit.ghg.tot.2</t>
  </si>
  <si>
    <t xml:space="preserve">MKD|mit.ghg.tot.2</t>
  </si>
  <si>
    <t xml:space="preserve">MLI|mit.ghg.tot.2</t>
  </si>
  <si>
    <t xml:space="preserve">MLT|mit.ghg.tot.2</t>
  </si>
  <si>
    <t xml:space="preserve">MMR|mit.ghg.tot.2</t>
  </si>
  <si>
    <t xml:space="preserve">MNE|mit.ghg.tot.2</t>
  </si>
  <si>
    <t xml:space="preserve">MNG|mit.ghg.tot.2</t>
  </si>
  <si>
    <t xml:space="preserve">MOZ|mit.ghg.tot.2</t>
  </si>
  <si>
    <t xml:space="preserve">MRT|mit.ghg.tot.2</t>
  </si>
  <si>
    <t xml:space="preserve">MUS|mit.ghg.tot.2</t>
  </si>
  <si>
    <t xml:space="preserve">MWI|mit.ghg.tot.2</t>
  </si>
  <si>
    <t xml:space="preserve">MYS|mit.ghg.tot.2</t>
  </si>
  <si>
    <t xml:space="preserve">NAM|mit.ghg.tot.2</t>
  </si>
  <si>
    <t xml:space="preserve">NER|mit.ghg.tot.2</t>
  </si>
  <si>
    <t xml:space="preserve">NGA|mit.ghg.tot.2</t>
  </si>
  <si>
    <t xml:space="preserve">NIC|mit.ghg.tot.2</t>
  </si>
  <si>
    <t xml:space="preserve">NLD|mit.ghg.tot.2</t>
  </si>
  <si>
    <t xml:space="preserve">NOR|mit.ghg.tot.2</t>
  </si>
  <si>
    <t xml:space="preserve">NPL|mit.ghg.tot.2</t>
  </si>
  <si>
    <t xml:space="preserve">NRU|mit.ghg.tot.2</t>
  </si>
  <si>
    <t xml:space="preserve">NZL|mit.ghg.tot.2</t>
  </si>
  <si>
    <t xml:space="preserve">OMN|mit.ghg.tot.2</t>
  </si>
  <si>
    <t xml:space="preserve">PAK|mit.ghg.tot.2</t>
  </si>
  <si>
    <t xml:space="preserve">PAN|mit.ghg.tot.2</t>
  </si>
  <si>
    <t xml:space="preserve">PER|mit.ghg.tot.2</t>
  </si>
  <si>
    <t xml:space="preserve">PHL|mit.ghg.tot.2</t>
  </si>
  <si>
    <t xml:space="preserve">PLW|mit.ghg.tot.2</t>
  </si>
  <si>
    <t xml:space="preserve">PNG|mit.ghg.tot.2</t>
  </si>
  <si>
    <t xml:space="preserve">POL|mit.ghg.tot.2</t>
  </si>
  <si>
    <t xml:space="preserve">PRI|mit.ghg.tot.2</t>
  </si>
  <si>
    <t xml:space="preserve">PRT|mit.ghg.tot.2</t>
  </si>
  <si>
    <t xml:space="preserve">PRY|mit.ghg.tot.2</t>
  </si>
  <si>
    <t xml:space="preserve">QAT|mit.ghg.tot.2</t>
  </si>
  <si>
    <t xml:space="preserve">ROU|mit.ghg.tot.2</t>
  </si>
  <si>
    <t xml:space="preserve">RUS|mit.ghg.tot.2</t>
  </si>
  <si>
    <t xml:space="preserve">RWA|mit.ghg.tot.2</t>
  </si>
  <si>
    <t xml:space="preserve">SAU|mit.ghg.tot.2</t>
  </si>
  <si>
    <t xml:space="preserve">SDN|mit.ghg.tot.2</t>
  </si>
  <si>
    <t xml:space="preserve">SEN|mit.ghg.tot.2</t>
  </si>
  <si>
    <t xml:space="preserve">SGP|mit.ghg.tot.2</t>
  </si>
  <si>
    <t xml:space="preserve">SLB|mit.ghg.tot.2</t>
  </si>
  <si>
    <t xml:space="preserve">SLE|mit.ghg.tot.2</t>
  </si>
  <si>
    <t xml:space="preserve">SLV|mit.ghg.tot.2</t>
  </si>
  <si>
    <t xml:space="preserve">SOM|mit.ghg.tot.2</t>
  </si>
  <si>
    <t xml:space="preserve">SRB|mit.ghg.tot.2</t>
  </si>
  <si>
    <t xml:space="preserve">STP|mit.ghg.tot.2</t>
  </si>
  <si>
    <t xml:space="preserve">SUR|mit.ghg.tot.2</t>
  </si>
  <si>
    <t xml:space="preserve">SVK|mit.ghg.tot.2</t>
  </si>
  <si>
    <t xml:space="preserve">SVN|mit.ghg.tot.2</t>
  </si>
  <si>
    <t xml:space="preserve">SWE|mit.ghg.tot.2</t>
  </si>
  <si>
    <t xml:space="preserve">SWZ|mit.ghg.tot.2</t>
  </si>
  <si>
    <t xml:space="preserve">SYC|mit.ghg.tot.2</t>
  </si>
  <si>
    <t xml:space="preserve">SYR|mit.ghg.tot.2</t>
  </si>
  <si>
    <t xml:space="preserve">TCD|mit.ghg.tot.2</t>
  </si>
  <si>
    <t xml:space="preserve">TGO|mit.ghg.tot.2</t>
  </si>
  <si>
    <t xml:space="preserve">THA|mit.ghg.tot.2</t>
  </si>
  <si>
    <t xml:space="preserve">TJK|mit.ghg.tot.2</t>
  </si>
  <si>
    <t xml:space="preserve">TKM|mit.ghg.tot.2</t>
  </si>
  <si>
    <t xml:space="preserve">TLS|mit.ghg.tot.2</t>
  </si>
  <si>
    <t xml:space="preserve">TON|mit.ghg.tot.2</t>
  </si>
  <si>
    <t xml:space="preserve">TTO|mit.ghg.tot.2</t>
  </si>
  <si>
    <t xml:space="preserve">TUN|mit.ghg.tot.2</t>
  </si>
  <si>
    <t xml:space="preserve">TUR|mit.ghg.tot.2</t>
  </si>
  <si>
    <t xml:space="preserve">TZA|mit.ghg.tot.2</t>
  </si>
  <si>
    <t xml:space="preserve">UGA|mit.ghg.tot.2</t>
  </si>
  <si>
    <t xml:space="preserve">UKR|mit.ghg.tot.2</t>
  </si>
  <si>
    <t xml:space="preserve">URY|mit.ghg.tot.2</t>
  </si>
  <si>
    <t xml:space="preserve">USA|mit.ghg.tot.2</t>
  </si>
  <si>
    <t xml:space="preserve">UZB|mit.ghg.tot.2</t>
  </si>
  <si>
    <t xml:space="preserve">VCT|mit.ghg.tot.2</t>
  </si>
  <si>
    <t xml:space="preserve">VEN|mit.ghg.tot.2</t>
  </si>
  <si>
    <t xml:space="preserve">VNM|mit.ghg.tot.2</t>
  </si>
  <si>
    <t xml:space="preserve">VUT|mit.ghg.tot.2</t>
  </si>
  <si>
    <t xml:space="preserve">WSM|mit.ghg.tot.2</t>
  </si>
  <si>
    <t xml:space="preserve">XKX|mit.ghg.tot.2</t>
  </si>
  <si>
    <t xml:space="preserve">YEM|mit.ghg.tot.2</t>
  </si>
  <si>
    <t xml:space="preserve">ZAF|mit.ghg.tot.2</t>
  </si>
  <si>
    <t xml:space="preserve">ZMB|mit.ghg.tot.2</t>
  </si>
  <si>
    <t xml:space="preserve">ZWE|mit.ghg.tot.2</t>
  </si>
  <si>
    <t xml:space="preserve">ABW|mit.ic.a</t>
  </si>
  <si>
    <t xml:space="preserve">AFG|mit.ic.a</t>
  </si>
  <si>
    <t xml:space="preserve">AGO|mit.ic.a</t>
  </si>
  <si>
    <t xml:space="preserve">ALB|mit.ic.a</t>
  </si>
  <si>
    <t xml:space="preserve">ARE|mit.ic.a</t>
  </si>
  <si>
    <t xml:space="preserve">ARG|mit.ic.a</t>
  </si>
  <si>
    <t xml:space="preserve">ARM|mit.ic.a</t>
  </si>
  <si>
    <t xml:space="preserve">ATG|mit.ic.a</t>
  </si>
  <si>
    <t xml:space="preserve">AUS|mit.ic.a</t>
  </si>
  <si>
    <t xml:space="preserve">AUT|mit.ic.a</t>
  </si>
  <si>
    <t xml:space="preserve">AZE|mit.ic.a</t>
  </si>
  <si>
    <t xml:space="preserve">BDI|mit.ic.a</t>
  </si>
  <si>
    <t xml:space="preserve">BEL|mit.ic.a</t>
  </si>
  <si>
    <t xml:space="preserve">BEN|mit.ic.a</t>
  </si>
  <si>
    <t xml:space="preserve">BFA|mit.ic.a</t>
  </si>
  <si>
    <t xml:space="preserve">BGD|mit.ic.a</t>
  </si>
  <si>
    <t xml:space="preserve">BGR|mit.ic.a</t>
  </si>
  <si>
    <t xml:space="preserve">BHR|mit.ic.a</t>
  </si>
  <si>
    <t xml:space="preserve">BHS|mit.ic.a</t>
  </si>
  <si>
    <t xml:space="preserve">BIH|mit.ic.a</t>
  </si>
  <si>
    <t xml:space="preserve">BLR|mit.ic.a</t>
  </si>
  <si>
    <t xml:space="preserve">BLZ|mit.ic.a</t>
  </si>
  <si>
    <t xml:space="preserve">BOL|mit.ic.a</t>
  </si>
  <si>
    <t xml:space="preserve">BRA|mit.ic.a</t>
  </si>
  <si>
    <t xml:space="preserve">BRB|mit.ic.a</t>
  </si>
  <si>
    <t xml:space="preserve">BRN|mit.ic.a</t>
  </si>
  <si>
    <t xml:space="preserve">BTN|mit.ic.a</t>
  </si>
  <si>
    <t xml:space="preserve">BWA|mit.ic.a</t>
  </si>
  <si>
    <t xml:space="preserve">CAF|mit.ic.a</t>
  </si>
  <si>
    <t xml:space="preserve">CAN|mit.ic.a</t>
  </si>
  <si>
    <t xml:space="preserve">CHE|mit.ic.a</t>
  </si>
  <si>
    <t xml:space="preserve">CHL|mit.ic.a</t>
  </si>
  <si>
    <t xml:space="preserve">CHN|mit.ic.a</t>
  </si>
  <si>
    <t xml:space="preserve">CIV|mit.ic.a</t>
  </si>
  <si>
    <t xml:space="preserve">CMR|mit.ic.a</t>
  </si>
  <si>
    <t xml:space="preserve">COD|mit.ic.a</t>
  </si>
  <si>
    <t xml:space="preserve">COG|mit.ic.a</t>
  </si>
  <si>
    <t xml:space="preserve">COL|mit.ic.a</t>
  </si>
  <si>
    <t xml:space="preserve">COM|mit.ic.a</t>
  </si>
  <si>
    <t xml:space="preserve">CPV|mit.ic.a</t>
  </si>
  <si>
    <t xml:space="preserve">CRI|mit.ic.a</t>
  </si>
  <si>
    <t xml:space="preserve">CYP|mit.ic.a</t>
  </si>
  <si>
    <t xml:space="preserve">CZE|mit.ic.a</t>
  </si>
  <si>
    <t xml:space="preserve">DEU|mit.ic.a</t>
  </si>
  <si>
    <t xml:space="preserve">DJI|mit.ic.a</t>
  </si>
  <si>
    <t xml:space="preserve">DMA|mit.ic.a</t>
  </si>
  <si>
    <t xml:space="preserve">DNK|mit.ic.a</t>
  </si>
  <si>
    <t xml:space="preserve">DOM|mit.ic.a</t>
  </si>
  <si>
    <t xml:space="preserve">DZA|mit.ic.a</t>
  </si>
  <si>
    <t xml:space="preserve">ECU|mit.ic.a</t>
  </si>
  <si>
    <t xml:space="preserve">EGY|mit.ic.a</t>
  </si>
  <si>
    <t xml:space="preserve">ESP|mit.ic.a</t>
  </si>
  <si>
    <t xml:space="preserve">EST|mit.ic.a</t>
  </si>
  <si>
    <t xml:space="preserve">ETH|mit.ic.a</t>
  </si>
  <si>
    <t xml:space="preserve">FIN|mit.ic.a</t>
  </si>
  <si>
    <t xml:space="preserve">FJI|mit.ic.a</t>
  </si>
  <si>
    <t xml:space="preserve">FRA|mit.ic.a</t>
  </si>
  <si>
    <t xml:space="preserve">GAB|mit.ic.a</t>
  </si>
  <si>
    <t xml:space="preserve">GBR|mit.ic.a</t>
  </si>
  <si>
    <t xml:space="preserve">GEO|mit.ic.a</t>
  </si>
  <si>
    <t xml:space="preserve">GHA|mit.ic.a</t>
  </si>
  <si>
    <t xml:space="preserve">GIN|mit.ic.a</t>
  </si>
  <si>
    <t xml:space="preserve">GMB|mit.ic.a</t>
  </si>
  <si>
    <t xml:space="preserve">GNB|mit.ic.a</t>
  </si>
  <si>
    <t xml:space="preserve">GNQ|mit.ic.a</t>
  </si>
  <si>
    <t xml:space="preserve">GRC|mit.ic.a</t>
  </si>
  <si>
    <t xml:space="preserve">GRD|mit.ic.a</t>
  </si>
  <si>
    <t xml:space="preserve">GTM|mit.ic.a</t>
  </si>
  <si>
    <t xml:space="preserve">GUY|mit.ic.a</t>
  </si>
  <si>
    <t xml:space="preserve">HKG|mit.ic.a</t>
  </si>
  <si>
    <t xml:space="preserve">HND|mit.ic.a</t>
  </si>
  <si>
    <t xml:space="preserve">HRV|mit.ic.a</t>
  </si>
  <si>
    <t xml:space="preserve">HTI|mit.ic.a</t>
  </si>
  <si>
    <t xml:space="preserve">HUN|mit.ic.a</t>
  </si>
  <si>
    <t xml:space="preserve">IDN|mit.ic.a</t>
  </si>
  <si>
    <t xml:space="preserve">IND|mit.ic.a</t>
  </si>
  <si>
    <t xml:space="preserve">IRL|mit.ic.a</t>
  </si>
  <si>
    <t xml:space="preserve">IRN|mit.ic.a</t>
  </si>
  <si>
    <t xml:space="preserve">IRQ|mit.ic.a</t>
  </si>
  <si>
    <t xml:space="preserve">ISL|mit.ic.a</t>
  </si>
  <si>
    <t xml:space="preserve">ISR|mit.ic.a</t>
  </si>
  <si>
    <t xml:space="preserve">ITA|mit.ic.a</t>
  </si>
  <si>
    <t xml:space="preserve">JAM|mit.ic.a</t>
  </si>
  <si>
    <t xml:space="preserve">JOR|mit.ic.a</t>
  </si>
  <si>
    <t xml:space="preserve">JPN|mit.ic.a</t>
  </si>
  <si>
    <t xml:space="preserve">KAZ|mit.ic.a</t>
  </si>
  <si>
    <t xml:space="preserve">KEN|mit.ic.a</t>
  </si>
  <si>
    <t xml:space="preserve">KGZ|mit.ic.a</t>
  </si>
  <si>
    <t xml:space="preserve">KHM|mit.ic.a</t>
  </si>
  <si>
    <t xml:space="preserve">KNA|mit.ic.a</t>
  </si>
  <si>
    <t xml:space="preserve">KOR|mit.ic.a</t>
  </si>
  <si>
    <t xml:space="preserve">KWT|mit.ic.a</t>
  </si>
  <si>
    <t xml:space="preserve">LAO|mit.ic.a</t>
  </si>
  <si>
    <t xml:space="preserve">LBN|mit.ic.a</t>
  </si>
  <si>
    <t xml:space="preserve">LBR|mit.ic.a</t>
  </si>
  <si>
    <t xml:space="preserve">LBY|mit.ic.a</t>
  </si>
  <si>
    <t xml:space="preserve">LCA|mit.ic.a</t>
  </si>
  <si>
    <t xml:space="preserve">LKA|mit.ic.a</t>
  </si>
  <si>
    <t xml:space="preserve">LSO|mit.ic.a</t>
  </si>
  <si>
    <t xml:space="preserve">LTU|mit.ic.a</t>
  </si>
  <si>
    <t xml:space="preserve">LUX|mit.ic.a</t>
  </si>
  <si>
    <t xml:space="preserve">LVA|mit.ic.a</t>
  </si>
  <si>
    <t xml:space="preserve">MAC|mit.ic.a</t>
  </si>
  <si>
    <t xml:space="preserve">MAR|mit.ic.a</t>
  </si>
  <si>
    <t xml:space="preserve">MDA|mit.ic.a</t>
  </si>
  <si>
    <t xml:space="preserve">MDG|mit.ic.a</t>
  </si>
  <si>
    <t xml:space="preserve">MDV|mit.ic.a</t>
  </si>
  <si>
    <t xml:space="preserve">MEX|mit.ic.a</t>
  </si>
  <si>
    <t xml:space="preserve">MKD|mit.ic.a</t>
  </si>
  <si>
    <t xml:space="preserve">MLI|mit.ic.a</t>
  </si>
  <si>
    <t xml:space="preserve">MLT|mit.ic.a</t>
  </si>
  <si>
    <t xml:space="preserve">MMR|mit.ic.a</t>
  </si>
  <si>
    <t xml:space="preserve">MNE|mit.ic.a</t>
  </si>
  <si>
    <t xml:space="preserve">MNG|mit.ic.a</t>
  </si>
  <si>
    <t xml:space="preserve">MOZ|mit.ic.a</t>
  </si>
  <si>
    <t xml:space="preserve">MRT|mit.ic.a</t>
  </si>
  <si>
    <t xml:space="preserve">MUS|mit.ic.a</t>
  </si>
  <si>
    <t xml:space="preserve">MWI|mit.ic.a</t>
  </si>
  <si>
    <t xml:space="preserve">MYS|mit.ic.a</t>
  </si>
  <si>
    <t xml:space="preserve">NAM|mit.ic.a</t>
  </si>
  <si>
    <t xml:space="preserve">NER|mit.ic.a</t>
  </si>
  <si>
    <t xml:space="preserve">NGA|mit.ic.a</t>
  </si>
  <si>
    <t xml:space="preserve">NIC|mit.ic.a</t>
  </si>
  <si>
    <t xml:space="preserve">NLD|mit.ic.a</t>
  </si>
  <si>
    <t xml:space="preserve">NOR|mit.ic.a</t>
  </si>
  <si>
    <t xml:space="preserve">NPL|mit.ic.a</t>
  </si>
  <si>
    <t xml:space="preserve">NRU|mit.ic.a</t>
  </si>
  <si>
    <t xml:space="preserve">NZL|mit.ic.a</t>
  </si>
  <si>
    <t xml:space="preserve">OMN|mit.ic.a</t>
  </si>
  <si>
    <t xml:space="preserve">PAK|mit.ic.a</t>
  </si>
  <si>
    <t xml:space="preserve">PAN|mit.ic.a</t>
  </si>
  <si>
    <t xml:space="preserve">PER|mit.ic.a</t>
  </si>
  <si>
    <t xml:space="preserve">PHL|mit.ic.a</t>
  </si>
  <si>
    <t xml:space="preserve">PLW|mit.ic.a</t>
  </si>
  <si>
    <t xml:space="preserve">PNG|mit.ic.a</t>
  </si>
  <si>
    <t xml:space="preserve">POL|mit.ic.a</t>
  </si>
  <si>
    <t xml:space="preserve">PRI|mit.ic.a</t>
  </si>
  <si>
    <t xml:space="preserve">PRT|mit.ic.a</t>
  </si>
  <si>
    <t xml:space="preserve">PRY|mit.ic.a</t>
  </si>
  <si>
    <t xml:space="preserve">QAT|mit.ic.a</t>
  </si>
  <si>
    <t xml:space="preserve">ROU|mit.ic.a</t>
  </si>
  <si>
    <t xml:space="preserve">RUS|mit.ic.a</t>
  </si>
  <si>
    <t xml:space="preserve">RWA|mit.ic.a</t>
  </si>
  <si>
    <t xml:space="preserve">SAU|mit.ic.a</t>
  </si>
  <si>
    <t xml:space="preserve">SDN|mit.ic.a</t>
  </si>
  <si>
    <t xml:space="preserve">SEN|mit.ic.a</t>
  </si>
  <si>
    <t xml:space="preserve">SGP|mit.ic.a</t>
  </si>
  <si>
    <t xml:space="preserve">SLB|mit.ic.a</t>
  </si>
  <si>
    <t xml:space="preserve">SLE|mit.ic.a</t>
  </si>
  <si>
    <t xml:space="preserve">SLV|mit.ic.a</t>
  </si>
  <si>
    <t xml:space="preserve">SOM|mit.ic.a</t>
  </si>
  <si>
    <t xml:space="preserve">SRB|mit.ic.a</t>
  </si>
  <si>
    <t xml:space="preserve">STP|mit.ic.a</t>
  </si>
  <si>
    <t xml:space="preserve">SUR|mit.ic.a</t>
  </si>
  <si>
    <t xml:space="preserve">SVK|mit.ic.a</t>
  </si>
  <si>
    <t xml:space="preserve">SVN|mit.ic.a</t>
  </si>
  <si>
    <t xml:space="preserve">SWE|mit.ic.a</t>
  </si>
  <si>
    <t xml:space="preserve">SWZ|mit.ic.a</t>
  </si>
  <si>
    <t xml:space="preserve">SYC|mit.ic.a</t>
  </si>
  <si>
    <t xml:space="preserve">SYR|mit.ic.a</t>
  </si>
  <si>
    <t xml:space="preserve">TCD|mit.ic.a</t>
  </si>
  <si>
    <t xml:space="preserve">TGO|mit.ic.a</t>
  </si>
  <si>
    <t xml:space="preserve">THA|mit.ic.a</t>
  </si>
  <si>
    <t xml:space="preserve">TJK|mit.ic.a</t>
  </si>
  <si>
    <t xml:space="preserve">TKM|mit.ic.a</t>
  </si>
  <si>
    <t xml:space="preserve">TLS|mit.ic.a</t>
  </si>
  <si>
    <t xml:space="preserve">TON|mit.ic.a</t>
  </si>
  <si>
    <t xml:space="preserve">TTO|mit.ic.a</t>
  </si>
  <si>
    <t xml:space="preserve">TUN|mit.ic.a</t>
  </si>
  <si>
    <t xml:space="preserve">TUR|mit.ic.a</t>
  </si>
  <si>
    <t xml:space="preserve">TZA|mit.ic.a</t>
  </si>
  <si>
    <t xml:space="preserve">UGA|mit.ic.a</t>
  </si>
  <si>
    <t xml:space="preserve">UKR|mit.ic.a</t>
  </si>
  <si>
    <t xml:space="preserve">URY|mit.ic.a</t>
  </si>
  <si>
    <t xml:space="preserve">USA|mit.ic.a</t>
  </si>
  <si>
    <t xml:space="preserve">UZB|mit.ic.a</t>
  </si>
  <si>
    <t xml:space="preserve">VCT|mit.ic.a</t>
  </si>
  <si>
    <t xml:space="preserve">VEN|mit.ic.a</t>
  </si>
  <si>
    <t xml:space="preserve">VNM|mit.ic.a</t>
  </si>
  <si>
    <t xml:space="preserve">VUT|mit.ic.a</t>
  </si>
  <si>
    <t xml:space="preserve">WSM|mit.ic.a</t>
  </si>
  <si>
    <t xml:space="preserve">XKX|mit.ic.a</t>
  </si>
  <si>
    <t xml:space="preserve">YEM|mit.ic.a</t>
  </si>
  <si>
    <t xml:space="preserve">ZAF|mit.ic.a</t>
  </si>
  <si>
    <t xml:space="preserve">ZMB|mit.ic.a</t>
  </si>
  <si>
    <t xml:space="preserve">ZWE|mit.ic.a</t>
  </si>
  <si>
    <t xml:space="preserve">ABW|mit.ic.b</t>
  </si>
  <si>
    <t xml:space="preserve">AFG|mit.ic.b</t>
  </si>
  <si>
    <t xml:space="preserve">AGO|mit.ic.b</t>
  </si>
  <si>
    <t xml:space="preserve">ALB|mit.ic.b</t>
  </si>
  <si>
    <t xml:space="preserve">ARE|mit.ic.b</t>
  </si>
  <si>
    <t xml:space="preserve">ARG|mit.ic.b</t>
  </si>
  <si>
    <t xml:space="preserve">ARM|mit.ic.b</t>
  </si>
  <si>
    <t xml:space="preserve">ATG|mit.ic.b</t>
  </si>
  <si>
    <t xml:space="preserve">AUS|mit.ic.b</t>
  </si>
  <si>
    <t xml:space="preserve">AUT|mit.ic.b</t>
  </si>
  <si>
    <t xml:space="preserve">AZE|mit.ic.b</t>
  </si>
  <si>
    <t xml:space="preserve">BDI|mit.ic.b</t>
  </si>
  <si>
    <t xml:space="preserve">BEL|mit.ic.b</t>
  </si>
  <si>
    <t xml:space="preserve">BEN|mit.ic.b</t>
  </si>
  <si>
    <t xml:space="preserve">BFA|mit.ic.b</t>
  </si>
  <si>
    <t xml:space="preserve">BGD|mit.ic.b</t>
  </si>
  <si>
    <t xml:space="preserve">BGR|mit.ic.b</t>
  </si>
  <si>
    <t xml:space="preserve">BHR|mit.ic.b</t>
  </si>
  <si>
    <t xml:space="preserve">BHS|mit.ic.b</t>
  </si>
  <si>
    <t xml:space="preserve">BIH|mit.ic.b</t>
  </si>
  <si>
    <t xml:space="preserve">BLR|mit.ic.b</t>
  </si>
  <si>
    <t xml:space="preserve">BLZ|mit.ic.b</t>
  </si>
  <si>
    <t xml:space="preserve">BOL|mit.ic.b</t>
  </si>
  <si>
    <t xml:space="preserve">BRA|mit.ic.b</t>
  </si>
  <si>
    <t xml:space="preserve">BRB|mit.ic.b</t>
  </si>
  <si>
    <t xml:space="preserve">BRN|mit.ic.b</t>
  </si>
  <si>
    <t xml:space="preserve">BTN|mit.ic.b</t>
  </si>
  <si>
    <t xml:space="preserve">BWA|mit.ic.b</t>
  </si>
  <si>
    <t xml:space="preserve">CAF|mit.ic.b</t>
  </si>
  <si>
    <t xml:space="preserve">CAN|mit.ic.b</t>
  </si>
  <si>
    <t xml:space="preserve">CHE|mit.ic.b</t>
  </si>
  <si>
    <t xml:space="preserve">CHL|mit.ic.b</t>
  </si>
  <si>
    <t xml:space="preserve">CHN|mit.ic.b</t>
  </si>
  <si>
    <t xml:space="preserve">CIV|mit.ic.b</t>
  </si>
  <si>
    <t xml:space="preserve">CMR|mit.ic.b</t>
  </si>
  <si>
    <t xml:space="preserve">COD|mit.ic.b</t>
  </si>
  <si>
    <t xml:space="preserve">COG|mit.ic.b</t>
  </si>
  <si>
    <t xml:space="preserve">COL|mit.ic.b</t>
  </si>
  <si>
    <t xml:space="preserve">COM|mit.ic.b</t>
  </si>
  <si>
    <t xml:space="preserve">CPV|mit.ic.b</t>
  </si>
  <si>
    <t xml:space="preserve">CRI|mit.ic.b</t>
  </si>
  <si>
    <t xml:space="preserve">CYP|mit.ic.b</t>
  </si>
  <si>
    <t xml:space="preserve">CZE|mit.ic.b</t>
  </si>
  <si>
    <t xml:space="preserve">DEU|mit.ic.b</t>
  </si>
  <si>
    <t xml:space="preserve">DJI|mit.ic.b</t>
  </si>
  <si>
    <t xml:space="preserve">DMA|mit.ic.b</t>
  </si>
  <si>
    <t xml:space="preserve">DNK|mit.ic.b</t>
  </si>
  <si>
    <t xml:space="preserve">DOM|mit.ic.b</t>
  </si>
  <si>
    <t xml:space="preserve">DZA|mit.ic.b</t>
  </si>
  <si>
    <t xml:space="preserve">ECU|mit.ic.b</t>
  </si>
  <si>
    <t xml:space="preserve">EGY|mit.ic.b</t>
  </si>
  <si>
    <t xml:space="preserve">ESP|mit.ic.b</t>
  </si>
  <si>
    <t xml:space="preserve">EST|mit.ic.b</t>
  </si>
  <si>
    <t xml:space="preserve">ETH|mit.ic.b</t>
  </si>
  <si>
    <t xml:space="preserve">FIN|mit.ic.b</t>
  </si>
  <si>
    <t xml:space="preserve">FJI|mit.ic.b</t>
  </si>
  <si>
    <t xml:space="preserve">FRA|mit.ic.b</t>
  </si>
  <si>
    <t xml:space="preserve">GAB|mit.ic.b</t>
  </si>
  <si>
    <t xml:space="preserve">GBR|mit.ic.b</t>
  </si>
  <si>
    <t xml:space="preserve">GEO|mit.ic.b</t>
  </si>
  <si>
    <t xml:space="preserve">GHA|mit.ic.b</t>
  </si>
  <si>
    <t xml:space="preserve">GIN|mit.ic.b</t>
  </si>
  <si>
    <t xml:space="preserve">GMB|mit.ic.b</t>
  </si>
  <si>
    <t xml:space="preserve">GNB|mit.ic.b</t>
  </si>
  <si>
    <t xml:space="preserve">GNQ|mit.ic.b</t>
  </si>
  <si>
    <t xml:space="preserve">GRC|mit.ic.b</t>
  </si>
  <si>
    <t xml:space="preserve">GRD|mit.ic.b</t>
  </si>
  <si>
    <t xml:space="preserve">GTM|mit.ic.b</t>
  </si>
  <si>
    <t xml:space="preserve">GUY|mit.ic.b</t>
  </si>
  <si>
    <t xml:space="preserve">HKG|mit.ic.b</t>
  </si>
  <si>
    <t xml:space="preserve">HND|mit.ic.b</t>
  </si>
  <si>
    <t xml:space="preserve">HRV|mit.ic.b</t>
  </si>
  <si>
    <t xml:space="preserve">HTI|mit.ic.b</t>
  </si>
  <si>
    <t xml:space="preserve">HUN|mit.ic.b</t>
  </si>
  <si>
    <t xml:space="preserve">IDN|mit.ic.b</t>
  </si>
  <si>
    <t xml:space="preserve">IND|mit.ic.b</t>
  </si>
  <si>
    <t xml:space="preserve">IRL|mit.ic.b</t>
  </si>
  <si>
    <t xml:space="preserve">IRN|mit.ic.b</t>
  </si>
  <si>
    <t xml:space="preserve">IRQ|mit.ic.b</t>
  </si>
  <si>
    <t xml:space="preserve">ISL|mit.ic.b</t>
  </si>
  <si>
    <t xml:space="preserve">ISR|mit.ic.b</t>
  </si>
  <si>
    <t xml:space="preserve">ITA|mit.ic.b</t>
  </si>
  <si>
    <t xml:space="preserve">JAM|mit.ic.b</t>
  </si>
  <si>
    <t xml:space="preserve">JOR|mit.ic.b</t>
  </si>
  <si>
    <t xml:space="preserve">JPN|mit.ic.b</t>
  </si>
  <si>
    <t xml:space="preserve">KAZ|mit.ic.b</t>
  </si>
  <si>
    <t xml:space="preserve">KEN|mit.ic.b</t>
  </si>
  <si>
    <t xml:space="preserve">KGZ|mit.ic.b</t>
  </si>
  <si>
    <t xml:space="preserve">KHM|mit.ic.b</t>
  </si>
  <si>
    <t xml:space="preserve">KNA|mit.ic.b</t>
  </si>
  <si>
    <t xml:space="preserve">KOR|mit.ic.b</t>
  </si>
  <si>
    <t xml:space="preserve">KWT|mit.ic.b</t>
  </si>
  <si>
    <t xml:space="preserve">LAO|mit.ic.b</t>
  </si>
  <si>
    <t xml:space="preserve">LBN|mit.ic.b</t>
  </si>
  <si>
    <t xml:space="preserve">LBR|mit.ic.b</t>
  </si>
  <si>
    <t xml:space="preserve">LBY|mit.ic.b</t>
  </si>
  <si>
    <t xml:space="preserve">LCA|mit.ic.b</t>
  </si>
  <si>
    <t xml:space="preserve">LKA|mit.ic.b</t>
  </si>
  <si>
    <t xml:space="preserve">LSO|mit.ic.b</t>
  </si>
  <si>
    <t xml:space="preserve">LTU|mit.ic.b</t>
  </si>
  <si>
    <t xml:space="preserve">LUX|mit.ic.b</t>
  </si>
  <si>
    <t xml:space="preserve">LVA|mit.ic.b</t>
  </si>
  <si>
    <t xml:space="preserve">MAC|mit.ic.b</t>
  </si>
  <si>
    <t xml:space="preserve">MAR|mit.ic.b</t>
  </si>
  <si>
    <t xml:space="preserve">MDA|mit.ic.b</t>
  </si>
  <si>
    <t xml:space="preserve">MDG|mit.ic.b</t>
  </si>
  <si>
    <t xml:space="preserve">MDV|mit.ic.b</t>
  </si>
  <si>
    <t xml:space="preserve">MEX|mit.ic.b</t>
  </si>
  <si>
    <t xml:space="preserve">MKD|mit.ic.b</t>
  </si>
  <si>
    <t xml:space="preserve">MLI|mit.ic.b</t>
  </si>
  <si>
    <t xml:space="preserve">MLT|mit.ic.b</t>
  </si>
  <si>
    <t xml:space="preserve">MMR|mit.ic.b</t>
  </si>
  <si>
    <t xml:space="preserve">MNE|mit.ic.b</t>
  </si>
  <si>
    <t xml:space="preserve">MNG|mit.ic.b</t>
  </si>
  <si>
    <t xml:space="preserve">MOZ|mit.ic.b</t>
  </si>
  <si>
    <t xml:space="preserve">MRT|mit.ic.b</t>
  </si>
  <si>
    <t xml:space="preserve">MUS|mit.ic.b</t>
  </si>
  <si>
    <t xml:space="preserve">MWI|mit.ic.b</t>
  </si>
  <si>
    <t xml:space="preserve">MYS|mit.ic.b</t>
  </si>
  <si>
    <t xml:space="preserve">NAM|mit.ic.b</t>
  </si>
  <si>
    <t xml:space="preserve">NER|mit.ic.b</t>
  </si>
  <si>
    <t xml:space="preserve">NGA|mit.ic.b</t>
  </si>
  <si>
    <t xml:space="preserve">NIC|mit.ic.b</t>
  </si>
  <si>
    <t xml:space="preserve">NLD|mit.ic.b</t>
  </si>
  <si>
    <t xml:space="preserve">NOR|mit.ic.b</t>
  </si>
  <si>
    <t xml:space="preserve">NPL|mit.ic.b</t>
  </si>
  <si>
    <t xml:space="preserve">NRU|mit.ic.b</t>
  </si>
  <si>
    <t xml:space="preserve">NZL|mit.ic.b</t>
  </si>
  <si>
    <t xml:space="preserve">OMN|mit.ic.b</t>
  </si>
  <si>
    <t xml:space="preserve">PAK|mit.ic.b</t>
  </si>
  <si>
    <t xml:space="preserve">PAN|mit.ic.b</t>
  </si>
  <si>
    <t xml:space="preserve">PER|mit.ic.b</t>
  </si>
  <si>
    <t xml:space="preserve">PHL|mit.ic.b</t>
  </si>
  <si>
    <t xml:space="preserve">PLW|mit.ic.b</t>
  </si>
  <si>
    <t xml:space="preserve">PNG|mit.ic.b</t>
  </si>
  <si>
    <t xml:space="preserve">POL|mit.ic.b</t>
  </si>
  <si>
    <t xml:space="preserve">PRI|mit.ic.b</t>
  </si>
  <si>
    <t xml:space="preserve">PRT|mit.ic.b</t>
  </si>
  <si>
    <t xml:space="preserve">PRY|mit.ic.b</t>
  </si>
  <si>
    <t xml:space="preserve">QAT|mit.ic.b</t>
  </si>
  <si>
    <t xml:space="preserve">ROU|mit.ic.b</t>
  </si>
  <si>
    <t xml:space="preserve">RUS|mit.ic.b</t>
  </si>
  <si>
    <t xml:space="preserve">RWA|mit.ic.b</t>
  </si>
  <si>
    <t xml:space="preserve">SAU|mit.ic.b</t>
  </si>
  <si>
    <t xml:space="preserve">SDN|mit.ic.b</t>
  </si>
  <si>
    <t xml:space="preserve">SEN|mit.ic.b</t>
  </si>
  <si>
    <t xml:space="preserve">SGP|mit.ic.b</t>
  </si>
  <si>
    <t xml:space="preserve">SLB|mit.ic.b</t>
  </si>
  <si>
    <t xml:space="preserve">SLE|mit.ic.b</t>
  </si>
  <si>
    <t xml:space="preserve">SLV|mit.ic.b</t>
  </si>
  <si>
    <t xml:space="preserve">SOM|mit.ic.b</t>
  </si>
  <si>
    <t xml:space="preserve">SRB|mit.ic.b</t>
  </si>
  <si>
    <t xml:space="preserve">STP|mit.ic.b</t>
  </si>
  <si>
    <t xml:space="preserve">SUR|mit.ic.b</t>
  </si>
  <si>
    <t xml:space="preserve">SVK|mit.ic.b</t>
  </si>
  <si>
    <t xml:space="preserve">SVN|mit.ic.b</t>
  </si>
  <si>
    <t xml:space="preserve">SWE|mit.ic.b</t>
  </si>
  <si>
    <t xml:space="preserve">SWZ|mit.ic.b</t>
  </si>
  <si>
    <t xml:space="preserve">SYC|mit.ic.b</t>
  </si>
  <si>
    <t xml:space="preserve">SYR|mit.ic.b</t>
  </si>
  <si>
    <t xml:space="preserve">TCD|mit.ic.b</t>
  </si>
  <si>
    <t xml:space="preserve">TGO|mit.ic.b</t>
  </si>
  <si>
    <t xml:space="preserve">THA|mit.ic.b</t>
  </si>
  <si>
    <t xml:space="preserve">TJK|mit.ic.b</t>
  </si>
  <si>
    <t xml:space="preserve">TKM|mit.ic.b</t>
  </si>
  <si>
    <t xml:space="preserve">TLS|mit.ic.b</t>
  </si>
  <si>
    <t xml:space="preserve">TON|mit.ic.b</t>
  </si>
  <si>
    <t xml:space="preserve">TTO|mit.ic.b</t>
  </si>
  <si>
    <t xml:space="preserve">TUN|mit.ic.b</t>
  </si>
  <si>
    <t xml:space="preserve">TUR|mit.ic.b</t>
  </si>
  <si>
    <t xml:space="preserve">TZA|mit.ic.b</t>
  </si>
  <si>
    <t xml:space="preserve">UGA|mit.ic.b</t>
  </si>
  <si>
    <t xml:space="preserve">UKR|mit.ic.b</t>
  </si>
  <si>
    <t xml:space="preserve">URY|mit.ic.b</t>
  </si>
  <si>
    <t xml:space="preserve">USA|mit.ic.b</t>
  </si>
  <si>
    <t xml:space="preserve">UZB|mit.ic.b</t>
  </si>
  <si>
    <t xml:space="preserve">VCT|mit.ic.b</t>
  </si>
  <si>
    <t xml:space="preserve">VEN|mit.ic.b</t>
  </si>
  <si>
    <t xml:space="preserve">VNM|mit.ic.b</t>
  </si>
  <si>
    <t xml:space="preserve">VUT|mit.ic.b</t>
  </si>
  <si>
    <t xml:space="preserve">WSM|mit.ic.b</t>
  </si>
  <si>
    <t xml:space="preserve">XKX|mit.ic.b</t>
  </si>
  <si>
    <t xml:space="preserve">YEM|mit.ic.b</t>
  </si>
  <si>
    <t xml:space="preserve">ZAF|mit.ic.b</t>
  </si>
  <si>
    <t xml:space="preserve">ZMB|mit.ic.b</t>
  </si>
  <si>
    <t xml:space="preserve">ZWE|mit.ic.b</t>
  </si>
  <si>
    <t xml:space="preserve">ABW|mit.ic.c</t>
  </si>
  <si>
    <t xml:space="preserve">AFG|mit.ic.c</t>
  </si>
  <si>
    <t xml:space="preserve">AGO|mit.ic.c</t>
  </si>
  <si>
    <t xml:space="preserve">ALB|mit.ic.c</t>
  </si>
  <si>
    <t xml:space="preserve">ARE|mit.ic.c</t>
  </si>
  <si>
    <t xml:space="preserve">ARG|mit.ic.c</t>
  </si>
  <si>
    <t xml:space="preserve">ARM|mit.ic.c</t>
  </si>
  <si>
    <t xml:space="preserve">ATG|mit.ic.c</t>
  </si>
  <si>
    <t xml:space="preserve">AUS|mit.ic.c</t>
  </si>
  <si>
    <t xml:space="preserve">AUT|mit.ic.c</t>
  </si>
  <si>
    <t xml:space="preserve">AZE|mit.ic.c</t>
  </si>
  <si>
    <t xml:space="preserve">BDI|mit.ic.c</t>
  </si>
  <si>
    <t xml:space="preserve">BEL|mit.ic.c</t>
  </si>
  <si>
    <t xml:space="preserve">BEN|mit.ic.c</t>
  </si>
  <si>
    <t xml:space="preserve">BFA|mit.ic.c</t>
  </si>
  <si>
    <t xml:space="preserve">BGD|mit.ic.c</t>
  </si>
  <si>
    <t xml:space="preserve">BGR|mit.ic.c</t>
  </si>
  <si>
    <t xml:space="preserve">BHR|mit.ic.c</t>
  </si>
  <si>
    <t xml:space="preserve">BHS|mit.ic.c</t>
  </si>
  <si>
    <t xml:space="preserve">BIH|mit.ic.c</t>
  </si>
  <si>
    <t xml:space="preserve">BLR|mit.ic.c</t>
  </si>
  <si>
    <t xml:space="preserve">BLZ|mit.ic.c</t>
  </si>
  <si>
    <t xml:space="preserve">BOL|mit.ic.c</t>
  </si>
  <si>
    <t xml:space="preserve">BRA|mit.ic.c</t>
  </si>
  <si>
    <t xml:space="preserve">BRB|mit.ic.c</t>
  </si>
  <si>
    <t xml:space="preserve">BRN|mit.ic.c</t>
  </si>
  <si>
    <t xml:space="preserve">BTN|mit.ic.c</t>
  </si>
  <si>
    <t xml:space="preserve">BWA|mit.ic.c</t>
  </si>
  <si>
    <t xml:space="preserve">CAF|mit.ic.c</t>
  </si>
  <si>
    <t xml:space="preserve">CAN|mit.ic.c</t>
  </si>
  <si>
    <t xml:space="preserve">CHE|mit.ic.c</t>
  </si>
  <si>
    <t xml:space="preserve">CHL|mit.ic.c</t>
  </si>
  <si>
    <t xml:space="preserve">CHN|mit.ic.c</t>
  </si>
  <si>
    <t xml:space="preserve">CIV|mit.ic.c</t>
  </si>
  <si>
    <t xml:space="preserve">CMR|mit.ic.c</t>
  </si>
  <si>
    <t xml:space="preserve">COD|mit.ic.c</t>
  </si>
  <si>
    <t xml:space="preserve">COG|mit.ic.c</t>
  </si>
  <si>
    <t xml:space="preserve">COL|mit.ic.c</t>
  </si>
  <si>
    <t xml:space="preserve">COM|mit.ic.c</t>
  </si>
  <si>
    <t xml:space="preserve">CPV|mit.ic.c</t>
  </si>
  <si>
    <t xml:space="preserve">CRI|mit.ic.c</t>
  </si>
  <si>
    <t xml:space="preserve">CYP|mit.ic.c</t>
  </si>
  <si>
    <t xml:space="preserve">CZE|mit.ic.c</t>
  </si>
  <si>
    <t xml:space="preserve">DEU|mit.ic.c</t>
  </si>
  <si>
    <t xml:space="preserve">DJI|mit.ic.c</t>
  </si>
  <si>
    <t xml:space="preserve">DMA|mit.ic.c</t>
  </si>
  <si>
    <t xml:space="preserve">DNK|mit.ic.c</t>
  </si>
  <si>
    <t xml:space="preserve">DOM|mit.ic.c</t>
  </si>
  <si>
    <t xml:space="preserve">DZA|mit.ic.c</t>
  </si>
  <si>
    <t xml:space="preserve">ECU|mit.ic.c</t>
  </si>
  <si>
    <t xml:space="preserve">EGY|mit.ic.c</t>
  </si>
  <si>
    <t xml:space="preserve">ESP|mit.ic.c</t>
  </si>
  <si>
    <t xml:space="preserve">EST|mit.ic.c</t>
  </si>
  <si>
    <t xml:space="preserve">ETH|mit.ic.c</t>
  </si>
  <si>
    <t xml:space="preserve">FIN|mit.ic.c</t>
  </si>
  <si>
    <t xml:space="preserve">FJI|mit.ic.c</t>
  </si>
  <si>
    <t xml:space="preserve">FRA|mit.ic.c</t>
  </si>
  <si>
    <t xml:space="preserve">GAB|mit.ic.c</t>
  </si>
  <si>
    <t xml:space="preserve">GBR|mit.ic.c</t>
  </si>
  <si>
    <t xml:space="preserve">GEO|mit.ic.c</t>
  </si>
  <si>
    <t xml:space="preserve">GHA|mit.ic.c</t>
  </si>
  <si>
    <t xml:space="preserve">GIN|mit.ic.c</t>
  </si>
  <si>
    <t xml:space="preserve">GMB|mit.ic.c</t>
  </si>
  <si>
    <t xml:space="preserve">GNB|mit.ic.c</t>
  </si>
  <si>
    <t xml:space="preserve">GNQ|mit.ic.c</t>
  </si>
  <si>
    <t xml:space="preserve">GRC|mit.ic.c</t>
  </si>
  <si>
    <t xml:space="preserve">GRD|mit.ic.c</t>
  </si>
  <si>
    <t xml:space="preserve">GTM|mit.ic.c</t>
  </si>
  <si>
    <t xml:space="preserve">GUY|mit.ic.c</t>
  </si>
  <si>
    <t xml:space="preserve">HKG|mit.ic.c</t>
  </si>
  <si>
    <t xml:space="preserve">HND|mit.ic.c</t>
  </si>
  <si>
    <t xml:space="preserve">HRV|mit.ic.c</t>
  </si>
  <si>
    <t xml:space="preserve">HTI|mit.ic.c</t>
  </si>
  <si>
    <t xml:space="preserve">HUN|mit.ic.c</t>
  </si>
  <si>
    <t xml:space="preserve">IDN|mit.ic.c</t>
  </si>
  <si>
    <t xml:space="preserve">IND|mit.ic.c</t>
  </si>
  <si>
    <t xml:space="preserve">IRL|mit.ic.c</t>
  </si>
  <si>
    <t xml:space="preserve">IRN|mit.ic.c</t>
  </si>
  <si>
    <t xml:space="preserve">IRQ|mit.ic.c</t>
  </si>
  <si>
    <t xml:space="preserve">ISL|mit.ic.c</t>
  </si>
  <si>
    <t xml:space="preserve">ISR|mit.ic.c</t>
  </si>
  <si>
    <t xml:space="preserve">ITA|mit.ic.c</t>
  </si>
  <si>
    <t xml:space="preserve">JAM|mit.ic.c</t>
  </si>
  <si>
    <t xml:space="preserve">JOR|mit.ic.c</t>
  </si>
  <si>
    <t xml:space="preserve">JPN|mit.ic.c</t>
  </si>
  <si>
    <t xml:space="preserve">KAZ|mit.ic.c</t>
  </si>
  <si>
    <t xml:space="preserve">KEN|mit.ic.c</t>
  </si>
  <si>
    <t xml:space="preserve">KGZ|mit.ic.c</t>
  </si>
  <si>
    <t xml:space="preserve">KHM|mit.ic.c</t>
  </si>
  <si>
    <t xml:space="preserve">KNA|mit.ic.c</t>
  </si>
  <si>
    <t xml:space="preserve">KOR|mit.ic.c</t>
  </si>
  <si>
    <t xml:space="preserve">KWT|mit.ic.c</t>
  </si>
  <si>
    <t xml:space="preserve">LAO|mit.ic.c</t>
  </si>
  <si>
    <t xml:space="preserve">LBN|mit.ic.c</t>
  </si>
  <si>
    <t xml:space="preserve">LBR|mit.ic.c</t>
  </si>
  <si>
    <t xml:space="preserve">LBY|mit.ic.c</t>
  </si>
  <si>
    <t xml:space="preserve">LCA|mit.ic.c</t>
  </si>
  <si>
    <t xml:space="preserve">LKA|mit.ic.c</t>
  </si>
  <si>
    <t xml:space="preserve">LSO|mit.ic.c</t>
  </si>
  <si>
    <t xml:space="preserve">LTU|mit.ic.c</t>
  </si>
  <si>
    <t xml:space="preserve">LUX|mit.ic.c</t>
  </si>
  <si>
    <t xml:space="preserve">LVA|mit.ic.c</t>
  </si>
  <si>
    <t xml:space="preserve">MAC|mit.ic.c</t>
  </si>
  <si>
    <t xml:space="preserve">MAR|mit.ic.c</t>
  </si>
  <si>
    <t xml:space="preserve">MDA|mit.ic.c</t>
  </si>
  <si>
    <t xml:space="preserve">MDG|mit.ic.c</t>
  </si>
  <si>
    <t xml:space="preserve">MDV|mit.ic.c</t>
  </si>
  <si>
    <t xml:space="preserve">MEX|mit.ic.c</t>
  </si>
  <si>
    <t xml:space="preserve">MKD|mit.ic.c</t>
  </si>
  <si>
    <t xml:space="preserve">MLI|mit.ic.c</t>
  </si>
  <si>
    <t xml:space="preserve">MLT|mit.ic.c</t>
  </si>
  <si>
    <t xml:space="preserve">MMR|mit.ic.c</t>
  </si>
  <si>
    <t xml:space="preserve">MNE|mit.ic.c</t>
  </si>
  <si>
    <t xml:space="preserve">MNG|mit.ic.c</t>
  </si>
  <si>
    <t xml:space="preserve">MOZ|mit.ic.c</t>
  </si>
  <si>
    <t xml:space="preserve">MRT|mit.ic.c</t>
  </si>
  <si>
    <t xml:space="preserve">MUS|mit.ic.c</t>
  </si>
  <si>
    <t xml:space="preserve">MWI|mit.ic.c</t>
  </si>
  <si>
    <t xml:space="preserve">MYS|mit.ic.c</t>
  </si>
  <si>
    <t xml:space="preserve">NAM|mit.ic.c</t>
  </si>
  <si>
    <t xml:space="preserve">NER|mit.ic.c</t>
  </si>
  <si>
    <t xml:space="preserve">NGA|mit.ic.c</t>
  </si>
  <si>
    <t xml:space="preserve">NIC|mit.ic.c</t>
  </si>
  <si>
    <t xml:space="preserve">NLD|mit.ic.c</t>
  </si>
  <si>
    <t xml:space="preserve">NOR|mit.ic.c</t>
  </si>
  <si>
    <t xml:space="preserve">NPL|mit.ic.c</t>
  </si>
  <si>
    <t xml:space="preserve">NRU|mit.ic.c</t>
  </si>
  <si>
    <t xml:space="preserve">NZL|mit.ic.c</t>
  </si>
  <si>
    <t xml:space="preserve">OMN|mit.ic.c</t>
  </si>
  <si>
    <t xml:space="preserve">PAK|mit.ic.c</t>
  </si>
  <si>
    <t xml:space="preserve">PAN|mit.ic.c</t>
  </si>
  <si>
    <t xml:space="preserve">PER|mit.ic.c</t>
  </si>
  <si>
    <t xml:space="preserve">PHL|mit.ic.c</t>
  </si>
  <si>
    <t xml:space="preserve">PLW|mit.ic.c</t>
  </si>
  <si>
    <t xml:space="preserve">PNG|mit.ic.c</t>
  </si>
  <si>
    <t xml:space="preserve">POL|mit.ic.c</t>
  </si>
  <si>
    <t xml:space="preserve">PRI|mit.ic.c</t>
  </si>
  <si>
    <t xml:space="preserve">PRT|mit.ic.c</t>
  </si>
  <si>
    <t xml:space="preserve">PRY|mit.ic.c</t>
  </si>
  <si>
    <t xml:space="preserve">QAT|mit.ic.c</t>
  </si>
  <si>
    <t xml:space="preserve">ROU|mit.ic.c</t>
  </si>
  <si>
    <t xml:space="preserve">RUS|mit.ic.c</t>
  </si>
  <si>
    <t xml:space="preserve">RWA|mit.ic.c</t>
  </si>
  <si>
    <t xml:space="preserve">SAU|mit.ic.c</t>
  </si>
  <si>
    <t xml:space="preserve">SDN|mit.ic.c</t>
  </si>
  <si>
    <t xml:space="preserve">SEN|mit.ic.c</t>
  </si>
  <si>
    <t xml:space="preserve">SGP|mit.ic.c</t>
  </si>
  <si>
    <t xml:space="preserve">SLB|mit.ic.c</t>
  </si>
  <si>
    <t xml:space="preserve">SLE|mit.ic.c</t>
  </si>
  <si>
    <t xml:space="preserve">SLV|mit.ic.c</t>
  </si>
  <si>
    <t xml:space="preserve">SOM|mit.ic.c</t>
  </si>
  <si>
    <t xml:space="preserve">SRB|mit.ic.c</t>
  </si>
  <si>
    <t xml:space="preserve">STP|mit.ic.c</t>
  </si>
  <si>
    <t xml:space="preserve">SUR|mit.ic.c</t>
  </si>
  <si>
    <t xml:space="preserve">SVK|mit.ic.c</t>
  </si>
  <si>
    <t xml:space="preserve">SVN|mit.ic.c</t>
  </si>
  <si>
    <t xml:space="preserve">SWE|mit.ic.c</t>
  </si>
  <si>
    <t xml:space="preserve">SWZ|mit.ic.c</t>
  </si>
  <si>
    <t xml:space="preserve">SYC|mit.ic.c</t>
  </si>
  <si>
    <t xml:space="preserve">SYR|mit.ic.c</t>
  </si>
  <si>
    <t xml:space="preserve">TCD|mit.ic.c</t>
  </si>
  <si>
    <t xml:space="preserve">TGO|mit.ic.c</t>
  </si>
  <si>
    <t xml:space="preserve">THA|mit.ic.c</t>
  </si>
  <si>
    <t xml:space="preserve">TJK|mit.ic.c</t>
  </si>
  <si>
    <t xml:space="preserve">TKM|mit.ic.c</t>
  </si>
  <si>
    <t xml:space="preserve">TLS|mit.ic.c</t>
  </si>
  <si>
    <t xml:space="preserve">TON|mit.ic.c</t>
  </si>
  <si>
    <t xml:space="preserve">TTO|mit.ic.c</t>
  </si>
  <si>
    <t xml:space="preserve">TUN|mit.ic.c</t>
  </si>
  <si>
    <t xml:space="preserve">TUR|mit.ic.c</t>
  </si>
  <si>
    <t xml:space="preserve">TZA|mit.ic.c</t>
  </si>
  <si>
    <t xml:space="preserve">UGA|mit.ic.c</t>
  </si>
  <si>
    <t xml:space="preserve">UKR|mit.ic.c</t>
  </si>
  <si>
    <t xml:space="preserve">URY|mit.ic.c</t>
  </si>
  <si>
    <t xml:space="preserve">USA|mit.ic.c</t>
  </si>
  <si>
    <t xml:space="preserve">UZB|mit.ic.c</t>
  </si>
  <si>
    <t xml:space="preserve">VCT|mit.ic.c</t>
  </si>
  <si>
    <t xml:space="preserve">VEN|mit.ic.c</t>
  </si>
  <si>
    <t xml:space="preserve">VNM|mit.ic.c</t>
  </si>
  <si>
    <t xml:space="preserve">VUT|mit.ic.c</t>
  </si>
  <si>
    <t xml:space="preserve">WSM|mit.ic.c</t>
  </si>
  <si>
    <t xml:space="preserve">XKX|mit.ic.c</t>
  </si>
  <si>
    <t xml:space="preserve">YEM|mit.ic.c</t>
  </si>
  <si>
    <t xml:space="preserve">ZAF|mit.ic.c</t>
  </si>
  <si>
    <t xml:space="preserve">ZMB|mit.ic.c</t>
  </si>
  <si>
    <t xml:space="preserve">ZWE|mit.ic.c</t>
  </si>
</sst>
</file>

<file path=xl/styles.xml><?xml version="1.0" encoding="utf-8"?>
<styleSheet xmlns="http://schemas.openxmlformats.org/spreadsheetml/2006/main">
  <numFmts count="6">
    <numFmt numFmtId="164" formatCode="General"/>
    <numFmt numFmtId="165" formatCode="#,##0.0;\(#,##0.0\);\-"/>
    <numFmt numFmtId="166" formatCode="#,##0.000"/>
    <numFmt numFmtId="167" formatCode="0.0%"/>
    <numFmt numFmtId="168" formatCode="#,##0;\(#,##0\);\-"/>
    <numFmt numFmtId="169"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9"/>
      <name val="Arial"/>
      <family val="0"/>
      <charset val="1"/>
    </font>
    <font>
      <sz val="9"/>
      <name val="Arial"/>
      <family val="0"/>
      <charset val="1"/>
    </font>
    <font>
      <b val="true"/>
      <sz val="12"/>
      <name val="Arial"/>
      <family val="0"/>
      <charset val="1"/>
    </font>
    <font>
      <i val="true"/>
      <sz val="8"/>
      <color rgb="FF595959"/>
      <name val="Arial"/>
      <family val="0"/>
      <charset val="1"/>
    </font>
    <font>
      <b val="true"/>
      <sz val="9"/>
      <color rgb="FFFFFFFF"/>
      <name val="Arial"/>
      <family val="0"/>
      <charset val="1"/>
    </font>
    <font>
      <b val="true"/>
      <sz val="18"/>
      <color rgb="FF000000"/>
      <name val="Calibri"/>
      <family val="2"/>
    </font>
    <font>
      <sz val="10"/>
      <color rgb="FF000000"/>
      <name val="Calibri"/>
      <family val="2"/>
    </font>
    <font>
      <b val="true"/>
      <sz val="11"/>
      <color rgb="FF0000FF"/>
      <name val="Arial"/>
      <family val="0"/>
      <charset val="1"/>
    </font>
    <font>
      <sz val="9"/>
      <color rgb="FF0000FF"/>
      <name val="Arial"/>
      <family val="0"/>
      <charset val="1"/>
    </font>
  </fonts>
  <fills count="8">
    <fill>
      <patternFill patternType="none"/>
    </fill>
    <fill>
      <patternFill patternType="gray125"/>
    </fill>
    <fill>
      <patternFill patternType="solid">
        <fgColor rgb="FF00B050"/>
        <bgColor rgb="FF008080"/>
      </patternFill>
    </fill>
    <fill>
      <patternFill patternType="solid">
        <fgColor rgb="FFFFF2CC"/>
        <bgColor rgb="FFEBF1DE"/>
      </patternFill>
    </fill>
    <fill>
      <patternFill patternType="solid">
        <fgColor rgb="FFEBF1DE"/>
        <bgColor rgb="FFFFF2CC"/>
      </patternFill>
    </fill>
    <fill>
      <patternFill patternType="solid">
        <fgColor rgb="FF92D050"/>
        <bgColor rgb="FF969696"/>
      </patternFill>
    </fill>
    <fill>
      <patternFill patternType="solid">
        <fgColor rgb="FFDCE6F1"/>
        <bgColor rgb="FFD9D9D9"/>
      </patternFill>
    </fill>
    <fill>
      <patternFill patternType="solid">
        <fgColor rgb="FFDDD9C4"/>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6"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5" fillId="5"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6" fontId="0" fillId="5" borderId="0" xfId="0" applyFont="fals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6" fontId="6" fillId="7"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general" vertical="center" textRotation="0" wrapText="tru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9" fontId="0" fillId="3" borderId="0" xfId="0" applyFont="fals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00B05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DD9C4"/>
      <rgbColor rgb="FF878787"/>
      <rgbColor rgb="FF9999FF"/>
      <rgbColor rgb="FFBE4B48"/>
      <rgbColor rgb="FFFFF2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BF1DE"/>
      <rgbColor rgb="FFFFFF99"/>
      <rgbColor rgb="FF99CCFF"/>
      <rgbColor rgb="FFFF99CC"/>
      <rgbColor rgb="FFCC99FF"/>
      <rgbColor rgb="FFFFCC99"/>
      <rgbColor rgb="FF4A7EBB"/>
      <rgbColor rgb="FF33CCCC"/>
      <rgbColor rgb="FF92D050"/>
      <rgbColor rgb="FFFFCC00"/>
      <rgbColor rgb="FFFF9900"/>
      <rgbColor rgb="FFFF6600"/>
      <rgbColor rgb="FF59595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GHG emissions, baseline and net zero (MtCO2e)</a:t>
            </a:r>
          </a:p>
        </c:rich>
      </c:tx>
      <c:overlay val="0"/>
      <c:spPr>
        <a:noFill/>
        <a:ln w="0">
          <a:noFill/>
        </a:ln>
      </c:spPr>
    </c:title>
    <c:autoTitleDeleted val="0"/>
    <c:plotArea>
      <c:lineChart>
        <c:grouping val="standard"/>
        <c:varyColors val="0"/>
        <c:ser>
          <c:idx val="0"/>
          <c:order val="0"/>
          <c:tx>
            <c:strRef>
              <c:f>"Baseline"</c:f>
              <c:strCache>
                <c:ptCount val="1"/>
                <c:pt idx="0">
                  <c:v>Baseline</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Mitigation!$N$1:$AN$1</c:f>
              <c:multiLvlStrCache>
                <c:ptCount val="1"/>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lvl>
                  <c:pt idx="0">
                    <c:v>2025</c:v>
                  </c:pt>
                </c:lvl>
                <c:lvl>
                  <c:pt idx="0">
                    <c:v>2024</c:v>
                  </c:pt>
                </c:lvl>
              </c:multiLvlStrCache>
            </c:multiLvlStrRef>
          </c:cat>
          <c:val>
            <c:numRef>
              <c:f>Mitigation!$N$158:$AN$158</c:f>
              <c:numCache>
                <c:formatCode>#,##0.000</c:formatCode>
                <c:ptCount val="27"/>
                <c:pt idx="0">
                  <c:v>4131.845</c:v>
                </c:pt>
                <c:pt idx="1">
                  <c:v>4236.58326070727</c:v>
                </c:pt>
                <c:pt idx="2">
                  <c:v>4326.15379256718</c:v>
                </c:pt>
                <c:pt idx="3">
                  <c:v>4415.47766800026</c:v>
                </c:pt>
                <c:pt idx="4">
                  <c:v>4504.3634833752</c:v>
                </c:pt>
                <c:pt idx="5">
                  <c:v>4592.62076925839</c:v>
                </c:pt>
                <c:pt idx="6">
                  <c:v>4680.06157200812</c:v>
                </c:pt>
                <c:pt idx="7">
                  <c:v>4747.45579328377</c:v>
                </c:pt>
                <c:pt idx="8">
                  <c:v>4812.43387769077</c:v>
                </c:pt>
                <c:pt idx="9">
                  <c:v>4874.7451930655</c:v>
                </c:pt>
                <c:pt idx="10">
                  <c:v>4934.1434284157</c:v>
                </c:pt>
                <c:pt idx="11">
                  <c:v>4990.3881418716</c:v>
                </c:pt>
                <c:pt idx="12">
                  <c:v>5043.47365847519</c:v>
                </c:pt>
                <c:pt idx="13">
                  <c:v>5093.18326490458</c:v>
                </c:pt>
                <c:pt idx="14">
                  <c:v>5139.30940976431</c:v>
                </c:pt>
                <c:pt idx="15">
                  <c:v>5181.65515053251</c:v>
                </c:pt>
                <c:pt idx="16">
                  <c:v>5220.03556057116</c:v>
                </c:pt>
                <c:pt idx="17">
                  <c:v>5258.38651743151</c:v>
                </c:pt>
                <c:pt idx="18">
                  <c:v>5296.67839508276</c:v>
                </c:pt>
                <c:pt idx="19">
                  <c:v>5334.88011975212</c:v>
                </c:pt>
                <c:pt idx="20">
                  <c:v>5372.95912236293</c:v>
                </c:pt>
                <c:pt idx="21">
                  <c:v>5410.881288009</c:v>
                </c:pt>
                <c:pt idx="22">
                  <c:v>5448.61090250565</c:v>
                </c:pt>
                <c:pt idx="23">
                  <c:v>5486.11059604652</c:v>
                </c:pt>
                <c:pt idx="24">
                  <c:v>5523.34128398431</c:v>
                </c:pt>
                <c:pt idx="25">
                  <c:v>5560.26210474365</c:v>
                </c:pt>
                <c:pt idx="26">
                  <c:v>5596.83035486449</c:v>
                </c:pt>
              </c:numCache>
            </c:numRef>
          </c:val>
          <c:smooth val="1"/>
        </c:ser>
        <c:ser>
          <c:idx val="1"/>
          <c:order val="1"/>
          <c:tx>
            <c:strRef>
              <c:f>"Net zero"</c:f>
              <c:strCache>
                <c:ptCount val="1"/>
                <c:pt idx="0">
                  <c:v>Net zero</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Mitigation!$N$1:$AN$1</c:f>
              <c:multiLvlStrCache>
                <c:ptCount val="1"/>
                <c:lvl>
                  <c:pt idx="0">
                    <c:v>2050</c:v>
                  </c:pt>
                </c:lvl>
                <c:lvl>
                  <c:pt idx="0">
                    <c:v>2049</c:v>
                  </c:pt>
                </c:lvl>
                <c:lvl>
                  <c:pt idx="0">
                    <c:v>2048</c:v>
                  </c:pt>
                </c:lvl>
                <c:lvl>
                  <c:pt idx="0">
                    <c:v>2047</c:v>
                  </c:pt>
                </c:lvl>
                <c:lvl>
                  <c:pt idx="0">
                    <c:v>2046</c:v>
                  </c:pt>
                </c:lvl>
                <c:lvl>
                  <c:pt idx="0">
                    <c:v>2045</c:v>
                  </c:pt>
                </c:lvl>
                <c:lvl>
                  <c:pt idx="0">
                    <c:v>2044</c:v>
                  </c:pt>
                </c:lvl>
                <c:lvl>
                  <c:pt idx="0">
                    <c:v>2043</c:v>
                  </c:pt>
                </c:lvl>
                <c:lvl>
                  <c:pt idx="0">
                    <c:v>2042</c:v>
                  </c:pt>
                </c:lvl>
                <c:lvl>
                  <c:pt idx="0">
                    <c:v>2041</c:v>
                  </c:pt>
                </c:lvl>
                <c:lvl>
                  <c:pt idx="0">
                    <c:v>2040</c:v>
                  </c:pt>
                </c:lvl>
                <c:lvl>
                  <c:pt idx="0">
                    <c:v>2039</c:v>
                  </c:pt>
                </c:lvl>
                <c:lvl>
                  <c:pt idx="0">
                    <c:v>2038</c:v>
                  </c:pt>
                </c:lvl>
                <c:lvl>
                  <c:pt idx="0">
                    <c:v>2037</c:v>
                  </c:pt>
                </c:lvl>
                <c:lvl>
                  <c:pt idx="0">
                    <c:v>2036</c:v>
                  </c:pt>
                </c:lvl>
                <c:lvl>
                  <c:pt idx="0">
                    <c:v>2035</c:v>
                  </c:pt>
                </c:lvl>
                <c:lvl>
                  <c:pt idx="0">
                    <c:v>2034</c:v>
                  </c:pt>
                </c:lvl>
                <c:lvl>
                  <c:pt idx="0">
                    <c:v>2033</c:v>
                  </c:pt>
                </c:lvl>
                <c:lvl>
                  <c:pt idx="0">
                    <c:v>2032</c:v>
                  </c:pt>
                </c:lvl>
                <c:lvl>
                  <c:pt idx="0">
                    <c:v>2031</c:v>
                  </c:pt>
                </c:lvl>
                <c:lvl>
                  <c:pt idx="0">
                    <c:v>2030</c:v>
                  </c:pt>
                </c:lvl>
                <c:lvl>
                  <c:pt idx="0">
                    <c:v>2029</c:v>
                  </c:pt>
                </c:lvl>
                <c:lvl>
                  <c:pt idx="0">
                    <c:v>2028</c:v>
                  </c:pt>
                </c:lvl>
                <c:lvl>
                  <c:pt idx="0">
                    <c:v>2027</c:v>
                  </c:pt>
                </c:lvl>
                <c:lvl>
                  <c:pt idx="0">
                    <c:v>2026</c:v>
                  </c:pt>
                </c:lvl>
                <c:lvl>
                  <c:pt idx="0">
                    <c:v>2025</c:v>
                  </c:pt>
                </c:lvl>
                <c:lvl>
                  <c:pt idx="0">
                    <c:v>2024</c:v>
                  </c:pt>
                </c:lvl>
              </c:multiLvlStrCache>
            </c:multiLvlStrRef>
          </c:cat>
          <c:val>
            <c:numRef>
              <c:f>Mitigation!$N$164:$AN$164</c:f>
              <c:numCache>
                <c:formatCode>#,##0.000</c:formatCode>
                <c:ptCount val="27"/>
                <c:pt idx="0">
                  <c:v>4131.845</c:v>
                </c:pt>
                <c:pt idx="1">
                  <c:v>4126.19492000292</c:v>
                </c:pt>
                <c:pt idx="2">
                  <c:v>4097.22403577856</c:v>
                </c:pt>
                <c:pt idx="3">
                  <c:v>4059.20929389458</c:v>
                </c:pt>
                <c:pt idx="4">
                  <c:v>4011.31993432756</c:v>
                </c:pt>
                <c:pt idx="5">
                  <c:v>3952.73484915468</c:v>
                </c:pt>
                <c:pt idx="6">
                  <c:v>3882.64819696741</c:v>
                </c:pt>
                <c:pt idx="7">
                  <c:v>3823.85459502517</c:v>
                </c:pt>
                <c:pt idx="8">
                  <c:v>3752.43997963928</c:v>
                </c:pt>
                <c:pt idx="9">
                  <c:v>3667.75212327904</c:v>
                </c:pt>
                <c:pt idx="10">
                  <c:v>3569.18492831758</c:v>
                </c:pt>
                <c:pt idx="11">
                  <c:v>3456.18478120927</c:v>
                </c:pt>
                <c:pt idx="12">
                  <c:v>3328.25678238332</c:v>
                </c:pt>
                <c:pt idx="13">
                  <c:v>3184.97078576655</c:v>
                </c:pt>
                <c:pt idx="14">
                  <c:v>3025.96718051602</c:v>
                </c:pt>
                <c:pt idx="15">
                  <c:v>2850.96234701078</c:v>
                </c:pt>
                <c:pt idx="16">
                  <c:v>2659.75371947242</c:v>
                </c:pt>
                <c:pt idx="17">
                  <c:v>2456.35126022971</c:v>
                </c:pt>
                <c:pt idx="18">
                  <c:v>2240.20510520861</c:v>
                </c:pt>
                <c:pt idx="19">
                  <c:v>2010.73713129241</c:v>
                </c:pt>
                <c:pt idx="20">
                  <c:v>1767.34057080681</c:v>
                </c:pt>
                <c:pt idx="21">
                  <c:v>1509.37954615112</c:v>
                </c:pt>
                <c:pt idx="22">
                  <c:v>1411.98673320713</c:v>
                </c:pt>
                <c:pt idx="23">
                  <c:v>1313.50643073903</c:v>
                </c:pt>
                <c:pt idx="24">
                  <c:v>1213.81058333888</c:v>
                </c:pt>
                <c:pt idx="25">
                  <c:v>1112.77318303564</c:v>
                </c:pt>
                <c:pt idx="26">
                  <c:v>1010.26990416594</c:v>
                </c:pt>
              </c:numCache>
            </c:numRef>
          </c:val>
          <c:smooth val="1"/>
        </c:ser>
        <c:hiLowLines>
          <c:spPr>
            <a:ln w="0">
              <a:noFill/>
            </a:ln>
          </c:spPr>
        </c:hiLowLines>
        <c:marker val="0"/>
        <c:axId val="18356107"/>
        <c:axId val="63553290"/>
      </c:lineChart>
      <c:catAx>
        <c:axId val="1835610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553290"/>
        <c:crosses val="autoZero"/>
        <c:auto val="1"/>
        <c:lblAlgn val="ctr"/>
        <c:lblOffset val="100"/>
        <c:noMultiLvlLbl val="0"/>
      </c:catAx>
      <c:valAx>
        <c:axId val="63553290"/>
        <c:scaling>
          <c:orientation val="minMax"/>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35610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22</xdr:row>
      <xdr:rowOff>160560</xdr:rowOff>
    </xdr:from>
    <xdr:to>
      <xdr:col>6</xdr:col>
      <xdr:colOff>494280</xdr:colOff>
      <xdr:row>37</xdr:row>
      <xdr:rowOff>2880</xdr:rowOff>
    </xdr:to>
    <xdr:graphicFrame>
      <xdr:nvGraphicFramePr>
        <xdr:cNvPr id="0" name="Chart 1"/>
        <xdr:cNvGraphicFramePr/>
      </xdr:nvGraphicFramePr>
      <xdr:xfrm>
        <a:off x="611640" y="4381560"/>
        <a:ext cx="575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30"/>
  </cols>
  <sheetData>
    <row r="1" customFormat="false" ht="17.35" hidden="false" customHeight="false" outlineLevel="0" collapsed="false">
      <c r="A1" s="1" t="s">
        <v>0</v>
      </c>
      <c r="B1" s="2"/>
      <c r="C1" s="2"/>
      <c r="D1" s="2"/>
    </row>
    <row r="3" customFormat="false" ht="39" hidden="false" customHeight="true" outlineLevel="0" collapsed="false">
      <c r="A3" s="3" t="s">
        <v>1</v>
      </c>
      <c r="B3" s="4" t="s">
        <v>2</v>
      </c>
    </row>
    <row r="4" customFormat="false" ht="39" hidden="false" customHeight="true" outlineLevel="0" collapsed="false">
      <c r="A4" s="3" t="s">
        <v>3</v>
      </c>
      <c r="B4" s="4" t="s">
        <v>4</v>
      </c>
    </row>
    <row r="5" customFormat="false" ht="39" hidden="false" customHeight="true" outlineLevel="0" collapsed="false">
      <c r="A5" s="3" t="s">
        <v>5</v>
      </c>
      <c r="B5" s="4" t="s">
        <v>6</v>
      </c>
    </row>
    <row r="6" customFormat="false" ht="25.5" hidden="false" customHeight="true" outlineLevel="0" collapsed="false">
      <c r="A6" s="3" t="s">
        <v>7</v>
      </c>
      <c r="B6" s="4" t="s">
        <v>8</v>
      </c>
    </row>
    <row r="7" customFormat="false" ht="13.5" hidden="false" customHeight="true" outlineLevel="0" collapsed="false">
      <c r="A7" s="3" t="s">
        <v>9</v>
      </c>
      <c r="B7" s="4" t="s">
        <v>10</v>
      </c>
    </row>
    <row r="8" customFormat="false" ht="25.5" hidden="false" customHeight="true" outlineLevel="0" collapsed="false">
      <c r="A8" s="3" t="s">
        <v>11</v>
      </c>
      <c r="B8" s="4" t="s">
        <v>12</v>
      </c>
    </row>
    <row r="9" customFormat="false" ht="13.5" hidden="false" customHeight="true" outlineLevel="0" collapsed="false">
      <c r="A9" s="3" t="s">
        <v>13</v>
      </c>
      <c r="B9"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40"/>
  </cols>
  <sheetData>
    <row r="1" customFormat="false" ht="17.35" hidden="false" customHeight="false" outlineLevel="0" collapsed="false">
      <c r="A1" s="1" t="s">
        <v>15</v>
      </c>
      <c r="B1" s="2"/>
      <c r="C1" s="2"/>
      <c r="D1" s="2"/>
      <c r="E1" s="2"/>
      <c r="F1" s="2"/>
      <c r="G1" s="2"/>
      <c r="H1" s="2"/>
      <c r="I1" s="2"/>
    </row>
    <row r="3" customFormat="false" ht="15" hidden="false" customHeight="false" outlineLevel="0" collapsed="false">
      <c r="B3" s="0" t="s">
        <v>16</v>
      </c>
      <c r="C3" s="5" t="str">
        <f aca="false">Settings!C5</f>
        <v>India</v>
      </c>
    </row>
    <row r="5" customFormat="false" ht="15" hidden="false" customHeight="false" outlineLevel="0" collapsed="false">
      <c r="B5" s="6" t="s">
        <v>17</v>
      </c>
    </row>
    <row r="6" customFormat="false" ht="15" hidden="false" customHeight="false" outlineLevel="0" collapsed="false">
      <c r="B6" s="7" t="s">
        <v>18</v>
      </c>
      <c r="C6" s="7" t="n">
        <v>2025</v>
      </c>
      <c r="D6" s="7" t="n">
        <v>2030</v>
      </c>
      <c r="E6" s="7" t="n">
        <v>2035</v>
      </c>
      <c r="F6" s="7" t="n">
        <v>2040</v>
      </c>
      <c r="G6" s="7" t="n">
        <v>2045</v>
      </c>
      <c r="H6" s="7" t="n">
        <v>2050</v>
      </c>
    </row>
    <row r="7" customFormat="false" ht="15" hidden="false" customHeight="false" outlineLevel="0" collapsed="false">
      <c r="B7" s="3" t="s">
        <v>19</v>
      </c>
      <c r="C7" s="8" t="n">
        <f aca="false">Mitigation!O48</f>
        <v>4047.31281052</v>
      </c>
      <c r="D7" s="8" t="n">
        <f aca="false">Mitigation!T48</f>
        <v>5447.89571738922</v>
      </c>
      <c r="E7" s="8" t="n">
        <f aca="false">Mitigation!Y48</f>
        <v>7032.44277189455</v>
      </c>
      <c r="F7" s="8" t="n">
        <f aca="false">Mitigation!AD48</f>
        <v>8702.52867453375</v>
      </c>
      <c r="G7" s="8" t="n">
        <f aca="false">Mitigation!AI48</f>
        <v>10587.9567700907</v>
      </c>
      <c r="H7" s="8" t="n">
        <f aca="false">Mitigation!AN48</f>
        <v>12881.8683348166</v>
      </c>
    </row>
    <row r="8" customFormat="false" ht="15" hidden="false" customHeight="false" outlineLevel="0" collapsed="false">
      <c r="B8" s="3" t="s">
        <v>20</v>
      </c>
      <c r="C8" s="8" t="n">
        <f aca="false">Mitigation!O175</f>
        <v>55.1638248026058</v>
      </c>
      <c r="D8" s="8" t="n">
        <f aca="false">Mitigation!T175</f>
        <v>59.5844522146807</v>
      </c>
      <c r="E8" s="8" t="n">
        <f aca="false">Mitigation!Y175</f>
        <v>64.9328126125765</v>
      </c>
      <c r="F8" s="8" t="n">
        <f aca="false">Mitigation!AD175</f>
        <v>67.5449388438725</v>
      </c>
      <c r="G8" s="8" t="n">
        <f aca="false">Mitigation!AI175</f>
        <v>74.8273930354255</v>
      </c>
      <c r="H8" s="8" t="n">
        <f aca="false">Mitigation!AN175</f>
        <v>81.977408306751</v>
      </c>
    </row>
    <row r="9" customFormat="false" ht="15" hidden="false" customHeight="false" outlineLevel="0" collapsed="false">
      <c r="B9" s="3" t="s">
        <v>21</v>
      </c>
      <c r="C9" s="8" t="n">
        <f aca="false">Mitigation!O176</f>
        <v>129.903749465809</v>
      </c>
      <c r="D9" s="8" t="n">
        <f aca="false">Mitigation!T176</f>
        <v>204.628343213896</v>
      </c>
      <c r="E9" s="8" t="n">
        <f aca="false">Mitigation!Y176</f>
        <v>264.97790768015</v>
      </c>
      <c r="F9" s="8" t="n">
        <f aca="false">Mitigation!AD176</f>
        <v>348.084788853691</v>
      </c>
      <c r="G9" s="8" t="n">
        <f aca="false">Mitigation!AI176</f>
        <v>424.3664624942</v>
      </c>
      <c r="H9" s="8" t="n">
        <f aca="false">Mitigation!AN176</f>
        <v>379.82865641528</v>
      </c>
    </row>
    <row r="10" customFormat="false" ht="15" hidden="false" customHeight="false" outlineLevel="0" collapsed="false">
      <c r="B10" s="3" t="s">
        <v>22</v>
      </c>
      <c r="C10" s="8" t="n">
        <f aca="false">Mitigation!O177</f>
        <v>74.7399246632033</v>
      </c>
      <c r="D10" s="8" t="n">
        <f aca="false">Mitigation!T177</f>
        <v>145.043890999215</v>
      </c>
      <c r="E10" s="8" t="n">
        <f aca="false">Mitigation!Y177</f>
        <v>200.045095067573</v>
      </c>
      <c r="F10" s="8" t="n">
        <f aca="false">Mitigation!AD177</f>
        <v>280.539850009818</v>
      </c>
      <c r="G10" s="8" t="n">
        <f aca="false">Mitigation!AI177</f>
        <v>349.539069458775</v>
      </c>
      <c r="H10" s="8" t="n">
        <f aca="false">Mitigation!AN177</f>
        <v>297.851248108529</v>
      </c>
    </row>
    <row r="11" customFormat="false" ht="15" hidden="false" customHeight="false" outlineLevel="0" collapsed="false">
      <c r="B11" s="9" t="s">
        <v>23</v>
      </c>
      <c r="C11" s="8" t="n">
        <f aca="false">Mitigation!O168</f>
        <v>18.6546099358576</v>
      </c>
      <c r="D11" s="8" t="n">
        <f aca="false">Mitigation!T168</f>
        <v>32.5352823596881</v>
      </c>
      <c r="E11" s="8" t="n">
        <f aca="false">Mitigation!Y168</f>
        <v>46.5662782883767</v>
      </c>
      <c r="F11" s="8" t="n">
        <f aca="false">Mitigation!AD168</f>
        <v>69.6176818874682</v>
      </c>
      <c r="G11" s="8" t="n">
        <f aca="false">Mitigation!AI168</f>
        <v>92.1319263642934</v>
      </c>
      <c r="H11" s="8" t="n">
        <f aca="false">Mitigation!AN168</f>
        <v>56.5346989647018</v>
      </c>
    </row>
    <row r="12" customFormat="false" ht="15" hidden="false" customHeight="false" outlineLevel="0" collapsed="false">
      <c r="B12" s="9" t="s">
        <v>24</v>
      </c>
      <c r="C12" s="8" t="n">
        <f aca="false">Mitigation!O169</f>
        <v>11.1927659615146</v>
      </c>
      <c r="D12" s="8" t="n">
        <f aca="false">Mitigation!T169</f>
        <v>29.0310393422216</v>
      </c>
      <c r="E12" s="8" t="n">
        <f aca="false">Mitigation!Y169</f>
        <v>53.5115158201209</v>
      </c>
      <c r="F12" s="8" t="n">
        <f aca="false">Mitigation!AD169</f>
        <v>88.7702716053841</v>
      </c>
      <c r="G12" s="8" t="n">
        <f aca="false">Mitigation!AI169</f>
        <v>111.799510419925</v>
      </c>
      <c r="H12" s="8" t="n">
        <f aca="false">Mitigation!AN169</f>
        <v>70.1349477939563</v>
      </c>
    </row>
    <row r="13" customFormat="false" ht="15" hidden="false" customHeight="false" outlineLevel="0" collapsed="false">
      <c r="B13" s="9" t="s">
        <v>25</v>
      </c>
      <c r="C13" s="8" t="n">
        <f aca="false">Mitigation!O170</f>
        <v>3.74973811936367</v>
      </c>
      <c r="D13" s="8" t="n">
        <f aca="false">Mitigation!T170</f>
        <v>8.45936342873336</v>
      </c>
      <c r="E13" s="8" t="n">
        <f aca="false">Mitigation!Y170</f>
        <v>4.72479735091725</v>
      </c>
      <c r="F13" s="8" t="n">
        <f aca="false">Mitigation!AD170</f>
        <v>7.59714579513673</v>
      </c>
      <c r="G13" s="8" t="n">
        <f aca="false">Mitigation!AI170</f>
        <v>8.19555593166537</v>
      </c>
      <c r="H13" s="8" t="n">
        <f aca="false">Mitigation!AN170</f>
        <v>8.84192125921938</v>
      </c>
    </row>
    <row r="14" customFormat="false" ht="15" hidden="false" customHeight="false" outlineLevel="0" collapsed="false">
      <c r="B14" s="9" t="s">
        <v>26</v>
      </c>
      <c r="C14" s="8" t="n">
        <f aca="false">Mitigation!O171</f>
        <v>9.92982195826413</v>
      </c>
      <c r="D14" s="8" t="n">
        <f aca="false">Mitigation!T171</f>
        <v>12.1294470412152</v>
      </c>
      <c r="E14" s="8" t="n">
        <f aca="false">Mitigation!Y171</f>
        <v>14.0017968781848</v>
      </c>
      <c r="F14" s="8" t="n">
        <f aca="false">Mitigation!AD171</f>
        <v>15.3371197209462</v>
      </c>
      <c r="G14" s="8" t="n">
        <f aca="false">Mitigation!AI171</f>
        <v>17.201719341637</v>
      </c>
      <c r="H14" s="8" t="n">
        <f aca="false">Mitigation!AN171</f>
        <v>19.2623572821495</v>
      </c>
    </row>
    <row r="15" customFormat="false" ht="15" hidden="false" customHeight="false" outlineLevel="0" collapsed="false">
      <c r="B15" s="9" t="s">
        <v>27</v>
      </c>
      <c r="C15" s="8" t="n">
        <f aca="false">Mitigation!O172</f>
        <v>27.1777209485278</v>
      </c>
      <c r="D15" s="8" t="n">
        <f aca="false">Mitigation!T172</f>
        <v>38.6771523893038</v>
      </c>
      <c r="E15" s="8" t="n">
        <f aca="false">Mitigation!Y172</f>
        <v>46.3554380411157</v>
      </c>
      <c r="F15" s="8" t="n">
        <f aca="false">Mitigation!AD172</f>
        <v>53.6587000612199</v>
      </c>
      <c r="G15" s="8" t="n">
        <f aca="false">Mitigation!AI172</f>
        <v>63.9777642107855</v>
      </c>
      <c r="H15" s="8" t="n">
        <f aca="false">Mitigation!AN172</f>
        <v>76.1710673672293</v>
      </c>
    </row>
    <row r="16" customFormat="false" ht="15" hidden="false" customHeight="false" outlineLevel="0" collapsed="false">
      <c r="B16" s="9" t="s">
        <v>28</v>
      </c>
      <c r="C16" s="8" t="n">
        <f aca="false">Mitigation!O173</f>
        <v>2.71505041359216</v>
      </c>
      <c r="D16" s="8" t="n">
        <f aca="false">Mitigation!T173</f>
        <v>16.2903024815529</v>
      </c>
      <c r="E16" s="8" t="n">
        <f aca="false">Mitigation!Y173</f>
        <v>20.3628781019412</v>
      </c>
      <c r="F16" s="8" t="n">
        <f aca="false">Mitigation!AD173</f>
        <v>24.4354537223294</v>
      </c>
      <c r="G16" s="8" t="n">
        <f aca="false">Mitigation!AI173</f>
        <v>28.5080293427177</v>
      </c>
      <c r="H16" s="8" t="n">
        <f aca="false">Mitigation!AN173</f>
        <v>32.5806049631059</v>
      </c>
    </row>
    <row r="17" customFormat="false" ht="15" hidden="false" customHeight="false" outlineLevel="0" collapsed="false">
      <c r="B17" s="3" t="s">
        <v>29</v>
      </c>
      <c r="C17" s="10" t="n">
        <f aca="false">Mitigation!O189</f>
        <v>7.78868634730166</v>
      </c>
      <c r="D17" s="10" t="n">
        <f aca="false">Mitigation!T189</f>
        <v>51.3650788839421</v>
      </c>
      <c r="E17" s="10" t="n">
        <f aca="false">Mitigation!Y189</f>
        <v>84.644906899125</v>
      </c>
      <c r="F17" s="10" t="n">
        <f aca="false">Mitigation!AD189</f>
        <v>122.815452825681</v>
      </c>
      <c r="G17" s="10" t="n">
        <f aca="false">Mitigation!AI189</f>
        <v>178.328555856245</v>
      </c>
      <c r="H17" s="10" t="n">
        <f aca="false">Mitigation!AN189</f>
        <v>228.576778003516</v>
      </c>
    </row>
    <row r="18" customFormat="false" ht="15" hidden="false" customHeight="false" outlineLevel="0" collapsed="false">
      <c r="B18" s="3" t="s">
        <v>30</v>
      </c>
      <c r="C18" s="10" t="n">
        <f aca="false">Mitigation!O190</f>
        <v>5.80421177722918</v>
      </c>
      <c r="D18" s="10" t="n">
        <f aca="false">Mitigation!T190</f>
        <v>35.0490961063516</v>
      </c>
      <c r="E18" s="10" t="n">
        <f aca="false">Mitigation!Y190</f>
        <v>47.640483026667</v>
      </c>
      <c r="F18" s="10" t="n">
        <f aca="false">Mitigation!AD190</f>
        <v>56.6300972182185</v>
      </c>
      <c r="G18" s="10" t="n">
        <f aca="false">Mitigation!AI190</f>
        <v>73.8173063526948</v>
      </c>
      <c r="H18" s="10" t="n">
        <f aca="false">Mitigation!AN190</f>
        <v>94.2342137206063</v>
      </c>
    </row>
    <row r="19" customFormat="false" ht="15" hidden="false" customHeight="false" outlineLevel="0" collapsed="false">
      <c r="B19" s="3" t="s">
        <v>31</v>
      </c>
      <c r="C19" s="10" t="n">
        <f aca="false">Mitigation!O191</f>
        <v>1.7731670444498</v>
      </c>
      <c r="D19" s="10" t="n">
        <f aca="false">Mitigation!T191</f>
        <v>1.89276264437892</v>
      </c>
      <c r="E19" s="10" t="n">
        <f aca="false">Mitigation!Y191</f>
        <v>-30.5341651532953</v>
      </c>
      <c r="F19" s="10" t="n">
        <f aca="false">Mitigation!AD191</f>
        <v>-83.2816036408889</v>
      </c>
      <c r="G19" s="10" t="n">
        <f aca="false">Mitigation!AI191</f>
        <v>-141.055086483917</v>
      </c>
      <c r="H19" s="10" t="n">
        <f aca="false">Mitigation!AN191</f>
        <v>-179.926779440011</v>
      </c>
    </row>
    <row r="20" customFormat="false" ht="15" hidden="false" customHeight="false" outlineLevel="0" collapsed="false">
      <c r="B20" s="3" t="s">
        <v>32</v>
      </c>
      <c r="C20" s="8" t="n">
        <f aca="false">Mitigation!O158</f>
        <v>4236.58326070727</v>
      </c>
      <c r="D20" s="8" t="n">
        <f aca="false">Mitigation!T158</f>
        <v>4680.06157200812</v>
      </c>
      <c r="E20" s="8" t="n">
        <f aca="false">Mitigation!Y158</f>
        <v>4990.3881418716</v>
      </c>
      <c r="F20" s="8" t="n">
        <f aca="false">Mitigation!AD158</f>
        <v>5220.03556057116</v>
      </c>
      <c r="G20" s="8" t="n">
        <f aca="false">Mitigation!AI158</f>
        <v>5410.881288009</v>
      </c>
      <c r="H20" s="8" t="n">
        <f aca="false">Mitigation!AN158</f>
        <v>5596.83035486449</v>
      </c>
    </row>
    <row r="21" customFormat="false" ht="15" hidden="false" customHeight="false" outlineLevel="0" collapsed="false">
      <c r="B21" s="3" t="s">
        <v>33</v>
      </c>
      <c r="C21" s="8" t="n">
        <f aca="false">Mitigation!O164</f>
        <v>4126.19492000292</v>
      </c>
      <c r="D21" s="8" t="n">
        <f aca="false">Mitigation!T164</f>
        <v>3882.64819696741</v>
      </c>
      <c r="E21" s="8" t="n">
        <f aca="false">Mitigation!Y164</f>
        <v>3456.18478120927</v>
      </c>
      <c r="F21" s="8" t="n">
        <f aca="false">Mitigation!AD164</f>
        <v>2659.75371947242</v>
      </c>
      <c r="G21" s="8" t="n">
        <f aca="false">Mitigation!AI164</f>
        <v>1509.37954615112</v>
      </c>
      <c r="H21" s="8" t="n">
        <f aca="false">Mitigation!AN164</f>
        <v>1010.26990416594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18"/>
    <col collapsed="false" customWidth="true" hidden="false" outlineLevel="0" max="3" min="3" style="0" width="30"/>
  </cols>
  <sheetData>
    <row r="1" customFormat="false" ht="17.35" hidden="false" customHeight="false" outlineLevel="0" collapsed="false">
      <c r="A1" s="1" t="s">
        <v>34</v>
      </c>
      <c r="B1" s="2"/>
      <c r="C1" s="2"/>
      <c r="D1" s="2"/>
      <c r="E1" s="2"/>
      <c r="F1" s="2"/>
    </row>
    <row r="4" customFormat="false" ht="15" hidden="false" customHeight="false" outlineLevel="0" collapsed="false">
      <c r="B4" s="3" t="s">
        <v>35</v>
      </c>
      <c r="C4" s="11" t="s">
        <v>36</v>
      </c>
    </row>
    <row r="5" customFormat="false" ht="15" hidden="false" customHeight="false" outlineLevel="0" collapsed="false">
      <c r="B5" s="3" t="s">
        <v>37</v>
      </c>
      <c r="C5" s="9" t="str">
        <f aca="false">INDEX(Data!$B:$B,MATCH($C$4,Data!$A:$A,0))</f>
        <v>India</v>
      </c>
    </row>
    <row r="6" customFormat="false" ht="15" hidden="false" customHeight="false" outlineLevel="0" collapsed="false">
      <c r="B6" s="3" t="s">
        <v>38</v>
      </c>
      <c r="C6" s="9" t="n">
        <f aca="false">MATCH($C$4,Data!$A:$A,0)</f>
        <v>79</v>
      </c>
    </row>
    <row r="8" customFormat="false" ht="15" hidden="false" customHeight="false" outlineLevel="0" collapsed="false">
      <c r="B8" s="6" t="s">
        <v>39</v>
      </c>
    </row>
  </sheetData>
  <dataValidations count="1">
    <dataValidation allowBlank="false" errorStyle="stop" operator="between" showDropDown="false" showErrorMessage="false" showInputMessage="false" sqref="C4" type="list">
      <formula1>Data!$A$4:$A$189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2" min="2" style="0" width="48"/>
    <col collapsed="false" customWidth="true" hidden="false" outlineLevel="0" max="3" min="3" style="0" width="14"/>
    <col collapsed="false" customWidth="true" hidden="true" outlineLevel="0" max="5" min="4" style="0" width="13"/>
    <col collapsed="false" customWidth="true" hidden="false" outlineLevel="0" max="7" min="6" style="0" width="12"/>
    <col collapsed="false" customWidth="true" hidden="false" outlineLevel="0" max="8" min="8" style="0" width="16"/>
    <col collapsed="false" customWidth="true" hidden="false" outlineLevel="0" max="9" min="9" style="0" width="60"/>
    <col collapsed="false" customWidth="true" hidden="false" outlineLevel="0" max="10" min="10" style="0" width="5"/>
  </cols>
  <sheetData>
    <row r="1" customFormat="false" ht="17.35" hidden="false" customHeight="false" outlineLevel="0" collapsed="false">
      <c r="A1" s="1" t="s">
        <v>40</v>
      </c>
      <c r="B1" s="2"/>
      <c r="C1" s="2"/>
      <c r="D1" s="2"/>
      <c r="E1" s="2"/>
      <c r="F1" s="2"/>
      <c r="G1" s="2"/>
      <c r="H1" s="2"/>
      <c r="I1" s="2"/>
      <c r="J1" s="2"/>
    </row>
    <row r="2" customFormat="false" ht="15" hidden="false" customHeight="false" outlineLevel="0" collapsed="false">
      <c r="A2" s="12" t="s">
        <v>41</v>
      </c>
      <c r="B2" s="13"/>
      <c r="C2" s="13"/>
      <c r="D2" s="13"/>
      <c r="E2" s="13"/>
      <c r="F2" s="13"/>
      <c r="G2" s="13"/>
      <c r="H2" s="13"/>
      <c r="I2" s="13"/>
      <c r="J2" s="13"/>
    </row>
    <row r="7" customFormat="false" ht="15" hidden="false" customHeight="false" outlineLevel="0" collapsed="false">
      <c r="A7" s="3"/>
      <c r="B7" s="3" t="s">
        <v>42</v>
      </c>
      <c r="C7" s="3" t="s">
        <v>43</v>
      </c>
      <c r="D7" s="3" t="s">
        <v>44</v>
      </c>
      <c r="E7" s="3" t="s">
        <v>45</v>
      </c>
      <c r="F7" s="3" t="s">
        <v>46</v>
      </c>
      <c r="G7" s="3" t="s">
        <v>47</v>
      </c>
      <c r="H7" s="3" t="s">
        <v>48</v>
      </c>
      <c r="I7" s="3" t="s">
        <v>49</v>
      </c>
      <c r="J7" s="3" t="s">
        <v>50</v>
      </c>
    </row>
    <row r="8" customFormat="false" ht="15" hidden="false" customHeight="false" outlineLevel="0" collapsed="false">
      <c r="B8" s="14" t="s">
        <v>51</v>
      </c>
      <c r="C8" s="14" t="s">
        <v>52</v>
      </c>
      <c r="D8" s="14"/>
      <c r="E8" s="14"/>
      <c r="F8" s="14" t="n">
        <f aca="false">G8</f>
        <v>4.5</v>
      </c>
      <c r="G8" s="15" t="n">
        <v>4.5</v>
      </c>
      <c r="H8" s="14" t="s">
        <v>53</v>
      </c>
      <c r="I8" s="9" t="s">
        <v>54</v>
      </c>
      <c r="J8" s="9" t="s">
        <v>55</v>
      </c>
    </row>
    <row r="9" customFormat="false" ht="15" hidden="false" customHeight="false" outlineLevel="0" collapsed="false">
      <c r="B9" s="14" t="s">
        <v>56</v>
      </c>
      <c r="C9" s="14" t="s">
        <v>52</v>
      </c>
      <c r="D9" s="14"/>
      <c r="E9" s="14"/>
      <c r="F9" s="14" t="n">
        <f aca="false">G9</f>
        <v>4</v>
      </c>
      <c r="G9" s="15" t="n">
        <v>4</v>
      </c>
      <c r="H9" s="14" t="s">
        <v>57</v>
      </c>
      <c r="I9" s="9" t="s">
        <v>58</v>
      </c>
      <c r="J9" s="9" t="s">
        <v>55</v>
      </c>
    </row>
    <row r="10" customFormat="false" ht="15" hidden="false" customHeight="false" outlineLevel="0" collapsed="false">
      <c r="B10" s="14" t="s">
        <v>59</v>
      </c>
      <c r="C10" s="14" t="s">
        <v>52</v>
      </c>
      <c r="D10" s="14"/>
      <c r="E10" s="14"/>
      <c r="F10" s="14" t="n">
        <f aca="false">G10</f>
        <v>3</v>
      </c>
      <c r="G10" s="15" t="n">
        <v>3</v>
      </c>
      <c r="H10" s="14" t="s">
        <v>60</v>
      </c>
      <c r="I10" s="9" t="s">
        <v>58</v>
      </c>
      <c r="J10" s="9" t="s">
        <v>55</v>
      </c>
    </row>
    <row r="11" customFormat="false" ht="15" hidden="false" customHeight="false" outlineLevel="0" collapsed="false">
      <c r="B11" s="14" t="s">
        <v>61</v>
      </c>
      <c r="C11" s="14" t="s">
        <v>52</v>
      </c>
      <c r="D11" s="14"/>
      <c r="E11" s="14"/>
      <c r="F11" s="14" t="n">
        <f aca="false">G11</f>
        <v>1.5</v>
      </c>
      <c r="G11" s="15" t="n">
        <v>1.5</v>
      </c>
      <c r="H11" s="14" t="s">
        <v>62</v>
      </c>
      <c r="I11" s="9" t="s">
        <v>58</v>
      </c>
      <c r="J11" s="9" t="s">
        <v>55</v>
      </c>
    </row>
    <row r="12" customFormat="false" ht="15" hidden="false" customHeight="false" outlineLevel="0" collapsed="false">
      <c r="B12" s="14" t="s">
        <v>63</v>
      </c>
      <c r="C12" s="14" t="s">
        <v>64</v>
      </c>
      <c r="D12" s="14"/>
      <c r="E12" s="14"/>
      <c r="F12" s="14" t="n">
        <f aca="false">G12</f>
        <v>2040</v>
      </c>
      <c r="G12" s="15" t="n">
        <v>2040</v>
      </c>
      <c r="H12" s="14" t="s">
        <v>65</v>
      </c>
      <c r="I12" s="9" t="s">
        <v>66</v>
      </c>
      <c r="J12" s="9" t="s">
        <v>67</v>
      </c>
    </row>
    <row r="13" customFormat="false" ht="15" hidden="false" customHeight="false" outlineLevel="0" collapsed="false">
      <c r="B13" s="14" t="s">
        <v>68</v>
      </c>
      <c r="C13" s="14" t="s">
        <v>69</v>
      </c>
      <c r="D13" s="14"/>
      <c r="E13" s="14"/>
      <c r="F13" s="14" t="n">
        <f aca="false">G13</f>
        <v>0.5</v>
      </c>
      <c r="G13" s="15" t="n">
        <v>0.5</v>
      </c>
      <c r="H13" s="14" t="s">
        <v>70</v>
      </c>
      <c r="I13" s="9" t="s">
        <v>71</v>
      </c>
      <c r="J13" s="9" t="s">
        <v>55</v>
      </c>
    </row>
    <row r="14" customFormat="false" ht="15" hidden="false" customHeight="false" outlineLevel="0" collapsed="false">
      <c r="B14" s="14" t="s">
        <v>72</v>
      </c>
      <c r="C14" s="14" t="s">
        <v>64</v>
      </c>
      <c r="D14" s="14"/>
      <c r="E14" s="14"/>
      <c r="F14" s="14" t="n">
        <f aca="false">G14</f>
        <v>2035</v>
      </c>
      <c r="G14" s="15" t="n">
        <v>2035</v>
      </c>
      <c r="H14" s="14" t="s">
        <v>73</v>
      </c>
      <c r="I14" s="9" t="s">
        <v>74</v>
      </c>
      <c r="J14" s="9" t="s">
        <v>67</v>
      </c>
    </row>
    <row r="15" customFormat="false" ht="15" hidden="false" customHeight="false" outlineLevel="0" collapsed="false">
      <c r="B15" s="14" t="s">
        <v>75</v>
      </c>
      <c r="C15" s="14" t="s">
        <v>64</v>
      </c>
      <c r="D15" s="14"/>
      <c r="E15" s="14"/>
      <c r="F15" s="14" t="n">
        <f aca="false">G15</f>
        <v>2040</v>
      </c>
      <c r="G15" s="15" t="n">
        <v>2040</v>
      </c>
      <c r="H15" s="14" t="s">
        <v>76</v>
      </c>
      <c r="I15" s="9" t="s">
        <v>77</v>
      </c>
      <c r="J15" s="9" t="s">
        <v>67</v>
      </c>
    </row>
    <row r="16" customFormat="false" ht="15" hidden="false" customHeight="false" outlineLevel="0" collapsed="false">
      <c r="B16" s="14" t="s">
        <v>78</v>
      </c>
      <c r="C16" s="14" t="s">
        <v>64</v>
      </c>
      <c r="D16" s="14"/>
      <c r="E16" s="14"/>
      <c r="F16" s="14" t="n">
        <f aca="false">G16</f>
        <v>2045</v>
      </c>
      <c r="G16" s="15" t="n">
        <v>2045</v>
      </c>
      <c r="H16" s="14" t="s">
        <v>79</v>
      </c>
      <c r="I16" s="9" t="s">
        <v>80</v>
      </c>
      <c r="J16" s="9" t="s">
        <v>55</v>
      </c>
    </row>
    <row r="17" customFormat="false" ht="15" hidden="false" customHeight="false" outlineLevel="0" collapsed="false">
      <c r="B17" s="14" t="s">
        <v>81</v>
      </c>
      <c r="C17" s="14" t="s">
        <v>64</v>
      </c>
      <c r="D17" s="14"/>
      <c r="E17" s="14"/>
      <c r="F17" s="14" t="n">
        <f aca="false">G17</f>
        <v>2035</v>
      </c>
      <c r="G17" s="15" t="n">
        <v>2035</v>
      </c>
      <c r="H17" s="14" t="s">
        <v>82</v>
      </c>
      <c r="I17" s="9" t="s">
        <v>83</v>
      </c>
      <c r="J17" s="9" t="s">
        <v>67</v>
      </c>
    </row>
    <row r="18" customFormat="false" ht="15" hidden="false" customHeight="false" outlineLevel="0" collapsed="false">
      <c r="B18" s="14" t="s">
        <v>84</v>
      </c>
      <c r="C18" s="14" t="s">
        <v>64</v>
      </c>
      <c r="D18" s="14"/>
      <c r="E18" s="14"/>
      <c r="F18" s="14" t="n">
        <f aca="false">G18</f>
        <v>2035</v>
      </c>
      <c r="G18" s="15" t="n">
        <v>2035</v>
      </c>
      <c r="H18" s="14" t="s">
        <v>85</v>
      </c>
      <c r="I18" s="9" t="s">
        <v>86</v>
      </c>
      <c r="J18" s="9" t="s">
        <v>67</v>
      </c>
    </row>
    <row r="19" customFormat="false" ht="15" hidden="false" customHeight="false" outlineLevel="0" collapsed="false">
      <c r="B19" s="14" t="s">
        <v>87</v>
      </c>
      <c r="C19" s="14" t="s">
        <v>64</v>
      </c>
      <c r="D19" s="14"/>
      <c r="E19" s="14"/>
      <c r="F19" s="14" t="n">
        <f aca="false">G19</f>
        <v>2040</v>
      </c>
      <c r="G19" s="15" t="n">
        <v>2040</v>
      </c>
      <c r="H19" s="14" t="s">
        <v>88</v>
      </c>
      <c r="I19" s="9" t="s">
        <v>89</v>
      </c>
      <c r="J19" s="9" t="s">
        <v>55</v>
      </c>
    </row>
    <row r="20" customFormat="false" ht="15" hidden="false" customHeight="false" outlineLevel="0" collapsed="false">
      <c r="B20" s="14" t="s">
        <v>90</v>
      </c>
      <c r="C20" s="14" t="s">
        <v>64</v>
      </c>
      <c r="D20" s="14"/>
      <c r="E20" s="14"/>
      <c r="F20" s="14" t="n">
        <f aca="false">G20</f>
        <v>2045</v>
      </c>
      <c r="G20" s="15" t="n">
        <v>2045</v>
      </c>
      <c r="H20" s="14" t="s">
        <v>91</v>
      </c>
      <c r="I20" s="9" t="s">
        <v>58</v>
      </c>
      <c r="J20" s="9" t="s">
        <v>55</v>
      </c>
    </row>
    <row r="21" customFormat="false" ht="15" hidden="false" customHeight="false" outlineLevel="0" collapsed="false">
      <c r="B21" s="14" t="s">
        <v>92</v>
      </c>
      <c r="C21" s="14" t="s">
        <v>64</v>
      </c>
      <c r="D21" s="14"/>
      <c r="E21" s="14"/>
      <c r="F21" s="14" t="n">
        <f aca="false">G21</f>
        <v>2050</v>
      </c>
      <c r="G21" s="15" t="n">
        <v>2050</v>
      </c>
      <c r="H21" s="14" t="s">
        <v>93</v>
      </c>
      <c r="I21" s="9" t="s">
        <v>58</v>
      </c>
      <c r="J21" s="9" t="s">
        <v>55</v>
      </c>
    </row>
    <row r="22" customFormat="false" ht="15" hidden="false" customHeight="false" outlineLevel="0" collapsed="false">
      <c r="B22" s="14" t="s">
        <v>94</v>
      </c>
      <c r="C22" s="14" t="s">
        <v>64</v>
      </c>
      <c r="D22" s="14"/>
      <c r="E22" s="14"/>
      <c r="F22" s="14" t="n">
        <f aca="false">G22</f>
        <v>2050</v>
      </c>
      <c r="G22" s="15" t="n">
        <v>2050</v>
      </c>
      <c r="H22" s="14" t="s">
        <v>95</v>
      </c>
      <c r="I22" s="9" t="s">
        <v>58</v>
      </c>
      <c r="J22" s="9" t="s">
        <v>55</v>
      </c>
    </row>
    <row r="23" customFormat="false" ht="15" hidden="false" customHeight="false" outlineLevel="0" collapsed="false">
      <c r="B23" s="14" t="s">
        <v>96</v>
      </c>
      <c r="C23" s="14" t="s">
        <v>97</v>
      </c>
      <c r="D23" s="14"/>
      <c r="E23" s="14"/>
      <c r="F23" s="14" t="n">
        <f aca="false">G23</f>
        <v>0.9</v>
      </c>
      <c r="G23" s="15" t="n">
        <v>0.9</v>
      </c>
      <c r="H23" s="14" t="s">
        <v>98</v>
      </c>
      <c r="I23" s="9" t="s">
        <v>99</v>
      </c>
      <c r="J23" s="9" t="s">
        <v>67</v>
      </c>
    </row>
    <row r="24" customFormat="false" ht="15" hidden="false" customHeight="false" outlineLevel="0" collapsed="false">
      <c r="B24" s="14" t="s">
        <v>100</v>
      </c>
      <c r="C24" s="14" t="s">
        <v>97</v>
      </c>
      <c r="D24" s="14"/>
      <c r="E24" s="14"/>
      <c r="F24" s="14" t="n">
        <f aca="false">G24</f>
        <v>0.9</v>
      </c>
      <c r="G24" s="15" t="n">
        <v>0.9</v>
      </c>
      <c r="H24" s="14" t="s">
        <v>101</v>
      </c>
      <c r="I24" s="9" t="s">
        <v>58</v>
      </c>
      <c r="J24" s="9" t="s">
        <v>67</v>
      </c>
    </row>
    <row r="25" customFormat="false" ht="15" hidden="false" customHeight="false" outlineLevel="0" collapsed="false">
      <c r="B25" s="14" t="s">
        <v>102</v>
      </c>
      <c r="C25" s="14" t="s">
        <v>97</v>
      </c>
      <c r="D25" s="14"/>
      <c r="E25" s="14"/>
      <c r="F25" s="14" t="n">
        <f aca="false">G25</f>
        <v>0.8</v>
      </c>
      <c r="G25" s="15" t="n">
        <v>0.8</v>
      </c>
      <c r="H25" s="14" t="s">
        <v>103</v>
      </c>
      <c r="I25" s="9" t="s">
        <v>58</v>
      </c>
      <c r="J25" s="9" t="s">
        <v>55</v>
      </c>
    </row>
    <row r="26" customFormat="false" ht="15" hidden="false" customHeight="false" outlineLevel="0" collapsed="false">
      <c r="B26" s="14" t="s">
        <v>104</v>
      </c>
      <c r="C26" s="14" t="s">
        <v>97</v>
      </c>
      <c r="D26" s="14"/>
      <c r="E26" s="14"/>
      <c r="F26" s="14" t="n">
        <f aca="false">G26</f>
        <v>0.15</v>
      </c>
      <c r="G26" s="15" t="n">
        <v>0.15</v>
      </c>
      <c r="H26" s="14" t="s">
        <v>105</v>
      </c>
      <c r="I26" s="9" t="s">
        <v>106</v>
      </c>
      <c r="J26" s="9" t="s">
        <v>67</v>
      </c>
    </row>
    <row r="27" customFormat="false" ht="15" hidden="false" customHeight="false" outlineLevel="0" collapsed="false">
      <c r="B27" s="14" t="s">
        <v>107</v>
      </c>
      <c r="C27" s="14" t="s">
        <v>97</v>
      </c>
      <c r="D27" s="14"/>
      <c r="E27" s="14"/>
      <c r="F27" s="14" t="n">
        <f aca="false">G27</f>
        <v>0.4</v>
      </c>
      <c r="G27" s="15" t="n">
        <v>0.4</v>
      </c>
      <c r="H27" s="14" t="s">
        <v>108</v>
      </c>
      <c r="I27" s="9" t="s">
        <v>109</v>
      </c>
      <c r="J27" s="9" t="s">
        <v>67</v>
      </c>
    </row>
    <row r="28" customFormat="false" ht="15" hidden="false" customHeight="false" outlineLevel="0" collapsed="false">
      <c r="B28" s="14" t="s">
        <v>110</v>
      </c>
      <c r="C28" s="14" t="s">
        <v>97</v>
      </c>
      <c r="D28" s="14"/>
      <c r="E28" s="14"/>
      <c r="F28" s="14" t="n">
        <f aca="false">G28</f>
        <v>0.03</v>
      </c>
      <c r="G28" s="15" t="n">
        <v>0.03</v>
      </c>
      <c r="H28" s="14" t="s">
        <v>111</v>
      </c>
      <c r="I28" s="9" t="s">
        <v>109</v>
      </c>
      <c r="J28" s="9" t="s">
        <v>67</v>
      </c>
    </row>
    <row r="29" customFormat="false" ht="15" hidden="false" customHeight="false" outlineLevel="0" collapsed="false">
      <c r="B29" s="14" t="s">
        <v>112</v>
      </c>
      <c r="C29" s="14" t="s">
        <v>97</v>
      </c>
      <c r="D29" s="14"/>
      <c r="E29" s="14"/>
      <c r="F29" s="14" t="n">
        <f aca="false">G29</f>
        <v>0.5</v>
      </c>
      <c r="G29" s="15" t="n">
        <v>0.5</v>
      </c>
      <c r="H29" s="14" t="s">
        <v>113</v>
      </c>
      <c r="I29" s="9" t="s">
        <v>114</v>
      </c>
      <c r="J29" s="9" t="s">
        <v>55</v>
      </c>
    </row>
    <row r="30" customFormat="false" ht="15" hidden="false" customHeight="false" outlineLevel="0" collapsed="false">
      <c r="B30" s="14" t="s">
        <v>115</v>
      </c>
      <c r="C30" s="14" t="s">
        <v>97</v>
      </c>
      <c r="D30" s="14"/>
      <c r="E30" s="14"/>
      <c r="F30" s="14" t="n">
        <f aca="false">G30</f>
        <v>0.8</v>
      </c>
      <c r="G30" s="15" t="n">
        <v>0.8</v>
      </c>
      <c r="H30" s="14" t="s">
        <v>116</v>
      </c>
      <c r="I30" s="9" t="s">
        <v>58</v>
      </c>
      <c r="J30" s="9" t="s">
        <v>55</v>
      </c>
    </row>
    <row r="31" customFormat="false" ht="15" hidden="false" customHeight="false" outlineLevel="0" collapsed="false">
      <c r="B31" s="14" t="s">
        <v>117</v>
      </c>
      <c r="C31" s="14" t="s">
        <v>97</v>
      </c>
      <c r="D31" s="14"/>
      <c r="E31" s="14"/>
      <c r="F31" s="14" t="n">
        <f aca="false">G31</f>
        <v>0.15</v>
      </c>
      <c r="G31" s="15" t="n">
        <v>0.15</v>
      </c>
      <c r="H31" s="14" t="s">
        <v>118</v>
      </c>
      <c r="I31" s="9" t="s">
        <v>58</v>
      </c>
      <c r="J31" s="9" t="s">
        <v>55</v>
      </c>
    </row>
    <row r="32" customFormat="false" ht="15" hidden="false" customHeight="false" outlineLevel="0" collapsed="false">
      <c r="B32" s="14" t="s">
        <v>119</v>
      </c>
      <c r="C32" s="14" t="s">
        <v>120</v>
      </c>
      <c r="D32" s="14"/>
      <c r="E32" s="14"/>
      <c r="F32" s="14" t="n">
        <f aca="false">G32</f>
        <v>0.33</v>
      </c>
      <c r="G32" s="15" t="n">
        <v>0.33</v>
      </c>
      <c r="H32" s="14" t="s">
        <v>121</v>
      </c>
      <c r="I32" s="9" t="s">
        <v>122</v>
      </c>
      <c r="J32" s="9" t="s">
        <v>55</v>
      </c>
    </row>
    <row r="33" customFormat="false" ht="15" hidden="false" customHeight="false" outlineLevel="0" collapsed="false">
      <c r="B33" s="14" t="s">
        <v>123</v>
      </c>
      <c r="C33" s="14" t="s">
        <v>124</v>
      </c>
      <c r="D33" s="14"/>
      <c r="E33" s="14"/>
      <c r="F33" s="14" t="n">
        <f aca="false">G33</f>
        <v>2</v>
      </c>
      <c r="G33" s="15" t="n">
        <v>2</v>
      </c>
      <c r="H33" s="14" t="s">
        <v>125</v>
      </c>
      <c r="I33" s="9" t="s">
        <v>126</v>
      </c>
      <c r="J33" s="9" t="s">
        <v>67</v>
      </c>
    </row>
    <row r="34" customFormat="false" ht="15" hidden="false" customHeight="false" outlineLevel="0" collapsed="false">
      <c r="B34" s="14" t="s">
        <v>127</v>
      </c>
      <c r="C34" s="14" t="s">
        <v>120</v>
      </c>
      <c r="D34" s="14"/>
      <c r="E34" s="14"/>
      <c r="F34" s="14" t="n">
        <f aca="false">G34</f>
        <v>0.25</v>
      </c>
      <c r="G34" s="15" t="n">
        <v>0.25</v>
      </c>
      <c r="H34" s="14" t="s">
        <v>128</v>
      </c>
      <c r="I34" s="9" t="s">
        <v>129</v>
      </c>
      <c r="J34" s="9" t="s">
        <v>67</v>
      </c>
    </row>
    <row r="35" customFormat="false" ht="15" hidden="false" customHeight="false" outlineLevel="0" collapsed="false">
      <c r="B35" s="14" t="s">
        <v>130</v>
      </c>
      <c r="C35" s="14" t="s">
        <v>120</v>
      </c>
      <c r="D35" s="14"/>
      <c r="E35" s="14"/>
      <c r="F35" s="14" t="n">
        <f aca="false">G35</f>
        <v>0.33</v>
      </c>
      <c r="G35" s="15" t="n">
        <v>0.33</v>
      </c>
      <c r="H35" s="14" t="s">
        <v>131</v>
      </c>
      <c r="I35" s="9" t="s">
        <v>132</v>
      </c>
      <c r="J35" s="9" t="s">
        <v>67</v>
      </c>
    </row>
    <row r="36" customFormat="false" ht="15" hidden="false" customHeight="false" outlineLevel="0" collapsed="false">
      <c r="B36" s="14" t="s">
        <v>133</v>
      </c>
      <c r="C36" s="14" t="s">
        <v>97</v>
      </c>
      <c r="D36" s="14"/>
      <c r="E36" s="14"/>
      <c r="F36" s="14" t="n">
        <f aca="false">G36</f>
        <v>0.6</v>
      </c>
      <c r="G36" s="15" t="n">
        <v>0.6</v>
      </c>
      <c r="H36" s="14" t="s">
        <v>134</v>
      </c>
      <c r="I36" s="9" t="s">
        <v>135</v>
      </c>
      <c r="J36" s="9" t="s">
        <v>55</v>
      </c>
    </row>
    <row r="37" customFormat="false" ht="15" hidden="false" customHeight="false" outlineLevel="0" collapsed="false">
      <c r="B37" s="14" t="s">
        <v>136</v>
      </c>
      <c r="C37" s="14" t="s">
        <v>120</v>
      </c>
      <c r="D37" s="14"/>
      <c r="E37" s="14"/>
      <c r="F37" s="14" t="n">
        <f aca="false">G37</f>
        <v>0.8</v>
      </c>
      <c r="G37" s="15" t="n">
        <v>0.8</v>
      </c>
      <c r="H37" s="14" t="s">
        <v>137</v>
      </c>
      <c r="I37" s="9" t="s">
        <v>58</v>
      </c>
      <c r="J37" s="9" t="s">
        <v>55</v>
      </c>
    </row>
    <row r="38" customFormat="false" ht="15" hidden="false" customHeight="false" outlineLevel="0" collapsed="false">
      <c r="B38" s="14" t="s">
        <v>138</v>
      </c>
      <c r="C38" s="14" t="s">
        <v>139</v>
      </c>
      <c r="D38" s="14"/>
      <c r="E38" s="14"/>
      <c r="F38" s="14" t="n">
        <f aca="false">G38</f>
        <v>38.5</v>
      </c>
      <c r="G38" s="15" t="n">
        <v>38.5</v>
      </c>
      <c r="H38" s="14" t="s">
        <v>140</v>
      </c>
      <c r="I38" s="9" t="s">
        <v>141</v>
      </c>
      <c r="J38" s="9" t="s">
        <v>67</v>
      </c>
    </row>
    <row r="39" customFormat="false" ht="15" hidden="false" customHeight="false" outlineLevel="0" collapsed="false">
      <c r="B39" s="14" t="s">
        <v>142</v>
      </c>
      <c r="C39" s="14" t="s">
        <v>143</v>
      </c>
      <c r="D39" s="14"/>
      <c r="E39" s="14"/>
      <c r="F39" s="14" t="n">
        <f aca="false">G39</f>
        <v>12</v>
      </c>
      <c r="G39" s="15" t="n">
        <v>12</v>
      </c>
      <c r="H39" s="14" t="s">
        <v>144</v>
      </c>
      <c r="I39" s="9" t="s">
        <v>145</v>
      </c>
      <c r="J39" s="9" t="s">
        <v>67</v>
      </c>
    </row>
    <row r="40" customFormat="false" ht="15" hidden="false" customHeight="false" outlineLevel="0" collapsed="false">
      <c r="B40" s="14" t="s">
        <v>146</v>
      </c>
      <c r="C40" s="14" t="s">
        <v>147</v>
      </c>
      <c r="D40" s="14"/>
      <c r="E40" s="14"/>
      <c r="F40" s="14" t="n">
        <f aca="false">G40</f>
        <v>10000</v>
      </c>
      <c r="G40" s="15" t="n">
        <v>10000</v>
      </c>
      <c r="H40" s="14" t="s">
        <v>148</v>
      </c>
      <c r="I40" s="9" t="s">
        <v>149</v>
      </c>
      <c r="J40" s="9" t="s">
        <v>55</v>
      </c>
    </row>
    <row r="41" customFormat="false" ht="15" hidden="false" customHeight="false" outlineLevel="0" collapsed="false">
      <c r="B41" s="14" t="s">
        <v>150</v>
      </c>
      <c r="C41" s="14" t="s">
        <v>64</v>
      </c>
      <c r="D41" s="14"/>
      <c r="E41" s="14"/>
      <c r="F41" s="14" t="n">
        <f aca="false">G41</f>
        <v>2032</v>
      </c>
      <c r="G41" s="15" t="n">
        <v>2032</v>
      </c>
      <c r="H41" s="14" t="s">
        <v>151</v>
      </c>
      <c r="I41" s="9" t="s">
        <v>152</v>
      </c>
      <c r="J41" s="9" t="s">
        <v>55</v>
      </c>
    </row>
    <row r="42" customFormat="false" ht="15" hidden="false" customHeight="false" outlineLevel="0" collapsed="false">
      <c r="B42" s="14" t="s">
        <v>153</v>
      </c>
      <c r="C42" s="14" t="s">
        <v>147</v>
      </c>
      <c r="D42" s="14"/>
      <c r="E42" s="14"/>
      <c r="F42" s="14" t="n">
        <f aca="false">G42</f>
        <v>1000</v>
      </c>
      <c r="G42" s="15" t="n">
        <v>1000</v>
      </c>
      <c r="H42" s="14" t="s">
        <v>154</v>
      </c>
      <c r="I42" s="9" t="s">
        <v>145</v>
      </c>
      <c r="J42" s="9" t="s">
        <v>67</v>
      </c>
    </row>
    <row r="43" customFormat="false" ht="15" hidden="false" customHeight="false" outlineLevel="0" collapsed="false">
      <c r="B43" s="14" t="s">
        <v>155</v>
      </c>
      <c r="C43" s="14" t="s">
        <v>156</v>
      </c>
      <c r="D43" s="14"/>
      <c r="E43" s="14"/>
      <c r="F43" s="14" t="n">
        <f aca="false">G43</f>
        <v>0.012</v>
      </c>
      <c r="G43" s="15" t="n">
        <v>0.012</v>
      </c>
      <c r="H43" s="14" t="s">
        <v>157</v>
      </c>
      <c r="I43" s="9" t="s">
        <v>158</v>
      </c>
      <c r="J43" s="9" t="s">
        <v>67</v>
      </c>
    </row>
    <row r="44" customFormat="false" ht="15" hidden="false" customHeight="false" outlineLevel="0" collapsed="false">
      <c r="B44" s="14" t="s">
        <v>159</v>
      </c>
      <c r="C44" s="14" t="s">
        <v>160</v>
      </c>
      <c r="D44" s="14"/>
      <c r="E44" s="14"/>
      <c r="F44" s="14" t="n">
        <f aca="false">G44</f>
        <v>15000</v>
      </c>
      <c r="G44" s="15" t="n">
        <v>15000</v>
      </c>
      <c r="H44" s="14" t="s">
        <v>161</v>
      </c>
      <c r="I44" s="9" t="s">
        <v>162</v>
      </c>
      <c r="J44" s="9" t="s">
        <v>67</v>
      </c>
    </row>
    <row r="45" customFormat="false" ht="15" hidden="false" customHeight="false" outlineLevel="0" collapsed="false">
      <c r="B45" s="14" t="s">
        <v>163</v>
      </c>
      <c r="C45" s="14" t="s">
        <v>164</v>
      </c>
      <c r="D45" s="14"/>
      <c r="E45" s="14"/>
      <c r="F45" s="14" t="n">
        <f aca="false">G45</f>
        <v>200</v>
      </c>
      <c r="G45" s="15" t="n">
        <v>200</v>
      </c>
      <c r="H45" s="14" t="s">
        <v>165</v>
      </c>
      <c r="I45" s="9" t="s">
        <v>166</v>
      </c>
      <c r="J45" s="9" t="s">
        <v>55</v>
      </c>
    </row>
    <row r="46" customFormat="false" ht="15" hidden="false" customHeight="false" outlineLevel="0" collapsed="false">
      <c r="B46" s="14" t="s">
        <v>167</v>
      </c>
      <c r="C46" s="14" t="s">
        <v>164</v>
      </c>
      <c r="D46" s="14"/>
      <c r="E46" s="14"/>
      <c r="F46" s="14" t="n">
        <f aca="false">G46</f>
        <v>150</v>
      </c>
      <c r="G46" s="15" t="n">
        <v>150</v>
      </c>
      <c r="H46" s="14" t="s">
        <v>168</v>
      </c>
      <c r="I46" s="9" t="s">
        <v>58</v>
      </c>
      <c r="J46" s="9" t="s">
        <v>55</v>
      </c>
    </row>
    <row r="47" customFormat="false" ht="15" hidden="false" customHeight="false" outlineLevel="0" collapsed="false">
      <c r="B47" s="14" t="s">
        <v>169</v>
      </c>
      <c r="C47" s="14" t="s">
        <v>170</v>
      </c>
      <c r="D47" s="14"/>
      <c r="E47" s="14"/>
      <c r="F47" s="14" t="n">
        <f aca="false">G47</f>
        <v>800</v>
      </c>
      <c r="G47" s="15" t="n">
        <v>800</v>
      </c>
      <c r="H47" s="14" t="s">
        <v>171</v>
      </c>
      <c r="I47" s="9" t="s">
        <v>172</v>
      </c>
      <c r="J47" s="9" t="s">
        <v>55</v>
      </c>
    </row>
    <row r="48" customFormat="false" ht="15" hidden="false" customHeight="false" outlineLevel="0" collapsed="false">
      <c r="B48" s="14" t="s">
        <v>173</v>
      </c>
      <c r="C48" s="14" t="s">
        <v>97</v>
      </c>
      <c r="D48" s="14"/>
      <c r="E48" s="14"/>
      <c r="F48" s="14" t="n">
        <f aca="false">G48</f>
        <v>0.9</v>
      </c>
      <c r="G48" s="15" t="n">
        <v>0.9</v>
      </c>
      <c r="H48" s="14" t="s">
        <v>174</v>
      </c>
      <c r="I48" s="9" t="s">
        <v>58</v>
      </c>
      <c r="J48" s="9" t="s">
        <v>67</v>
      </c>
    </row>
    <row r="49" customFormat="false" ht="15" hidden="false" customHeight="false" outlineLevel="0" collapsed="false">
      <c r="B49" s="14" t="s">
        <v>175</v>
      </c>
      <c r="C49" s="14" t="s">
        <v>176</v>
      </c>
      <c r="D49" s="14"/>
      <c r="E49" s="14"/>
      <c r="F49" s="14" t="n">
        <f aca="false">G49</f>
        <v>760</v>
      </c>
      <c r="G49" s="15" t="n">
        <v>760</v>
      </c>
      <c r="H49" s="14" t="s">
        <v>177</v>
      </c>
      <c r="I49" s="9" t="s">
        <v>178</v>
      </c>
      <c r="J49" s="9" t="s">
        <v>179</v>
      </c>
    </row>
    <row r="50" customFormat="false" ht="15" hidden="false" customHeight="false" outlineLevel="0" collapsed="false">
      <c r="B50" s="14" t="s">
        <v>180</v>
      </c>
      <c r="C50" s="14" t="s">
        <v>176</v>
      </c>
      <c r="D50" s="14"/>
      <c r="E50" s="14"/>
      <c r="F50" s="14" t="n">
        <f aca="false">G50</f>
        <v>1160</v>
      </c>
      <c r="G50" s="15" t="n">
        <v>1160</v>
      </c>
      <c r="H50" s="14" t="s">
        <v>181</v>
      </c>
      <c r="I50" s="9" t="s">
        <v>182</v>
      </c>
      <c r="J50" s="9" t="s">
        <v>179</v>
      </c>
    </row>
    <row r="51" customFormat="false" ht="15" hidden="false" customHeight="false" outlineLevel="0" collapsed="false">
      <c r="B51" s="14" t="s">
        <v>183</v>
      </c>
      <c r="C51" s="14" t="s">
        <v>176</v>
      </c>
      <c r="D51" s="14"/>
      <c r="E51" s="14"/>
      <c r="F51" s="14" t="n">
        <f aca="false">G51</f>
        <v>1304</v>
      </c>
      <c r="G51" s="15" t="n">
        <v>1304</v>
      </c>
      <c r="H51" s="14" t="s">
        <v>184</v>
      </c>
      <c r="I51" s="9" t="s">
        <v>185</v>
      </c>
      <c r="J51" s="9" t="s">
        <v>67</v>
      </c>
    </row>
    <row r="52" customFormat="false" ht="15" hidden="false" customHeight="false" outlineLevel="0" collapsed="false">
      <c r="B52" s="14" t="s">
        <v>186</v>
      </c>
      <c r="C52" s="14" t="s">
        <v>187</v>
      </c>
      <c r="D52" s="14"/>
      <c r="E52" s="14"/>
      <c r="F52" s="14" t="n">
        <f aca="false">G52</f>
        <v>0.03</v>
      </c>
      <c r="G52" s="15" t="n">
        <v>0.03</v>
      </c>
      <c r="H52" s="14" t="s">
        <v>188</v>
      </c>
      <c r="I52" s="9" t="s">
        <v>189</v>
      </c>
      <c r="J52" s="9" t="s">
        <v>67</v>
      </c>
    </row>
    <row r="53" customFormat="false" ht="15" hidden="false" customHeight="false" outlineLevel="0" collapsed="false">
      <c r="B53" s="14" t="s">
        <v>190</v>
      </c>
      <c r="C53" s="14" t="s">
        <v>187</v>
      </c>
      <c r="D53" s="14"/>
      <c r="E53" s="14"/>
      <c r="F53" s="14" t="n">
        <f aca="false">G53</f>
        <v>0.015</v>
      </c>
      <c r="G53" s="15" t="n">
        <v>0.015</v>
      </c>
      <c r="H53" s="14" t="s">
        <v>191</v>
      </c>
      <c r="I53" s="9" t="s">
        <v>58</v>
      </c>
      <c r="J53" s="9" t="s">
        <v>67</v>
      </c>
    </row>
    <row r="54" customFormat="false" ht="15" hidden="false" customHeight="false" outlineLevel="0" collapsed="false">
      <c r="B54" s="14" t="s">
        <v>192</v>
      </c>
      <c r="C54" s="14" t="s">
        <v>97</v>
      </c>
      <c r="D54" s="14"/>
      <c r="E54" s="14"/>
      <c r="F54" s="14" t="n">
        <f aca="false">G54</f>
        <v>0.17</v>
      </c>
      <c r="G54" s="15" t="n">
        <v>0.17</v>
      </c>
      <c r="H54" s="14" t="s">
        <v>193</v>
      </c>
      <c r="I54" s="9" t="s">
        <v>194</v>
      </c>
      <c r="J54" s="9" t="s">
        <v>67</v>
      </c>
    </row>
    <row r="55" customFormat="false" ht="15" hidden="false" customHeight="false" outlineLevel="0" collapsed="false">
      <c r="B55" s="14" t="s">
        <v>195</v>
      </c>
      <c r="C55" s="14" t="s">
        <v>97</v>
      </c>
      <c r="D55" s="14"/>
      <c r="E55" s="14"/>
      <c r="F55" s="14" t="n">
        <f aca="false">G55</f>
        <v>0.35</v>
      </c>
      <c r="G55" s="15" t="n">
        <v>0.35</v>
      </c>
      <c r="H55" s="14" t="s">
        <v>196</v>
      </c>
      <c r="I55" s="9" t="s">
        <v>194</v>
      </c>
      <c r="J55" s="9" t="s">
        <v>67</v>
      </c>
    </row>
    <row r="56" customFormat="false" ht="15" hidden="false" customHeight="false" outlineLevel="0" collapsed="false">
      <c r="B56" s="14" t="s">
        <v>197</v>
      </c>
      <c r="C56" s="14" t="s">
        <v>97</v>
      </c>
      <c r="D56" s="14"/>
      <c r="E56" s="14"/>
      <c r="F56" s="14" t="n">
        <f aca="false">G56</f>
        <v>0.5</v>
      </c>
      <c r="G56" s="15" t="n">
        <v>0.5</v>
      </c>
      <c r="H56" s="14" t="s">
        <v>198</v>
      </c>
      <c r="I56" s="9" t="s">
        <v>194</v>
      </c>
      <c r="J56" s="9" t="s">
        <v>67</v>
      </c>
    </row>
    <row r="57" customFormat="false" ht="15" hidden="false" customHeight="false" outlineLevel="0" collapsed="false">
      <c r="B57" s="14" t="s">
        <v>199</v>
      </c>
      <c r="C57" s="14" t="s">
        <v>97</v>
      </c>
      <c r="D57" s="14"/>
      <c r="E57" s="14"/>
      <c r="F57" s="14" t="n">
        <f aca="false">G57</f>
        <v>0.6</v>
      </c>
      <c r="G57" s="15" t="n">
        <v>0.6</v>
      </c>
      <c r="H57" s="14" t="s">
        <v>200</v>
      </c>
      <c r="I57" s="9" t="s">
        <v>58</v>
      </c>
      <c r="J57" s="9" t="s">
        <v>55</v>
      </c>
    </row>
    <row r="58" customFormat="false" ht="15" hidden="false" customHeight="false" outlineLevel="0" collapsed="false">
      <c r="B58" s="14" t="s">
        <v>201</v>
      </c>
      <c r="C58" s="14" t="s">
        <v>143</v>
      </c>
      <c r="D58" s="14"/>
      <c r="E58" s="14"/>
      <c r="F58" s="14" t="n">
        <f aca="false">G58</f>
        <v>25</v>
      </c>
      <c r="G58" s="15" t="n">
        <v>25</v>
      </c>
      <c r="H58" s="14" t="s">
        <v>202</v>
      </c>
      <c r="I58" s="9" t="s">
        <v>203</v>
      </c>
      <c r="J58" s="9" t="s">
        <v>179</v>
      </c>
    </row>
    <row r="59" customFormat="false" ht="15" hidden="false" customHeight="false" outlineLevel="0" collapsed="false">
      <c r="B59" s="14" t="s">
        <v>204</v>
      </c>
      <c r="C59" s="14" t="s">
        <v>143</v>
      </c>
      <c r="D59" s="14"/>
      <c r="E59" s="14"/>
      <c r="F59" s="14" t="n">
        <f aca="false">G59</f>
        <v>30</v>
      </c>
      <c r="G59" s="15" t="n">
        <v>30</v>
      </c>
      <c r="H59" s="14" t="s">
        <v>205</v>
      </c>
      <c r="I59" s="9" t="s">
        <v>206</v>
      </c>
      <c r="J59" s="9" t="s">
        <v>179</v>
      </c>
    </row>
    <row r="60" customFormat="false" ht="15" hidden="false" customHeight="false" outlineLevel="0" collapsed="false">
      <c r="B60" s="14" t="s">
        <v>207</v>
      </c>
      <c r="C60" s="14" t="s">
        <v>208</v>
      </c>
      <c r="D60" s="14"/>
      <c r="E60" s="14"/>
      <c r="F60" s="14" t="n">
        <f aca="false">G60</f>
        <v>0.015</v>
      </c>
      <c r="G60" s="15" t="n">
        <v>0.015</v>
      </c>
      <c r="H60" s="14" t="s">
        <v>209</v>
      </c>
      <c r="I60" s="9" t="s">
        <v>194</v>
      </c>
      <c r="J60" s="9" t="s">
        <v>67</v>
      </c>
    </row>
    <row r="61" customFormat="false" ht="15" hidden="false" customHeight="false" outlineLevel="0" collapsed="false">
      <c r="B61" s="14" t="s">
        <v>210</v>
      </c>
      <c r="C61" s="14" t="s">
        <v>211</v>
      </c>
      <c r="D61" s="14"/>
      <c r="E61" s="14"/>
      <c r="F61" s="14" t="n">
        <f aca="false">G61</f>
        <v>0.0105</v>
      </c>
      <c r="G61" s="15" t="n">
        <v>0.0105</v>
      </c>
      <c r="H61" s="14" t="s">
        <v>212</v>
      </c>
      <c r="I61" s="9" t="s">
        <v>213</v>
      </c>
      <c r="J61" s="9" t="s">
        <v>67</v>
      </c>
    </row>
    <row r="62" customFormat="false" ht="15" hidden="false" customHeight="false" outlineLevel="0" collapsed="false">
      <c r="B62" s="14" t="s">
        <v>214</v>
      </c>
      <c r="C62" s="14" t="s">
        <v>215</v>
      </c>
      <c r="D62" s="14"/>
      <c r="E62" s="14"/>
      <c r="F62" s="14" t="n">
        <f aca="false">G62</f>
        <v>0.6</v>
      </c>
      <c r="G62" s="15" t="n">
        <v>0.6</v>
      </c>
      <c r="H62" s="14" t="s">
        <v>216</v>
      </c>
      <c r="I62" s="9" t="s">
        <v>217</v>
      </c>
      <c r="J62" s="9" t="s">
        <v>67</v>
      </c>
    </row>
    <row r="63" customFormat="false" ht="15" hidden="false" customHeight="false" outlineLevel="0" collapsed="false">
      <c r="B63" s="14" t="s">
        <v>218</v>
      </c>
      <c r="C63" s="14" t="s">
        <v>219</v>
      </c>
      <c r="D63" s="14"/>
      <c r="E63" s="14"/>
      <c r="F63" s="14" t="n">
        <f aca="false">G63</f>
        <v>2</v>
      </c>
      <c r="G63" s="15" t="n">
        <v>2</v>
      </c>
      <c r="H63" s="14" t="s">
        <v>220</v>
      </c>
      <c r="I63" s="9" t="s">
        <v>221</v>
      </c>
      <c r="J63" s="9" t="s">
        <v>67</v>
      </c>
    </row>
    <row r="64" customFormat="false" ht="15" hidden="false" customHeight="false" outlineLevel="0" collapsed="false">
      <c r="B64" s="14" t="s">
        <v>222</v>
      </c>
      <c r="C64" s="14" t="s">
        <v>211</v>
      </c>
      <c r="D64" s="14"/>
      <c r="E64" s="14"/>
      <c r="F64" s="14" t="n">
        <f aca="false">G64</f>
        <v>250</v>
      </c>
      <c r="G64" s="15" t="n">
        <v>250</v>
      </c>
      <c r="H64" s="14" t="s">
        <v>223</v>
      </c>
      <c r="I64" s="9" t="s">
        <v>224</v>
      </c>
      <c r="J64" s="9" t="s">
        <v>67</v>
      </c>
    </row>
    <row r="65" customFormat="false" ht="15" hidden="false" customHeight="false" outlineLevel="0" collapsed="false">
      <c r="B65" s="14" t="s">
        <v>225</v>
      </c>
      <c r="C65" s="14" t="s">
        <v>187</v>
      </c>
      <c r="D65" s="14"/>
      <c r="E65" s="14"/>
      <c r="F65" s="14" t="n">
        <f aca="false">G65</f>
        <v>0.03</v>
      </c>
      <c r="G65" s="15" t="n">
        <v>0.03</v>
      </c>
      <c r="H65" s="14" t="s">
        <v>226</v>
      </c>
      <c r="I65" s="9" t="s">
        <v>58</v>
      </c>
      <c r="J65" s="9" t="s">
        <v>67</v>
      </c>
    </row>
    <row r="66" customFormat="false" ht="15" hidden="false" customHeight="false" outlineLevel="0" collapsed="false">
      <c r="B66" s="14" t="s">
        <v>227</v>
      </c>
      <c r="C66" s="14" t="s">
        <v>228</v>
      </c>
      <c r="D66" s="14"/>
      <c r="E66" s="14"/>
      <c r="F66" s="14" t="n">
        <f aca="false">G66</f>
        <v>10</v>
      </c>
      <c r="G66" s="15" t="n">
        <v>10</v>
      </c>
      <c r="H66" s="14" t="s">
        <v>229</v>
      </c>
      <c r="I66" s="9" t="s">
        <v>194</v>
      </c>
      <c r="J66" s="9" t="s">
        <v>67</v>
      </c>
    </row>
    <row r="67" customFormat="false" ht="15" hidden="false" customHeight="false" outlineLevel="0" collapsed="false">
      <c r="B67" s="14" t="s">
        <v>230</v>
      </c>
      <c r="C67" s="14" t="s">
        <v>228</v>
      </c>
      <c r="D67" s="14"/>
      <c r="E67" s="14"/>
      <c r="F67" s="14" t="n">
        <f aca="false">G67</f>
        <v>7.5</v>
      </c>
      <c r="G67" s="15" t="n">
        <v>7.5</v>
      </c>
      <c r="H67" s="14" t="s">
        <v>231</v>
      </c>
      <c r="I67" s="9" t="s">
        <v>194</v>
      </c>
      <c r="J67" s="9" t="s">
        <v>67</v>
      </c>
    </row>
    <row r="68" customFormat="false" ht="15" hidden="false" customHeight="false" outlineLevel="0" collapsed="false">
      <c r="B68" s="14" t="s">
        <v>232</v>
      </c>
      <c r="C68" s="14" t="s">
        <v>228</v>
      </c>
      <c r="D68" s="14"/>
      <c r="E68" s="14"/>
      <c r="F68" s="14" t="n">
        <f aca="false">G68</f>
        <v>10.5</v>
      </c>
      <c r="G68" s="15" t="n">
        <v>10.5</v>
      </c>
      <c r="H68" s="14" t="s">
        <v>233</v>
      </c>
      <c r="I68" s="9" t="s">
        <v>194</v>
      </c>
      <c r="J68" s="9" t="s">
        <v>67</v>
      </c>
    </row>
    <row r="69" customFormat="false" ht="15" hidden="false" customHeight="false" outlineLevel="0" collapsed="false">
      <c r="B69" s="14" t="s">
        <v>234</v>
      </c>
      <c r="C69" s="14" t="s">
        <v>235</v>
      </c>
      <c r="D69" s="14"/>
      <c r="E69" s="14"/>
      <c r="F69" s="14" t="n">
        <f aca="false">G69</f>
        <v>0.0946</v>
      </c>
      <c r="G69" s="15" t="n">
        <v>0.0946</v>
      </c>
      <c r="H69" s="14" t="s">
        <v>236</v>
      </c>
      <c r="I69" s="9" t="s">
        <v>237</v>
      </c>
      <c r="J69" s="9" t="s">
        <v>179</v>
      </c>
    </row>
    <row r="70" customFormat="false" ht="15" hidden="false" customHeight="false" outlineLevel="0" collapsed="false">
      <c r="B70" s="14" t="s">
        <v>238</v>
      </c>
      <c r="C70" s="14" t="s">
        <v>235</v>
      </c>
      <c r="D70" s="14"/>
      <c r="E70" s="14"/>
      <c r="F70" s="14" t="n">
        <f aca="false">G70</f>
        <v>0.0561</v>
      </c>
      <c r="G70" s="15" t="n">
        <v>0.0561</v>
      </c>
      <c r="H70" s="14" t="s">
        <v>239</v>
      </c>
      <c r="I70" s="9" t="s">
        <v>240</v>
      </c>
      <c r="J70" s="9" t="s">
        <v>179</v>
      </c>
    </row>
    <row r="71" customFormat="false" ht="15" hidden="false" customHeight="false" outlineLevel="0" collapsed="false">
      <c r="B71" s="14" t="s">
        <v>241</v>
      </c>
      <c r="C71" s="14" t="s">
        <v>235</v>
      </c>
      <c r="D71" s="14"/>
      <c r="E71" s="14"/>
      <c r="F71" s="14" t="n">
        <f aca="false">G71</f>
        <v>0.0693</v>
      </c>
      <c r="G71" s="15" t="n">
        <v>0.0693</v>
      </c>
      <c r="H71" s="14" t="s">
        <v>242</v>
      </c>
      <c r="I71" s="9" t="s">
        <v>240</v>
      </c>
      <c r="J71" s="9" t="s">
        <v>179</v>
      </c>
    </row>
    <row r="72" customFormat="false" ht="15" hidden="false" customHeight="false" outlineLevel="0" collapsed="false">
      <c r="B72" s="14" t="s">
        <v>243</v>
      </c>
      <c r="C72" s="14" t="s">
        <v>235</v>
      </c>
      <c r="D72" s="14"/>
      <c r="E72" s="14"/>
      <c r="F72" s="14" t="n">
        <f aca="false">G72</f>
        <v>0.0741</v>
      </c>
      <c r="G72" s="15" t="n">
        <v>0.0741</v>
      </c>
      <c r="H72" s="14" t="s">
        <v>244</v>
      </c>
      <c r="I72" s="9" t="s">
        <v>240</v>
      </c>
      <c r="J72" s="9" t="s">
        <v>179</v>
      </c>
    </row>
    <row r="73" customFormat="false" ht="15" hidden="false" customHeight="false" outlineLevel="0" collapsed="false">
      <c r="B73" s="14" t="s">
        <v>245</v>
      </c>
      <c r="C73" s="14" t="s">
        <v>235</v>
      </c>
      <c r="D73" s="14"/>
      <c r="E73" s="14"/>
      <c r="F73" s="14" t="n">
        <f aca="false">G73</f>
        <v>0.0631</v>
      </c>
      <c r="G73" s="15" t="n">
        <v>0.0631</v>
      </c>
      <c r="H73" s="14" t="s">
        <v>246</v>
      </c>
      <c r="I73" s="9" t="s">
        <v>240</v>
      </c>
      <c r="J73" s="9" t="s">
        <v>179</v>
      </c>
    </row>
    <row r="74" customFormat="false" ht="15" hidden="false" customHeight="false" outlineLevel="0" collapsed="false">
      <c r="B74" s="14" t="s">
        <v>247</v>
      </c>
      <c r="C74" s="14" t="s">
        <v>235</v>
      </c>
      <c r="D74" s="14"/>
      <c r="E74" s="14"/>
      <c r="F74" s="14" t="n">
        <f aca="false">G74</f>
        <v>0.0719</v>
      </c>
      <c r="G74" s="15" t="n">
        <v>0.0719</v>
      </c>
      <c r="H74" s="14" t="s">
        <v>248</v>
      </c>
      <c r="I74" s="9" t="s">
        <v>240</v>
      </c>
      <c r="J74" s="9" t="s">
        <v>179</v>
      </c>
    </row>
    <row r="75" customFormat="false" ht="15" hidden="false" customHeight="false" outlineLevel="0" collapsed="false">
      <c r="B75" s="14" t="s">
        <v>249</v>
      </c>
      <c r="C75" s="14" t="s">
        <v>235</v>
      </c>
      <c r="D75" s="14"/>
      <c r="E75" s="14"/>
      <c r="F75" s="14" t="n">
        <f aca="false">G75</f>
        <v>0.0774</v>
      </c>
      <c r="G75" s="15" t="n">
        <v>0.0774</v>
      </c>
      <c r="H75" s="14" t="s">
        <v>250</v>
      </c>
      <c r="I75" s="9" t="s">
        <v>240</v>
      </c>
      <c r="J75" s="9" t="s">
        <v>179</v>
      </c>
    </row>
    <row r="76" customFormat="false" ht="15" hidden="false" customHeight="false" outlineLevel="0" collapsed="false">
      <c r="B76" s="14" t="s">
        <v>251</v>
      </c>
      <c r="C76" s="14" t="s">
        <v>97</v>
      </c>
      <c r="D76" s="14"/>
      <c r="E76" s="14"/>
      <c r="F76" s="14" t="n">
        <f aca="false">G76</f>
        <v>0.3</v>
      </c>
      <c r="G76" s="15" t="n">
        <v>0.3</v>
      </c>
      <c r="H76" s="14" t="s">
        <v>252</v>
      </c>
      <c r="I76" s="9" t="s">
        <v>253</v>
      </c>
      <c r="J76" s="9" t="s">
        <v>67</v>
      </c>
    </row>
    <row r="77" customFormat="false" ht="15" hidden="false" customHeight="false" outlineLevel="0" collapsed="false">
      <c r="B77" s="14" t="s">
        <v>254</v>
      </c>
      <c r="C77" s="14" t="s">
        <v>97</v>
      </c>
      <c r="D77" s="14"/>
      <c r="E77" s="14"/>
      <c r="F77" s="14" t="n">
        <f aca="false">G77</f>
        <v>0.6</v>
      </c>
      <c r="G77" s="15" t="n">
        <v>0.6</v>
      </c>
      <c r="H77" s="14" t="s">
        <v>255</v>
      </c>
      <c r="I77" s="9" t="s">
        <v>58</v>
      </c>
      <c r="J77" s="9" t="s">
        <v>55</v>
      </c>
    </row>
    <row r="78" customFormat="false" ht="15" hidden="false" customHeight="false" outlineLevel="0" collapsed="false">
      <c r="B78" s="14" t="s">
        <v>256</v>
      </c>
      <c r="C78" s="14" t="s">
        <v>257</v>
      </c>
      <c r="D78" s="14"/>
      <c r="E78" s="14"/>
      <c r="F78" s="14" t="n">
        <f aca="false">G78</f>
        <v>50</v>
      </c>
      <c r="G78" s="15" t="n">
        <v>50</v>
      </c>
      <c r="H78" s="14" t="s">
        <v>258</v>
      </c>
      <c r="I78" s="9" t="s">
        <v>259</v>
      </c>
      <c r="J78" s="9" t="s">
        <v>67</v>
      </c>
    </row>
    <row r="79" customFormat="false" ht="15" hidden="false" customHeight="false" outlineLevel="0" collapsed="false">
      <c r="B79" s="14" t="s">
        <v>260</v>
      </c>
      <c r="C79" s="14" t="s">
        <v>257</v>
      </c>
      <c r="D79" s="14"/>
      <c r="E79" s="14"/>
      <c r="F79" s="14" t="n">
        <f aca="false">G79</f>
        <v>50</v>
      </c>
      <c r="G79" s="15" t="n">
        <v>50</v>
      </c>
      <c r="H79" s="14" t="s">
        <v>261</v>
      </c>
      <c r="I79" s="9" t="s">
        <v>262</v>
      </c>
      <c r="J79" s="9" t="s">
        <v>55</v>
      </c>
    </row>
    <row r="80" customFormat="false" ht="15" hidden="false" customHeight="false" outlineLevel="0" collapsed="false">
      <c r="B80" s="14" t="s">
        <v>263</v>
      </c>
      <c r="C80" s="14" t="s">
        <v>264</v>
      </c>
      <c r="D80" s="14"/>
      <c r="E80" s="14"/>
      <c r="F80" s="14" t="n">
        <f aca="false">G80</f>
        <v>100</v>
      </c>
      <c r="G80" s="15" t="n">
        <v>100</v>
      </c>
      <c r="H80" s="14" t="s">
        <v>265</v>
      </c>
      <c r="I80" s="9" t="s">
        <v>266</v>
      </c>
      <c r="J80" s="9" t="s">
        <v>55</v>
      </c>
    </row>
    <row r="81" customFormat="false" ht="15" hidden="false" customHeight="false" outlineLevel="0" collapsed="false">
      <c r="B81" s="14" t="s">
        <v>267</v>
      </c>
      <c r="C81" s="14" t="s">
        <v>64</v>
      </c>
      <c r="D81" s="14"/>
      <c r="E81" s="14"/>
      <c r="F81" s="14" t="n">
        <f aca="false">G81</f>
        <v>2030</v>
      </c>
      <c r="G81" s="15" t="n">
        <v>2030</v>
      </c>
      <c r="H81" s="14" t="s">
        <v>268</v>
      </c>
      <c r="I81" s="9" t="s">
        <v>269</v>
      </c>
      <c r="J81" s="9" t="s">
        <v>67</v>
      </c>
    </row>
    <row r="82" customFormat="false" ht="15" hidden="false" customHeight="false" outlineLevel="0" collapsed="false">
      <c r="B82" s="14" t="s">
        <v>270</v>
      </c>
      <c r="C82" s="14" t="s">
        <v>271</v>
      </c>
      <c r="D82" s="14"/>
      <c r="E82" s="14"/>
      <c r="F82" s="14" t="n">
        <f aca="false">G82</f>
        <v>0.06</v>
      </c>
      <c r="G82" s="15" t="n">
        <v>0.06</v>
      </c>
      <c r="H82" s="14" t="s">
        <v>272</v>
      </c>
      <c r="I82" s="9" t="s">
        <v>273</v>
      </c>
      <c r="J82" s="9" t="s">
        <v>179</v>
      </c>
    </row>
    <row r="83" customFormat="false" ht="15" hidden="false" customHeight="false" outlineLevel="0" collapsed="false">
      <c r="B83" s="14" t="s">
        <v>274</v>
      </c>
      <c r="C83" s="14" t="s">
        <v>143</v>
      </c>
      <c r="D83" s="14"/>
      <c r="E83" s="14"/>
      <c r="F83" s="14" t="n">
        <f aca="false">G83</f>
        <v>25</v>
      </c>
      <c r="G83" s="15" t="n">
        <v>25</v>
      </c>
      <c r="H83" s="14" t="s">
        <v>275</v>
      </c>
      <c r="I83" s="9" t="s">
        <v>203</v>
      </c>
      <c r="J83" s="9" t="s">
        <v>67</v>
      </c>
    </row>
    <row r="84" customFormat="false" ht="15" hidden="false" customHeight="false" outlineLevel="0" collapsed="false">
      <c r="B84" s="14" t="s">
        <v>276</v>
      </c>
      <c r="C84" s="14" t="s">
        <v>143</v>
      </c>
      <c r="D84" s="14"/>
      <c r="E84" s="14"/>
      <c r="F84" s="14" t="n">
        <f aca="false">G84</f>
        <v>25</v>
      </c>
      <c r="G84" s="15" t="n">
        <v>25</v>
      </c>
      <c r="H84" s="14" t="s">
        <v>277</v>
      </c>
      <c r="I84" s="9" t="s">
        <v>203</v>
      </c>
      <c r="J84" s="9" t="s">
        <v>67</v>
      </c>
    </row>
    <row r="85" customFormat="false" ht="15" hidden="false" customHeight="false" outlineLevel="0" collapsed="false">
      <c r="B85" s="14" t="s">
        <v>278</v>
      </c>
      <c r="C85" s="14" t="s">
        <v>143</v>
      </c>
      <c r="D85" s="14"/>
      <c r="E85" s="14"/>
      <c r="F85" s="14" t="n">
        <f aca="false">G85</f>
        <v>40</v>
      </c>
      <c r="G85" s="15" t="n">
        <v>40</v>
      </c>
      <c r="H85" s="14" t="s">
        <v>279</v>
      </c>
      <c r="I85" s="9" t="s">
        <v>203</v>
      </c>
      <c r="J85" s="9" t="s">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9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0" ySplit="2" topLeftCell="K3" activePane="bottomRight" state="frozen"/>
      <selection pane="topLeft" activeCell="A1" activeCellId="0" sqref="A1"/>
      <selection pane="topRight" activeCell="K1" activeCellId="0" sqref="K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3" min="2" style="0" width="5"/>
    <col collapsed="false" customWidth="true" hidden="false" outlineLevel="0" max="4" min="4" style="0" width="44"/>
    <col collapsed="false" customWidth="true" hidden="false" outlineLevel="0" max="5" min="5" style="0" width="9"/>
    <col collapsed="false" customWidth="true" hidden="false" outlineLevel="0" max="6" min="6" style="0" width="10"/>
    <col collapsed="false" customWidth="true" hidden="false" outlineLevel="0" max="8" min="7" style="0" width="22"/>
    <col collapsed="false" customWidth="true" hidden="false" outlineLevel="0" max="9" min="9" style="0" width="6"/>
    <col collapsed="false" customWidth="true" hidden="false" outlineLevel="0" max="10" min="10" style="0" width="11"/>
    <col collapsed="false" customWidth="true" hidden="false" outlineLevel="0" max="40" min="11" style="0" width="9"/>
  </cols>
  <sheetData>
    <row r="1" customFormat="false" ht="15" hidden="false" customHeight="false" outlineLevel="0" collapsed="false">
      <c r="A1" s="3"/>
      <c r="B1" s="3" t="s">
        <v>280</v>
      </c>
      <c r="C1" s="3" t="s">
        <v>281</v>
      </c>
      <c r="D1" s="3" t="s">
        <v>282</v>
      </c>
      <c r="E1" s="3" t="s">
        <v>283</v>
      </c>
      <c r="F1" s="3" t="s">
        <v>49</v>
      </c>
      <c r="G1" s="3" t="s">
        <v>284</v>
      </c>
      <c r="H1" s="3" t="s">
        <v>285</v>
      </c>
      <c r="I1" s="3" t="s">
        <v>286</v>
      </c>
      <c r="J1" s="3" t="s">
        <v>287</v>
      </c>
      <c r="K1" s="3" t="n">
        <v>2021</v>
      </c>
      <c r="L1" s="3" t="n">
        <v>2022</v>
      </c>
      <c r="M1" s="3" t="n">
        <v>2023</v>
      </c>
      <c r="N1" s="3" t="n">
        <v>2024</v>
      </c>
      <c r="O1" s="3" t="n">
        <v>2025</v>
      </c>
      <c r="P1" s="3" t="n">
        <v>2026</v>
      </c>
      <c r="Q1" s="3" t="n">
        <v>2027</v>
      </c>
      <c r="R1" s="3" t="n">
        <v>2028</v>
      </c>
      <c r="S1" s="3" t="n">
        <v>2029</v>
      </c>
      <c r="T1" s="3" t="n">
        <v>2030</v>
      </c>
      <c r="U1" s="3" t="n">
        <v>2031</v>
      </c>
      <c r="V1" s="3" t="n">
        <v>2032</v>
      </c>
      <c r="W1" s="3" t="n">
        <v>2033</v>
      </c>
      <c r="X1" s="3" t="n">
        <v>2034</v>
      </c>
      <c r="Y1" s="3" t="n">
        <v>2035</v>
      </c>
      <c r="Z1" s="3" t="n">
        <v>2036</v>
      </c>
      <c r="AA1" s="3" t="n">
        <v>2037</v>
      </c>
      <c r="AB1" s="3" t="n">
        <v>2038</v>
      </c>
      <c r="AC1" s="3" t="n">
        <v>2039</v>
      </c>
      <c r="AD1" s="3" t="n">
        <v>2040</v>
      </c>
      <c r="AE1" s="3" t="n">
        <v>2041</v>
      </c>
      <c r="AF1" s="3" t="n">
        <v>2042</v>
      </c>
      <c r="AG1" s="3" t="n">
        <v>2043</v>
      </c>
      <c r="AH1" s="3" t="n">
        <v>2044</v>
      </c>
      <c r="AI1" s="3" t="n">
        <v>2045</v>
      </c>
      <c r="AJ1" s="3" t="n">
        <v>2046</v>
      </c>
      <c r="AK1" s="3" t="n">
        <v>2047</v>
      </c>
      <c r="AL1" s="3" t="n">
        <v>2048</v>
      </c>
      <c r="AM1" s="3" t="n">
        <v>2049</v>
      </c>
      <c r="AN1" s="3" t="n">
        <v>2050</v>
      </c>
    </row>
    <row r="2" customFormat="false" ht="15" hidden="false" customHeight="false" outlineLevel="0" collapsed="false">
      <c r="A2" s="7" t="s">
        <v>288</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row>
    <row r="3" customFormat="false" ht="15" hidden="false" customHeight="false" outlineLevel="0" collapsed="false">
      <c r="A3" s="12" t="s">
        <v>289</v>
      </c>
      <c r="B3" s="13"/>
      <c r="C3" s="13"/>
      <c r="D3" s="13"/>
      <c r="E3" s="13"/>
      <c r="F3" s="13"/>
      <c r="G3" s="13"/>
      <c r="H3" s="13"/>
      <c r="I3" s="13"/>
      <c r="J3" s="13"/>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row>
    <row r="4" customFormat="false" ht="15" hidden="false" customHeight="false" outlineLevel="0" collapsed="false">
      <c r="A4" s="9"/>
      <c r="B4" s="9"/>
      <c r="C4" s="9"/>
      <c r="D4" s="9" t="s">
        <v>290</v>
      </c>
      <c r="E4" s="9"/>
      <c r="F4" s="9"/>
      <c r="G4" s="9"/>
      <c r="H4" s="9" t="s">
        <v>291</v>
      </c>
      <c r="I4" s="9"/>
      <c r="J4" s="9" t="n">
        <f aca="false">Settings!$C$6</f>
        <v>79</v>
      </c>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row>
    <row r="5" customFormat="false" ht="15" hidden="false" customHeight="false" outlineLevel="0" collapsed="false">
      <c r="A5" s="9"/>
      <c r="B5" s="9"/>
      <c r="C5" s="9"/>
      <c r="D5" s="9" t="s">
        <v>292</v>
      </c>
      <c r="E5" s="9" t="s">
        <v>293</v>
      </c>
      <c r="F5" s="9" t="s">
        <v>294</v>
      </c>
      <c r="G5" s="18" t="s">
        <v>295</v>
      </c>
      <c r="H5" s="18" t="s">
        <v>296</v>
      </c>
      <c r="I5" s="9"/>
      <c r="J5" s="9" t="n">
        <f aca="false">INDEX(Data!$CO:$CO,$J$4)</f>
        <v>3</v>
      </c>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row>
    <row r="6" customFormat="false" ht="15" hidden="false" customHeight="false" outlineLevel="0" collapsed="false">
      <c r="A6" s="9"/>
      <c r="B6" s="9"/>
      <c r="C6" s="9"/>
      <c r="D6" s="9" t="s">
        <v>297</v>
      </c>
      <c r="E6" s="9" t="s">
        <v>293</v>
      </c>
      <c r="F6" s="9" t="s">
        <v>294</v>
      </c>
      <c r="G6" s="18" t="s">
        <v>298</v>
      </c>
      <c r="H6" s="18" t="s">
        <v>299</v>
      </c>
      <c r="I6" s="9"/>
      <c r="J6" s="9" t="n">
        <f aca="false">INDEX(Data!$CP:$CP,$J$4)</f>
        <v>2</v>
      </c>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row>
    <row r="7" customFormat="false" ht="15" hidden="false" customHeight="false" outlineLevel="0" collapsed="false">
      <c r="A7" s="9"/>
      <c r="B7" s="9"/>
      <c r="C7" s="9"/>
      <c r="D7" s="9" t="s">
        <v>300</v>
      </c>
      <c r="E7" s="9" t="s">
        <v>301</v>
      </c>
      <c r="F7" s="9" t="s">
        <v>294</v>
      </c>
      <c r="G7" s="18" t="s">
        <v>302</v>
      </c>
      <c r="H7" s="18" t="s">
        <v>303</v>
      </c>
      <c r="I7" s="9"/>
      <c r="J7" s="9" t="n">
        <f aca="false">INDEX(Data!$CD:$CD,$J$4)</f>
        <v>3760.814</v>
      </c>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row>
    <row r="8" customFormat="false" ht="15" hidden="false" customHeight="false" outlineLevel="0" collapsed="false">
      <c r="A8" s="9"/>
      <c r="B8" s="9"/>
      <c r="C8" s="9"/>
      <c r="D8" s="9" t="s">
        <v>304</v>
      </c>
      <c r="E8" s="9" t="s">
        <v>305</v>
      </c>
      <c r="F8" s="9" t="s">
        <v>294</v>
      </c>
      <c r="G8" s="18" t="s">
        <v>306</v>
      </c>
      <c r="H8" s="18" t="s">
        <v>307</v>
      </c>
      <c r="I8" s="9"/>
      <c r="J8" s="9" t="n">
        <f aca="false">INDEX(Data!$CB:$CB,$J$4)</f>
        <v>7.618</v>
      </c>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row>
    <row r="9" customFormat="false" ht="15" hidden="false" customHeight="false" outlineLevel="0" collapsed="false">
      <c r="A9" s="9"/>
      <c r="B9" s="9"/>
      <c r="C9" s="9"/>
      <c r="D9" s="9" t="s">
        <v>308</v>
      </c>
      <c r="E9" s="9" t="s">
        <v>305</v>
      </c>
      <c r="F9" s="9" t="s">
        <v>294</v>
      </c>
      <c r="G9" s="18" t="s">
        <v>309</v>
      </c>
      <c r="H9" s="18" t="s">
        <v>310</v>
      </c>
      <c r="I9" s="9"/>
      <c r="J9" s="9" t="n">
        <f aca="false">INDEX(Data!$CC:$CC,$J$4)</f>
        <v>6.478</v>
      </c>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row>
    <row r="10" customFormat="false" ht="15" hidden="false" customHeight="false" outlineLevel="0" collapsed="false">
      <c r="A10" s="9"/>
      <c r="B10" s="9"/>
      <c r="C10" s="9"/>
      <c r="D10" s="9" t="s">
        <v>311</v>
      </c>
      <c r="E10" s="9" t="s">
        <v>305</v>
      </c>
      <c r="F10" s="9" t="s">
        <v>294</v>
      </c>
      <c r="G10" s="18" t="s">
        <v>312</v>
      </c>
      <c r="H10" s="18" t="s">
        <v>313</v>
      </c>
      <c r="I10" s="9"/>
      <c r="J10" s="9" t="n">
        <f aca="false">CHOOSE($J$6,p_g_lr_lic,p_g_lr_lmic,p_g_lr_umic,p_g_lr_hic)</f>
        <v>4</v>
      </c>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row>
    <row r="11" customFormat="false" ht="15" hidden="false" customHeight="false" outlineLevel="0" collapsed="false">
      <c r="A11" s="9"/>
      <c r="B11" s="9"/>
      <c r="C11" s="9"/>
      <c r="D11" s="9" t="s">
        <v>314</v>
      </c>
      <c r="E11" s="9" t="s">
        <v>315</v>
      </c>
      <c r="F11" s="9" t="s">
        <v>294</v>
      </c>
      <c r="G11" s="18" t="s">
        <v>316</v>
      </c>
      <c r="H11" s="18" t="s">
        <v>317</v>
      </c>
      <c r="I11" s="9"/>
      <c r="J11" s="9" t="n">
        <f aca="false">INDEX(Data!$DB:$DB,$J$4)^p_phi</f>
        <v>0.491094140734397</v>
      </c>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row>
    <row r="12" customFormat="false" ht="15" hidden="false" customHeight="false" outlineLevel="0" collapsed="false">
      <c r="A12" s="9"/>
      <c r="B12" s="9"/>
      <c r="C12" s="9"/>
      <c r="D12" s="9" t="s">
        <v>318</v>
      </c>
      <c r="E12" s="9" t="s">
        <v>271</v>
      </c>
      <c r="F12" s="9" t="s">
        <v>294</v>
      </c>
      <c r="G12" s="18" t="s">
        <v>319</v>
      </c>
      <c r="H12" s="18" t="s">
        <v>320</v>
      </c>
      <c r="I12" s="9"/>
      <c r="J12" s="9" t="n">
        <f aca="false">INDEX(Data!$DO:$DO,$J$4)</f>
        <v>0.095</v>
      </c>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row>
    <row r="13" customFormat="false" ht="15" hidden="false" customHeight="false" outlineLevel="0" collapsed="false">
      <c r="A13" s="9"/>
      <c r="B13" s="9"/>
      <c r="C13" s="9"/>
      <c r="D13" s="9" t="s">
        <v>321</v>
      </c>
      <c r="E13" s="9" t="s">
        <v>64</v>
      </c>
      <c r="F13" s="9" t="s">
        <v>294</v>
      </c>
      <c r="G13" s="18" t="s">
        <v>322</v>
      </c>
      <c r="H13" s="18" t="s">
        <v>323</v>
      </c>
      <c r="I13" s="9"/>
      <c r="J13" s="9" t="n">
        <f aca="false">CHOOSE($J$5,p_pow_T_ae,p_pow_T_chn,p_pow_T_emdc)</f>
        <v>2045</v>
      </c>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row>
    <row r="14" customFormat="false" ht="15" hidden="false" customHeight="false" outlineLevel="0" collapsed="false">
      <c r="A14" s="9"/>
      <c r="B14" s="9"/>
      <c r="C14" s="9"/>
      <c r="D14" s="9" t="s">
        <v>324</v>
      </c>
      <c r="E14" s="9" t="s">
        <v>64</v>
      </c>
      <c r="F14" s="9" t="s">
        <v>294</v>
      </c>
      <c r="G14" s="18" t="s">
        <v>325</v>
      </c>
      <c r="H14" s="18" t="s">
        <v>326</v>
      </c>
      <c r="I14" s="9"/>
      <c r="J14" s="9" t="n">
        <f aca="false">CHOOSE($J$5,p_ev_T_ae,p_ev_T_chn,p_ev_T_emdc)</f>
        <v>2040</v>
      </c>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row>
    <row r="15" customFormat="false" ht="15" hidden="false" customHeight="false" outlineLevel="0" collapsed="false">
      <c r="A15" s="9"/>
      <c r="B15" s="9"/>
      <c r="C15" s="9"/>
      <c r="D15" s="9" t="s">
        <v>327</v>
      </c>
      <c r="E15" s="9" t="s">
        <v>64</v>
      </c>
      <c r="F15" s="9" t="s">
        <v>294</v>
      </c>
      <c r="G15" s="18" t="s">
        <v>328</v>
      </c>
      <c r="H15" s="18" t="s">
        <v>329</v>
      </c>
      <c r="I15" s="9"/>
      <c r="J15" s="9" t="n">
        <f aca="false">CHOOSE($J$5,p_bld_T_ae,p_bld_T_chn,p_bld_T_emdc)</f>
        <v>2050</v>
      </c>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row>
    <row r="16" customFormat="false" ht="15" hidden="false" customHeight="false" outlineLevel="0" collapsed="false">
      <c r="A16" s="9"/>
      <c r="B16" s="9"/>
      <c r="C16" s="9"/>
      <c r="D16" s="9" t="s">
        <v>330</v>
      </c>
      <c r="E16" s="9" t="s">
        <v>97</v>
      </c>
      <c r="F16" s="9" t="s">
        <v>294</v>
      </c>
      <c r="G16" s="18" t="s">
        <v>331</v>
      </c>
      <c r="H16" s="18" t="s">
        <v>332</v>
      </c>
      <c r="I16" s="9"/>
      <c r="J16" s="9" t="n">
        <f aca="false">CHOOSE($J$5,p_ind_a_ae,p_ind_a_chn,p_ind_a_emdc)</f>
        <v>0.8</v>
      </c>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row>
    <row r="17" customFormat="false" ht="15" hidden="false" customHeight="false" outlineLevel="0" collapsed="false">
      <c r="A17" s="9"/>
      <c r="B17" s="9"/>
      <c r="C17" s="9"/>
      <c r="D17" s="9" t="s">
        <v>333</v>
      </c>
      <c r="E17" s="9" t="s">
        <v>97</v>
      </c>
      <c r="F17" s="9" t="s">
        <v>294</v>
      </c>
      <c r="G17" s="18" t="s">
        <v>334</v>
      </c>
      <c r="H17" s="18" t="s">
        <v>335</v>
      </c>
      <c r="I17" s="9"/>
      <c r="J17" s="9" t="n">
        <f aca="false">CHOOSE($J$5,p_ev0_ae,p_ev0_chn,p_ev0_emdc)</f>
        <v>0.03</v>
      </c>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row>
    <row r="18" customFormat="false" ht="15" hidden="false" customHeight="false" outlineLevel="0" collapsed="false">
      <c r="A18" s="9"/>
      <c r="B18" s="9"/>
      <c r="C18" s="9"/>
      <c r="D18" s="9" t="s">
        <v>336</v>
      </c>
      <c r="E18" s="9" t="s">
        <v>97</v>
      </c>
      <c r="F18" s="9" t="s">
        <v>294</v>
      </c>
      <c r="G18" s="18" t="s">
        <v>337</v>
      </c>
      <c r="H18" s="18" t="s">
        <v>338</v>
      </c>
      <c r="I18" s="9"/>
      <c r="J18" s="9" t="n">
        <f aca="false">CHOOSE($J$5,p_evb35_ae,p_evb35_chn,p_evb35_emdc)</f>
        <v>0.15</v>
      </c>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row>
    <row r="19" customFormat="false" ht="15" hidden="false" customHeight="false" outlineLevel="0" collapsed="false">
      <c r="A19" s="9"/>
      <c r="B19" s="9"/>
      <c r="C19" s="9"/>
      <c r="D19" s="9" t="s">
        <v>339</v>
      </c>
      <c r="E19" s="9" t="s">
        <v>97</v>
      </c>
      <c r="F19" s="9" t="s">
        <v>294</v>
      </c>
      <c r="G19" s="18" t="s">
        <v>340</v>
      </c>
      <c r="H19" s="18" t="s">
        <v>341</v>
      </c>
      <c r="I19" s="9"/>
      <c r="J19" s="9" t="n">
        <f aca="false">$J$17*p_sig0_ratio</f>
        <v>0.0099</v>
      </c>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row>
    <row r="20" customFormat="false" ht="15" hidden="false" customHeight="false" outlineLevel="0" collapsed="false">
      <c r="A20" s="9"/>
      <c r="B20" s="9"/>
      <c r="C20" s="9"/>
      <c r="D20" s="9" t="s">
        <v>342</v>
      </c>
      <c r="E20" s="9" t="s">
        <v>120</v>
      </c>
      <c r="F20" s="9" t="s">
        <v>294</v>
      </c>
      <c r="G20" s="18" t="s">
        <v>343</v>
      </c>
      <c r="H20" s="18" t="s">
        <v>344</v>
      </c>
      <c r="I20" s="9"/>
      <c r="J20" s="9" t="n">
        <f aca="false">MIN(1.4,MAX(0.9,INDEX(Data!$CK:$CK,$J$4)/MAX(0.001,INDEX(Data!$BZ:$BZ,$J$4))))</f>
        <v>1.28042441377473</v>
      </c>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row>
    <row r="21" customFormat="false" ht="15" hidden="false" customHeight="false" outlineLevel="0" collapsed="false">
      <c r="A21" s="9"/>
      <c r="B21" s="9"/>
      <c r="C21" s="9"/>
      <c r="D21" s="9" t="s">
        <v>345</v>
      </c>
      <c r="E21" s="9" t="s">
        <v>97</v>
      </c>
      <c r="F21" s="9" t="s">
        <v>294</v>
      </c>
      <c r="G21" s="18" t="s">
        <v>346</v>
      </c>
      <c r="H21" s="18" t="s">
        <v>347</v>
      </c>
      <c r="I21" s="9"/>
      <c r="J21" s="9" t="n">
        <f aca="false">MIN(1,INDEX(Data!$CG:$CG,$J$4)/MAX(0.001,INDEX(Data!$CK:$CK,$J$4)))</f>
        <v>0.733469446579554</v>
      </c>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row>
    <row r="22" customFormat="false" ht="15" hidden="false" customHeight="false" outlineLevel="0" collapsed="false">
      <c r="A22" s="9"/>
      <c r="B22" s="9"/>
      <c r="C22" s="9"/>
      <c r="D22" s="9" t="s">
        <v>348</v>
      </c>
      <c r="E22" s="9" t="s">
        <v>208</v>
      </c>
      <c r="F22" s="9" t="s">
        <v>294</v>
      </c>
      <c r="G22" s="18" t="s">
        <v>349</v>
      </c>
      <c r="H22" s="18" t="s">
        <v>350</v>
      </c>
      <c r="I22" s="9"/>
      <c r="J22" s="9" t="n">
        <f aca="false">MIN(p_fos_trend_cap,MAX(0,INDEX(Data!$CA:$CA,$J$4)))/100</f>
        <v>0.0130118053223081</v>
      </c>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row>
    <row r="23" customFormat="false" ht="15" hidden="false" customHeight="false" outlineLevel="0" collapsed="false">
      <c r="A23" s="9"/>
      <c r="B23" s="9"/>
      <c r="C23" s="9"/>
      <c r="D23" s="9" t="s">
        <v>351</v>
      </c>
      <c r="E23" s="9" t="s">
        <v>352</v>
      </c>
      <c r="F23" s="9" t="s">
        <v>294</v>
      </c>
      <c r="G23" s="18" t="s">
        <v>353</v>
      </c>
      <c r="H23" s="18" t="s">
        <v>354</v>
      </c>
      <c r="I23" s="9"/>
      <c r="J23" s="9" t="n">
        <f aca="false">INDEX(Data!$CE:$CE,$J$4)</f>
        <v>254.84</v>
      </c>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row>
    <row r="24" customFormat="false" ht="15" hidden="false" customHeight="false" outlineLevel="0" collapsed="false">
      <c r="A24" s="9"/>
      <c r="B24" s="9"/>
      <c r="C24" s="9"/>
      <c r="D24" s="9" t="s">
        <v>355</v>
      </c>
      <c r="E24" s="9" t="s">
        <v>97</v>
      </c>
      <c r="F24" s="9" t="s">
        <v>294</v>
      </c>
      <c r="G24" s="18" t="s">
        <v>356</v>
      </c>
      <c r="H24" s="18" t="s">
        <v>357</v>
      </c>
      <c r="I24" s="9"/>
      <c r="J24" s="9" t="n">
        <f aca="false">IF(INDEX(Data!$CG:$CG,$J$4)&gt;0,INDEX(Data!$CF:$CF,$J$4)/INDEX(Data!$CG:$CG,$J$4),0)</f>
        <v>0.965522435960414</v>
      </c>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row>
    <row r="25" customFormat="false" ht="15" hidden="false" customHeight="false" outlineLevel="0" collapsed="false">
      <c r="A25" s="9"/>
      <c r="B25" s="9"/>
      <c r="C25" s="9"/>
      <c r="D25" s="9" t="s">
        <v>358</v>
      </c>
      <c r="E25" s="9" t="s">
        <v>97</v>
      </c>
      <c r="F25" s="9" t="s">
        <v>294</v>
      </c>
      <c r="G25" s="18" t="s">
        <v>359</v>
      </c>
      <c r="H25" s="18" t="s">
        <v>360</v>
      </c>
      <c r="I25" s="9"/>
      <c r="J25" s="9" t="n">
        <f aca="false">IF(INDEX(Data!$CG:$CG,$J$4)&gt;0,INDEX(Data!$CH:$CH,$J$4)/INDEX(Data!$CG:$CG,$J$4),0)</f>
        <v>0.0317921914605152</v>
      </c>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row>
    <row r="26" customFormat="false" ht="15" hidden="false" customHeight="false" outlineLevel="0" collapsed="false">
      <c r="A26" s="9"/>
      <c r="B26" s="9"/>
      <c r="C26" s="9"/>
      <c r="D26" s="9" t="s">
        <v>361</v>
      </c>
      <c r="E26" s="9" t="s">
        <v>97</v>
      </c>
      <c r="F26" s="9" t="s">
        <v>294</v>
      </c>
      <c r="G26" s="18" t="s">
        <v>362</v>
      </c>
      <c r="H26" s="18" t="s">
        <v>363</v>
      </c>
      <c r="I26" s="9"/>
      <c r="J26" s="9" t="n">
        <f aca="false">IF(INDEX(Data!$CG:$CG,$J$4)&gt;0,INDEX(Data!$CI:$CI,$J$4)/INDEX(Data!$CG:$CG,$J$4),1)</f>
        <v>0.00268537257907112</v>
      </c>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row>
    <row r="27" customFormat="false" ht="15" hidden="false" customHeight="false" outlineLevel="0" collapsed="false">
      <c r="A27" s="9"/>
      <c r="B27" s="9"/>
      <c r="C27" s="9"/>
      <c r="D27" s="9" t="s">
        <v>364</v>
      </c>
      <c r="E27" s="9" t="s">
        <v>228</v>
      </c>
      <c r="F27" s="9" t="s">
        <v>294</v>
      </c>
      <c r="G27" s="18" t="s">
        <v>365</v>
      </c>
      <c r="H27" s="18" t="s">
        <v>366</v>
      </c>
      <c r="I27" s="9"/>
      <c r="J27" s="9" t="n">
        <f aca="false">IF(INDEX(Data!$CF:$CF,$J$4)&gt;0.1,MIN(14,MAX(7,INDEX(Data!$AJ:$AJ,$J$4)/INDEX(Data!$CF:$CF,$J$4))),p_hr_coa)</f>
        <v>7.1451377951616</v>
      </c>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row>
    <row r="28" customFormat="false" ht="15" hidden="false" customHeight="false" outlineLevel="0" collapsed="false">
      <c r="A28" s="9"/>
      <c r="B28" s="9"/>
      <c r="C28" s="9"/>
      <c r="D28" s="9" t="s">
        <v>367</v>
      </c>
      <c r="E28" s="9" t="s">
        <v>228</v>
      </c>
      <c r="F28" s="9" t="s">
        <v>294</v>
      </c>
      <c r="G28" s="18" t="s">
        <v>368</v>
      </c>
      <c r="H28" s="18" t="s">
        <v>369</v>
      </c>
      <c r="I28" s="9"/>
      <c r="J28" s="9" t="n">
        <f aca="false">IF(INDEX(Data!$CH:$CH,$J$4)&gt;0.1,MIN(12,MAX(5.5,INDEX(Data!$BQ:$BQ,$J$4)/INDEX(Data!$CH:$CH,$J$4))),p_hr_nga)</f>
        <v>12</v>
      </c>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row>
    <row r="29" customFormat="false" ht="15" hidden="false" customHeight="false" outlineLevel="0" collapsed="false">
      <c r="A29" s="9"/>
      <c r="B29" s="9"/>
      <c r="C29" s="9"/>
      <c r="D29" s="9" t="s">
        <v>370</v>
      </c>
      <c r="E29" s="9" t="s">
        <v>97</v>
      </c>
      <c r="F29" s="9" t="s">
        <v>294</v>
      </c>
      <c r="G29" s="18" t="s">
        <v>371</v>
      </c>
      <c r="H29" s="18" t="s">
        <v>372</v>
      </c>
      <c r="I29" s="9"/>
      <c r="J29" s="9" t="n">
        <f aca="false">IF(INDEX(Data!$AA:$AA,$J$4)&gt;0.05,MIN(0.3,MAX(0.1,INDEX(Data!$CJ:$CJ,$J$4)/(INDEX(Data!$AA:$AA,$J$4)*8.76))),p_cf_sol)</f>
        <v>0.16511651417884</v>
      </c>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row>
    <row r="30" customFormat="false" ht="15" hidden="false" customHeight="false" outlineLevel="0" collapsed="false">
      <c r="A30" s="9"/>
      <c r="B30" s="9"/>
      <c r="C30" s="9"/>
      <c r="D30" s="9" t="s">
        <v>373</v>
      </c>
      <c r="E30" s="9" t="s">
        <v>97</v>
      </c>
      <c r="F30" s="9" t="s">
        <v>294</v>
      </c>
      <c r="G30" s="18" t="s">
        <v>374</v>
      </c>
      <c r="H30" s="18" t="s">
        <v>375</v>
      </c>
      <c r="I30" s="9"/>
      <c r="J30" s="9" t="n">
        <f aca="false">IF(INDEX(Data!$AB:$AB,$J$4)&gt;0.05,MIN(0.5,MAX(0.15,INDEX(Data!$CL:$CL,$J$4)/(INDEX(Data!$AB:$AB,$J$4)*8.76))),p_cf_wnd)</f>
        <v>0.217755696453837</v>
      </c>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row>
    <row r="31" customFormat="false" ht="15" hidden="false" customHeight="false" outlineLevel="0" collapsed="false">
      <c r="A31" s="9"/>
      <c r="B31" s="9"/>
      <c r="C31" s="9"/>
      <c r="D31" s="9" t="s">
        <v>376</v>
      </c>
      <c r="E31" s="9" t="s">
        <v>97</v>
      </c>
      <c r="F31" s="9" t="s">
        <v>294</v>
      </c>
      <c r="G31" s="18" t="s">
        <v>377</v>
      </c>
      <c r="H31" s="18" t="s">
        <v>378</v>
      </c>
      <c r="I31" s="9"/>
      <c r="J31" s="9" t="n">
        <f aca="false">IF(INDEX(Data!$Z:$Z,$J$4)&gt;0.05,MIN(0.8,MAX(0.2,INDEX(Data!$CG:$CG,$J$4)/(INDEX(Data!$Z:$Z,$J$4)*8.76))),p_cf_fos)</f>
        <v>0.587649940626491</v>
      </c>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row>
    <row r="32" customFormat="false" ht="15" hidden="false" customHeight="false" outlineLevel="0" collapsed="false">
      <c r="A32" s="9"/>
      <c r="B32" s="9"/>
      <c r="C32" s="9"/>
      <c r="D32" s="9" t="s">
        <v>379</v>
      </c>
      <c r="E32" s="9" t="s">
        <v>380</v>
      </c>
      <c r="F32" s="9" t="s">
        <v>294</v>
      </c>
      <c r="G32" s="18" t="s">
        <v>381</v>
      </c>
      <c r="H32" s="18" t="s">
        <v>382</v>
      </c>
      <c r="I32" s="9"/>
      <c r="J32" s="9" t="n">
        <f aca="false">MAX(0,INDEX(Data!$CM:$CM,$J$4)-INDEX(Data!$AE:$AE,$J$4)-INDEX(Data!$AD:$AD,$J$4))</f>
        <v>1086.02016543686</v>
      </c>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row>
    <row r="33" customFormat="false" ht="15" hidden="false" customHeight="false" outlineLevel="0" collapsed="false">
      <c r="A33" s="9"/>
      <c r="B33" s="9"/>
      <c r="C33" s="9"/>
      <c r="D33" s="9" t="s">
        <v>383</v>
      </c>
      <c r="E33" s="9" t="s">
        <v>380</v>
      </c>
      <c r="F33" s="9" t="s">
        <v>294</v>
      </c>
      <c r="G33" s="18" t="s">
        <v>384</v>
      </c>
      <c r="H33" s="18" t="s">
        <v>385</v>
      </c>
      <c r="I33" s="9"/>
      <c r="J33" s="9" t="n">
        <f aca="false">MAX(0,INDEX(Data!$CN:$CN,$J$4)-INDEX(Data!$CM:$CM,$J$4))</f>
        <v>0</v>
      </c>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row>
    <row r="34" customFormat="false" ht="15" hidden="false" customHeight="false" outlineLevel="0" collapsed="false">
      <c r="A34" s="9"/>
      <c r="B34" s="9"/>
      <c r="C34" s="9"/>
      <c r="D34" s="9" t="s">
        <v>386</v>
      </c>
      <c r="E34" s="9" t="s">
        <v>387</v>
      </c>
      <c r="F34" s="9" t="s">
        <v>294</v>
      </c>
      <c r="G34" s="18" t="s">
        <v>388</v>
      </c>
      <c r="H34" s="18" t="s">
        <v>389</v>
      </c>
      <c r="I34" s="9"/>
      <c r="J34" s="9" t="n">
        <f aca="false">INDEX(Data!$AD:$AD,$J$4)</f>
        <v>200.816834563138</v>
      </c>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row>
    <row r="35" customFormat="false" ht="15" hidden="false" customHeight="false" outlineLevel="0" collapsed="false">
      <c r="A35" s="9"/>
      <c r="B35" s="9"/>
      <c r="C35" s="9"/>
      <c r="D35" s="9" t="s">
        <v>390</v>
      </c>
      <c r="E35" s="9" t="s">
        <v>305</v>
      </c>
      <c r="F35" s="9" t="s">
        <v>294</v>
      </c>
      <c r="G35" s="18" t="s">
        <v>391</v>
      </c>
      <c r="H35" s="18" t="s">
        <v>392</v>
      </c>
      <c r="I35" s="9"/>
      <c r="J35" s="9" t="n">
        <f aca="false">INDEX(Data!$AC:$AC,$J$4)</f>
        <v>6.5</v>
      </c>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row>
    <row r="36" customFormat="false" ht="15" hidden="false" customHeight="false" outlineLevel="0" collapsed="false">
      <c r="A36" s="9"/>
      <c r="B36" s="9"/>
      <c r="C36" s="9"/>
      <c r="D36" s="9" t="s">
        <v>393</v>
      </c>
      <c r="E36" s="9" t="s">
        <v>315</v>
      </c>
      <c r="F36" s="9" t="s">
        <v>294</v>
      </c>
      <c r="G36" s="18" t="s">
        <v>394</v>
      </c>
      <c r="H36" s="18" t="s">
        <v>395</v>
      </c>
      <c r="I36" s="9"/>
      <c r="J36" s="9" t="n">
        <f aca="false">$J$12/(1-(1+$J$12)^-p_life_grid)</f>
        <v>0.0975871882975526</v>
      </c>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row>
    <row r="37" customFormat="false" ht="15" hidden="false" customHeight="false" outlineLevel="0" collapsed="false">
      <c r="A37" s="9"/>
      <c r="B37" s="9"/>
      <c r="C37" s="9"/>
      <c r="D37" s="9" t="s">
        <v>396</v>
      </c>
      <c r="E37" s="9" t="s">
        <v>315</v>
      </c>
      <c r="F37" s="9" t="s">
        <v>294</v>
      </c>
      <c r="G37" s="18" t="s">
        <v>397</v>
      </c>
      <c r="H37" s="18" t="s">
        <v>398</v>
      </c>
      <c r="I37" s="9"/>
      <c r="J37" s="9" t="n">
        <f aca="false">$J$12/(1-(1+$J$12)^-p_life_vre)</f>
        <v>0.105959392478349</v>
      </c>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row>
    <row r="38" customFormat="false" ht="15" hidden="false" customHeight="false" outlineLevel="0" collapsed="false">
      <c r="A38" s="9"/>
      <c r="B38" s="9"/>
      <c r="C38" s="9"/>
      <c r="D38" s="9" t="s">
        <v>399</v>
      </c>
      <c r="E38" s="9" t="s">
        <v>315</v>
      </c>
      <c r="F38" s="9" t="s">
        <v>294</v>
      </c>
      <c r="G38" s="18" t="s">
        <v>400</v>
      </c>
      <c r="H38" s="18" t="s">
        <v>401</v>
      </c>
      <c r="I38" s="9"/>
      <c r="J38" s="9" t="n">
        <f aca="false">$J$12/(1-(1+$J$12)^-p_veh_life)</f>
        <v>0.143187714234994</v>
      </c>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row>
    <row r="39" customFormat="false" ht="15" hidden="false" customHeight="false" outlineLevel="0" collapsed="false">
      <c r="A39" s="9"/>
      <c r="B39" s="9"/>
      <c r="C39" s="9"/>
      <c r="D39" s="9" t="s">
        <v>402</v>
      </c>
      <c r="E39" s="9" t="s">
        <v>315</v>
      </c>
      <c r="F39" s="9" t="s">
        <v>294</v>
      </c>
      <c r="G39" s="18" t="s">
        <v>403</v>
      </c>
      <c r="H39" s="18" t="s">
        <v>404</v>
      </c>
      <c r="I39" s="9"/>
      <c r="J39" s="9" t="n">
        <f aca="false">$J$12/(1-(1+$J$12)^-p_life_bld)</f>
        <v>0.105959392478349</v>
      </c>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row>
    <row r="40" customFormat="false" ht="15" hidden="false" customHeight="false" outlineLevel="0" collapsed="false">
      <c r="A40" s="9"/>
      <c r="B40" s="9"/>
      <c r="C40" s="9"/>
      <c r="D40" s="9" t="s">
        <v>405</v>
      </c>
      <c r="E40" s="9" t="s">
        <v>315</v>
      </c>
      <c r="F40" s="9" t="s">
        <v>294</v>
      </c>
      <c r="G40" s="18" t="s">
        <v>406</v>
      </c>
      <c r="H40" s="18" t="s">
        <v>407</v>
      </c>
      <c r="I40" s="9"/>
      <c r="J40" s="9" t="n">
        <f aca="false">$J$12/(1-(1+$J$12)^-p_life_ind)</f>
        <v>0.105959392478349</v>
      </c>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row>
    <row r="41" customFormat="false" ht="15" hidden="false" customHeight="false" outlineLevel="0" collapsed="false">
      <c r="A41" s="9"/>
      <c r="B41" s="9"/>
      <c r="C41" s="9"/>
      <c r="D41" s="9" t="s">
        <v>408</v>
      </c>
      <c r="E41" s="9" t="s">
        <v>315</v>
      </c>
      <c r="F41" s="9" t="s">
        <v>294</v>
      </c>
      <c r="G41" s="18" t="s">
        <v>409</v>
      </c>
      <c r="H41" s="18" t="s">
        <v>410</v>
      </c>
      <c r="I41" s="9"/>
      <c r="J41" s="9" t="n">
        <f aca="false">p_r_wb/(1-(1+p_r_wb)^-p_life_grid)</f>
        <v>0.0664615359206755</v>
      </c>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row>
    <row r="42" customFormat="false" ht="15" hidden="false" customHeight="false" outlineLevel="0" collapsed="false">
      <c r="A42" s="9"/>
      <c r="B42" s="9"/>
      <c r="C42" s="9"/>
      <c r="D42" s="9" t="s">
        <v>411</v>
      </c>
      <c r="E42" s="9" t="s">
        <v>315</v>
      </c>
      <c r="F42" s="9" t="s">
        <v>294</v>
      </c>
      <c r="G42" s="18" t="s">
        <v>412</v>
      </c>
      <c r="H42" s="18" t="s">
        <v>413</v>
      </c>
      <c r="I42" s="9"/>
      <c r="J42" s="9" t="n">
        <f aca="false">p_r_wb/(1-(1+p_r_wb)^-p_life_vre)</f>
        <v>0.078226718212274</v>
      </c>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row>
    <row r="43" customFormat="false" ht="15" hidden="false" customHeight="false" outlineLevel="0" collapsed="false">
      <c r="A43" s="9"/>
      <c r="B43" s="9"/>
      <c r="C43" s="9"/>
      <c r="D43" s="9" t="s">
        <v>414</v>
      </c>
      <c r="E43" s="9" t="s">
        <v>315</v>
      </c>
      <c r="F43" s="9" t="s">
        <v>294</v>
      </c>
      <c r="G43" s="18" t="s">
        <v>415</v>
      </c>
      <c r="H43" s="18" t="s">
        <v>416</v>
      </c>
      <c r="I43" s="9"/>
      <c r="J43" s="9" t="n">
        <f aca="false">p_r_wb/(1-(1+p_r_wb)^-p_veh_life)</f>
        <v>0.119277029380664</v>
      </c>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row>
    <row r="44" customFormat="false" ht="15" hidden="false" customHeight="false" outlineLevel="0" collapsed="false">
      <c r="A44" s="9"/>
      <c r="B44" s="9"/>
      <c r="C44" s="9"/>
      <c r="D44" s="9" t="s">
        <v>417</v>
      </c>
      <c r="E44" s="9" t="s">
        <v>315</v>
      </c>
      <c r="F44" s="9" t="s">
        <v>294</v>
      </c>
      <c r="G44" s="18" t="s">
        <v>418</v>
      </c>
      <c r="H44" s="18" t="s">
        <v>419</v>
      </c>
      <c r="I44" s="9"/>
      <c r="J44" s="9" t="n">
        <f aca="false">p_r_wb/(1-(1+p_r_wb)^-p_life_bld)</f>
        <v>0.078226718212274</v>
      </c>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row>
    <row r="45" customFormat="false" ht="15" hidden="false" customHeight="false" outlineLevel="0" collapsed="false">
      <c r="A45" s="9"/>
      <c r="B45" s="9"/>
      <c r="C45" s="9"/>
      <c r="D45" s="9" t="s">
        <v>420</v>
      </c>
      <c r="E45" s="9" t="s">
        <v>315</v>
      </c>
      <c r="F45" s="9" t="s">
        <v>294</v>
      </c>
      <c r="G45" s="18" t="s">
        <v>421</v>
      </c>
      <c r="H45" s="18" t="s">
        <v>422</v>
      </c>
      <c r="I45" s="9"/>
      <c r="J45" s="9" t="n">
        <f aca="false">p_r_wb/(1-(1+p_r_wb)^-p_life_ind)</f>
        <v>0.078226718212274</v>
      </c>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row>
    <row r="46" customFormat="false" ht="15" hidden="false" customHeight="false" outlineLevel="0" collapsed="false">
      <c r="A46" s="12" t="s">
        <v>423</v>
      </c>
      <c r="B46" s="13"/>
      <c r="C46" s="13"/>
      <c r="D46" s="13"/>
      <c r="E46" s="13"/>
      <c r="F46" s="13"/>
      <c r="G46" s="13"/>
      <c r="H46" s="13"/>
      <c r="I46" s="13"/>
      <c r="J46" s="13"/>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row>
    <row r="47" customFormat="false" ht="15" hidden="false" customHeight="false" outlineLevel="0" collapsed="false">
      <c r="A47" s="9" t="n">
        <v>2</v>
      </c>
      <c r="B47" s="9"/>
      <c r="C47" s="9"/>
      <c r="D47" s="9" t="s">
        <v>424</v>
      </c>
      <c r="E47" s="9" t="s">
        <v>305</v>
      </c>
      <c r="F47" s="9" t="s">
        <v>425</v>
      </c>
      <c r="G47" s="18"/>
      <c r="H47" s="18" t="s">
        <v>426</v>
      </c>
      <c r="I47" s="9"/>
      <c r="J47" s="9"/>
      <c r="K47" s="17"/>
      <c r="L47" s="17"/>
      <c r="M47" s="17"/>
      <c r="N47" s="19" t="n">
        <f aca="false">0</f>
        <v>0</v>
      </c>
      <c r="O47" s="17" t="n">
        <f aca="false">IF(O$1=2025,$J$8,IF(O$1=2026,$J$9,IF(O$1&lt;p_g_conv_year,$J$9+($J$10-$J$9)*(O$1-2026)/(p_g_conv_year-2026),$J$10)))</f>
        <v>7.618</v>
      </c>
      <c r="P47" s="17" t="n">
        <f aca="false">IF(P$1=2025,$J$8,IF(P$1=2026,$J$9,IF(P$1&lt;p_g_conv_year,$J$9+($J$10-$J$9)*(P$1-2026)/(p_g_conv_year-2026),$J$10)))</f>
        <v>6.478</v>
      </c>
      <c r="Q47" s="17" t="n">
        <f aca="false">IF(Q$1=2025,$J$8,IF(Q$1=2026,$J$9,IF(Q$1&lt;p_g_conv_year,$J$9+($J$10-$J$9)*(Q$1-2026)/(p_g_conv_year-2026),$J$10)))</f>
        <v>6.301</v>
      </c>
      <c r="R47" s="17" t="n">
        <f aca="false">IF(R$1=2025,$J$8,IF(R$1=2026,$J$9,IF(R$1&lt;p_g_conv_year,$J$9+($J$10-$J$9)*(R$1-2026)/(p_g_conv_year-2026),$J$10)))</f>
        <v>6.124</v>
      </c>
      <c r="S47" s="17" t="n">
        <f aca="false">IF(S$1=2025,$J$8,IF(S$1=2026,$J$9,IF(S$1&lt;p_g_conv_year,$J$9+($J$10-$J$9)*(S$1-2026)/(p_g_conv_year-2026),$J$10)))</f>
        <v>5.947</v>
      </c>
      <c r="T47" s="17" t="n">
        <f aca="false">IF(T$1=2025,$J$8,IF(T$1=2026,$J$9,IF(T$1&lt;p_g_conv_year,$J$9+($J$10-$J$9)*(T$1-2026)/(p_g_conv_year-2026),$J$10)))</f>
        <v>5.77</v>
      </c>
      <c r="U47" s="17" t="n">
        <f aca="false">IF(U$1=2025,$J$8,IF(U$1=2026,$J$9,IF(U$1&lt;p_g_conv_year,$J$9+($J$10-$J$9)*(U$1-2026)/(p_g_conv_year-2026),$J$10)))</f>
        <v>5.593</v>
      </c>
      <c r="V47" s="17" t="n">
        <f aca="false">IF(V$1=2025,$J$8,IF(V$1=2026,$J$9,IF(V$1&lt;p_g_conv_year,$J$9+($J$10-$J$9)*(V$1-2026)/(p_g_conv_year-2026),$J$10)))</f>
        <v>5.416</v>
      </c>
      <c r="W47" s="17" t="n">
        <f aca="false">IF(W$1=2025,$J$8,IF(W$1=2026,$J$9,IF(W$1&lt;p_g_conv_year,$J$9+($J$10-$J$9)*(W$1-2026)/(p_g_conv_year-2026),$J$10)))</f>
        <v>5.239</v>
      </c>
      <c r="X47" s="17" t="n">
        <f aca="false">IF(X$1=2025,$J$8,IF(X$1=2026,$J$9,IF(X$1&lt;p_g_conv_year,$J$9+($J$10-$J$9)*(X$1-2026)/(p_g_conv_year-2026),$J$10)))</f>
        <v>5.062</v>
      </c>
      <c r="Y47" s="17" t="n">
        <f aca="false">IF(Y$1=2025,$J$8,IF(Y$1=2026,$J$9,IF(Y$1&lt;p_g_conv_year,$J$9+($J$10-$J$9)*(Y$1-2026)/(p_g_conv_year-2026),$J$10)))</f>
        <v>4.885</v>
      </c>
      <c r="Z47" s="17" t="n">
        <f aca="false">IF(Z$1=2025,$J$8,IF(Z$1=2026,$J$9,IF(Z$1&lt;p_g_conv_year,$J$9+($J$10-$J$9)*(Z$1-2026)/(p_g_conv_year-2026),$J$10)))</f>
        <v>4.708</v>
      </c>
      <c r="AA47" s="17" t="n">
        <f aca="false">IF(AA$1=2025,$J$8,IF(AA$1=2026,$J$9,IF(AA$1&lt;p_g_conv_year,$J$9+($J$10-$J$9)*(AA$1-2026)/(p_g_conv_year-2026),$J$10)))</f>
        <v>4.531</v>
      </c>
      <c r="AB47" s="17" t="n">
        <f aca="false">IF(AB$1=2025,$J$8,IF(AB$1=2026,$J$9,IF(AB$1&lt;p_g_conv_year,$J$9+($J$10-$J$9)*(AB$1-2026)/(p_g_conv_year-2026),$J$10)))</f>
        <v>4.354</v>
      </c>
      <c r="AC47" s="17" t="n">
        <f aca="false">IF(AC$1=2025,$J$8,IF(AC$1=2026,$J$9,IF(AC$1&lt;p_g_conv_year,$J$9+($J$10-$J$9)*(AC$1-2026)/(p_g_conv_year-2026),$J$10)))</f>
        <v>4.177</v>
      </c>
      <c r="AD47" s="17" t="n">
        <f aca="false">IF(AD$1=2025,$J$8,IF(AD$1=2026,$J$9,IF(AD$1&lt;p_g_conv_year,$J$9+($J$10-$J$9)*(AD$1-2026)/(p_g_conv_year-2026),$J$10)))</f>
        <v>4</v>
      </c>
      <c r="AE47" s="17" t="n">
        <f aca="false">IF(AE$1=2025,$J$8,IF(AE$1=2026,$J$9,IF(AE$1&lt;p_g_conv_year,$J$9+($J$10-$J$9)*(AE$1-2026)/(p_g_conv_year-2026),$J$10)))</f>
        <v>4</v>
      </c>
      <c r="AF47" s="17" t="n">
        <f aca="false">IF(AF$1=2025,$J$8,IF(AF$1=2026,$J$9,IF(AF$1&lt;p_g_conv_year,$J$9+($J$10-$J$9)*(AF$1-2026)/(p_g_conv_year-2026),$J$10)))</f>
        <v>4</v>
      </c>
      <c r="AG47" s="17" t="n">
        <f aca="false">IF(AG$1=2025,$J$8,IF(AG$1=2026,$J$9,IF(AG$1&lt;p_g_conv_year,$J$9+($J$10-$J$9)*(AG$1-2026)/(p_g_conv_year-2026),$J$10)))</f>
        <v>4</v>
      </c>
      <c r="AH47" s="17" t="n">
        <f aca="false">IF(AH$1=2025,$J$8,IF(AH$1=2026,$J$9,IF(AH$1&lt;p_g_conv_year,$J$9+($J$10-$J$9)*(AH$1-2026)/(p_g_conv_year-2026),$J$10)))</f>
        <v>4</v>
      </c>
      <c r="AI47" s="17" t="n">
        <f aca="false">IF(AI$1=2025,$J$8,IF(AI$1=2026,$J$9,IF(AI$1&lt;p_g_conv_year,$J$9+($J$10-$J$9)*(AI$1-2026)/(p_g_conv_year-2026),$J$10)))</f>
        <v>4</v>
      </c>
      <c r="AJ47" s="17" t="n">
        <f aca="false">IF(AJ$1=2025,$J$8,IF(AJ$1=2026,$J$9,IF(AJ$1&lt;p_g_conv_year,$J$9+($J$10-$J$9)*(AJ$1-2026)/(p_g_conv_year-2026),$J$10)))</f>
        <v>4</v>
      </c>
      <c r="AK47" s="17" t="n">
        <f aca="false">IF(AK$1=2025,$J$8,IF(AK$1=2026,$J$9,IF(AK$1&lt;p_g_conv_year,$J$9+($J$10-$J$9)*(AK$1-2026)/(p_g_conv_year-2026),$J$10)))</f>
        <v>4</v>
      </c>
      <c r="AL47" s="17" t="n">
        <f aca="false">IF(AL$1=2025,$J$8,IF(AL$1=2026,$J$9,IF(AL$1&lt;p_g_conv_year,$J$9+($J$10-$J$9)*(AL$1-2026)/(p_g_conv_year-2026),$J$10)))</f>
        <v>4</v>
      </c>
      <c r="AM47" s="17" t="n">
        <f aca="false">IF(AM$1=2025,$J$8,IF(AM$1=2026,$J$9,IF(AM$1&lt;p_g_conv_year,$J$9+($J$10-$J$9)*(AM$1-2026)/(p_g_conv_year-2026),$J$10)))</f>
        <v>4</v>
      </c>
      <c r="AN47" s="17" t="n">
        <f aca="false">IF(AN$1=2025,$J$8,IF(AN$1=2026,$J$9,IF(AN$1&lt;p_g_conv_year,$J$9+($J$10-$J$9)*(AN$1-2026)/(p_g_conv_year-2026),$J$10)))</f>
        <v>4</v>
      </c>
    </row>
    <row r="48" customFormat="false" ht="15" hidden="false" customHeight="false" outlineLevel="0" collapsed="false">
      <c r="A48" s="9" t="n">
        <v>2</v>
      </c>
      <c r="B48" s="9"/>
      <c r="C48" s="9"/>
      <c r="D48" s="9" t="s">
        <v>427</v>
      </c>
      <c r="E48" s="9" t="s">
        <v>301</v>
      </c>
      <c r="F48" s="9" t="s">
        <v>425</v>
      </c>
      <c r="G48" s="18"/>
      <c r="H48" s="18" t="s">
        <v>428</v>
      </c>
      <c r="I48" s="9"/>
      <c r="J48" s="9"/>
      <c r="K48" s="17"/>
      <c r="L48" s="17"/>
      <c r="M48" s="17"/>
      <c r="N48" s="19" t="n">
        <f aca="false">$J$7</f>
        <v>3760.814</v>
      </c>
      <c r="O48" s="17" t="n">
        <f aca="false">N48*(1+O47/100)</f>
        <v>4047.31281052</v>
      </c>
      <c r="P48" s="17" t="n">
        <f aca="false">O48*(1+P47/100)</f>
        <v>4309.49773438549</v>
      </c>
      <c r="Q48" s="17" t="n">
        <f aca="false">P48*(1+Q47/100)</f>
        <v>4581.03918662912</v>
      </c>
      <c r="R48" s="17" t="n">
        <f aca="false">Q48*(1+R47/100)</f>
        <v>4861.58202641828</v>
      </c>
      <c r="S48" s="17" t="n">
        <f aca="false">R48*(1+S47/100)</f>
        <v>5150.70030952938</v>
      </c>
      <c r="T48" s="17" t="n">
        <f aca="false">S48*(1+T47/100)</f>
        <v>5447.89571738922</v>
      </c>
      <c r="U48" s="17" t="n">
        <f aca="false">T48*(1+U47/100)</f>
        <v>5752.5965248628</v>
      </c>
      <c r="V48" s="17" t="n">
        <f aca="false">U48*(1+V47/100)</f>
        <v>6064.15715264937</v>
      </c>
      <c r="W48" s="17" t="n">
        <f aca="false">V48*(1+W47/100)</f>
        <v>6381.85834587667</v>
      </c>
      <c r="X48" s="17" t="n">
        <f aca="false">W48*(1+X47/100)</f>
        <v>6704.90801534495</v>
      </c>
      <c r="Y48" s="17" t="n">
        <f aca="false">X48*(1+Y47/100)</f>
        <v>7032.44277189455</v>
      </c>
      <c r="Z48" s="17" t="n">
        <f aca="false">Y48*(1+Z47/100)</f>
        <v>7363.53017759534</v>
      </c>
      <c r="AA48" s="17" t="n">
        <f aca="false">Z48*(1+AA47/100)</f>
        <v>7697.17172994219</v>
      </c>
      <c r="AB48" s="17" t="n">
        <f aca="false">AA48*(1+AB47/100)</f>
        <v>8032.30658706387</v>
      </c>
      <c r="AC48" s="17" t="n">
        <f aca="false">AB48*(1+AC47/100)</f>
        <v>8367.81603320553</v>
      </c>
      <c r="AD48" s="17" t="n">
        <f aca="false">AC48*(1+AD47/100)</f>
        <v>8702.52867453375</v>
      </c>
      <c r="AE48" s="17" t="n">
        <f aca="false">AD48*(1+AE47/100)</f>
        <v>9050.6298215151</v>
      </c>
      <c r="AF48" s="17" t="n">
        <f aca="false">AE48*(1+AF47/100)</f>
        <v>9412.65501437571</v>
      </c>
      <c r="AG48" s="17" t="n">
        <f aca="false">AF48*(1+AG47/100)</f>
        <v>9789.16121495074</v>
      </c>
      <c r="AH48" s="17" t="n">
        <f aca="false">AG48*(1+AH47/100)</f>
        <v>10180.7276635488</v>
      </c>
      <c r="AI48" s="17" t="n">
        <f aca="false">AH48*(1+AI47/100)</f>
        <v>10587.9567700907</v>
      </c>
      <c r="AJ48" s="17" t="n">
        <f aca="false">AI48*(1+AJ47/100)</f>
        <v>11011.4750408943</v>
      </c>
      <c r="AK48" s="17" t="n">
        <f aca="false">AJ48*(1+AK47/100)</f>
        <v>11451.9340425301</v>
      </c>
      <c r="AL48" s="17" t="n">
        <f aca="false">AK48*(1+AL47/100)</f>
        <v>11910.0114042313</v>
      </c>
      <c r="AM48" s="17" t="n">
        <f aca="false">AL48*(1+AM47/100)</f>
        <v>12386.4118604006</v>
      </c>
      <c r="AN48" s="17" t="n">
        <f aca="false">AM48*(1+AN47/100)</f>
        <v>12881.8683348166</v>
      </c>
    </row>
    <row r="49" customFormat="false" ht="15" hidden="false" customHeight="false" outlineLevel="0" collapsed="false">
      <c r="A49" s="12" t="s">
        <v>429</v>
      </c>
      <c r="B49" s="13"/>
      <c r="C49" s="13"/>
      <c r="D49" s="13"/>
      <c r="E49" s="13"/>
      <c r="F49" s="13"/>
      <c r="G49" s="13"/>
      <c r="H49" s="13"/>
      <c r="I49" s="13"/>
      <c r="J49" s="13"/>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row>
    <row r="50" customFormat="false" ht="15" hidden="false" customHeight="false" outlineLevel="0" collapsed="false">
      <c r="A50" s="9" t="n">
        <v>3</v>
      </c>
      <c r="B50" s="9" t="s">
        <v>430</v>
      </c>
      <c r="C50" s="9" t="s">
        <v>431</v>
      </c>
      <c r="D50" s="9" t="s">
        <v>432</v>
      </c>
      <c r="E50" s="9" t="s">
        <v>433</v>
      </c>
      <c r="F50" s="9" t="s">
        <v>434</v>
      </c>
      <c r="G50" s="18"/>
      <c r="H50" s="18" t="s">
        <v>435</v>
      </c>
      <c r="I50" s="9"/>
      <c r="J50" s="9"/>
      <c r="K50" s="17" t="n">
        <f aca="false">INDEX(Data!$BB:$BB,$J$4)</f>
        <v>1324.03011676329</v>
      </c>
      <c r="L50" s="17" t="n">
        <f aca="false">INDEX(Data!$BC:$BC,$J$4)</f>
        <v>1570.05028568</v>
      </c>
      <c r="M50" s="17" t="n">
        <f aca="false">INDEX(Data!$BD:$BD,$J$4)</f>
        <v>1647.42451017524</v>
      </c>
      <c r="N50" s="19" t="n">
        <f aca="false">INDEX(Data!$BA:$BA,$J$4)/(1-$J$19)</f>
        <v>1818.59227486125</v>
      </c>
      <c r="O50" s="17" t="n">
        <f aca="false">N50*(1+O47/100)^INDEX(Data!$CV:$CV,$J$4)/(1+INDEX(Data!$H:$H,$J$4))</f>
        <v>1895.54199227243</v>
      </c>
      <c r="P50" s="17" t="n">
        <f aca="false">O50*(1+P47/100)^INDEX(Data!$CV:$CV,$J$4)/(1+INDEX(Data!$H:$H,$J$4))</f>
        <v>1961.07388179877</v>
      </c>
      <c r="Q50" s="17" t="n">
        <f aca="false">P50*(1+Q47/100)^INDEX(Data!$CV:$CV,$J$4)/(1+INDEX(Data!$H:$H,$J$4))</f>
        <v>2026.50988690313</v>
      </c>
      <c r="R50" s="17" t="n">
        <f aca="false">Q50*(1+R47/100)^INDEX(Data!$CV:$CV,$J$4)/(1+INDEX(Data!$H:$H,$J$4))</f>
        <v>2091.68788401933</v>
      </c>
      <c r="S50" s="17" t="n">
        <f aca="false">R50*(1+S47/100)^INDEX(Data!$CV:$CV,$J$4)/(1+INDEX(Data!$H:$H,$J$4))</f>
        <v>2156.44095638008</v>
      </c>
      <c r="T50" s="17" t="n">
        <f aca="false">S50*(1+T47/100)^INDEX(Data!$CV:$CV,$J$4)/(1+INDEX(Data!$H:$H,$J$4))</f>
        <v>2220.59803346439</v>
      </c>
      <c r="U50" s="17" t="n">
        <f aca="false">T50*(1+U47/100)^INDEX(Data!$CV:$CV,$J$4)/(1+INDEX(Data!$H:$H,$J$4))</f>
        <v>2283.98457859575</v>
      </c>
      <c r="V50" s="17" t="n">
        <f aca="false">U50*(1+V47/100)^INDEX(Data!$CV:$CV,$J$4)/(1+INDEX(Data!$H:$H,$J$4))</f>
        <v>2346.42332142379</v>
      </c>
      <c r="W50" s="17" t="n">
        <f aca="false">V50*(1+W47/100)^INDEX(Data!$CV:$CV,$J$4)/(1+INDEX(Data!$H:$H,$J$4))</f>
        <v>2407.7350315217</v>
      </c>
      <c r="X50" s="17" t="n">
        <f aca="false">W50*(1+X47/100)^INDEX(Data!$CV:$CV,$J$4)/(1+INDEX(Data!$H:$H,$J$4))</f>
        <v>2467.73932884967</v>
      </c>
      <c r="Y50" s="17" t="n">
        <f aca="false">X50*(1+Y47/100)^INDEX(Data!$CV:$CV,$J$4)/(1+INDEX(Data!$H:$H,$J$4))</f>
        <v>2526.2555263766</v>
      </c>
      <c r="Z50" s="17" t="n">
        <f aca="false">Y50*(1+Z47/100)^INDEX(Data!$CV:$CV,$J$4)/(1+INDEX(Data!$H:$H,$J$4))</f>
        <v>2583.10349972441</v>
      </c>
      <c r="AA50" s="17" t="n">
        <f aca="false">Z50*(1+AA47/100)^INDEX(Data!$CV:$CV,$J$4)/(1+INDEX(Data!$H:$H,$J$4))</f>
        <v>2638.10457830728</v>
      </c>
      <c r="AB50" s="17" t="n">
        <f aca="false">AA50*(1+AB47/100)^INDEX(Data!$CV:$CV,$J$4)/(1+INDEX(Data!$H:$H,$J$4))</f>
        <v>2691.08245208721</v>
      </c>
      <c r="AC50" s="17" t="n">
        <f aca="false">AB50*(1+AC47/100)^INDEX(Data!$CV:$CV,$J$4)/(1+INDEX(Data!$H:$H,$J$4))</f>
        <v>2741.86408776301</v>
      </c>
      <c r="AD50" s="17" t="n">
        <f aca="false">AC50*(1+AD47/100)^INDEX(Data!$CV:$CV,$J$4)/(1+INDEX(Data!$H:$H,$J$4))</f>
        <v>2790.28064795638</v>
      </c>
      <c r="AE50" s="17" t="n">
        <f aca="false">AD50*(1+AE47/100)^INDEX(Data!$CV:$CV,$J$4)/(1+INDEX(Data!$H:$H,$J$4))</f>
        <v>2839.55216055654</v>
      </c>
      <c r="AF50" s="17" t="n">
        <f aca="false">AE50*(1+AF47/100)^INDEX(Data!$CV:$CV,$J$4)/(1+INDEX(Data!$H:$H,$J$4))</f>
        <v>2889.69372253891</v>
      </c>
      <c r="AG50" s="17" t="n">
        <f aca="false">AF50*(1+AG47/100)^INDEX(Data!$CV:$CV,$J$4)/(1+INDEX(Data!$H:$H,$J$4))</f>
        <v>2940.72069746524</v>
      </c>
      <c r="AH50" s="17" t="n">
        <f aca="false">AG50*(1+AH47/100)^INDEX(Data!$CV:$CV,$J$4)/(1+INDEX(Data!$H:$H,$J$4))</f>
        <v>2992.64872019114</v>
      </c>
      <c r="AI50" s="17" t="n">
        <f aca="false">AH50*(1+AI47/100)^INDEX(Data!$CV:$CV,$J$4)/(1+INDEX(Data!$H:$H,$J$4))</f>
        <v>3045.49370165663</v>
      </c>
      <c r="AJ50" s="17" t="n">
        <f aca="false">AI50*(1+AJ47/100)^INDEX(Data!$CV:$CV,$J$4)/(1+INDEX(Data!$H:$H,$J$4))</f>
        <v>3099.27183376131</v>
      </c>
      <c r="AK50" s="17" t="n">
        <f aca="false">AJ50*(1+AK47/100)^INDEX(Data!$CV:$CV,$J$4)/(1+INDEX(Data!$H:$H,$J$4))</f>
        <v>3153.99959432559</v>
      </c>
      <c r="AL50" s="17" t="n">
        <f aca="false">AK50*(1+AL47/100)^INDEX(Data!$CV:$CV,$J$4)/(1+INDEX(Data!$H:$H,$J$4))</f>
        <v>3209.69375213963</v>
      </c>
      <c r="AM50" s="17" t="n">
        <f aca="false">AL50*(1+AM47/100)^INDEX(Data!$CV:$CV,$J$4)/(1+INDEX(Data!$H:$H,$J$4))</f>
        <v>3266.37137210128</v>
      </c>
      <c r="AN50" s="17" t="n">
        <f aca="false">AM50*(1+AN47/100)^INDEX(Data!$CV:$CV,$J$4)/(1+INDEX(Data!$H:$H,$J$4))</f>
        <v>3324.04982044489</v>
      </c>
    </row>
    <row r="51" customFormat="false" ht="15" hidden="false" customHeight="false" outlineLevel="0" collapsed="false">
      <c r="A51" s="9" t="n">
        <v>3</v>
      </c>
      <c r="B51" s="9" t="s">
        <v>436</v>
      </c>
      <c r="C51" s="9" t="s">
        <v>431</v>
      </c>
      <c r="D51" s="9" t="s">
        <v>432</v>
      </c>
      <c r="E51" s="9" t="s">
        <v>433</v>
      </c>
      <c r="F51" s="9" t="s">
        <v>434</v>
      </c>
      <c r="G51" s="18"/>
      <c r="H51" s="18" t="s">
        <v>437</v>
      </c>
      <c r="I51" s="9"/>
      <c r="J51" s="9"/>
      <c r="K51" s="17" t="n">
        <f aca="false">INDEX(Data!$AP:$AP,$J$4)</f>
        <v>2375.95348203</v>
      </c>
      <c r="L51" s="17" t="n">
        <f aca="false">INDEX(Data!$AQ:$AQ,$J$4)</f>
        <v>2581.94825489987</v>
      </c>
      <c r="M51" s="17" t="n">
        <f aca="false">INDEX(Data!$AR:$AR,$J$4)</f>
        <v>2830.03980460981</v>
      </c>
      <c r="N51" s="19" t="n">
        <f aca="false">INDEX(Data!$AO:$AO,$J$4)/(1-$J$19)</f>
        <v>3072.81180866228</v>
      </c>
      <c r="O51" s="17" t="n">
        <f aca="false">N51*(1+O47/100)^INDEX(Data!$CS:$CS,$J$4)/(1+INDEX(Data!$E:$E,$J$4))</f>
        <v>3179.40270505274</v>
      </c>
      <c r="P51" s="17" t="n">
        <f aca="false">O51*(1+P47/100)^INDEX(Data!$CS:$CS,$J$4)/(1+INDEX(Data!$E:$E,$J$4))</f>
        <v>3268.73788569976</v>
      </c>
      <c r="Q51" s="17" t="n">
        <f aca="false">P51*(1+Q47/100)^INDEX(Data!$CS:$CS,$J$4)/(1+INDEX(Data!$E:$E,$J$4))</f>
        <v>3357.23029094642</v>
      </c>
      <c r="R51" s="17" t="n">
        <f aca="false">Q51*(1+R47/100)^INDEX(Data!$CS:$CS,$J$4)/(1+INDEX(Data!$E:$E,$J$4))</f>
        <v>3444.67240295936</v>
      </c>
      <c r="S51" s="17" t="n">
        <f aca="false">R51*(1+S47/100)^INDEX(Data!$CS:$CS,$J$4)/(1+INDEX(Data!$E:$E,$J$4))</f>
        <v>3530.8539203023</v>
      </c>
      <c r="T51" s="17" t="n">
        <f aca="false">S51*(1+T47/100)^INDEX(Data!$CS:$CS,$J$4)/(1+INDEX(Data!$E:$E,$J$4))</f>
        <v>3615.56254718932</v>
      </c>
      <c r="U51" s="17" t="n">
        <f aca="false">T51*(1+U47/100)^INDEX(Data!$CS:$CS,$J$4)/(1+INDEX(Data!$E:$E,$J$4))</f>
        <v>3698.58481661463</v>
      </c>
      <c r="V51" s="17" t="n">
        <f aca="false">U51*(1+V47/100)^INDEX(Data!$CS:$CS,$J$4)/(1+INDEX(Data!$E:$E,$J$4))</f>
        <v>3779.70694326398</v>
      </c>
      <c r="W51" s="17" t="n">
        <f aca="false">V51*(1+W47/100)^INDEX(Data!$CS:$CS,$J$4)/(1+INDEX(Data!$E:$E,$J$4))</f>
        <v>3858.71570177122</v>
      </c>
      <c r="X51" s="17" t="n">
        <f aca="false">W51*(1+X47/100)^INDEX(Data!$CS:$CS,$J$4)/(1+INDEX(Data!$E:$E,$J$4))</f>
        <v>3935.39932556907</v>
      </c>
      <c r="Y51" s="17" t="n">
        <f aca="false">X51*(1+Y47/100)^INDEX(Data!$CS:$CS,$J$4)/(1+INDEX(Data!$E:$E,$J$4))</f>
        <v>4009.54842129831</v>
      </c>
      <c r="Z51" s="17" t="n">
        <f aca="false">Y51*(1+Z47/100)^INDEX(Data!$CS:$CS,$J$4)/(1+INDEX(Data!$E:$E,$J$4))</f>
        <v>4080.95689348814</v>
      </c>
      <c r="AA51" s="17" t="n">
        <f aca="false">Z51*(1+AA47/100)^INDEX(Data!$CS:$CS,$J$4)/(1+INDEX(Data!$E:$E,$J$4))</f>
        <v>4149.42287400646</v>
      </c>
      <c r="AB51" s="17" t="n">
        <f aca="false">AA51*(1+AB47/100)^INDEX(Data!$CS:$CS,$J$4)/(1+INDEX(Data!$E:$E,$J$4))</f>
        <v>4214.74965060426</v>
      </c>
      <c r="AC51" s="17" t="n">
        <f aca="false">AB51*(1+AC47/100)^INDEX(Data!$CS:$CS,$J$4)/(1+INDEX(Data!$E:$E,$J$4))</f>
        <v>4276.74658874651</v>
      </c>
      <c r="AD51" s="17" t="n">
        <f aca="false">AC51*(1+AD47/100)^INDEX(Data!$CS:$CS,$J$4)/(1+INDEX(Data!$E:$E,$J$4))</f>
        <v>4335.23004083547</v>
      </c>
      <c r="AE51" s="17" t="n">
        <f aca="false">AD51*(1+AE47/100)^INDEX(Data!$CS:$CS,$J$4)/(1+INDEX(Data!$E:$E,$J$4))</f>
        <v>4394.51323967052</v>
      </c>
      <c r="AF51" s="17" t="n">
        <f aca="false">AE51*(1+AF47/100)^INDEX(Data!$CS:$CS,$J$4)/(1+INDEX(Data!$E:$E,$J$4))</f>
        <v>4454.60712159068</v>
      </c>
      <c r="AG51" s="17" t="n">
        <f aca="false">AF51*(1+AG47/100)^INDEX(Data!$CS:$CS,$J$4)/(1+INDEX(Data!$E:$E,$J$4))</f>
        <v>4515.52277248666</v>
      </c>
      <c r="AH51" s="17" t="n">
        <f aca="false">AG51*(1+AH47/100)^INDEX(Data!$CS:$CS,$J$4)/(1+INDEX(Data!$E:$E,$J$4))</f>
        <v>4577.27142984601</v>
      </c>
      <c r="AI51" s="17" t="n">
        <f aca="false">AH51*(1+AI47/100)^INDEX(Data!$CS:$CS,$J$4)/(1+INDEX(Data!$E:$E,$J$4))</f>
        <v>4639.86448482616</v>
      </c>
      <c r="AJ51" s="17" t="n">
        <f aca="false">AI51*(1+AJ47/100)^INDEX(Data!$CS:$CS,$J$4)/(1+INDEX(Data!$E:$E,$J$4))</f>
        <v>4703.31348435575</v>
      </c>
      <c r="AK51" s="17" t="n">
        <f aca="false">AJ51*(1+AK47/100)^INDEX(Data!$CS:$CS,$J$4)/(1+INDEX(Data!$E:$E,$J$4))</f>
        <v>4767.63013326486</v>
      </c>
      <c r="AL51" s="17" t="n">
        <f aca="false">AK51*(1+AL47/100)^INDEX(Data!$CS:$CS,$J$4)/(1+INDEX(Data!$E:$E,$J$4))</f>
        <v>4832.82629644422</v>
      </c>
      <c r="AM51" s="17" t="n">
        <f aca="false">AL51*(1+AM47/100)^INDEX(Data!$CS:$CS,$J$4)/(1+INDEX(Data!$E:$E,$J$4))</f>
        <v>4898.91400103397</v>
      </c>
      <c r="AN51" s="17" t="n">
        <f aca="false">AM51*(1+AN47/100)^INDEX(Data!$CS:$CS,$J$4)/(1+INDEX(Data!$E:$E,$J$4))</f>
        <v>4965.90543864247</v>
      </c>
    </row>
    <row r="52" customFormat="false" ht="15" hidden="false" customHeight="false" outlineLevel="0" collapsed="false">
      <c r="A52" s="9" t="n">
        <v>3</v>
      </c>
      <c r="B52" s="9" t="s">
        <v>438</v>
      </c>
      <c r="C52" s="9" t="s">
        <v>439</v>
      </c>
      <c r="D52" s="9" t="s">
        <v>440</v>
      </c>
      <c r="E52" s="9" t="s">
        <v>433</v>
      </c>
      <c r="F52" s="9" t="s">
        <v>434</v>
      </c>
      <c r="G52" s="18"/>
      <c r="H52" s="18" t="s">
        <v>441</v>
      </c>
      <c r="I52" s="9"/>
      <c r="J52" s="9"/>
      <c r="K52" s="17" t="n">
        <f aca="false">INDEX(Data!$AL:$AL,$J$4)</f>
        <v>342.1679549616</v>
      </c>
      <c r="L52" s="17" t="n">
        <f aca="false">INDEX(Data!$AM:$AM,$J$4)</f>
        <v>371.8338599125</v>
      </c>
      <c r="M52" s="17" t="n">
        <f aca="false">INDEX(Data!$AN:$AN,$J$4)</f>
        <v>407.562243843222</v>
      </c>
      <c r="N52" s="19" t="n">
        <f aca="false">INDEX(Data!$AK:$AK,$J$4)</f>
        <v>430.484273660367</v>
      </c>
      <c r="O52" s="17" t="n">
        <f aca="false">N52*(1+O47/100)^INDEX(Data!$CR:$CR,$J$4)/(1+INDEX(Data!$D:$D,$J$4))</f>
        <v>437.881607568034</v>
      </c>
      <c r="P52" s="17" t="n">
        <f aca="false">O52*(1+P47/100)^INDEX(Data!$CR:$CR,$J$4)/(1+INDEX(Data!$D:$D,$J$4))</f>
        <v>443.985316743008</v>
      </c>
      <c r="Q52" s="17" t="n">
        <f aca="false">P52*(1+Q47/100)^INDEX(Data!$CR:$CR,$J$4)/(1+INDEX(Data!$D:$D,$J$4))</f>
        <v>449.949476479766</v>
      </c>
      <c r="R52" s="17" t="n">
        <f aca="false">Q52*(1+R47/100)^INDEX(Data!$CR:$CR,$J$4)/(1+INDEX(Data!$D:$D,$J$4))</f>
        <v>455.765841063564</v>
      </c>
      <c r="S52" s="17" t="n">
        <f aca="false">R52*(1+S47/100)^INDEX(Data!$CR:$CR,$J$4)/(1+INDEX(Data!$D:$D,$J$4))</f>
        <v>461.426263109081</v>
      </c>
      <c r="T52" s="17" t="n">
        <f aca="false">S52*(1+T47/100)^INDEX(Data!$CR:$CR,$J$4)/(1+INDEX(Data!$D:$D,$J$4))</f>
        <v>466.92271193011</v>
      </c>
      <c r="U52" s="17" t="n">
        <f aca="false">T52*(1+U47/100)^INDEX(Data!$CR:$CR,$J$4)/(1+INDEX(Data!$D:$D,$J$4))</f>
        <v>472.247291919988</v>
      </c>
      <c r="V52" s="17" t="n">
        <f aca="false">U52*(1+V47/100)^INDEX(Data!$CR:$CR,$J$4)/(1+INDEX(Data!$D:$D,$J$4))</f>
        <v>477.392260886222</v>
      </c>
      <c r="W52" s="17" t="n">
        <f aca="false">V52*(1+W47/100)^INDEX(Data!$CR:$CR,$J$4)/(1+INDEX(Data!$D:$D,$J$4))</f>
        <v>482.350048281867</v>
      </c>
      <c r="X52" s="17" t="n">
        <f aca="false">W52*(1+X47/100)^INDEX(Data!$CR:$CR,$J$4)/(1+INDEX(Data!$D:$D,$J$4))</f>
        <v>487.113273275621</v>
      </c>
      <c r="Y52" s="17" t="n">
        <f aca="false">X52*(1+Y47/100)^INDEX(Data!$CR:$CR,$J$4)/(1+INDEX(Data!$D:$D,$J$4))</f>
        <v>491.674762602137</v>
      </c>
      <c r="Z52" s="17" t="n">
        <f aca="false">Y52*(1+Z47/100)^INDEX(Data!$CR:$CR,$J$4)/(1+INDEX(Data!$D:$D,$J$4))</f>
        <v>496.027568133935</v>
      </c>
      <c r="AA52" s="17" t="n">
        <f aca="false">Z52*(1+AA47/100)^INDEX(Data!$CR:$CR,$J$4)/(1+INDEX(Data!$D:$D,$J$4))</f>
        <v>500.164984116289</v>
      </c>
      <c r="AB52" s="17" t="n">
        <f aca="false">AA52*(1+AB47/100)^INDEX(Data!$CR:$CR,$J$4)/(1+INDEX(Data!$D:$D,$J$4))</f>
        <v>504.080564006828</v>
      </c>
      <c r="AC52" s="17" t="n">
        <f aca="false">AB52*(1+AC47/100)^INDEX(Data!$CR:$CR,$J$4)/(1+INDEX(Data!$D:$D,$J$4))</f>
        <v>507.768136862106</v>
      </c>
      <c r="AD52" s="17" t="n">
        <f aca="false">AC52*(1+AD47/100)^INDEX(Data!$CR:$CR,$J$4)/(1+INDEX(Data!$D:$D,$J$4))</f>
        <v>511.221823214188</v>
      </c>
      <c r="AE52" s="17" t="n">
        <f aca="false">AD52*(1+AE47/100)^INDEX(Data!$CR:$CR,$J$4)/(1+INDEX(Data!$D:$D,$J$4))</f>
        <v>514.699000503477</v>
      </c>
      <c r="AF52" s="17" t="n">
        <f aca="false">AE52*(1+AF47/100)^INDEX(Data!$CR:$CR,$J$4)/(1+INDEX(Data!$D:$D,$J$4))</f>
        <v>518.199828508271</v>
      </c>
      <c r="AG52" s="17" t="n">
        <f aca="false">AF52*(1+AG47/100)^INDEX(Data!$CR:$CR,$J$4)/(1+INDEX(Data!$D:$D,$J$4))</f>
        <v>521.724468093634</v>
      </c>
      <c r="AH52" s="17" t="n">
        <f aca="false">AG52*(1+AH47/100)^INDEX(Data!$CR:$CR,$J$4)/(1+INDEX(Data!$D:$D,$J$4))</f>
        <v>525.273081218785</v>
      </c>
      <c r="AI52" s="17" t="n">
        <f aca="false">AH52*(1+AI47/100)^INDEX(Data!$CR:$CR,$J$4)/(1+INDEX(Data!$D:$D,$J$4))</f>
        <v>528.84583094454</v>
      </c>
      <c r="AJ52" s="17" t="n">
        <f aca="false">AI52*(1+AJ47/100)^INDEX(Data!$CR:$CR,$J$4)/(1+INDEX(Data!$D:$D,$J$4))</f>
        <v>532.442881440807</v>
      </c>
      <c r="AK52" s="17" t="n">
        <f aca="false">AJ52*(1+AK47/100)^INDEX(Data!$CR:$CR,$J$4)/(1+INDEX(Data!$D:$D,$J$4))</f>
        <v>536.064397994129</v>
      </c>
      <c r="AL52" s="17" t="n">
        <f aca="false">AK52*(1+AL47/100)^INDEX(Data!$CR:$CR,$J$4)/(1+INDEX(Data!$D:$D,$J$4))</f>
        <v>539.710547015276</v>
      </c>
      <c r="AM52" s="17" t="n">
        <f aca="false">AL52*(1+AM47/100)^INDEX(Data!$CR:$CR,$J$4)/(1+INDEX(Data!$D:$D,$J$4))</f>
        <v>543.381496046896</v>
      </c>
      <c r="AN52" s="17" t="n">
        <f aca="false">AM52*(1+AN47/100)^INDEX(Data!$CR:$CR,$J$4)/(1+INDEX(Data!$D:$D,$J$4))</f>
        <v>547.077413771211</v>
      </c>
    </row>
    <row r="53" customFormat="false" ht="15" hidden="false" customHeight="false" outlineLevel="0" collapsed="false">
      <c r="A53" s="9" t="n">
        <v>3</v>
      </c>
      <c r="B53" s="9" t="s">
        <v>442</v>
      </c>
      <c r="C53" s="9" t="s">
        <v>439</v>
      </c>
      <c r="D53" s="9" t="s">
        <v>440</v>
      </c>
      <c r="E53" s="9" t="s">
        <v>433</v>
      </c>
      <c r="F53" s="9" t="s">
        <v>434</v>
      </c>
      <c r="G53" s="18"/>
      <c r="H53" s="18" t="s">
        <v>443</v>
      </c>
      <c r="I53" s="9"/>
      <c r="J53" s="9"/>
      <c r="K53" s="17" t="n">
        <f aca="false">INDEX(Data!$BS:$BS,$J$4)</f>
        <v>181.3973889096</v>
      </c>
      <c r="L53" s="17" t="n">
        <f aca="false">INDEX(Data!$BT:$BT,$J$4)</f>
        <v>197.124512445577</v>
      </c>
      <c r="M53" s="17" t="n">
        <f aca="false">INDEX(Data!$BU:$BU,$J$4)</f>
        <v>216.065606902304</v>
      </c>
      <c r="N53" s="19" t="n">
        <f aca="false">INDEX(Data!$BR:$BR,$J$4)</f>
        <v>241.485724789096</v>
      </c>
      <c r="O53" s="17" t="n">
        <f aca="false">N53*(1+O47/100)^INDEX(Data!$CZ:$CZ,$J$4)/(1+INDEX(Data!$L:$L,$J$4))</f>
        <v>244.419338374677</v>
      </c>
      <c r="P53" s="17" t="n">
        <f aca="false">O53*(1+P47/100)^INDEX(Data!$CZ:$CZ,$J$4)/(1+INDEX(Data!$L:$L,$J$4))</f>
        <v>246.599479679171</v>
      </c>
      <c r="Q53" s="17" t="n">
        <f aca="false">P53*(1+Q47/100)^INDEX(Data!$CZ:$CZ,$J$4)/(1+INDEX(Data!$L:$L,$J$4))</f>
        <v>248.674920138864</v>
      </c>
      <c r="R53" s="17" t="n">
        <f aca="false">Q53*(1+R47/100)^INDEX(Data!$CZ:$CZ,$J$4)/(1+INDEX(Data!$L:$L,$J$4))</f>
        <v>250.642490150667</v>
      </c>
      <c r="S53" s="17" t="n">
        <f aca="false">R53*(1+S47/100)^INDEX(Data!$CZ:$CZ,$J$4)/(1+INDEX(Data!$L:$L,$J$4))</f>
        <v>252.499150874057</v>
      </c>
      <c r="T53" s="17" t="n">
        <f aca="false">S53*(1+T47/100)^INDEX(Data!$CZ:$CZ,$J$4)/(1+INDEX(Data!$L:$L,$J$4))</f>
        <v>254.242001893318</v>
      </c>
      <c r="U53" s="17" t="n">
        <f aca="false">T53*(1+U47/100)^INDEX(Data!$CZ:$CZ,$J$4)/(1+INDEX(Data!$L:$L,$J$4))</f>
        <v>255.868288618532</v>
      </c>
      <c r="V53" s="17" t="n">
        <f aca="false">U53*(1+V47/100)^INDEX(Data!$CZ:$CZ,$J$4)/(1+INDEX(Data!$L:$L,$J$4))</f>
        <v>257.375409399466</v>
      </c>
      <c r="W53" s="17" t="n">
        <f aca="false">V53*(1+W47/100)^INDEX(Data!$CZ:$CZ,$J$4)/(1+INDEX(Data!$L:$L,$J$4))</f>
        <v>258.76092232715</v>
      </c>
      <c r="X53" s="17" t="n">
        <f aca="false">W53*(1+X47/100)^INDEX(Data!$CZ:$CZ,$J$4)/(1+INDEX(Data!$L:$L,$J$4))</f>
        <v>260.022551698792</v>
      </c>
      <c r="Y53" s="17" t="n">
        <f aca="false">X53*(1+Y47/100)^INDEX(Data!$CZ:$CZ,$J$4)/(1+INDEX(Data!$L:$L,$J$4))</f>
        <v>261.158194122531</v>
      </c>
      <c r="Z53" s="17" t="n">
        <f aca="false">Y53*(1+Z47/100)^INDEX(Data!$CZ:$CZ,$J$4)/(1+INDEX(Data!$L:$L,$J$4))</f>
        <v>262.165924239579</v>
      </c>
      <c r="AA53" s="17" t="n">
        <f aca="false">Z53*(1+AA47/100)^INDEX(Data!$CZ:$CZ,$J$4)/(1+INDEX(Data!$L:$L,$J$4))</f>
        <v>263.0440000424</v>
      </c>
      <c r="AB53" s="17" t="n">
        <f aca="false">AA53*(1+AB47/100)^INDEX(Data!$CZ:$CZ,$J$4)/(1+INDEX(Data!$L:$L,$J$4))</f>
        <v>263.79086776881</v>
      </c>
      <c r="AC53" s="17" t="n">
        <f aca="false">AB53*(1+AC47/100)^INDEX(Data!$CZ:$CZ,$J$4)/(1+INDEX(Data!$L:$L,$J$4))</f>
        <v>264.405166353183</v>
      </c>
      <c r="AD53" s="17" t="n">
        <f aca="false">AC53*(1+AD47/100)^INDEX(Data!$CZ:$CZ,$J$4)/(1+INDEX(Data!$L:$L,$J$4))</f>
        <v>264.885731417352</v>
      </c>
      <c r="AE53" s="17" t="n">
        <f aca="false">AD53*(1+AE47/100)^INDEX(Data!$CZ:$CZ,$J$4)/(1+INDEX(Data!$L:$L,$J$4))</f>
        <v>265.367169924291</v>
      </c>
      <c r="AF53" s="17" t="n">
        <f aca="false">AE53*(1+AF47/100)^INDEX(Data!$CZ:$CZ,$J$4)/(1+INDEX(Data!$L:$L,$J$4))</f>
        <v>265.84948346151</v>
      </c>
      <c r="AG53" s="17" t="n">
        <f aca="false">AF53*(1+AG47/100)^INDEX(Data!$CZ:$CZ,$J$4)/(1+INDEX(Data!$L:$L,$J$4))</f>
        <v>266.332673619407</v>
      </c>
      <c r="AH53" s="17" t="n">
        <f aca="false">AG53*(1+AH47/100)^INDEX(Data!$CZ:$CZ,$J$4)/(1+INDEX(Data!$L:$L,$J$4))</f>
        <v>266.816741991268</v>
      </c>
      <c r="AI53" s="17" t="n">
        <f aca="false">AH53*(1+AI47/100)^INDEX(Data!$CZ:$CZ,$J$4)/(1+INDEX(Data!$L:$L,$J$4))</f>
        <v>267.301690173276</v>
      </c>
      <c r="AJ53" s="17" t="n">
        <f aca="false">AI53*(1+AJ47/100)^INDEX(Data!$CZ:$CZ,$J$4)/(1+INDEX(Data!$L:$L,$J$4))</f>
        <v>267.787519764514</v>
      </c>
      <c r="AK53" s="17" t="n">
        <f aca="false">AJ53*(1+AK47/100)^INDEX(Data!$CZ:$CZ,$J$4)/(1+INDEX(Data!$L:$L,$J$4))</f>
        <v>268.274232366973</v>
      </c>
      <c r="AL53" s="17" t="n">
        <f aca="false">AK53*(1+AL47/100)^INDEX(Data!$CZ:$CZ,$J$4)/(1+INDEX(Data!$L:$L,$J$4))</f>
        <v>268.761829585554</v>
      </c>
      <c r="AM53" s="17" t="n">
        <f aca="false">AL53*(1+AM47/100)^INDEX(Data!$CZ:$CZ,$J$4)/(1+INDEX(Data!$L:$L,$J$4))</f>
        <v>269.250313028077</v>
      </c>
      <c r="AN53" s="17" t="n">
        <f aca="false">AM53*(1+AN47/100)^INDEX(Data!$CZ:$CZ,$J$4)/(1+INDEX(Data!$L:$L,$J$4))</f>
        <v>269.739684305282</v>
      </c>
    </row>
    <row r="54" customFormat="false" ht="15" hidden="false" customHeight="false" outlineLevel="0" collapsed="false">
      <c r="A54" s="9" t="n">
        <v>3</v>
      </c>
      <c r="B54" s="9" t="s">
        <v>444</v>
      </c>
      <c r="C54" s="9" t="s">
        <v>439</v>
      </c>
      <c r="D54" s="9" t="s">
        <v>440</v>
      </c>
      <c r="E54" s="9" t="s">
        <v>433</v>
      </c>
      <c r="F54" s="9" t="s">
        <v>434</v>
      </c>
      <c r="G54" s="18"/>
      <c r="H54" s="18" t="s">
        <v>445</v>
      </c>
      <c r="I54" s="9"/>
      <c r="J54" s="9"/>
      <c r="K54" s="17" t="n">
        <f aca="false">INDEX(Data!$BJ:$BJ,$J$4)</f>
        <v>1267.80047671278</v>
      </c>
      <c r="L54" s="17" t="n">
        <f aca="false">INDEX(Data!$BK:$BK,$J$4)</f>
        <v>1377.71856779495</v>
      </c>
      <c r="M54" s="17" t="n">
        <f aca="false">INDEX(Data!$BL:$BL,$J$4)</f>
        <v>1510.09935191785</v>
      </c>
      <c r="N54" s="19" t="n">
        <f aca="false">INDEX(Data!$BI:$BI,$J$4)</f>
        <v>1626.2883456291</v>
      </c>
      <c r="O54" s="17" t="n">
        <f aca="false">N54*(1+O47/100)^INDEX(Data!$CX:$CX,$J$4)/(1+INDEX(Data!$J:$J,$J$4))</f>
        <v>1678.70330851749</v>
      </c>
      <c r="P54" s="17" t="n">
        <f aca="false">O54*(1+P47/100)^INDEX(Data!$CX:$CX,$J$4)/(1+INDEX(Data!$J:$J,$J$4))</f>
        <v>1723.60532503701</v>
      </c>
      <c r="Q54" s="17" t="n">
        <f aca="false">P54*(1+Q47/100)^INDEX(Data!$CX:$CX,$J$4)/(1+INDEX(Data!$J:$J,$J$4))</f>
        <v>1768.23686393492</v>
      </c>
      <c r="R54" s="17" t="n">
        <f aca="false">Q54*(1+R47/100)^INDEX(Data!$CX:$CX,$J$4)/(1+INDEX(Data!$J:$J,$J$4))</f>
        <v>1812.51322526686</v>
      </c>
      <c r="S54" s="17" t="n">
        <f aca="false">R54*(1+S47/100)^INDEX(Data!$CX:$CX,$J$4)/(1+INDEX(Data!$J:$J,$J$4))</f>
        <v>1856.34825554685</v>
      </c>
      <c r="T54" s="17" t="n">
        <f aca="false">S54*(1+T47/100)^INDEX(Data!$CX:$CX,$J$4)/(1+INDEX(Data!$J:$J,$J$4))</f>
        <v>1899.65460463712</v>
      </c>
      <c r="U54" s="17" t="n">
        <f aca="false">T54*(1+U47/100)^INDEX(Data!$CX:$CX,$J$4)/(1+INDEX(Data!$J:$J,$J$4))</f>
        <v>1942.34399524639</v>
      </c>
      <c r="V54" s="17" t="n">
        <f aca="false">U54*(1+V47/100)^INDEX(Data!$CX:$CX,$J$4)/(1+INDEX(Data!$J:$J,$J$4))</f>
        <v>1984.32750400617</v>
      </c>
      <c r="W54" s="17" t="n">
        <f aca="false">V54*(1+W47/100)^INDEX(Data!$CX:$CX,$J$4)/(1+INDEX(Data!$J:$J,$J$4))</f>
        <v>2025.51585299429</v>
      </c>
      <c r="X54" s="17" t="n">
        <f aca="false">W54*(1+X47/100)^INDEX(Data!$CX:$CX,$J$4)/(1+INDEX(Data!$J:$J,$J$4))</f>
        <v>2065.81971047831</v>
      </c>
      <c r="Y54" s="17" t="n">
        <f aca="false">X54*(1+Y47/100)^INDEX(Data!$CX:$CX,$J$4)/(1+INDEX(Data!$J:$J,$J$4))</f>
        <v>2105.14999956144</v>
      </c>
      <c r="Z54" s="17" t="n">
        <f aca="false">Y54*(1+Z47/100)^INDEX(Data!$CX:$CX,$J$4)/(1+INDEX(Data!$J:$J,$J$4))</f>
        <v>2143.41821332951</v>
      </c>
      <c r="AA54" s="17" t="n">
        <f aca="false">Z54*(1+AA47/100)^INDEX(Data!$CX:$CX,$J$4)/(1+INDEX(Data!$J:$J,$J$4))</f>
        <v>2180.53673502112</v>
      </c>
      <c r="AB54" s="17" t="n">
        <f aca="false">AA54*(1+AB47/100)^INDEX(Data!$CX:$CX,$J$4)/(1+INDEX(Data!$J:$J,$J$4))</f>
        <v>2216.4191616751</v>
      </c>
      <c r="AC54" s="17" t="n">
        <f aca="false">AB54*(1+AC47/100)^INDEX(Data!$CX:$CX,$J$4)/(1+INDEX(Data!$J:$J,$J$4))</f>
        <v>2250.9806296497</v>
      </c>
      <c r="AD54" s="17" t="n">
        <f aca="false">AC54*(1+AD47/100)^INDEX(Data!$CX:$CX,$J$4)/(1+INDEX(Data!$J:$J,$J$4))</f>
        <v>2284.13814035885</v>
      </c>
      <c r="AE54" s="17" t="n">
        <f aca="false">AD54*(1+AE47/100)^INDEX(Data!$CX:$CX,$J$4)/(1+INDEX(Data!$J:$J,$J$4))</f>
        <v>2317.78406953857</v>
      </c>
      <c r="AF54" s="17" t="n">
        <f aca="false">AE54*(1+AF47/100)^INDEX(Data!$CX:$CX,$J$4)/(1+INDEX(Data!$J:$J,$J$4))</f>
        <v>2351.92561171575</v>
      </c>
      <c r="AG54" s="17" t="n">
        <f aca="false">AF54*(1+AG47/100)^INDEX(Data!$CX:$CX,$J$4)/(1+INDEX(Data!$J:$J,$J$4))</f>
        <v>2386.57006739448</v>
      </c>
      <c r="AH54" s="17" t="n">
        <f aca="false">AG54*(1+AH47/100)^INDEX(Data!$CX:$CX,$J$4)/(1+INDEX(Data!$J:$J,$J$4))</f>
        <v>2421.72484461709</v>
      </c>
      <c r="AI54" s="17" t="n">
        <f aca="false">AH54*(1+AI47/100)^INDEX(Data!$CX:$CX,$J$4)/(1+INDEX(Data!$J:$J,$J$4))</f>
        <v>2457.39746054826</v>
      </c>
      <c r="AJ54" s="17" t="n">
        <f aca="false">AI54*(1+AJ47/100)^INDEX(Data!$CX:$CX,$J$4)/(1+INDEX(Data!$J:$J,$J$4))</f>
        <v>2493.59554308238</v>
      </c>
      <c r="AK54" s="17" t="n">
        <f aca="false">AJ54*(1+AK47/100)^INDEX(Data!$CX:$CX,$J$4)/(1+INDEX(Data!$J:$J,$J$4))</f>
        <v>2530.32683247464</v>
      </c>
      <c r="AL54" s="17" t="n">
        <f aca="false">AK54*(1+AL47/100)^INDEX(Data!$CX:$CX,$J$4)/(1+INDEX(Data!$J:$J,$J$4))</f>
        <v>2567.59918299614</v>
      </c>
      <c r="AM54" s="17" t="n">
        <f aca="false">AL54*(1+AM47/100)^INDEX(Data!$CX:$CX,$J$4)/(1+INDEX(Data!$J:$J,$J$4))</f>
        <v>2605.42056461337</v>
      </c>
      <c r="AN54" s="17" t="n">
        <f aca="false">AM54*(1+AN47/100)^INDEX(Data!$CX:$CX,$J$4)/(1+INDEX(Data!$J:$J,$J$4))</f>
        <v>2643.79906469244</v>
      </c>
    </row>
    <row r="55" customFormat="false" ht="15" hidden="false" customHeight="false" outlineLevel="0" collapsed="false">
      <c r="A55" s="9" t="n">
        <v>3</v>
      </c>
      <c r="B55" s="9" t="s">
        <v>446</v>
      </c>
      <c r="C55" s="9" t="s">
        <v>439</v>
      </c>
      <c r="D55" s="9" t="s">
        <v>440</v>
      </c>
      <c r="E55" s="9" t="s">
        <v>433</v>
      </c>
      <c r="F55" s="9" t="s">
        <v>434</v>
      </c>
      <c r="G55" s="18"/>
      <c r="H55" s="18" t="s">
        <v>447</v>
      </c>
      <c r="I55" s="9"/>
      <c r="J55" s="9"/>
      <c r="K55" s="17" t="n">
        <f aca="false">INDEX(Data!$BF:$BF,$J$4)</f>
        <v>191.475334256765</v>
      </c>
      <c r="L55" s="17" t="n">
        <f aca="false">INDEX(Data!$BG:$BG,$J$4)</f>
        <v>208.07621398304</v>
      </c>
      <c r="M55" s="17" t="n">
        <f aca="false">INDEX(Data!$BH:$BH,$J$4)</f>
        <v>228.069624109236</v>
      </c>
      <c r="N55" s="19" t="n">
        <f aca="false">INDEX(Data!$BE:$BE,$J$4)</f>
        <v>259.214427613643</v>
      </c>
      <c r="O55" s="17" t="n">
        <f aca="false">N55*(1+O47/100)^INDEX(Data!$CW:$CW,$J$4)/(1+INDEX(Data!$I:$I,$J$4))</f>
        <v>267.56885912637</v>
      </c>
      <c r="P55" s="17" t="n">
        <f aca="false">O55*(1+P47/100)^INDEX(Data!$CW:$CW,$J$4)/(1+INDEX(Data!$I:$I,$J$4))</f>
        <v>274.725800601163</v>
      </c>
      <c r="Q55" s="17" t="n">
        <f aca="false">P55*(1+Q47/100)^INDEX(Data!$CW:$CW,$J$4)/(1+INDEX(Data!$I:$I,$J$4))</f>
        <v>281.839630593261</v>
      </c>
      <c r="R55" s="17" t="n">
        <f aca="false">Q55*(1+R47/100)^INDEX(Data!$CW:$CW,$J$4)/(1+INDEX(Data!$I:$I,$J$4))</f>
        <v>288.896848761442</v>
      </c>
      <c r="S55" s="17" t="n">
        <f aca="false">R55*(1+S47/100)^INDEX(Data!$CW:$CW,$J$4)/(1+INDEX(Data!$I:$I,$J$4))</f>
        <v>295.883723084186</v>
      </c>
      <c r="T55" s="17" t="n">
        <f aca="false">S55*(1+T47/100)^INDEX(Data!$CW:$CW,$J$4)/(1+INDEX(Data!$I:$I,$J$4))</f>
        <v>302.786330805407</v>
      </c>
      <c r="U55" s="17" t="n">
        <f aca="false">T55*(1+U47/100)^INDEX(Data!$CW:$CW,$J$4)/(1+INDEX(Data!$I:$I,$J$4))</f>
        <v>309.590601389832</v>
      </c>
      <c r="V55" s="17" t="n">
        <f aca="false">U55*(1+V47/100)^INDEX(Data!$CW:$CW,$J$4)/(1+INDEX(Data!$I:$I,$J$4))</f>
        <v>316.282361323812</v>
      </c>
      <c r="W55" s="17" t="n">
        <f aca="false">V55*(1+W47/100)^INDEX(Data!$CW:$CW,$J$4)/(1+INDEX(Data!$I:$I,$J$4))</f>
        <v>322.847380581315</v>
      </c>
      <c r="X55" s="17" t="n">
        <f aca="false">W55*(1+X47/100)^INDEX(Data!$CW:$CW,$J$4)/(1+INDEX(Data!$I:$I,$J$4))</f>
        <v>329.271420559478</v>
      </c>
      <c r="Y55" s="17" t="n">
        <f aca="false">X55*(1+Y47/100)^INDEX(Data!$CW:$CW,$J$4)/(1+INDEX(Data!$I:$I,$J$4))</f>
        <v>335.540283273746</v>
      </c>
      <c r="Z55" s="17" t="n">
        <f aca="false">Y55*(1+Z47/100)^INDEX(Data!$CW:$CW,$J$4)/(1+INDEX(Data!$I:$I,$J$4))</f>
        <v>341.639861589206</v>
      </c>
      <c r="AA55" s="17" t="n">
        <f aca="false">Z55*(1+AA47/100)^INDEX(Data!$CW:$CW,$J$4)/(1+INDEX(Data!$I:$I,$J$4))</f>
        <v>347.55619025258</v>
      </c>
      <c r="AB55" s="17" t="n">
        <f aca="false">AA55*(1+AB47/100)^INDEX(Data!$CW:$CW,$J$4)/(1+INDEX(Data!$I:$I,$J$4))</f>
        <v>353.275497478447</v>
      </c>
      <c r="AC55" s="17" t="n">
        <f aca="false">AB55*(1+AC47/100)^INDEX(Data!$CW:$CW,$J$4)/(1+INDEX(Data!$I:$I,$J$4))</f>
        <v>358.784256833823</v>
      </c>
      <c r="AD55" s="17" t="n">
        <f aca="false">AC55*(1+AD47/100)^INDEX(Data!$CW:$CW,$J$4)/(1+INDEX(Data!$I:$I,$J$4))</f>
        <v>364.069239157323</v>
      </c>
      <c r="AE55" s="17" t="n">
        <f aca="false">AD55*(1+AE47/100)^INDEX(Data!$CW:$CW,$J$4)/(1+INDEX(Data!$I:$I,$J$4))</f>
        <v>369.432070599417</v>
      </c>
      <c r="AF55" s="17" t="n">
        <f aca="false">AE55*(1+AF47/100)^INDEX(Data!$CW:$CW,$J$4)/(1+INDEX(Data!$I:$I,$J$4))</f>
        <v>374.873897897196</v>
      </c>
      <c r="AG55" s="17" t="n">
        <f aca="false">AF55*(1+AG47/100)^INDEX(Data!$CW:$CW,$J$4)/(1+INDEX(Data!$I:$I,$J$4))</f>
        <v>380.395884679481</v>
      </c>
      <c r="AH55" s="17" t="n">
        <f aca="false">AG55*(1+AH47/100)^INDEX(Data!$CW:$CW,$J$4)/(1+INDEX(Data!$I:$I,$J$4))</f>
        <v>385.999211715635</v>
      </c>
      <c r="AI55" s="17" t="n">
        <f aca="false">AH55*(1+AI47/100)^INDEX(Data!$CW:$CW,$J$4)/(1+INDEX(Data!$I:$I,$J$4))</f>
        <v>391.685077168051</v>
      </c>
      <c r="AJ55" s="17" t="n">
        <f aca="false">AI55*(1+AJ47/100)^INDEX(Data!$CW:$CW,$J$4)/(1+INDEX(Data!$I:$I,$J$4))</f>
        <v>397.454696848356</v>
      </c>
      <c r="AK55" s="17" t="n">
        <f aca="false">AJ55*(1+AK47/100)^INDEX(Data!$CW:$CW,$J$4)/(1+INDEX(Data!$I:$I,$J$4))</f>
        <v>403.309304477388</v>
      </c>
      <c r="AL55" s="17" t="n">
        <f aca="false">AK55*(1+AL47/100)^INDEX(Data!$CW:$CW,$J$4)/(1+INDEX(Data!$I:$I,$J$4))</f>
        <v>409.250151949002</v>
      </c>
      <c r="AM55" s="17" t="n">
        <f aca="false">AL55*(1+AM47/100)^INDEX(Data!$CW:$CW,$J$4)/(1+INDEX(Data!$I:$I,$J$4))</f>
        <v>415.278509597766</v>
      </c>
      <c r="AN55" s="17" t="n">
        <f aca="false">AM55*(1+AN47/100)^INDEX(Data!$CW:$CW,$J$4)/(1+INDEX(Data!$I:$I,$J$4))</f>
        <v>421.395666470594</v>
      </c>
    </row>
    <row r="56" customFormat="false" ht="15" hidden="false" customHeight="false" outlineLevel="0" collapsed="false">
      <c r="A56" s="9" t="n">
        <v>3</v>
      </c>
      <c r="B56" s="9" t="s">
        <v>448</v>
      </c>
      <c r="C56" s="9" t="s">
        <v>439</v>
      </c>
      <c r="D56" s="9" t="s">
        <v>440</v>
      </c>
      <c r="E56" s="9" t="s">
        <v>433</v>
      </c>
      <c r="F56" s="9" t="s">
        <v>434</v>
      </c>
      <c r="G56" s="18"/>
      <c r="H56" s="18" t="s">
        <v>449</v>
      </c>
      <c r="I56" s="9"/>
      <c r="J56" s="9"/>
      <c r="K56" s="17" t="n">
        <f aca="false">INDEX(Data!$AX:$AX,$J$4)</f>
        <v>1223.2080020016</v>
      </c>
      <c r="L56" s="17" t="n">
        <f aca="false">INDEX(Data!$AY:$AY,$J$4)</f>
        <v>1464.30569504172</v>
      </c>
      <c r="M56" s="17" t="n">
        <f aca="false">INDEX(Data!$AZ:$AZ,$J$4)</f>
        <v>1545.28869429518</v>
      </c>
      <c r="N56" s="19" t="n">
        <f aca="false">INDEX(Data!$AW:$AW,$J$4)</f>
        <v>1506.90576128458</v>
      </c>
      <c r="O56" s="17" t="n">
        <f aca="false">N56*(1+O47/100)^INDEX(Data!$CU:$CU,$J$4)/(1+INDEX(Data!$G:$G,$J$4))</f>
        <v>1590.11291492747</v>
      </c>
      <c r="P56" s="17" t="n">
        <f aca="false">O56*(1+P47/100)^INDEX(Data!$CU:$CU,$J$4)/(1+INDEX(Data!$G:$G,$J$4))</f>
        <v>1663.68005940322</v>
      </c>
      <c r="Q56" s="17" t="n">
        <f aca="false">P56*(1+Q47/100)^INDEX(Data!$CU:$CU,$J$4)/(1+INDEX(Data!$G:$G,$J$4))</f>
        <v>1738.3356208878</v>
      </c>
      <c r="R56" s="17" t="n">
        <f aca="false">Q56*(1+R47/100)^INDEX(Data!$CU:$CU,$J$4)/(1+INDEX(Data!$G:$G,$J$4))</f>
        <v>1813.92136684623</v>
      </c>
      <c r="S56" s="17" t="n">
        <f aca="false">R56*(1+S47/100)^INDEX(Data!$CU:$CU,$J$4)/(1+INDEX(Data!$G:$G,$J$4))</f>
        <v>1890.26775391082</v>
      </c>
      <c r="T56" s="17" t="n">
        <f aca="false">S56*(1+T47/100)^INDEX(Data!$CU:$CU,$J$4)/(1+INDEX(Data!$G:$G,$J$4))</f>
        <v>1967.19434592906</v>
      </c>
      <c r="U56" s="17" t="n">
        <f aca="false">T56*(1+U47/100)^INDEX(Data!$CU:$CU,$J$4)/(1+INDEX(Data!$G:$G,$J$4))</f>
        <v>2044.51032797474</v>
      </c>
      <c r="V56" s="17" t="n">
        <f aca="false">U56*(1+V47/100)^INDEX(Data!$CU:$CU,$J$4)/(1+INDEX(Data!$G:$G,$J$4))</f>
        <v>2122.01511654601</v>
      </c>
      <c r="W56" s="17" t="n">
        <f aca="false">V56*(1+W47/100)^INDEX(Data!$CU:$CU,$J$4)/(1+INDEX(Data!$G:$G,$J$4))</f>
        <v>2199.49906524171</v>
      </c>
      <c r="X56" s="17" t="n">
        <f aca="false">W56*(1+X47/100)^INDEX(Data!$CU:$CU,$J$4)/(1+INDEX(Data!$G:$G,$J$4))</f>
        <v>2276.74426423864</v>
      </c>
      <c r="Y56" s="17" t="n">
        <f aca="false">X56*(1+Y47/100)^INDEX(Data!$CU:$CU,$J$4)/(1+INDEX(Data!$G:$G,$J$4))</f>
        <v>2353.52543089758</v>
      </c>
      <c r="Z56" s="17" t="n">
        <f aca="false">Y56*(1+Z47/100)^INDEX(Data!$CU:$CU,$J$4)/(1+INDEX(Data!$G:$G,$J$4))</f>
        <v>2429.61088781642</v>
      </c>
      <c r="AA56" s="17" t="n">
        <f aca="false">Z56*(1+AA47/100)^INDEX(Data!$CU:$CU,$J$4)/(1+INDEX(Data!$G:$G,$J$4))</f>
        <v>2504.76362363661</v>
      </c>
      <c r="AB56" s="17" t="n">
        <f aca="false">AA56*(1+AB47/100)^INDEX(Data!$CU:$CU,$J$4)/(1+INDEX(Data!$G:$G,$J$4))</f>
        <v>2578.74243090677</v>
      </c>
      <c r="AC56" s="17" t="n">
        <f aca="false">AB56*(1+AC47/100)^INDEX(Data!$CU:$CU,$J$4)/(1+INDEX(Data!$G:$G,$J$4))</f>
        <v>2651.30311432845</v>
      </c>
      <c r="AD56" s="17" t="n">
        <f aca="false">AC56*(1+AD47/100)^INDEX(Data!$CU:$CU,$J$4)/(1+INDEX(Data!$G:$G,$J$4))</f>
        <v>2722.1997617661</v>
      </c>
      <c r="AE56" s="17" t="n">
        <f aca="false">AD56*(1+AE47/100)^INDEX(Data!$CU:$CU,$J$4)/(1+INDEX(Data!$G:$G,$J$4))</f>
        <v>2794.99220700625</v>
      </c>
      <c r="AF56" s="17" t="n">
        <f aca="false">AE56*(1+AF47/100)^INDEX(Data!$CU:$CU,$J$4)/(1+INDEX(Data!$G:$G,$J$4))</f>
        <v>2869.73114425572</v>
      </c>
      <c r="AG56" s="17" t="n">
        <f aca="false">AF56*(1+AG47/100)^INDEX(Data!$CU:$CU,$J$4)/(1+INDEX(Data!$G:$G,$J$4))</f>
        <v>2946.46862329975</v>
      </c>
      <c r="AH56" s="17" t="n">
        <f aca="false">AG56*(1+AH47/100)^INDEX(Data!$CU:$CU,$J$4)/(1+INDEX(Data!$G:$G,$J$4))</f>
        <v>3025.2580857506</v>
      </c>
      <c r="AI56" s="17" t="n">
        <f aca="false">AH56*(1+AI47/100)^INDEX(Data!$CU:$CU,$J$4)/(1+INDEX(Data!$G:$G,$J$4))</f>
        <v>3106.15440226539</v>
      </c>
      <c r="AJ56" s="17" t="n">
        <f aca="false">AI56*(1+AJ47/100)^INDEX(Data!$CU:$CU,$J$4)/(1+INDEX(Data!$G:$G,$J$4))</f>
        <v>3189.21391075924</v>
      </c>
      <c r="AK56" s="17" t="n">
        <f aca="false">AJ56*(1+AK47/100)^INDEX(Data!$CU:$CU,$J$4)/(1+INDEX(Data!$G:$G,$J$4))</f>
        <v>3274.49445564014</v>
      </c>
      <c r="AL56" s="17" t="n">
        <f aca="false">AK56*(1+AL47/100)^INDEX(Data!$CU:$CU,$J$4)/(1+INDEX(Data!$G:$G,$J$4))</f>
        <v>3362.05542809307</v>
      </c>
      <c r="AM56" s="17" t="n">
        <f aca="false">AL56*(1+AM47/100)^INDEX(Data!$CU:$CU,$J$4)/(1+INDEX(Data!$G:$G,$J$4))</f>
        <v>3451.95780744125</v>
      </c>
      <c r="AN56" s="17" t="n">
        <f aca="false">AM56*(1+AN47/100)^INDEX(Data!$CU:$CU,$J$4)/(1+INDEX(Data!$G:$G,$J$4))</f>
        <v>3544.26420361346</v>
      </c>
    </row>
    <row r="57" customFormat="false" ht="15" hidden="false" customHeight="false" outlineLevel="0" collapsed="false">
      <c r="A57" s="9" t="n">
        <v>3</v>
      </c>
      <c r="B57" s="9" t="s">
        <v>438</v>
      </c>
      <c r="C57" s="9" t="s">
        <v>450</v>
      </c>
      <c r="D57" s="9" t="s">
        <v>440</v>
      </c>
      <c r="E57" s="9" t="s">
        <v>433</v>
      </c>
      <c r="F57" s="9" t="s">
        <v>434</v>
      </c>
      <c r="G57" s="18"/>
      <c r="H57" s="18" t="s">
        <v>451</v>
      </c>
      <c r="I57" s="9"/>
      <c r="J57" s="9"/>
      <c r="K57" s="17" t="n">
        <f aca="false">INDEX(Data!$AG:$AG,$J$4)</f>
        <v>4258.271774232</v>
      </c>
      <c r="L57" s="17" t="n">
        <f aca="false">INDEX(Data!$AH:$AH,$J$4)</f>
        <v>4627.46323087686</v>
      </c>
      <c r="M57" s="17" t="n">
        <f aca="false">INDEX(Data!$AI:$AI,$J$4)</f>
        <v>5072.10208914807</v>
      </c>
      <c r="N57" s="19" t="n">
        <f aca="false">INDEX(Data!$AF:$AF,$J$4)</f>
        <v>5318.8273393572</v>
      </c>
      <c r="O57" s="17" t="n">
        <f aca="false">N57*(1+O47/100)^INDEX(Data!$CQ:$CQ,$J$4)/(1+INDEX(Data!$C:$C,$J$4))</f>
        <v>5490.25212903332</v>
      </c>
      <c r="P57" s="17" t="n">
        <f aca="false">O57*(1+P47/100)^INDEX(Data!$CQ:$CQ,$J$4)/(1+INDEX(Data!$C:$C,$J$4))</f>
        <v>5637.10559059697</v>
      </c>
      <c r="Q57" s="17" t="n">
        <f aca="false">P57*(1+Q47/100)^INDEX(Data!$CQ:$CQ,$J$4)/(1+INDEX(Data!$C:$C,$J$4))</f>
        <v>5783.07444656633</v>
      </c>
      <c r="R57" s="17" t="n">
        <f aca="false">Q57*(1+R47/100)^INDEX(Data!$CQ:$CQ,$J$4)/(1+INDEX(Data!$C:$C,$J$4))</f>
        <v>5927.88168310131</v>
      </c>
      <c r="S57" s="17" t="n">
        <f aca="false">R57*(1+S47/100)^INDEX(Data!$CQ:$CQ,$J$4)/(1+INDEX(Data!$C:$C,$J$4))</f>
        <v>6071.24553250807</v>
      </c>
      <c r="T57" s="17" t="n">
        <f aca="false">S57*(1+T47/100)^INDEX(Data!$CQ:$CQ,$J$4)/(1+INDEX(Data!$C:$C,$J$4))</f>
        <v>6212.88031340542</v>
      </c>
      <c r="U57" s="17" t="n">
        <f aca="false">T57*(1+U47/100)^INDEX(Data!$CQ:$CQ,$J$4)/(1+INDEX(Data!$C:$C,$J$4))</f>
        <v>6352.49731212728</v>
      </c>
      <c r="V57" s="17" t="n">
        <f aca="false">U57*(1+V47/100)^INDEX(Data!$CQ:$CQ,$J$4)/(1+INDEX(Data!$C:$C,$J$4))</f>
        <v>6489.80570199175</v>
      </c>
      <c r="W57" s="17" t="n">
        <f aca="false">V57*(1+W47/100)^INDEX(Data!$CQ:$CQ,$J$4)/(1+INDEX(Data!$C:$C,$J$4))</f>
        <v>6624.51349673786</v>
      </c>
      <c r="X57" s="17" t="n">
        <f aca="false">W57*(1+X47/100)^INDEX(Data!$CQ:$CQ,$J$4)/(1+INDEX(Data!$C:$C,$J$4))</f>
        <v>6756.32853411651</v>
      </c>
      <c r="Y57" s="17" t="n">
        <f aca="false">X57*(1+Y47/100)^INDEX(Data!$CQ:$CQ,$J$4)/(1+INDEX(Data!$C:$C,$J$4))</f>
        <v>6884.95948532662</v>
      </c>
      <c r="Z57" s="17" t="n">
        <f aca="false">Y57*(1+Z47/100)^INDEX(Data!$CQ:$CQ,$J$4)/(1+INDEX(Data!$C:$C,$J$4))</f>
        <v>7010.11688571321</v>
      </c>
      <c r="AA57" s="17" t="n">
        <f aca="false">Z57*(1+AA47/100)^INDEX(Data!$CQ:$CQ,$J$4)/(1+INDEX(Data!$C:$C,$J$4))</f>
        <v>7131.51418189411</v>
      </c>
      <c r="AB57" s="17" t="n">
        <f aca="false">AA57*(1+AB47/100)^INDEX(Data!$CQ:$CQ,$J$4)/(1+INDEX(Data!$C:$C,$J$4))</f>
        <v>7248.86879025899</v>
      </c>
      <c r="AC57" s="17" t="n">
        <f aca="false">AB57*(1+AC47/100)^INDEX(Data!$CQ:$CQ,$J$4)/(1+INDEX(Data!$C:$C,$J$4))</f>
        <v>7361.90316159029</v>
      </c>
      <c r="AD57" s="17" t="n">
        <f aca="false">AC57*(1+AD47/100)^INDEX(Data!$CQ:$CQ,$J$4)/(1+INDEX(Data!$C:$C,$J$4))</f>
        <v>7470.34584639389</v>
      </c>
      <c r="AE57" s="17" t="n">
        <f aca="false">AD57*(1+AE47/100)^INDEX(Data!$CQ:$CQ,$J$4)/(1+INDEX(Data!$C:$C,$J$4))</f>
        <v>7580.38591921378</v>
      </c>
      <c r="AF57" s="17" t="n">
        <f aca="false">AE57*(1+AF47/100)^INDEX(Data!$CQ:$CQ,$J$4)/(1+INDEX(Data!$C:$C,$J$4))</f>
        <v>7692.04690997713</v>
      </c>
      <c r="AG57" s="17" t="n">
        <f aca="false">AF57*(1+AG47/100)^INDEX(Data!$CQ:$CQ,$J$4)/(1+INDEX(Data!$C:$C,$J$4))</f>
        <v>7805.35269521283</v>
      </c>
      <c r="AH57" s="17" t="n">
        <f aca="false">AG57*(1+AH47/100)^INDEX(Data!$CQ:$CQ,$J$4)/(1+INDEX(Data!$C:$C,$J$4))</f>
        <v>7920.32750315707</v>
      </c>
      <c r="AI57" s="17" t="n">
        <f aca="false">AH57*(1+AI47/100)^INDEX(Data!$CQ:$CQ,$J$4)/(1+INDEX(Data!$C:$C,$J$4))</f>
        <v>8036.99591893403</v>
      </c>
      <c r="AJ57" s="17" t="n">
        <f aca="false">AI57*(1+AJ47/100)^INDEX(Data!$CQ:$CQ,$J$4)/(1+INDEX(Data!$C:$C,$J$4))</f>
        <v>8155.38288981298</v>
      </c>
      <c r="AK57" s="17" t="n">
        <f aca="false">AJ57*(1+AK47/100)^INDEX(Data!$CQ:$CQ,$J$4)/(1+INDEX(Data!$C:$C,$J$4))</f>
        <v>8275.5137305427</v>
      </c>
      <c r="AL57" s="17" t="n">
        <f aca="false">AK57*(1+AL47/100)^INDEX(Data!$CQ:$CQ,$J$4)/(1+INDEX(Data!$C:$C,$J$4))</f>
        <v>8397.41412876463</v>
      </c>
      <c r="AM57" s="17" t="n">
        <f aca="false">AL57*(1+AM47/100)^INDEX(Data!$CQ:$CQ,$J$4)/(1+INDEX(Data!$C:$C,$J$4))</f>
        <v>8521.11015050559</v>
      </c>
      <c r="AN57" s="17" t="n">
        <f aca="false">AM57*(1+AN47/100)^INDEX(Data!$CQ:$CQ,$J$4)/(1+INDEX(Data!$C:$C,$J$4))</f>
        <v>8646.62824575156</v>
      </c>
    </row>
    <row r="58" customFormat="false" ht="15" hidden="false" customHeight="false" outlineLevel="0" collapsed="false">
      <c r="A58" s="9" t="n">
        <v>3</v>
      </c>
      <c r="B58" s="9" t="s">
        <v>442</v>
      </c>
      <c r="C58" s="9" t="s">
        <v>450</v>
      </c>
      <c r="D58" s="9" t="s">
        <v>440</v>
      </c>
      <c r="E58" s="9" t="s">
        <v>433</v>
      </c>
      <c r="F58" s="9" t="s">
        <v>434</v>
      </c>
      <c r="G58" s="18"/>
      <c r="H58" s="18" t="s">
        <v>452</v>
      </c>
      <c r="I58" s="9"/>
      <c r="J58" s="9"/>
      <c r="K58" s="17" t="n">
        <f aca="false">INDEX(Data!$BN:$BN,$J$4)</f>
        <v>1025.303588874</v>
      </c>
      <c r="L58" s="17" t="n">
        <f aca="false">INDEX(Data!$BO:$BO,$J$4)</f>
        <v>1114.19723999561</v>
      </c>
      <c r="M58" s="17" t="n">
        <f aca="false">INDEX(Data!$BP:$BP,$J$4)</f>
        <v>1221.25706175171</v>
      </c>
      <c r="N58" s="19" t="n">
        <f aca="false">INDEX(Data!$BM:$BM,$J$4)</f>
        <v>1369.89880621926</v>
      </c>
      <c r="O58" s="17" t="n">
        <f aca="false">N58*(1+O47/100)^INDEX(Data!$CY:$CY,$J$4)/(1+INDEX(Data!$K:$K,$J$4))</f>
        <v>1459.66108641292</v>
      </c>
      <c r="P58" s="17" t="n">
        <f aca="false">O58*(1+P47/100)^INDEX(Data!$CY:$CY,$J$4)/(1+INDEX(Data!$K:$K,$J$4))</f>
        <v>1538.82963523836</v>
      </c>
      <c r="Q58" s="17" t="n">
        <f aca="false">P58*(1+Q47/100)^INDEX(Data!$CY:$CY,$J$4)/(1+INDEX(Data!$K:$K,$J$4))</f>
        <v>1619.5953371829</v>
      </c>
      <c r="R58" s="17" t="n">
        <f aca="false">Q58*(1+R47/100)^INDEX(Data!$CY:$CY,$J$4)/(1+INDEX(Data!$K:$K,$J$4))</f>
        <v>1701.76173824949</v>
      </c>
      <c r="S58" s="17" t="n">
        <f aca="false">R58*(1+S47/100)^INDEX(Data!$CY:$CY,$J$4)/(1+INDEX(Data!$K:$K,$J$4))</f>
        <v>1785.11436517147</v>
      </c>
      <c r="T58" s="17" t="n">
        <f aca="false">S58*(1+T47/100)^INDEX(Data!$CY:$CY,$J$4)/(1+INDEX(Data!$K:$K,$J$4))</f>
        <v>1869.4212515266</v>
      </c>
      <c r="U58" s="17" t="n">
        <f aca="false">T58*(1+U47/100)^INDEX(Data!$CY:$CY,$J$4)/(1+INDEX(Data!$K:$K,$J$4))</f>
        <v>1954.4336456678</v>
      </c>
      <c r="V58" s="17" t="n">
        <f aca="false">U58*(1+V47/100)^INDEX(Data!$CY:$CY,$J$4)/(1+INDEX(Data!$K:$K,$J$4))</f>
        <v>2039.88690288829</v>
      </c>
      <c r="W58" s="17" t="n">
        <f aca="false">V58*(1+W47/100)^INDEX(Data!$CY:$CY,$J$4)/(1+INDEX(Data!$K:$K,$J$4))</f>
        <v>2125.50156210951</v>
      </c>
      <c r="X58" s="17" t="n">
        <f aca="false">W58*(1+X47/100)^INDEX(Data!$CY:$CY,$J$4)/(1+INDEX(Data!$K:$K,$J$4))</f>
        <v>2210.98460513217</v>
      </c>
      <c r="Y58" s="17" t="n">
        <f aca="false">X58*(1+Y47/100)^INDEX(Data!$CY:$CY,$J$4)/(1+INDEX(Data!$K:$K,$J$4))</f>
        <v>2296.03089415136</v>
      </c>
      <c r="Z58" s="17" t="n">
        <f aca="false">Y58*(1+Z47/100)^INDEX(Data!$CY:$CY,$J$4)/(1+INDEX(Data!$K:$K,$J$4))</f>
        <v>2380.32478083961</v>
      </c>
      <c r="AA58" s="17" t="n">
        <f aca="false">Z58*(1+AA47/100)^INDEX(Data!$CY:$CY,$J$4)/(1+INDEX(Data!$K:$K,$J$4))</f>
        <v>2463.54187788065</v>
      </c>
      <c r="AB58" s="17" t="n">
        <f aca="false">AA58*(1+AB47/100)^INDEX(Data!$CY:$CY,$J$4)/(1+INDEX(Data!$K:$K,$J$4))</f>
        <v>2545.35098142928</v>
      </c>
      <c r="AC58" s="17" t="n">
        <f aca="false">AB58*(1+AC47/100)^INDEX(Data!$CY:$CY,$J$4)/(1+INDEX(Data!$K:$K,$J$4))</f>
        <v>2625.41613061741</v>
      </c>
      <c r="AD58" s="17" t="n">
        <f aca="false">AC58*(1+AD47/100)^INDEX(Data!$CY:$CY,$J$4)/(1+INDEX(Data!$K:$K,$J$4))</f>
        <v>2703.39878796248</v>
      </c>
      <c r="AE58" s="17" t="n">
        <f aca="false">AD58*(1+AE47/100)^INDEX(Data!$CY:$CY,$J$4)/(1+INDEX(Data!$K:$K,$J$4))</f>
        <v>2783.69776186235</v>
      </c>
      <c r="AF58" s="17" t="n">
        <f aca="false">AE58*(1+AF47/100)^INDEX(Data!$CY:$CY,$J$4)/(1+INDEX(Data!$K:$K,$J$4))</f>
        <v>2866.38185379886</v>
      </c>
      <c r="AG58" s="17" t="n">
        <f aca="false">AF58*(1+AG47/100)^INDEX(Data!$CY:$CY,$J$4)/(1+INDEX(Data!$K:$K,$J$4))</f>
        <v>2951.52190886219</v>
      </c>
      <c r="AH58" s="17" t="n">
        <f aca="false">AG58*(1+AH47/100)^INDEX(Data!$CY:$CY,$J$4)/(1+INDEX(Data!$K:$K,$J$4))</f>
        <v>3039.19087645216</v>
      </c>
      <c r="AI58" s="17" t="n">
        <f aca="false">AH58*(1+AI47/100)^INDEX(Data!$CY:$CY,$J$4)/(1+INDEX(Data!$K:$K,$J$4))</f>
        <v>3129.46387278242</v>
      </c>
      <c r="AJ58" s="17" t="n">
        <f aca="false">AI58*(1+AJ47/100)^INDEX(Data!$CY:$CY,$J$4)/(1+INDEX(Data!$K:$K,$J$4))</f>
        <v>3222.4182452413</v>
      </c>
      <c r="AK58" s="17" t="n">
        <f aca="false">AJ58*(1+AK47/100)^INDEX(Data!$CY:$CY,$J$4)/(1+INDEX(Data!$K:$K,$J$4))</f>
        <v>3318.13363866431</v>
      </c>
      <c r="AL58" s="17" t="n">
        <f aca="false">AK58*(1+AL47/100)^INDEX(Data!$CY:$CY,$J$4)/(1+INDEX(Data!$K:$K,$J$4))</f>
        <v>3416.69206357513</v>
      </c>
      <c r="AM58" s="17" t="n">
        <f aca="false">AL58*(1+AM47/100)^INDEX(Data!$CY:$CY,$J$4)/(1+INDEX(Data!$K:$K,$J$4))</f>
        <v>3518.1779664536</v>
      </c>
      <c r="AN58" s="17" t="n">
        <f aca="false">AM58*(1+AN47/100)^INDEX(Data!$CY:$CY,$J$4)/(1+INDEX(Data!$K:$K,$J$4))</f>
        <v>3622.67830209084</v>
      </c>
    </row>
    <row r="59" customFormat="false" ht="15" hidden="false" customHeight="false" outlineLevel="0" collapsed="false">
      <c r="A59" s="9" t="n">
        <v>3</v>
      </c>
      <c r="B59" s="9" t="s">
        <v>453</v>
      </c>
      <c r="C59" s="9" t="s">
        <v>450</v>
      </c>
      <c r="D59" s="9" t="s">
        <v>440</v>
      </c>
      <c r="E59" s="9" t="s">
        <v>433</v>
      </c>
      <c r="F59" s="9" t="s">
        <v>434</v>
      </c>
      <c r="G59" s="18"/>
      <c r="H59" s="18" t="s">
        <v>454</v>
      </c>
      <c r="I59" s="9"/>
      <c r="J59" s="9"/>
      <c r="K59" s="17" t="n">
        <f aca="false">INDEX(Data!$BW:$BW,$J$4)</f>
        <v>2683.32388739841</v>
      </c>
      <c r="L59" s="17" t="n">
        <f aca="false">INDEX(Data!$BX:$BX,$J$4)</f>
        <v>2844.04555921719</v>
      </c>
      <c r="M59" s="17" t="n">
        <f aca="false">INDEX(Data!$BY:$BY,$J$4)</f>
        <v>3118.78310998668</v>
      </c>
      <c r="N59" s="19" t="n">
        <f aca="false">INDEX(Data!$BV:$BV,$J$4)</f>
        <v>3560.83322638007</v>
      </c>
      <c r="O59" s="17" t="n">
        <f aca="false">N59*(1+O47/100)^INDEX(Data!$DA:$DA,$J$4)/(1+INDEX(Data!$M:$M,$J$4))</f>
        <v>3757.45255386313</v>
      </c>
      <c r="P59" s="17" t="n">
        <f aca="false">O59*(1+P47/100)^INDEX(Data!$DA:$DA,$J$4)/(1+INDEX(Data!$M:$M,$J$4))</f>
        <v>3931.29244428592</v>
      </c>
      <c r="Q59" s="17" t="n">
        <f aca="false">P59*(1+Q47/100)^INDEX(Data!$DA:$DA,$J$4)/(1+INDEX(Data!$M:$M,$J$4))</f>
        <v>4107.70427487162</v>
      </c>
      <c r="R59" s="17" t="n">
        <f aca="false">Q59*(1+R47/100)^INDEX(Data!$DA:$DA,$J$4)/(1+INDEX(Data!$M:$M,$J$4))</f>
        <v>4286.31414057421</v>
      </c>
      <c r="S59" s="17" t="n">
        <f aca="false">R59*(1+S47/100)^INDEX(Data!$DA:$DA,$J$4)/(1+INDEX(Data!$M:$M,$J$4))</f>
        <v>4466.72140873803</v>
      </c>
      <c r="T59" s="17" t="n">
        <f aca="false">S59*(1+T47/100)^INDEX(Data!$DA:$DA,$J$4)/(1+INDEX(Data!$M:$M,$J$4))</f>
        <v>4648.49970694907</v>
      </c>
      <c r="U59" s="17" t="n">
        <f aca="false">T59*(1+U47/100)^INDEX(Data!$DA:$DA,$J$4)/(1+INDEX(Data!$M:$M,$J$4))</f>
        <v>4831.19813764838</v>
      </c>
      <c r="V59" s="17" t="n">
        <f aca="false">U59*(1+V47/100)^INDEX(Data!$DA:$DA,$J$4)/(1+INDEX(Data!$M:$M,$J$4))</f>
        <v>5014.34272003612</v>
      </c>
      <c r="W59" s="17" t="n">
        <f aca="false">V59*(1+W47/100)^INDEX(Data!$DA:$DA,$J$4)/(1+INDEX(Data!$M:$M,$J$4))</f>
        <v>5197.43805759167</v>
      </c>
      <c r="X59" s="17" t="n">
        <f aca="false">W59*(1+X47/100)^INDEX(Data!$DA:$DA,$J$4)/(1+INDEX(Data!$M:$M,$J$4))</f>
        <v>5379.96922724633</v>
      </c>
      <c r="Y59" s="17" t="n">
        <f aca="false">X59*(1+Y47/100)^INDEX(Data!$DA:$DA,$J$4)/(1+INDEX(Data!$M:$M,$J$4))</f>
        <v>5561.40388389419</v>
      </c>
      <c r="Z59" s="17" t="n">
        <f aca="false">Y59*(1+Z47/100)^INDEX(Data!$DA:$DA,$J$4)/(1+INDEX(Data!$M:$M,$J$4))</f>
        <v>5741.19457154142</v>
      </c>
      <c r="AA59" s="17" t="n">
        <f aca="false">Z59*(1+AA47/100)^INDEX(Data!$DA:$DA,$J$4)/(1+INDEX(Data!$M:$M,$J$4))</f>
        <v>5918.78123000226</v>
      </c>
      <c r="AB59" s="17" t="n">
        <f aca="false">AA59*(1+AB47/100)^INDEX(Data!$DA:$DA,$J$4)/(1+INDEX(Data!$M:$M,$J$4))</f>
        <v>6093.59388368206</v>
      </c>
      <c r="AC59" s="17" t="n">
        <f aca="false">AB59*(1+AC47/100)^INDEX(Data!$DA:$DA,$J$4)/(1+INDEX(Data!$M:$M,$J$4))</f>
        <v>6265.05549667403</v>
      </c>
      <c r="AD59" s="17" t="n">
        <f aca="false">AC59*(1+AD47/100)^INDEX(Data!$DA:$DA,$J$4)/(1+INDEX(Data!$M:$M,$J$4))</f>
        <v>6432.58497616832</v>
      </c>
      <c r="AE59" s="17" t="n">
        <f aca="false">AD59*(1+AE47/100)^INDEX(Data!$DA:$DA,$J$4)/(1+INDEX(Data!$M:$M,$J$4))</f>
        <v>6604.59424463089</v>
      </c>
      <c r="AF59" s="17" t="n">
        <f aca="false">AE59*(1+AF47/100)^INDEX(Data!$DA:$DA,$J$4)/(1+INDEX(Data!$M:$M,$J$4))</f>
        <v>6781.20309297411</v>
      </c>
      <c r="AG59" s="17" t="n">
        <f aca="false">AF59*(1+AG47/100)^INDEX(Data!$DA:$DA,$J$4)/(1+INDEX(Data!$M:$M,$J$4))</f>
        <v>6962.53451535563</v>
      </c>
      <c r="AH59" s="17" t="n">
        <f aca="false">AG59*(1+AH47/100)^INDEX(Data!$DA:$DA,$J$4)/(1+INDEX(Data!$M:$M,$J$4))</f>
        <v>7148.71479483405</v>
      </c>
      <c r="AI59" s="17" t="n">
        <f aca="false">AH59*(1+AI47/100)^INDEX(Data!$DA:$DA,$J$4)/(1+INDEX(Data!$M:$M,$J$4))</f>
        <v>7339.87359131518</v>
      </c>
      <c r="AJ59" s="17" t="n">
        <f aca="false">AI59*(1+AJ47/100)^INDEX(Data!$DA:$DA,$J$4)/(1+INDEX(Data!$M:$M,$J$4))</f>
        <v>7536.14403184993</v>
      </c>
      <c r="AK59" s="17" t="n">
        <f aca="false">AJ59*(1+AK47/100)^INDEX(Data!$DA:$DA,$J$4)/(1+INDEX(Data!$M:$M,$J$4))</f>
        <v>7737.66280334686</v>
      </c>
      <c r="AL59" s="17" t="n">
        <f aca="false">AK59*(1+AL47/100)^INDEX(Data!$DA:$DA,$J$4)/(1+INDEX(Data!$M:$M,$J$4))</f>
        <v>7944.57024776379</v>
      </c>
      <c r="AM59" s="17" t="n">
        <f aca="false">AL59*(1+AM47/100)^INDEX(Data!$DA:$DA,$J$4)/(1+INDEX(Data!$M:$M,$J$4))</f>
        <v>8157.01045984495</v>
      </c>
      <c r="AN59" s="17" t="n">
        <f aca="false">AM59*(1+AN47/100)^INDEX(Data!$DA:$DA,$J$4)/(1+INDEX(Data!$M:$M,$J$4))</f>
        <v>8375.13138747165</v>
      </c>
    </row>
    <row r="60" customFormat="false" ht="15" hidden="false" customHeight="false" outlineLevel="0" collapsed="false">
      <c r="A60" s="9" t="n">
        <v>3</v>
      </c>
      <c r="B60" s="9" t="s">
        <v>448</v>
      </c>
      <c r="C60" s="9" t="s">
        <v>450</v>
      </c>
      <c r="D60" s="9" t="s">
        <v>440</v>
      </c>
      <c r="E60" s="9" t="s">
        <v>433</v>
      </c>
      <c r="F60" s="9" t="s">
        <v>434</v>
      </c>
      <c r="G60" s="18"/>
      <c r="H60" s="18" t="s">
        <v>455</v>
      </c>
      <c r="I60" s="9"/>
      <c r="J60" s="9"/>
      <c r="K60" s="17" t="n">
        <f aca="false">INDEX(Data!$AT:$AT,$J$4)</f>
        <v>3501.3898493064</v>
      </c>
      <c r="L60" s="17" t="n">
        <f aca="false">INDEX(Data!$AU:$AU,$J$4)</f>
        <v>4213.60723058453</v>
      </c>
      <c r="M60" s="17" t="n">
        <f aca="false">INDEX(Data!$AV:$AV,$J$4)</f>
        <v>4451.84642689476</v>
      </c>
      <c r="N60" s="19" t="n">
        <f aca="false">INDEX(Data!$AS:$AS,$J$4)</f>
        <v>4345.65368649116</v>
      </c>
      <c r="O60" s="17" t="n">
        <f aca="false">N60*(1+O47/100)^INDEX(Data!$CT:$CT,$J$4)/(1+INDEX(Data!$F:$F,$J$4))</f>
        <v>4585.60862147159</v>
      </c>
      <c r="P60" s="17" t="n">
        <f aca="false">O60*(1+P47/100)^INDEX(Data!$CT:$CT,$J$4)/(1+INDEX(Data!$F:$F,$J$4))</f>
        <v>4797.76344947037</v>
      </c>
      <c r="Q60" s="17" t="n">
        <f aca="false">P60*(1+Q47/100)^INDEX(Data!$CT:$CT,$J$4)/(1+INDEX(Data!$F:$F,$J$4))</f>
        <v>5013.05708250152</v>
      </c>
      <c r="R60" s="17" t="n">
        <f aca="false">Q60*(1+R47/100)^INDEX(Data!$CT:$CT,$J$4)/(1+INDEX(Data!$F:$F,$J$4))</f>
        <v>5231.03320550103</v>
      </c>
      <c r="S60" s="17" t="n">
        <f aca="false">R60*(1+S47/100)^INDEX(Data!$CT:$CT,$J$4)/(1+INDEX(Data!$F:$F,$J$4))</f>
        <v>5451.20288493387</v>
      </c>
      <c r="T60" s="17" t="n">
        <f aca="false">S60*(1+T47/100)^INDEX(Data!$CT:$CT,$J$4)/(1+INDEX(Data!$F:$F,$J$4))</f>
        <v>5673.04577437128</v>
      </c>
      <c r="U60" s="17" t="n">
        <f aca="false">T60*(1+U47/100)^INDEX(Data!$CT:$CT,$J$4)/(1+INDEX(Data!$F:$F,$J$4))</f>
        <v>5896.01159680935</v>
      </c>
      <c r="V60" s="17" t="n">
        <f aca="false">U60*(1+V47/100)^INDEX(Data!$CT:$CT,$J$4)/(1+INDEX(Data!$F:$F,$J$4))</f>
        <v>6119.52190437386</v>
      </c>
      <c r="W60" s="17" t="n">
        <f aca="false">V60*(1+W47/100)^INDEX(Data!$CT:$CT,$J$4)/(1+INDEX(Data!$F:$F,$J$4))</f>
        <v>6342.97211336792</v>
      </c>
      <c r="X60" s="17" t="n">
        <f aca="false">W60*(1+X47/100)^INDEX(Data!$CT:$CT,$J$4)/(1+INDEX(Data!$F:$F,$J$4))</f>
        <v>6565.73380982504</v>
      </c>
      <c r="Y60" s="17" t="n">
        <f aca="false">X60*(1+Y47/100)^INDEX(Data!$CT:$CT,$J$4)/(1+INDEX(Data!$F:$F,$J$4))</f>
        <v>6787.15731786184</v>
      </c>
      <c r="Z60" s="17" t="n">
        <f aca="false">Y60*(1+Z47/100)^INDEX(Data!$CT:$CT,$J$4)/(1+INDEX(Data!$F:$F,$J$4))</f>
        <v>7006.57452021289</v>
      </c>
      <c r="AA60" s="17" t="n">
        <f aca="false">Z60*(1+AA47/100)^INDEX(Data!$CT:$CT,$J$4)/(1+INDEX(Data!$F:$F,$J$4))</f>
        <v>7223.30191741157</v>
      </c>
      <c r="AB60" s="17" t="n">
        <f aca="false">AA60*(1+AB47/100)^INDEX(Data!$CT:$CT,$J$4)/(1+INDEX(Data!$F:$F,$J$4))</f>
        <v>7436.64390919063</v>
      </c>
      <c r="AC60" s="17" t="n">
        <f aca="false">AB60*(1+AC47/100)^INDEX(Data!$CT:$CT,$J$4)/(1+INDEX(Data!$F:$F,$J$4))</f>
        <v>7645.89627885236</v>
      </c>
      <c r="AD60" s="17" t="n">
        <f aca="false">AC60*(1+AD47/100)^INDEX(Data!$CT:$CT,$J$4)/(1+INDEX(Data!$F:$F,$J$4))</f>
        <v>7850.34985864004</v>
      </c>
      <c r="AE60" s="17" t="n">
        <f aca="false">AD60*(1+AE47/100)^INDEX(Data!$CT:$CT,$J$4)/(1+INDEX(Data!$F:$F,$J$4))</f>
        <v>8060.27058900935</v>
      </c>
      <c r="AF60" s="17" t="n">
        <f aca="false">AE60*(1+AF47/100)^INDEX(Data!$CT:$CT,$J$4)/(1+INDEX(Data!$F:$F,$J$4))</f>
        <v>8275.80466322094</v>
      </c>
      <c r="AG60" s="17" t="n">
        <f aca="false">AF60*(1+AG47/100)^INDEX(Data!$CT:$CT,$J$4)/(1+INDEX(Data!$F:$F,$J$4))</f>
        <v>8497.1021837875</v>
      </c>
      <c r="AH60" s="17" t="n">
        <f aca="false">AG60*(1+AH47/100)^INDEX(Data!$CT:$CT,$J$4)/(1+INDEX(Data!$F:$F,$J$4))</f>
        <v>8724.3172670083</v>
      </c>
      <c r="AI60" s="17" t="n">
        <f aca="false">AH60*(1+AI47/100)^INDEX(Data!$CT:$CT,$J$4)/(1+INDEX(Data!$F:$F,$J$4))</f>
        <v>8957.6081502991</v>
      </c>
      <c r="AJ60" s="17" t="n">
        <f aca="false">AI60*(1+AJ47/100)^INDEX(Data!$CT:$CT,$J$4)/(1+INDEX(Data!$F:$F,$J$4))</f>
        <v>9197.13730239202</v>
      </c>
      <c r="AK60" s="17" t="n">
        <f aca="false">AJ60*(1+AK47/100)^INDEX(Data!$CT:$CT,$J$4)/(1+INDEX(Data!$F:$F,$J$4))</f>
        <v>9443.07153648224</v>
      </c>
      <c r="AL60" s="17" t="n">
        <f aca="false">AK60*(1+AL47/100)^INDEX(Data!$CT:$CT,$J$4)/(1+INDEX(Data!$F:$F,$J$4))</f>
        <v>9695.58212640025</v>
      </c>
      <c r="AM60" s="17" t="n">
        <f aca="false">AL60*(1+AM47/100)^INDEX(Data!$CT:$CT,$J$4)/(1+INDEX(Data!$F:$F,$J$4))</f>
        <v>9954.84492589058</v>
      </c>
      <c r="AN60" s="17" t="n">
        <f aca="false">AM60*(1+AN47/100)^INDEX(Data!$CT:$CT,$J$4)/(1+INDEX(Data!$F:$F,$J$4))</f>
        <v>10221.0404910801</v>
      </c>
    </row>
    <row r="61" customFormat="false" ht="15" hidden="false" customHeight="false" outlineLevel="0" collapsed="false">
      <c r="A61" s="12" t="s">
        <v>456</v>
      </c>
      <c r="B61" s="13"/>
      <c r="C61" s="13"/>
      <c r="D61" s="13"/>
      <c r="E61" s="13"/>
      <c r="F61" s="13"/>
      <c r="G61" s="13"/>
      <c r="H61" s="13"/>
      <c r="I61" s="13"/>
      <c r="J61" s="13"/>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row>
    <row r="62" customFormat="false" ht="15" hidden="false" customHeight="false" outlineLevel="0" collapsed="false">
      <c r="A62" s="9" t="n">
        <v>4</v>
      </c>
      <c r="B62" s="9"/>
      <c r="C62" s="9" t="s">
        <v>431</v>
      </c>
      <c r="D62" s="9" t="s">
        <v>457</v>
      </c>
      <c r="E62" s="9" t="s">
        <v>458</v>
      </c>
      <c r="F62" s="9" t="s">
        <v>425</v>
      </c>
      <c r="G62" s="18"/>
      <c r="H62" s="18" t="s">
        <v>459</v>
      </c>
      <c r="I62" s="9"/>
      <c r="J62" s="9"/>
      <c r="K62" s="17"/>
      <c r="L62" s="17"/>
      <c r="M62" s="17"/>
      <c r="N62" s="19" t="n">
        <f aca="false">(N50+N51)/p_veh_gj</f>
        <v>127.049456714897</v>
      </c>
      <c r="O62" s="17" t="n">
        <f aca="false">(O50+O51)/p_veh_gj</f>
        <v>131.816745385069</v>
      </c>
      <c r="P62" s="17" t="n">
        <f aca="false">(P50+P51)/p_veh_gj</f>
        <v>135.839266688274</v>
      </c>
      <c r="Q62" s="17" t="n">
        <f aca="false">(Q50+Q51)/p_veh_gj</f>
        <v>139.837407216871</v>
      </c>
      <c r="R62" s="17" t="n">
        <f aca="false">(R50+R51)/p_veh_gj</f>
        <v>143.80156589555</v>
      </c>
      <c r="S62" s="17" t="n">
        <f aca="false">(S50+S51)/p_veh_gj</f>
        <v>147.721944848893</v>
      </c>
      <c r="T62" s="17" t="n">
        <f aca="false">(T50+T51)/p_veh_gj</f>
        <v>151.588586510486</v>
      </c>
      <c r="U62" s="17" t="n">
        <f aca="false">(U50+U51)/p_veh_gj</f>
        <v>155.391412862607</v>
      </c>
      <c r="V62" s="17" t="n">
        <f aca="false">(V50+V51)/p_veh_gj</f>
        <v>159.120266615267</v>
      </c>
      <c r="W62" s="17" t="n">
        <f aca="false">(W50+W51)/p_veh_gj</f>
        <v>162.764954111504</v>
      </c>
      <c r="X62" s="17" t="n">
        <f aca="false">(X50+X51)/p_veh_gj</f>
        <v>166.315289725162</v>
      </c>
      <c r="Y62" s="17" t="n">
        <f aca="false">(Y50+Y51)/p_veh_gj</f>
        <v>169.76114149805</v>
      </c>
      <c r="Z62" s="17" t="n">
        <f aca="false">(Z50+Z51)/p_veh_gj</f>
        <v>173.09247774578</v>
      </c>
      <c r="AA62" s="17" t="n">
        <f aca="false">(AA50+AA51)/p_veh_gj</f>
        <v>176.299414345811</v>
      </c>
      <c r="AB62" s="17" t="n">
        <f aca="false">(AB50+AB51)/p_veh_gj</f>
        <v>179.372262407571</v>
      </c>
      <c r="AC62" s="17" t="n">
        <f aca="false">(AC50+AC51)/p_veh_gj</f>
        <v>182.301576013234</v>
      </c>
      <c r="AD62" s="17" t="n">
        <f aca="false">(AD50+AD51)/p_veh_gj</f>
        <v>185.078199708879</v>
      </c>
      <c r="AE62" s="17" t="n">
        <f aca="false">(AE50+AE51)/p_veh_gj</f>
        <v>187.8978026033</v>
      </c>
      <c r="AF62" s="17" t="n">
        <f aca="false">(AF50+AF51)/p_veh_gj</f>
        <v>190.761060886483</v>
      </c>
      <c r="AG62" s="17" t="n">
        <f aca="false">(AG50+AG51)/p_veh_gj</f>
        <v>193.668661557192</v>
      </c>
      <c r="AH62" s="17" t="n">
        <f aca="false">(AH50+AH51)/p_veh_gj</f>
        <v>196.621302598368</v>
      </c>
      <c r="AI62" s="17" t="n">
        <f aca="false">(AI50+AI51)/p_veh_gj</f>
        <v>199.619693155397</v>
      </c>
      <c r="AJ62" s="17" t="n">
        <f aca="false">(AJ50+AJ51)/p_veh_gj</f>
        <v>202.664553717326</v>
      </c>
      <c r="AK62" s="17" t="n">
        <f aca="false">(AK50+AK51)/p_veh_gj</f>
        <v>205.756616301051</v>
      </c>
      <c r="AL62" s="17" t="n">
        <f aca="false">(AL50+AL51)/p_veh_gj</f>
        <v>208.896624638541</v>
      </c>
      <c r="AM62" s="17" t="n">
        <f aca="false">(AM50+AM51)/p_veh_gj</f>
        <v>212.085334367149</v>
      </c>
      <c r="AN62" s="17" t="n">
        <f aca="false">(AN50+AN51)/p_veh_gj</f>
        <v>215.323513223048</v>
      </c>
    </row>
    <row r="63" customFormat="false" ht="15" hidden="false" customHeight="false" outlineLevel="0" collapsed="false">
      <c r="A63" s="9" t="n">
        <v>4</v>
      </c>
      <c r="B63" s="9"/>
      <c r="C63" s="9" t="s">
        <v>431</v>
      </c>
      <c r="D63" s="9" t="s">
        <v>460</v>
      </c>
      <c r="E63" s="9" t="s">
        <v>458</v>
      </c>
      <c r="F63" s="9" t="s">
        <v>425</v>
      </c>
      <c r="G63" s="18"/>
      <c r="H63" s="18" t="s">
        <v>461</v>
      </c>
      <c r="I63" s="9"/>
      <c r="J63" s="9"/>
      <c r="K63" s="17"/>
      <c r="L63" s="17"/>
      <c r="M63" s="17"/>
      <c r="N63" s="19" t="n">
        <f aca="false">N62/p_veh_life</f>
        <v>10.5874547262414</v>
      </c>
      <c r="O63" s="17" t="n">
        <f aca="false">O62/p_veh_life+MAX(0,O62-N62)</f>
        <v>15.7520174522618</v>
      </c>
      <c r="P63" s="17" t="n">
        <f aca="false">P62/p_veh_life+MAX(0,P62-O62)</f>
        <v>15.3424601938935</v>
      </c>
      <c r="Q63" s="17" t="n">
        <f aca="false">Q62/p_veh_life+MAX(0,Q62-P62)</f>
        <v>15.6512577966705</v>
      </c>
      <c r="R63" s="17" t="n">
        <f aca="false">R62/p_veh_life+MAX(0,R62-Q62)</f>
        <v>15.9476225033081</v>
      </c>
      <c r="S63" s="17" t="n">
        <f aca="false">S62/p_veh_life+MAX(0,S62-R62)</f>
        <v>16.2305410240839</v>
      </c>
      <c r="T63" s="17" t="n">
        <f aca="false">T62/p_veh_life+MAX(0,T62-S62)</f>
        <v>16.4990238707999</v>
      </c>
      <c r="U63" s="17" t="n">
        <f aca="false">U62/p_veh_life+MAX(0,U62-T62)</f>
        <v>16.7521107573386</v>
      </c>
      <c r="V63" s="17" t="n">
        <f aca="false">V62/p_veh_life+MAX(0,V62-U62)</f>
        <v>16.9888759705984</v>
      </c>
      <c r="W63" s="17" t="n">
        <f aca="false">W62/p_veh_life+MAX(0,W62-V62)</f>
        <v>17.2084336721962</v>
      </c>
      <c r="X63" s="17" t="n">
        <f aca="false">X62/p_veh_life+MAX(0,X62-W62)</f>
        <v>17.4099430907547</v>
      </c>
      <c r="Y63" s="17" t="n">
        <f aca="false">Y62/p_veh_life+MAX(0,Y62-X62)</f>
        <v>17.5926135643917</v>
      </c>
      <c r="Z63" s="17" t="n">
        <f aca="false">Z62/p_veh_life+MAX(0,Z62-Y62)</f>
        <v>17.7557093932125</v>
      </c>
      <c r="AA63" s="17" t="n">
        <f aca="false">AA62/p_veh_life+MAX(0,AA62-Z62)</f>
        <v>17.8985544621818</v>
      </c>
      <c r="AB63" s="17" t="n">
        <f aca="false">AB62/p_veh_life+MAX(0,AB62-AA62)</f>
        <v>18.0205365957235</v>
      </c>
      <c r="AC63" s="17" t="n">
        <f aca="false">AC62/p_veh_life+MAX(0,AC62-AB62)</f>
        <v>18.1211116067665</v>
      </c>
      <c r="AD63" s="17" t="n">
        <f aca="false">AD62/p_veh_life+MAX(0,AD62-AC62)</f>
        <v>18.1998070047179</v>
      </c>
      <c r="AE63" s="17" t="n">
        <f aca="false">AE62/p_veh_life+MAX(0,AE62-AD62)</f>
        <v>18.477753111363</v>
      </c>
      <c r="AF63" s="17" t="n">
        <f aca="false">AF62/p_veh_life+MAX(0,AF62-AE62)</f>
        <v>18.7600133570558</v>
      </c>
      <c r="AG63" s="17" t="n">
        <f aca="false">AG62/p_veh_life+MAX(0,AG62-AF62)</f>
        <v>19.0466558004755</v>
      </c>
      <c r="AH63" s="17" t="n">
        <f aca="false">AH62/p_veh_life+MAX(0,AH62-AG62)</f>
        <v>19.3377495910396</v>
      </c>
      <c r="AI63" s="17" t="n">
        <f aca="false">AI62/p_veh_life+MAX(0,AI62-AH62)</f>
        <v>19.6333649866458</v>
      </c>
      <c r="AJ63" s="17" t="n">
        <f aca="false">AJ62/p_veh_life+MAX(0,AJ62-AI62)</f>
        <v>19.9335733717062</v>
      </c>
      <c r="AK63" s="17" t="n">
        <f aca="false">AK62/p_veh_life+MAX(0,AK62-AJ62)</f>
        <v>20.2384472754788</v>
      </c>
      <c r="AL63" s="17" t="n">
        <f aca="false">AL62/p_veh_life+MAX(0,AL62-AK62)</f>
        <v>20.5480603907024</v>
      </c>
      <c r="AM63" s="17" t="n">
        <f aca="false">AM62/p_veh_life+MAX(0,AM62-AL62)</f>
        <v>20.8624875925372</v>
      </c>
      <c r="AN63" s="17" t="n">
        <f aca="false">AN62/p_veh_life+MAX(0,AN62-AM62)</f>
        <v>21.1818049578196</v>
      </c>
    </row>
    <row r="64" customFormat="false" ht="15" hidden="false" customHeight="false" outlineLevel="0" collapsed="false">
      <c r="A64" s="9" t="n">
        <v>4</v>
      </c>
      <c r="B64" s="9"/>
      <c r="C64" s="9" t="s">
        <v>431</v>
      </c>
      <c r="D64" s="9" t="s">
        <v>462</v>
      </c>
      <c r="E64" s="9" t="s">
        <v>147</v>
      </c>
      <c r="F64" s="9" t="s">
        <v>425</v>
      </c>
      <c r="G64" s="18"/>
      <c r="H64" s="18" t="s">
        <v>463</v>
      </c>
      <c r="I64" s="9"/>
      <c r="J64" s="9"/>
      <c r="K64" s="17"/>
      <c r="L64" s="17"/>
      <c r="M64" s="17"/>
      <c r="N64" s="19" t="n">
        <f aca="false">p_ev_prem24</f>
        <v>10000</v>
      </c>
      <c r="O64" s="17" t="n">
        <f aca="false">MAX(0,p_ev_prem24*(1-(O$1-2024)/(p_ev_parity-2024)))</f>
        <v>8750</v>
      </c>
      <c r="P64" s="17" t="n">
        <f aca="false">MAX(0,p_ev_prem24*(1-(P$1-2024)/(p_ev_parity-2024)))</f>
        <v>7500</v>
      </c>
      <c r="Q64" s="17" t="n">
        <f aca="false">MAX(0,p_ev_prem24*(1-(Q$1-2024)/(p_ev_parity-2024)))</f>
        <v>6250</v>
      </c>
      <c r="R64" s="17" t="n">
        <f aca="false">MAX(0,p_ev_prem24*(1-(R$1-2024)/(p_ev_parity-2024)))</f>
        <v>5000</v>
      </c>
      <c r="S64" s="17" t="n">
        <f aca="false">MAX(0,p_ev_prem24*(1-(S$1-2024)/(p_ev_parity-2024)))</f>
        <v>3750</v>
      </c>
      <c r="T64" s="17" t="n">
        <f aca="false">MAX(0,p_ev_prem24*(1-(T$1-2024)/(p_ev_parity-2024)))</f>
        <v>2500</v>
      </c>
      <c r="U64" s="17" t="n">
        <f aca="false">MAX(0,p_ev_prem24*(1-(U$1-2024)/(p_ev_parity-2024)))</f>
        <v>1250</v>
      </c>
      <c r="V64" s="17" t="n">
        <f aca="false">MAX(0,p_ev_prem24*(1-(V$1-2024)/(p_ev_parity-2024)))</f>
        <v>0</v>
      </c>
      <c r="W64" s="17" t="n">
        <f aca="false">MAX(0,p_ev_prem24*(1-(W$1-2024)/(p_ev_parity-2024)))</f>
        <v>0</v>
      </c>
      <c r="X64" s="17" t="n">
        <f aca="false">MAX(0,p_ev_prem24*(1-(X$1-2024)/(p_ev_parity-2024)))</f>
        <v>0</v>
      </c>
      <c r="Y64" s="17" t="n">
        <f aca="false">MAX(0,p_ev_prem24*(1-(Y$1-2024)/(p_ev_parity-2024)))</f>
        <v>0</v>
      </c>
      <c r="Z64" s="17" t="n">
        <f aca="false">MAX(0,p_ev_prem24*(1-(Z$1-2024)/(p_ev_parity-2024)))</f>
        <v>0</v>
      </c>
      <c r="AA64" s="17" t="n">
        <f aca="false">MAX(0,p_ev_prem24*(1-(AA$1-2024)/(p_ev_parity-2024)))</f>
        <v>0</v>
      </c>
      <c r="AB64" s="17" t="n">
        <f aca="false">MAX(0,p_ev_prem24*(1-(AB$1-2024)/(p_ev_parity-2024)))</f>
        <v>0</v>
      </c>
      <c r="AC64" s="17" t="n">
        <f aca="false">MAX(0,p_ev_prem24*(1-(AC$1-2024)/(p_ev_parity-2024)))</f>
        <v>0</v>
      </c>
      <c r="AD64" s="17" t="n">
        <f aca="false">MAX(0,p_ev_prem24*(1-(AD$1-2024)/(p_ev_parity-2024)))</f>
        <v>0</v>
      </c>
      <c r="AE64" s="17" t="n">
        <f aca="false">MAX(0,p_ev_prem24*(1-(AE$1-2024)/(p_ev_parity-2024)))</f>
        <v>0</v>
      </c>
      <c r="AF64" s="17" t="n">
        <f aca="false">MAX(0,p_ev_prem24*(1-(AF$1-2024)/(p_ev_parity-2024)))</f>
        <v>0</v>
      </c>
      <c r="AG64" s="17" t="n">
        <f aca="false">MAX(0,p_ev_prem24*(1-(AG$1-2024)/(p_ev_parity-2024)))</f>
        <v>0</v>
      </c>
      <c r="AH64" s="17" t="n">
        <f aca="false">MAX(0,p_ev_prem24*(1-(AH$1-2024)/(p_ev_parity-2024)))</f>
        <v>0</v>
      </c>
      <c r="AI64" s="17" t="n">
        <f aca="false">MAX(0,p_ev_prem24*(1-(AI$1-2024)/(p_ev_parity-2024)))</f>
        <v>0</v>
      </c>
      <c r="AJ64" s="17" t="n">
        <f aca="false">MAX(0,p_ev_prem24*(1-(AJ$1-2024)/(p_ev_parity-2024)))</f>
        <v>0</v>
      </c>
      <c r="AK64" s="17" t="n">
        <f aca="false">MAX(0,p_ev_prem24*(1-(AK$1-2024)/(p_ev_parity-2024)))</f>
        <v>0</v>
      </c>
      <c r="AL64" s="17" t="n">
        <f aca="false">MAX(0,p_ev_prem24*(1-(AL$1-2024)/(p_ev_parity-2024)))</f>
        <v>0</v>
      </c>
      <c r="AM64" s="17" t="n">
        <f aca="false">MAX(0,p_ev_prem24*(1-(AM$1-2024)/(p_ev_parity-2024)))</f>
        <v>0</v>
      </c>
      <c r="AN64" s="17" t="n">
        <f aca="false">MAX(0,p_ev_prem24*(1-(AN$1-2024)/(p_ev_parity-2024)))</f>
        <v>0</v>
      </c>
    </row>
    <row r="65" customFormat="false" ht="15" hidden="false" customHeight="false" outlineLevel="0" collapsed="false">
      <c r="A65" s="9" t="n">
        <v>4</v>
      </c>
      <c r="B65" s="9" t="s">
        <v>448</v>
      </c>
      <c r="C65" s="9" t="s">
        <v>431</v>
      </c>
      <c r="D65" s="9" t="s">
        <v>464</v>
      </c>
      <c r="E65" s="9" t="s">
        <v>97</v>
      </c>
      <c r="F65" s="9" t="s">
        <v>425</v>
      </c>
      <c r="G65" s="18"/>
      <c r="H65" s="18" t="s">
        <v>465</v>
      </c>
      <c r="I65" s="9"/>
      <c r="J65" s="9"/>
      <c r="K65" s="17"/>
      <c r="L65" s="17"/>
      <c r="M65" s="17"/>
      <c r="N65" s="19" t="n">
        <f aca="false">$J$17</f>
        <v>0.03</v>
      </c>
      <c r="O65" s="17" t="n">
        <f aca="false">IF(O$1&gt;=2035,$J$18,$J$17+($J$18-$J$17)*(O$1-2024)/11)</f>
        <v>0.0409090909090909</v>
      </c>
      <c r="P65" s="17" t="n">
        <f aca="false">IF(P$1&gt;=2035,$J$18,$J$17+($J$18-$J$17)*(P$1-2024)/11)</f>
        <v>0.0518181818181818</v>
      </c>
      <c r="Q65" s="17" t="n">
        <f aca="false">IF(Q$1&gt;=2035,$J$18,$J$17+($J$18-$J$17)*(Q$1-2024)/11)</f>
        <v>0.0627272727272727</v>
      </c>
      <c r="R65" s="17" t="n">
        <f aca="false">IF(R$1&gt;=2035,$J$18,$J$17+($J$18-$J$17)*(R$1-2024)/11)</f>
        <v>0.0736363636363636</v>
      </c>
      <c r="S65" s="17" t="n">
        <f aca="false">IF(S$1&gt;=2035,$J$18,$J$17+($J$18-$J$17)*(S$1-2024)/11)</f>
        <v>0.0845454545454545</v>
      </c>
      <c r="T65" s="17" t="n">
        <f aca="false">IF(T$1&gt;=2035,$J$18,$J$17+($J$18-$J$17)*(T$1-2024)/11)</f>
        <v>0.0954545454545454</v>
      </c>
      <c r="U65" s="17" t="n">
        <f aca="false">IF(U$1&gt;=2035,$J$18,$J$17+($J$18-$J$17)*(U$1-2024)/11)</f>
        <v>0.106363636363636</v>
      </c>
      <c r="V65" s="17" t="n">
        <f aca="false">IF(V$1&gt;=2035,$J$18,$J$17+($J$18-$J$17)*(V$1-2024)/11)</f>
        <v>0.117272727272727</v>
      </c>
      <c r="W65" s="17" t="n">
        <f aca="false">IF(W$1&gt;=2035,$J$18,$J$17+($J$18-$J$17)*(W$1-2024)/11)</f>
        <v>0.128181818181818</v>
      </c>
      <c r="X65" s="17" t="n">
        <f aca="false">IF(X$1&gt;=2035,$J$18,$J$17+($J$18-$J$17)*(X$1-2024)/11)</f>
        <v>0.139090909090909</v>
      </c>
      <c r="Y65" s="17" t="n">
        <f aca="false">IF(Y$1&gt;=2035,$J$18,$J$17+($J$18-$J$17)*(Y$1-2024)/11)</f>
        <v>0.15</v>
      </c>
      <c r="Z65" s="17" t="n">
        <f aca="false">IF(Z$1&gt;=2035,$J$18,$J$17+($J$18-$J$17)*(Z$1-2024)/11)</f>
        <v>0.15</v>
      </c>
      <c r="AA65" s="17" t="n">
        <f aca="false">IF(AA$1&gt;=2035,$J$18,$J$17+($J$18-$J$17)*(AA$1-2024)/11)</f>
        <v>0.15</v>
      </c>
      <c r="AB65" s="17" t="n">
        <f aca="false">IF(AB$1&gt;=2035,$J$18,$J$17+($J$18-$J$17)*(AB$1-2024)/11)</f>
        <v>0.15</v>
      </c>
      <c r="AC65" s="17" t="n">
        <f aca="false">IF(AC$1&gt;=2035,$J$18,$J$17+($J$18-$J$17)*(AC$1-2024)/11)</f>
        <v>0.15</v>
      </c>
      <c r="AD65" s="17" t="n">
        <f aca="false">IF(AD$1&gt;=2035,$J$18,$J$17+($J$18-$J$17)*(AD$1-2024)/11)</f>
        <v>0.15</v>
      </c>
      <c r="AE65" s="17" t="n">
        <f aca="false">IF(AE$1&gt;=2035,$J$18,$J$17+($J$18-$J$17)*(AE$1-2024)/11)</f>
        <v>0.15</v>
      </c>
      <c r="AF65" s="17" t="n">
        <f aca="false">IF(AF$1&gt;=2035,$J$18,$J$17+($J$18-$J$17)*(AF$1-2024)/11)</f>
        <v>0.15</v>
      </c>
      <c r="AG65" s="17" t="n">
        <f aca="false">IF(AG$1&gt;=2035,$J$18,$J$17+($J$18-$J$17)*(AG$1-2024)/11)</f>
        <v>0.15</v>
      </c>
      <c r="AH65" s="17" t="n">
        <f aca="false">IF(AH$1&gt;=2035,$J$18,$J$17+($J$18-$J$17)*(AH$1-2024)/11)</f>
        <v>0.15</v>
      </c>
      <c r="AI65" s="17" t="n">
        <f aca="false">IF(AI$1&gt;=2035,$J$18,$J$17+($J$18-$J$17)*(AI$1-2024)/11)</f>
        <v>0.15</v>
      </c>
      <c r="AJ65" s="17" t="n">
        <f aca="false">IF(AJ$1&gt;=2035,$J$18,$J$17+($J$18-$J$17)*(AJ$1-2024)/11)</f>
        <v>0.15</v>
      </c>
      <c r="AK65" s="17" t="n">
        <f aca="false">IF(AK$1&gt;=2035,$J$18,$J$17+($J$18-$J$17)*(AK$1-2024)/11)</f>
        <v>0.15</v>
      </c>
      <c r="AL65" s="17" t="n">
        <f aca="false">IF(AL$1&gt;=2035,$J$18,$J$17+($J$18-$J$17)*(AL$1-2024)/11)</f>
        <v>0.15</v>
      </c>
      <c r="AM65" s="17" t="n">
        <f aca="false">IF(AM$1&gt;=2035,$J$18,$J$17+($J$18-$J$17)*(AM$1-2024)/11)</f>
        <v>0.15</v>
      </c>
      <c r="AN65" s="17" t="n">
        <f aca="false">IF(AN$1&gt;=2035,$J$18,$J$17+($J$18-$J$17)*(AN$1-2024)/11)</f>
        <v>0.15</v>
      </c>
    </row>
    <row r="66" customFormat="false" ht="15" hidden="false" customHeight="false" outlineLevel="0" collapsed="false">
      <c r="A66" s="9" t="n">
        <v>4</v>
      </c>
      <c r="B66" s="9" t="s">
        <v>448</v>
      </c>
      <c r="C66" s="9" t="s">
        <v>431</v>
      </c>
      <c r="D66" s="9" t="s">
        <v>466</v>
      </c>
      <c r="E66" s="9" t="s">
        <v>97</v>
      </c>
      <c r="F66" s="9" t="s">
        <v>425</v>
      </c>
      <c r="G66" s="18"/>
      <c r="H66" s="18" t="s">
        <v>467</v>
      </c>
      <c r="I66" s="9"/>
      <c r="J66" s="9"/>
      <c r="K66" s="17"/>
      <c r="L66" s="17"/>
      <c r="M66" s="17"/>
      <c r="N66" s="19" t="n">
        <f aca="false">$J$19</f>
        <v>0.0099</v>
      </c>
      <c r="O66" s="17" t="n">
        <f aca="false">N66*(1-1/p_veh_life)+O65/p_veh_life</f>
        <v>0.0124840909090909</v>
      </c>
      <c r="P66" s="17" t="n">
        <f aca="false">O66*(1-1/p_veh_life)+P65/p_veh_life</f>
        <v>0.0157619318181818</v>
      </c>
      <c r="Q66" s="17" t="n">
        <f aca="false">P66*(1-1/p_veh_life)+Q65/p_veh_life</f>
        <v>0.0196757102272727</v>
      </c>
      <c r="R66" s="17" t="n">
        <f aca="false">Q66*(1-1/p_veh_life)+R65/p_veh_life</f>
        <v>0.024172431344697</v>
      </c>
      <c r="S66" s="17" t="n">
        <f aca="false">R66*(1-1/p_veh_life)+S65/p_veh_life</f>
        <v>0.0292035166114268</v>
      </c>
      <c r="T66" s="17" t="n">
        <f aca="false">S66*(1-1/p_veh_life)+T65/p_veh_life</f>
        <v>0.0347244356816867</v>
      </c>
      <c r="U66" s="17" t="n">
        <f aca="false">T66*(1-1/p_veh_life)+U65/p_veh_life</f>
        <v>0.0406943690718491</v>
      </c>
      <c r="V66" s="17" t="n">
        <f aca="false">U66*(1-1/p_veh_life)+V65/p_veh_life</f>
        <v>0.0470758989219223</v>
      </c>
      <c r="W66" s="17" t="n">
        <f aca="false">V66*(1-1/p_veh_life)+W65/p_veh_life</f>
        <v>0.0538347255269136</v>
      </c>
      <c r="X66" s="17" t="n">
        <f aca="false">W66*(1-1/p_veh_life)+X65/p_veh_life</f>
        <v>0.0609394074905799</v>
      </c>
      <c r="Y66" s="17" t="n">
        <f aca="false">X66*(1-1/p_veh_life)+Y65/p_veh_life</f>
        <v>0.0683611235330316</v>
      </c>
      <c r="Z66" s="17" t="n">
        <f aca="false">Y66*(1-1/p_veh_life)+Z65/p_veh_life</f>
        <v>0.0751643632386123</v>
      </c>
      <c r="AA66" s="17" t="n">
        <f aca="false">Z66*(1-1/p_veh_life)+AA65/p_veh_life</f>
        <v>0.0814006663020613</v>
      </c>
      <c r="AB66" s="17" t="n">
        <f aca="false">AA66*(1-1/p_veh_life)+AB65/p_veh_life</f>
        <v>0.0871172774435561</v>
      </c>
      <c r="AC66" s="17" t="n">
        <f aca="false">AB66*(1-1/p_veh_life)+AC65/p_veh_life</f>
        <v>0.0923575043232598</v>
      </c>
      <c r="AD66" s="17" t="n">
        <f aca="false">AC66*(1-1/p_veh_life)+AD65/p_veh_life</f>
        <v>0.0971610456296548</v>
      </c>
      <c r="AE66" s="17" t="n">
        <f aca="false">AD66*(1-1/p_veh_life)+AE65/p_veh_life</f>
        <v>0.101564291827184</v>
      </c>
      <c r="AF66" s="17" t="n">
        <f aca="false">AE66*(1-1/p_veh_life)+AF65/p_veh_life</f>
        <v>0.105600600841585</v>
      </c>
      <c r="AG66" s="17" t="n">
        <f aca="false">AF66*(1-1/p_veh_life)+AG65/p_veh_life</f>
        <v>0.109300550771453</v>
      </c>
      <c r="AH66" s="17" t="n">
        <f aca="false">AG66*(1-1/p_veh_life)+AH65/p_veh_life</f>
        <v>0.112692171540498</v>
      </c>
      <c r="AI66" s="17" t="n">
        <f aca="false">AH66*(1-1/p_veh_life)+AI65/p_veh_life</f>
        <v>0.115801157245457</v>
      </c>
      <c r="AJ66" s="17" t="n">
        <f aca="false">AI66*(1-1/p_veh_life)+AJ65/p_veh_life</f>
        <v>0.118651060808335</v>
      </c>
      <c r="AK66" s="17" t="n">
        <f aca="false">AJ66*(1-1/p_veh_life)+AK65/p_veh_life</f>
        <v>0.121263472407641</v>
      </c>
      <c r="AL66" s="17" t="n">
        <f aca="false">AK66*(1-1/p_veh_life)+AL65/p_veh_life</f>
        <v>0.123658183040337</v>
      </c>
      <c r="AM66" s="17" t="n">
        <f aca="false">AL66*(1-1/p_veh_life)+AM65/p_veh_life</f>
        <v>0.125853334453643</v>
      </c>
      <c r="AN66" s="17" t="n">
        <f aca="false">AM66*(1-1/p_veh_life)+AN65/p_veh_life</f>
        <v>0.127865556582506</v>
      </c>
    </row>
    <row r="67" customFormat="false" ht="15" hidden="false" customHeight="false" outlineLevel="0" collapsed="false">
      <c r="A67" s="9" t="n">
        <v>4</v>
      </c>
      <c r="B67" s="9" t="s">
        <v>430</v>
      </c>
      <c r="C67" s="9" t="s">
        <v>431</v>
      </c>
      <c r="D67" s="9" t="s">
        <v>468</v>
      </c>
      <c r="E67" s="9" t="s">
        <v>433</v>
      </c>
      <c r="F67" s="9" t="s">
        <v>425</v>
      </c>
      <c r="G67" s="18"/>
      <c r="H67" s="18" t="s">
        <v>469</v>
      </c>
      <c r="I67" s="9"/>
      <c r="J67" s="9"/>
      <c r="K67" s="17"/>
      <c r="L67" s="17"/>
      <c r="M67" s="17"/>
      <c r="N67" s="19" t="n">
        <f aca="false">N50*(1-N66)</f>
        <v>1800.58821134012</v>
      </c>
      <c r="O67" s="17" t="n">
        <f aca="false">O50*(1-O66)</f>
        <v>1871.87787371891</v>
      </c>
      <c r="P67" s="17" t="n">
        <f aca="false">P50*(1-P66)</f>
        <v>1930.16356898344</v>
      </c>
      <c r="Q67" s="17" t="n">
        <f aca="false">Q50*(1-Q66)</f>
        <v>1986.63686559572</v>
      </c>
      <c r="R67" s="17" t="n">
        <f aca="false">R50*(1-R66)</f>
        <v>2041.12670224834</v>
      </c>
      <c r="S67" s="17" t="n">
        <f aca="false">S50*(1-S66)</f>
        <v>2093.46529708887</v>
      </c>
      <c r="T67" s="17" t="n">
        <f aca="false">T50*(1-T66)</f>
        <v>2143.48901987647</v>
      </c>
      <c r="U67" s="17" t="n">
        <f aca="false">U50*(1-U66)</f>
        <v>2191.03926719996</v>
      </c>
      <c r="V67" s="17" t="n">
        <f aca="false">V50*(1-V66)</f>
        <v>2235.9633343164</v>
      </c>
      <c r="W67" s="17" t="n">
        <f aca="false">W50*(1-W66)</f>
        <v>2278.11527695819</v>
      </c>
      <c r="X67" s="17" t="n">
        <f aca="false">X50*(1-X66)</f>
        <v>2317.35675630837</v>
      </c>
      <c r="Y67" s="17" t="n">
        <f aca="false">Y50*(1-Y66)</f>
        <v>2353.55786026196</v>
      </c>
      <c r="Z67" s="17" t="n">
        <f aca="false">Z50*(1-Z66)</f>
        <v>2388.94616998819</v>
      </c>
      <c r="AA67" s="17" t="n">
        <f aca="false">AA50*(1-AA66)</f>
        <v>2423.36110785855</v>
      </c>
      <c r="AB67" s="17" t="n">
        <f aca="false">AB50*(1-AB66)</f>
        <v>2456.64267548524</v>
      </c>
      <c r="AC67" s="17" t="n">
        <f aca="false">AC50*(1-AC66)</f>
        <v>2488.63236342365</v>
      </c>
      <c r="AD67" s="17" t="n">
        <f aca="false">AD50*(1-AD66)</f>
        <v>2519.17406260074</v>
      </c>
      <c r="AE67" s="17" t="n">
        <f aca="false">AE50*(1-AE66)</f>
        <v>2551.15505626327</v>
      </c>
      <c r="AF67" s="17" t="n">
        <f aca="false">AF50*(1-AF66)</f>
        <v>2584.54032919064</v>
      </c>
      <c r="AG67" s="17" t="n">
        <f aca="false">AG50*(1-AG66)</f>
        <v>2619.29830556728</v>
      </c>
      <c r="AH67" s="17" t="n">
        <f aca="false">AH50*(1-AH66)</f>
        <v>2655.40063725491</v>
      </c>
      <c r="AI67" s="17" t="n">
        <f aca="false">AI50*(1-AI66)</f>
        <v>2692.82200662105</v>
      </c>
      <c r="AJ67" s="17" t="n">
        <f aca="false">AJ50*(1-AJ66)</f>
        <v>2731.53994295213</v>
      </c>
      <c r="AK67" s="17" t="n">
        <f aca="false">AK50*(1-AK66)</f>
        <v>2771.53465154538</v>
      </c>
      <c r="AL67" s="17" t="n">
        <f aca="false">AL50*(1-AL66)</f>
        <v>2812.78885463412</v>
      </c>
      <c r="AM67" s="17" t="n">
        <f aca="false">AM50*(1-AM66)</f>
        <v>2855.28764335841</v>
      </c>
      <c r="AN67" s="17" t="n">
        <f aca="false">AN50*(1-AN66)</f>
        <v>2899.01834004572</v>
      </c>
    </row>
    <row r="68" customFormat="false" ht="15" hidden="false" customHeight="false" outlineLevel="0" collapsed="false">
      <c r="A68" s="9" t="n">
        <v>4</v>
      </c>
      <c r="B68" s="9" t="s">
        <v>436</v>
      </c>
      <c r="C68" s="9" t="s">
        <v>431</v>
      </c>
      <c r="D68" s="9" t="s">
        <v>468</v>
      </c>
      <c r="E68" s="9" t="s">
        <v>433</v>
      </c>
      <c r="F68" s="9" t="s">
        <v>425</v>
      </c>
      <c r="G68" s="18"/>
      <c r="H68" s="18" t="s">
        <v>470</v>
      </c>
      <c r="I68" s="9"/>
      <c r="J68" s="9"/>
      <c r="K68" s="17"/>
      <c r="L68" s="17"/>
      <c r="M68" s="17"/>
      <c r="N68" s="19" t="n">
        <f aca="false">N51*(1-N66)</f>
        <v>3042.39097175652</v>
      </c>
      <c r="O68" s="17" t="n">
        <f aca="false">O51*(1-O66)</f>
        <v>3139.71075264625</v>
      </c>
      <c r="P68" s="17" t="n">
        <f aca="false">P51*(1-P66)</f>
        <v>3217.21626201386</v>
      </c>
      <c r="Q68" s="17" t="n">
        <f aca="false">Q51*(1-Q66)</f>
        <v>3291.17440057553</v>
      </c>
      <c r="R68" s="17" t="n">
        <f aca="false">R51*(1-R66)</f>
        <v>3361.40629579385</v>
      </c>
      <c r="S68" s="17" t="n">
        <f aca="false">S51*(1-S66)</f>
        <v>3427.74056918823</v>
      </c>
      <c r="T68" s="17" t="n">
        <f aca="false">T51*(1-T66)</f>
        <v>3490.01417806633</v>
      </c>
      <c r="U68" s="17" t="n">
        <f aca="false">U51*(1-U66)</f>
        <v>3548.07324104377</v>
      </c>
      <c r="V68" s="17" t="n">
        <f aca="false">V51*(1-V66)</f>
        <v>3601.7738412484</v>
      </c>
      <c r="W68" s="17" t="n">
        <f aca="false">W51*(1-W66)</f>
        <v>3650.98280107997</v>
      </c>
      <c r="X68" s="17" t="n">
        <f aca="false">X51*(1-X66)</f>
        <v>3695.57842243007</v>
      </c>
      <c r="Y68" s="17" t="n">
        <f aca="false">Y51*(1-Y66)</f>
        <v>3735.45118635827</v>
      </c>
      <c r="Z68" s="17" t="n">
        <f aca="false">Z51*(1-Z66)</f>
        <v>3774.21436718488</v>
      </c>
      <c r="AA68" s="17" t="n">
        <f aca="false">AA51*(1-AA66)</f>
        <v>3811.65708729332</v>
      </c>
      <c r="AB68" s="17" t="n">
        <f aca="false">AB51*(1-AB66)</f>
        <v>3847.57213593744</v>
      </c>
      <c r="AC68" s="17" t="n">
        <f aca="false">AC51*(1-AC66)</f>
        <v>3881.75694718687</v>
      </c>
      <c r="AD68" s="17" t="n">
        <f aca="false">AD51*(1-AD66)</f>
        <v>3914.0145570228</v>
      </c>
      <c r="AE68" s="17" t="n">
        <f aca="false">AE51*(1-AE66)</f>
        <v>3948.1876145582</v>
      </c>
      <c r="AF68" s="17" t="n">
        <f aca="false">AF51*(1-AF66)</f>
        <v>3984.1979330375</v>
      </c>
      <c r="AG68" s="17" t="n">
        <f aca="false">AG51*(1-AG66)</f>
        <v>4021.97364643283</v>
      </c>
      <c r="AH68" s="17" t="n">
        <f aca="false">AH51*(1-AH66)</f>
        <v>4061.44877268639</v>
      </c>
      <c r="AI68" s="17" t="n">
        <f aca="false">AI51*(1-AI66)</f>
        <v>4102.56280802119</v>
      </c>
      <c r="AJ68" s="17" t="n">
        <f aca="false">AJ51*(1-AJ66)</f>
        <v>4145.26035012279</v>
      </c>
      <c r="AK68" s="17" t="n">
        <f aca="false">AK51*(1-AK66)</f>
        <v>4189.49074814986</v>
      </c>
      <c r="AL68" s="17" t="n">
        <f aca="false">AL51*(1-AL66)</f>
        <v>4235.20777767636</v>
      </c>
      <c r="AM68" s="17" t="n">
        <f aca="false">AM51*(1-AM66)</f>
        <v>4282.36933880221</v>
      </c>
      <c r="AN68" s="17" t="n">
        <f aca="false">AN51*(1-AN66)</f>
        <v>4330.93717579436</v>
      </c>
    </row>
    <row r="69" customFormat="false" ht="15" hidden="false" customHeight="false" outlineLevel="0" collapsed="false">
      <c r="A69" s="9" t="n">
        <v>4</v>
      </c>
      <c r="B69" s="9" t="s">
        <v>448</v>
      </c>
      <c r="C69" s="9" t="s">
        <v>431</v>
      </c>
      <c r="D69" s="9" t="s">
        <v>471</v>
      </c>
      <c r="E69" s="9" t="s">
        <v>433</v>
      </c>
      <c r="F69" s="9" t="s">
        <v>425</v>
      </c>
      <c r="G69" s="18"/>
      <c r="H69" s="18" t="s">
        <v>472</v>
      </c>
      <c r="I69" s="9"/>
      <c r="J69" s="9"/>
      <c r="K69" s="17"/>
      <c r="L69" s="17"/>
      <c r="M69" s="17"/>
      <c r="N69" s="19" t="n">
        <f aca="false">(N50+N51)*N66*p_ev_ratio</f>
        <v>12.1062251067207</v>
      </c>
      <c r="O69" s="17" t="n">
        <f aca="false">(O50+O51)*O66*p_ev_ratio</f>
        <v>15.8390177400041</v>
      </c>
      <c r="P69" s="17" t="n">
        <f aca="false">(P50+P51)*P66*p_ev_ratio</f>
        <v>20.6079841253092</v>
      </c>
      <c r="Q69" s="17" t="n">
        <f aca="false">(Q50+Q51)*Q66*p_ev_ratio</f>
        <v>26.4822279195734</v>
      </c>
      <c r="R69" s="17" t="n">
        <f aca="false">(R50+R51)*R66*p_ev_ratio</f>
        <v>33.4568222341248</v>
      </c>
      <c r="S69" s="17" t="n">
        <f aca="false">(S50+S51)*S66*p_ev_ratio</f>
        <v>41.5222526013191</v>
      </c>
      <c r="T69" s="17" t="n">
        <f aca="false">(T50+T51)*T66*p_ev_ratio</f>
        <v>50.6643456777261</v>
      </c>
      <c r="U69" s="17" t="n">
        <f aca="false">(U50+U51)*U66*p_ev_ratio</f>
        <v>60.8642217416601</v>
      </c>
      <c r="V69" s="17" t="n">
        <f aca="false">(V50+V51)*V66*p_ev_ratio</f>
        <v>72.0982722807426</v>
      </c>
      <c r="W69" s="17" t="n">
        <f aca="false">(W50+W51)*W66*p_ev_ratio</f>
        <v>84.3381638136876</v>
      </c>
      <c r="X69" s="17" t="n">
        <f aca="false">(X50+X51)*X66*p_ev_ratio</f>
        <v>97.5508689200768</v>
      </c>
      <c r="Y69" s="17" t="n">
        <f aca="false">(Y50+Y51)*Y66*p_ev_ratio</f>
        <v>111.69872526367</v>
      </c>
      <c r="Z69" s="17" t="n">
        <f aca="false">(Z50+Z51)*Z66*p_ev_ratio</f>
        <v>125.224964009869</v>
      </c>
      <c r="AA69" s="17" t="n">
        <f aca="false">(AA50+AA51)*AA66*p_ev_ratio</f>
        <v>138.127314290468</v>
      </c>
      <c r="AB69" s="17" t="n">
        <f aca="false">(AB50+AB51)*AB66*p_ev_ratio</f>
        <v>150.404322817197</v>
      </c>
      <c r="AC69" s="17" t="n">
        <f aca="false">(AC50+AC51)*AC66*p_ev_ratio</f>
        <v>162.055341474751</v>
      </c>
      <c r="AD69" s="17" t="n">
        <f aca="false">(AD50+AD51)*AD66*p_ev_ratio</f>
        <v>173.080517292074</v>
      </c>
      <c r="AE69" s="17" t="n">
        <f aca="false">(AE50+AE51)*AE66*p_ev_ratio</f>
        <v>183.680682351398</v>
      </c>
      <c r="AF69" s="17" t="n">
        <f aca="false">(AF50+AF51)*AF66*p_ev_ratio</f>
        <v>193.890645475361</v>
      </c>
      <c r="AG69" s="17" t="n">
        <f aca="false">(AG50+AG51)*AG66*p_ev_ratio</f>
        <v>203.742879487948</v>
      </c>
      <c r="AH69" s="17" t="n">
        <f aca="false">(AH50+AH51)*AH66*p_ev_ratio</f>
        <v>213.267685023966</v>
      </c>
      <c r="AI69" s="17" t="n">
        <f aca="false">(AI50+AI51)*AI66*p_ev_ratio</f>
        <v>222.493342960138</v>
      </c>
      <c r="AJ69" s="17" t="n">
        <f aca="false">(AJ50+AJ51)*AJ66*p_ev_ratio</f>
        <v>231.446256260533</v>
      </c>
      <c r="AK69" s="17" t="n">
        <f aca="false">(AK50+AK51)*AK66*p_ev_ratio</f>
        <v>240.151081973803</v>
      </c>
      <c r="AL69" s="17" t="n">
        <f aca="false">(AL50+AL51)*AL66*p_ev_ratio</f>
        <v>248.630854068341</v>
      </c>
      <c r="AM69" s="17" t="n">
        <f aca="false">(AM50+AM51)*AM66*p_ev_ratio</f>
        <v>256.907097743657</v>
      </c>
      <c r="AN69" s="17" t="n">
        <f aca="false">(AN50+AN51)*AN66*p_ev_ratio</f>
        <v>264.999935811819</v>
      </c>
    </row>
    <row r="70" customFormat="false" ht="15" hidden="false" customHeight="false" outlineLevel="0" collapsed="false">
      <c r="A70" s="9" t="n">
        <v>4</v>
      </c>
      <c r="B70" s="9"/>
      <c r="C70" s="9" t="s">
        <v>431</v>
      </c>
      <c r="D70" s="9" t="s">
        <v>473</v>
      </c>
      <c r="E70" s="9" t="s">
        <v>301</v>
      </c>
      <c r="F70" s="9" t="s">
        <v>425</v>
      </c>
      <c r="G70" s="18"/>
      <c r="H70" s="18" t="s">
        <v>474</v>
      </c>
      <c r="I70" s="9"/>
      <c r="J70" s="9"/>
      <c r="K70" s="17"/>
      <c r="L70" s="17"/>
      <c r="M70" s="17"/>
      <c r="N70" s="19" t="n">
        <f aca="false">0</f>
        <v>0</v>
      </c>
      <c r="O70" s="17" t="n">
        <f aca="false">O63*O65*(O64+p_charger)*$J$11/1000</f>
        <v>3.08549879536211</v>
      </c>
      <c r="P70" s="17" t="n">
        <f aca="false">P63*P65*(P64+p_charger)*$J$11/1000</f>
        <v>3.31864542918</v>
      </c>
      <c r="Q70" s="17" t="n">
        <f aca="false">Q63*Q65*(Q64+p_charger)*$J$11/1000</f>
        <v>3.4954927816218</v>
      </c>
      <c r="R70" s="17" t="n">
        <f aca="false">R63*R65*(R64+p_charger)*$J$11/1000</f>
        <v>3.46022455402641</v>
      </c>
      <c r="S70" s="17" t="n">
        <f aca="false">S63*S65*(S64+p_charger)*$J$11/1000</f>
        <v>3.20097013578372</v>
      </c>
      <c r="T70" s="17" t="n">
        <f aca="false">T63*T65*(T64+p_charger)*$J$11/1000</f>
        <v>2.70699629719467</v>
      </c>
      <c r="U70" s="17" t="n">
        <f aca="false">U63*U65*(U64+p_charger)*$J$11/1000</f>
        <v>1.96883800001576</v>
      </c>
      <c r="V70" s="17" t="n">
        <f aca="false">V63*V65*(V64+p_charger)*$J$11/1000</f>
        <v>0.978422482400298</v>
      </c>
      <c r="W70" s="17" t="n">
        <f aca="false">W63*W65*(W64+p_charger)*$J$11/1000</f>
        <v>1.08325953965102</v>
      </c>
      <c r="X70" s="17" t="n">
        <f aca="false">X63*X65*(X64+p_charger)*$J$11/1000</f>
        <v>1.18921629044137</v>
      </c>
      <c r="Y70" s="17" t="n">
        <f aca="false">Y63*Y65*(Y64+p_charger)*$J$11/1000</f>
        <v>1.29594441625159</v>
      </c>
      <c r="Z70" s="17" t="n">
        <f aca="false">Z63*Z65*(Z64+p_charger)*$J$11/1000</f>
        <v>1.30795872713841</v>
      </c>
      <c r="AA70" s="17" t="n">
        <f aca="false">AA63*AA65*(AA64+p_charger)*$J$11/1000</f>
        <v>1.31848128359895</v>
      </c>
      <c r="AB70" s="17" t="n">
        <f aca="false">AB63*AB65*(AB64+p_charger)*$J$11/1000</f>
        <v>1.32746699025744</v>
      </c>
      <c r="AC70" s="17" t="n">
        <f aca="false">AC63*AC65*(AC64+p_charger)*$J$11/1000</f>
        <v>1.33487576005157</v>
      </c>
      <c r="AD70" s="17" t="n">
        <f aca="false">AD63*AD65*(AD64+p_charger)*$J$11/1000</f>
        <v>1.34067278737707</v>
      </c>
      <c r="AE70" s="17" t="n">
        <f aca="false">AE63*AE65*(AE64+p_charger)*$J$11/1000</f>
        <v>1.36114744303907</v>
      </c>
      <c r="AF70" s="17" t="n">
        <f aca="false">AF63*AF65*(AF64+p_charger)*$J$11/1000</f>
        <v>1.38193989596237</v>
      </c>
      <c r="AG70" s="17" t="n">
        <f aca="false">AG63*AG65*(AG64+p_charger)*$J$11/1000</f>
        <v>1.40305515962975</v>
      </c>
      <c r="AH70" s="17" t="n">
        <f aca="false">AH63*AH65*(AH64+p_charger)*$J$11/1000</f>
        <v>1.42449832787228</v>
      </c>
      <c r="AI70" s="17" t="n">
        <f aca="false">AI63*AI65*(AI64+p_charger)*$J$11/1000</f>
        <v>1.44627457617624</v>
      </c>
      <c r="AJ70" s="17" t="n">
        <f aca="false">AJ63*AJ65*(AJ64+p_charger)*$J$11/1000</f>
        <v>1.46838916301161</v>
      </c>
      <c r="AK70" s="17" t="n">
        <f aca="false">AK63*AK65*(AK64+p_charger)*$J$11/1000</f>
        <v>1.49084743118245</v>
      </c>
      <c r="AL70" s="17" t="n">
        <f aca="false">AL63*AL65*(AL64+p_charger)*$J$11/1000</f>
        <v>1.51365480919958</v>
      </c>
      <c r="AM70" s="17" t="n">
        <f aca="false">AM63*AM65*(AM64+p_charger)*$J$11/1000</f>
        <v>1.53681681267586</v>
      </c>
      <c r="AN70" s="17" t="n">
        <f aca="false">AN63*AN65*(AN64+p_charger)*$J$11/1000</f>
        <v>1.5603390457446</v>
      </c>
    </row>
    <row r="71" customFormat="false" ht="15" hidden="false" customHeight="false" outlineLevel="0" collapsed="false">
      <c r="A71" s="9" t="n">
        <v>4</v>
      </c>
      <c r="B71" s="9"/>
      <c r="C71" s="9" t="s">
        <v>431</v>
      </c>
      <c r="D71" s="9" t="s">
        <v>475</v>
      </c>
      <c r="E71" s="9" t="s">
        <v>301</v>
      </c>
      <c r="F71" s="9" t="s">
        <v>425</v>
      </c>
      <c r="G71" s="18"/>
      <c r="H71" s="18" t="s">
        <v>476</v>
      </c>
      <c r="I71" s="9"/>
      <c r="J71" s="9"/>
      <c r="K71" s="17"/>
      <c r="L71" s="17"/>
      <c r="M71" s="17"/>
      <c r="N71" s="19" t="n">
        <f aca="false">-N66*N62*p_veh_km*p_ev_maint/1000</f>
        <v>-0.226402131865946</v>
      </c>
      <c r="O71" s="17" t="n">
        <f aca="false">-O66*O62*p_veh_km*p_ev_maint/1000</f>
        <v>-0.296210201890985</v>
      </c>
      <c r="P71" s="17" t="n">
        <f aca="false">-P66*P62*p_veh_km*p_ev_maint/1000</f>
        <v>-0.385396066759029</v>
      </c>
      <c r="Q71" s="17" t="n">
        <f aca="false">-Q66*Q62*p_veh_km*p_ev_maint/1000</f>
        <v>-0.495252054599814</v>
      </c>
      <c r="R71" s="17" t="n">
        <f aca="false">-R66*R62*p_veh_km*p_ev_maint/1000</f>
        <v>-0.625686026196619</v>
      </c>
      <c r="S71" s="17" t="n">
        <f aca="false">-S66*S62*p_veh_km*p_ev_maint/1000</f>
        <v>-0.776520048648045</v>
      </c>
      <c r="T71" s="17" t="n">
        <f aca="false">-T66*T62*p_veh_km*p_ev_maint/1000</f>
        <v>-0.947489062025008</v>
      </c>
      <c r="U71" s="17" t="n">
        <f aca="false">-U66*U62*p_veh_km*p_ev_maint/1000</f>
        <v>-1.13823999101286</v>
      </c>
      <c r="V71" s="17" t="n">
        <f aca="false">-V66*V62*p_veh_km*p_ev_maint/1000</f>
        <v>-1.34833132576973</v>
      </c>
      <c r="W71" s="17" t="n">
        <f aca="false">-W66*W62*p_veh_km*p_ev_maint/1000</f>
        <v>-1.57723319339883</v>
      </c>
      <c r="X71" s="17" t="n">
        <f aca="false">-X66*X62*p_veh_km*p_ev_maint/1000</f>
        <v>-1.82432793824559</v>
      </c>
      <c r="Y71" s="17" t="n">
        <f aca="false">-Y66*Y62*p_veh_km*p_ev_maint/1000</f>
        <v>-2.08891122571019</v>
      </c>
      <c r="Z71" s="17" t="n">
        <f aca="false">-Z66*Z62*p_veh_km*p_ev_maint/1000</f>
        <v>-2.34186945680795</v>
      </c>
      <c r="AA71" s="17" t="n">
        <f aca="false">-AA66*AA62*p_veh_km*p_ev_maint/1000</f>
        <v>-2.5831601633542</v>
      </c>
      <c r="AB71" s="17" t="n">
        <f aca="false">-AB66*AB62*p_veh_km*p_ev_maint/1000</f>
        <v>-2.81275616697096</v>
      </c>
      <c r="AC71" s="17" t="n">
        <f aca="false">-AC66*AC62*p_veh_km*p_ev_maint/1000</f>
        <v>-3.03064534706029</v>
      </c>
      <c r="AD71" s="17" t="n">
        <f aca="false">-AD66*AD62*p_veh_km*p_ev_maint/1000</f>
        <v>-3.23683045325438</v>
      </c>
      <c r="AE71" s="17" t="n">
        <f aca="false">-AE66*AE62*p_veh_km*p_ev_maint/1000</f>
        <v>-3.43506730631186</v>
      </c>
      <c r="AF71" s="17" t="n">
        <f aca="false">-AF66*AF62*p_veh_km*p_ev_maint/1000</f>
        <v>-3.62600687642233</v>
      </c>
      <c r="AG71" s="17" t="n">
        <f aca="false">-AG66*AG62*p_veh_km*p_ev_maint/1000</f>
        <v>-3.81025644756681</v>
      </c>
      <c r="AH71" s="17" t="n">
        <f aca="false">-AH66*AH62*p_veh_km*p_ev_maint/1000</f>
        <v>-3.98838268096767</v>
      </c>
      <c r="AI71" s="17" t="n">
        <f aca="false">-AI66*AI62*p_veh_km*p_ev_maint/1000</f>
        <v>-4.16091446574804</v>
      </c>
      <c r="AJ71" s="17" t="n">
        <f aca="false">-AJ66*AJ62*p_veh_km*p_ev_maint/1000</f>
        <v>-4.32834557162555</v>
      </c>
      <c r="AK71" s="17" t="n">
        <f aca="false">-AK66*AK62*p_veh_km*p_ev_maint/1000</f>
        <v>-4.49113711743216</v>
      </c>
      <c r="AL71" s="17" t="n">
        <f aca="false">-AL66*AL62*p_veh_km*p_ev_maint/1000</f>
        <v>-4.64971986829105</v>
      </c>
      <c r="AM71" s="17" t="n">
        <f aca="false">-AM66*AM62*p_veh_km*p_ev_maint/1000</f>
        <v>-4.80449637338787</v>
      </c>
      <c r="AN71" s="17" t="n">
        <f aca="false">-AN66*AN62*p_veh_km*p_ev_maint/1000</f>
        <v>-4.95584295544181</v>
      </c>
    </row>
    <row r="72" customFormat="false" ht="15" hidden="false" customHeight="false" outlineLevel="0" collapsed="false">
      <c r="A72" s="9" t="n">
        <v>4</v>
      </c>
      <c r="B72" s="9" t="s">
        <v>448</v>
      </c>
      <c r="C72" s="9" t="s">
        <v>431</v>
      </c>
      <c r="D72" s="9" t="s">
        <v>464</v>
      </c>
      <c r="E72" s="9" t="s">
        <v>97</v>
      </c>
      <c r="F72" s="9" t="s">
        <v>425</v>
      </c>
      <c r="G72" s="18"/>
      <c r="H72" s="18" t="s">
        <v>477</v>
      </c>
      <c r="I72" s="9"/>
      <c r="J72" s="9"/>
      <c r="K72" s="17"/>
      <c r="L72" s="17"/>
      <c r="M72" s="17"/>
      <c r="N72" s="19" t="n">
        <f aca="false">$J$17</f>
        <v>0.03</v>
      </c>
      <c r="O72" s="17" t="n">
        <f aca="false">MIN(1,$J$17+(1-$J$17)*(O$1-2024)/($J$14-2024))</f>
        <v>0.090625</v>
      </c>
      <c r="P72" s="17" t="n">
        <f aca="false">MIN(1,$J$17+(1-$J$17)*(P$1-2024)/($J$14-2024))</f>
        <v>0.15125</v>
      </c>
      <c r="Q72" s="17" t="n">
        <f aca="false">MIN(1,$J$17+(1-$J$17)*(Q$1-2024)/($J$14-2024))</f>
        <v>0.211875</v>
      </c>
      <c r="R72" s="17" t="n">
        <f aca="false">MIN(1,$J$17+(1-$J$17)*(R$1-2024)/($J$14-2024))</f>
        <v>0.2725</v>
      </c>
      <c r="S72" s="17" t="n">
        <f aca="false">MIN(1,$J$17+(1-$J$17)*(S$1-2024)/($J$14-2024))</f>
        <v>0.333125</v>
      </c>
      <c r="T72" s="17" t="n">
        <f aca="false">MIN(1,$J$17+(1-$J$17)*(T$1-2024)/($J$14-2024))</f>
        <v>0.39375</v>
      </c>
      <c r="U72" s="17" t="n">
        <f aca="false">MIN(1,$J$17+(1-$J$17)*(U$1-2024)/($J$14-2024))</f>
        <v>0.454375</v>
      </c>
      <c r="V72" s="17" t="n">
        <f aca="false">MIN(1,$J$17+(1-$J$17)*(V$1-2024)/($J$14-2024))</f>
        <v>0.515</v>
      </c>
      <c r="W72" s="17" t="n">
        <f aca="false">MIN(1,$J$17+(1-$J$17)*(W$1-2024)/($J$14-2024))</f>
        <v>0.575625</v>
      </c>
      <c r="X72" s="17" t="n">
        <f aca="false">MIN(1,$J$17+(1-$J$17)*(X$1-2024)/($J$14-2024))</f>
        <v>0.63625</v>
      </c>
      <c r="Y72" s="17" t="n">
        <f aca="false">MIN(1,$J$17+(1-$J$17)*(Y$1-2024)/($J$14-2024))</f>
        <v>0.696875</v>
      </c>
      <c r="Z72" s="17" t="n">
        <f aca="false">MIN(1,$J$17+(1-$J$17)*(Z$1-2024)/($J$14-2024))</f>
        <v>0.7575</v>
      </c>
      <c r="AA72" s="17" t="n">
        <f aca="false">MIN(1,$J$17+(1-$J$17)*(AA$1-2024)/($J$14-2024))</f>
        <v>0.818125</v>
      </c>
      <c r="AB72" s="17" t="n">
        <f aca="false">MIN(1,$J$17+(1-$J$17)*(AB$1-2024)/($J$14-2024))</f>
        <v>0.87875</v>
      </c>
      <c r="AC72" s="17" t="n">
        <f aca="false">MIN(1,$J$17+(1-$J$17)*(AC$1-2024)/($J$14-2024))</f>
        <v>0.939375</v>
      </c>
      <c r="AD72" s="17" t="n">
        <f aca="false">MIN(1,$J$17+(1-$J$17)*(AD$1-2024)/($J$14-2024))</f>
        <v>1</v>
      </c>
      <c r="AE72" s="17" t="n">
        <f aca="false">MIN(1,$J$17+(1-$J$17)*(AE$1-2024)/($J$14-2024))</f>
        <v>1</v>
      </c>
      <c r="AF72" s="17" t="n">
        <f aca="false">MIN(1,$J$17+(1-$J$17)*(AF$1-2024)/($J$14-2024))</f>
        <v>1</v>
      </c>
      <c r="AG72" s="17" t="n">
        <f aca="false">MIN(1,$J$17+(1-$J$17)*(AG$1-2024)/($J$14-2024))</f>
        <v>1</v>
      </c>
      <c r="AH72" s="17" t="n">
        <f aca="false">MIN(1,$J$17+(1-$J$17)*(AH$1-2024)/($J$14-2024))</f>
        <v>1</v>
      </c>
      <c r="AI72" s="17" t="n">
        <f aca="false">MIN(1,$J$17+(1-$J$17)*(AI$1-2024)/($J$14-2024))</f>
        <v>1</v>
      </c>
      <c r="AJ72" s="17" t="n">
        <f aca="false">MIN(1,$J$17+(1-$J$17)*(AJ$1-2024)/($J$14-2024))</f>
        <v>1</v>
      </c>
      <c r="AK72" s="17" t="n">
        <f aca="false">MIN(1,$J$17+(1-$J$17)*(AK$1-2024)/($J$14-2024))</f>
        <v>1</v>
      </c>
      <c r="AL72" s="17" t="n">
        <f aca="false">MIN(1,$J$17+(1-$J$17)*(AL$1-2024)/($J$14-2024))</f>
        <v>1</v>
      </c>
      <c r="AM72" s="17" t="n">
        <f aca="false">MIN(1,$J$17+(1-$J$17)*(AM$1-2024)/($J$14-2024))</f>
        <v>1</v>
      </c>
      <c r="AN72" s="17" t="n">
        <f aca="false">MIN(1,$J$17+(1-$J$17)*(AN$1-2024)/($J$14-2024))</f>
        <v>1</v>
      </c>
    </row>
    <row r="73" customFormat="false" ht="15" hidden="false" customHeight="false" outlineLevel="0" collapsed="false">
      <c r="A73" s="9" t="n">
        <v>4</v>
      </c>
      <c r="B73" s="9" t="s">
        <v>448</v>
      </c>
      <c r="C73" s="9" t="s">
        <v>431</v>
      </c>
      <c r="D73" s="9" t="s">
        <v>466</v>
      </c>
      <c r="E73" s="9" t="s">
        <v>97</v>
      </c>
      <c r="F73" s="9" t="s">
        <v>425</v>
      </c>
      <c r="G73" s="18"/>
      <c r="H73" s="18" t="s">
        <v>478</v>
      </c>
      <c r="I73" s="9"/>
      <c r="J73" s="9"/>
      <c r="K73" s="17"/>
      <c r="L73" s="17"/>
      <c r="M73" s="17"/>
      <c r="N73" s="19" t="n">
        <f aca="false">$J$19</f>
        <v>0.0099</v>
      </c>
      <c r="O73" s="17" t="n">
        <f aca="false">N73*(1-1/p_veh_life)+O72/p_veh_life</f>
        <v>0.0166270833333333</v>
      </c>
      <c r="P73" s="17" t="n">
        <f aca="false">O73*(1-1/p_veh_life)+P72/p_veh_life</f>
        <v>0.0278456597222222</v>
      </c>
      <c r="Q73" s="17" t="n">
        <f aca="false">P73*(1-1/p_veh_life)+Q72/p_veh_life</f>
        <v>0.0431814380787037</v>
      </c>
      <c r="R73" s="17" t="n">
        <f aca="false">Q73*(1-1/p_veh_life)+R72/p_veh_life</f>
        <v>0.0622913182388117</v>
      </c>
      <c r="S73" s="17" t="n">
        <f aca="false">R73*(1-1/p_veh_life)+S72/p_veh_life</f>
        <v>0.0848607917189107</v>
      </c>
      <c r="T73" s="17" t="n">
        <f aca="false">S73*(1-1/p_veh_life)+T72/p_veh_life</f>
        <v>0.110601559075668</v>
      </c>
      <c r="U73" s="17" t="n">
        <f aca="false">T73*(1-1/p_veh_life)+U72/p_veh_life</f>
        <v>0.139249345819363</v>
      </c>
      <c r="V73" s="17" t="n">
        <f aca="false">U73*(1-1/p_veh_life)+V72/p_veh_life</f>
        <v>0.170561900334416</v>
      </c>
      <c r="W73" s="17" t="n">
        <f aca="false">V73*(1-1/p_veh_life)+W72/p_veh_life</f>
        <v>0.204317158639881</v>
      </c>
      <c r="X73" s="17" t="n">
        <f aca="false">W73*(1-1/p_veh_life)+X72/p_veh_life</f>
        <v>0.240311562086558</v>
      </c>
      <c r="Y73" s="17" t="n">
        <f aca="false">X73*(1-1/p_veh_life)+Y72/p_veh_life</f>
        <v>0.278358515246011</v>
      </c>
      <c r="Z73" s="17" t="n">
        <f aca="false">Y73*(1-1/p_veh_life)+Z72/p_veh_life</f>
        <v>0.318286972308843</v>
      </c>
      <c r="AA73" s="17" t="n">
        <f aca="false">Z73*(1-1/p_veh_life)+AA72/p_veh_life</f>
        <v>0.359940141283107</v>
      </c>
      <c r="AB73" s="17" t="n">
        <f aca="false">AA73*(1-1/p_veh_life)+AB72/p_veh_life</f>
        <v>0.403174296176181</v>
      </c>
      <c r="AC73" s="17" t="n">
        <f aca="false">AB73*(1-1/p_veh_life)+AC72/p_veh_life</f>
        <v>0.447857688161499</v>
      </c>
      <c r="AD73" s="17" t="n">
        <f aca="false">AC73*(1-1/p_veh_life)+AD72/p_veh_life</f>
        <v>0.493869547481374</v>
      </c>
      <c r="AE73" s="17" t="n">
        <f aca="false">AD73*(1-1/p_veh_life)+AE72/p_veh_life</f>
        <v>0.53604708519126</v>
      </c>
      <c r="AF73" s="17" t="n">
        <f aca="false">AE73*(1-1/p_veh_life)+AF72/p_veh_life</f>
        <v>0.574709828091988</v>
      </c>
      <c r="AG73" s="17" t="n">
        <f aca="false">AF73*(1-1/p_veh_life)+AG72/p_veh_life</f>
        <v>0.610150675750989</v>
      </c>
      <c r="AH73" s="17" t="n">
        <f aca="false">AG73*(1-1/p_veh_life)+AH72/p_veh_life</f>
        <v>0.642638119438407</v>
      </c>
      <c r="AI73" s="17" t="n">
        <f aca="false">AH73*(1-1/p_veh_life)+AI72/p_veh_life</f>
        <v>0.672418276151873</v>
      </c>
      <c r="AJ73" s="17" t="n">
        <f aca="false">AI73*(1-1/p_veh_life)+AJ72/p_veh_life</f>
        <v>0.699716753139217</v>
      </c>
      <c r="AK73" s="17" t="n">
        <f aca="false">AJ73*(1-1/p_veh_life)+AK72/p_veh_life</f>
        <v>0.724740357044282</v>
      </c>
      <c r="AL73" s="17" t="n">
        <f aca="false">AK73*(1-1/p_veh_life)+AL72/p_veh_life</f>
        <v>0.747678660623925</v>
      </c>
      <c r="AM73" s="17" t="n">
        <f aca="false">AL73*(1-1/p_veh_life)+AM72/p_veh_life</f>
        <v>0.768705438905265</v>
      </c>
      <c r="AN73" s="17" t="n">
        <f aca="false">AM73*(1-1/p_veh_life)+AN72/p_veh_life</f>
        <v>0.78797998566316</v>
      </c>
    </row>
    <row r="74" customFormat="false" ht="15" hidden="false" customHeight="false" outlineLevel="0" collapsed="false">
      <c r="A74" s="9" t="n">
        <v>4</v>
      </c>
      <c r="B74" s="9" t="s">
        <v>430</v>
      </c>
      <c r="C74" s="9" t="s">
        <v>431</v>
      </c>
      <c r="D74" s="9" t="s">
        <v>468</v>
      </c>
      <c r="E74" s="9" t="s">
        <v>433</v>
      </c>
      <c r="F74" s="9" t="s">
        <v>425</v>
      </c>
      <c r="G74" s="18"/>
      <c r="H74" s="18" t="s">
        <v>479</v>
      </c>
      <c r="I74" s="9"/>
      <c r="J74" s="9"/>
      <c r="K74" s="17"/>
      <c r="L74" s="17"/>
      <c r="M74" s="17"/>
      <c r="N74" s="19" t="n">
        <f aca="false">N50*(1-N73)</f>
        <v>1800.58821134012</v>
      </c>
      <c r="O74" s="17" t="n">
        <f aca="false">O50*(1-O73)</f>
        <v>1864.02465760509</v>
      </c>
      <c r="P74" s="17" t="n">
        <f aca="false">P50*(1-P73)</f>
        <v>1906.46648579606</v>
      </c>
      <c r="Q74" s="17" t="n">
        <f aca="false">Q50*(1-Q73)</f>
        <v>1939.00227570594</v>
      </c>
      <c r="R74" s="17" t="n">
        <f aca="false">R50*(1-R73)</f>
        <v>1961.39388837962</v>
      </c>
      <c r="S74" s="17" t="n">
        <f aca="false">S50*(1-S73)</f>
        <v>1973.44366952658</v>
      </c>
      <c r="T74" s="17" t="n">
        <f aca="false">T50*(1-T73)</f>
        <v>1974.99642888286</v>
      </c>
      <c r="U74" s="17" t="n">
        <f aca="false">U50*(1-U73)</f>
        <v>1965.94122016478</v>
      </c>
      <c r="V74" s="17" t="n">
        <f aca="false">V50*(1-V73)</f>
        <v>1946.21290073276</v>
      </c>
      <c r="W74" s="17" t="n">
        <f aca="false">W50*(1-W73)</f>
        <v>1915.79345112348</v>
      </c>
      <c r="X74" s="17" t="n">
        <f aca="false">X50*(1-X73)</f>
        <v>1874.71303591137</v>
      </c>
      <c r="Y74" s="17" t="n">
        <f aca="false">Y50*(1-Y73)</f>
        <v>1823.05078892238</v>
      </c>
      <c r="Z74" s="17" t="n">
        <f aca="false">Z50*(1-Z73)</f>
        <v>1760.93530763675</v>
      </c>
      <c r="AA74" s="17" t="n">
        <f aca="false">AA50*(1-AA73)</f>
        <v>1688.54484367174</v>
      </c>
      <c r="AB74" s="17" t="n">
        <f aca="false">AB50*(1-AB73)</f>
        <v>1606.10717851488</v>
      </c>
      <c r="AC74" s="17" t="n">
        <f aca="false">AC50*(1-AC73)</f>
        <v>1513.89917616443</v>
      </c>
      <c r="AD74" s="17" t="n">
        <f aca="false">AD50*(1-AD73)</f>
        <v>1412.24600700412</v>
      </c>
      <c r="AE74" s="17" t="n">
        <f aca="false">AE50*(1-AE73)</f>
        <v>1317.41850164166</v>
      </c>
      <c r="AF74" s="17" t="n">
        <f aca="false">AF50*(1-AF73)</f>
        <v>1228.95834002007</v>
      </c>
      <c r="AG74" s="17" t="n">
        <f aca="false">AG50*(1-AG73)</f>
        <v>1146.4379767119</v>
      </c>
      <c r="AH74" s="17" t="n">
        <f aca="false">AH50*(1-AH73)</f>
        <v>1069.45857450775</v>
      </c>
      <c r="AI74" s="17" t="n">
        <f aca="false">AI50*(1-AI73)</f>
        <v>997.648076757294</v>
      </c>
      <c r="AJ74" s="17" t="n">
        <f aca="false">AJ50*(1-AJ73)</f>
        <v>930.659409146018</v>
      </c>
      <c r="AK74" s="17" t="n">
        <f aca="false">AK50*(1-AK73)</f>
        <v>868.168802216541</v>
      </c>
      <c r="AL74" s="17" t="n">
        <f aca="false">AL50*(1-AL73)</f>
        <v>809.87422652689</v>
      </c>
      <c r="AM74" s="17" t="n">
        <f aca="false">AM50*(1-AM73)</f>
        <v>755.493932882574</v>
      </c>
      <c r="AN74" s="17" t="n">
        <f aca="false">AN50*(1-AN73)</f>
        <v>704.765090587097</v>
      </c>
    </row>
    <row r="75" customFormat="false" ht="15" hidden="false" customHeight="false" outlineLevel="0" collapsed="false">
      <c r="A75" s="9" t="n">
        <v>4</v>
      </c>
      <c r="B75" s="9" t="s">
        <v>436</v>
      </c>
      <c r="C75" s="9" t="s">
        <v>431</v>
      </c>
      <c r="D75" s="9" t="s">
        <v>468</v>
      </c>
      <c r="E75" s="9" t="s">
        <v>433</v>
      </c>
      <c r="F75" s="9" t="s">
        <v>425</v>
      </c>
      <c r="G75" s="18"/>
      <c r="H75" s="18" t="s">
        <v>480</v>
      </c>
      <c r="I75" s="9"/>
      <c r="J75" s="9"/>
      <c r="K75" s="17"/>
      <c r="L75" s="17"/>
      <c r="M75" s="17"/>
      <c r="N75" s="19" t="n">
        <f aca="false">N51*(1-N73)</f>
        <v>3042.39097175652</v>
      </c>
      <c r="O75" s="17" t="n">
        <f aca="false">O51*(1-O73)</f>
        <v>3126.5385113256</v>
      </c>
      <c r="P75" s="17" t="n">
        <f aca="false">P51*(1-P73)</f>
        <v>3177.71772281343</v>
      </c>
      <c r="Q75" s="17" t="n">
        <f aca="false">Q51*(1-Q73)</f>
        <v>3212.26025902197</v>
      </c>
      <c r="R75" s="17" t="n">
        <f aca="false">R51*(1-R73)</f>
        <v>3230.09921807816</v>
      </c>
      <c r="S75" s="17" t="n">
        <f aca="false">S51*(1-S73)</f>
        <v>3231.22286118163</v>
      </c>
      <c r="T75" s="17" t="n">
        <f aca="false">T51*(1-T73)</f>
        <v>3215.67569253459</v>
      </c>
      <c r="U75" s="17" t="n">
        <f aca="false">U51*(1-U73)</f>
        <v>3183.55930044361</v>
      </c>
      <c r="V75" s="17" t="n">
        <f aca="false">V51*(1-V73)</f>
        <v>3135.03294431369</v>
      </c>
      <c r="W75" s="17" t="n">
        <f aca="false">W51*(1-W73)</f>
        <v>3070.31387358623</v>
      </c>
      <c r="X75" s="17" t="n">
        <f aca="false">X51*(1-X73)</f>
        <v>2989.67736620718</v>
      </c>
      <c r="Y75" s="17" t="n">
        <f aca="false">Y51*(1-Y73)</f>
        <v>2893.45647593873</v>
      </c>
      <c r="Z75" s="17" t="n">
        <f aca="false">Z51*(1-Z73)</f>
        <v>2782.0414797369</v>
      </c>
      <c r="AA75" s="17" t="n">
        <f aca="false">AA51*(1-AA73)</f>
        <v>2655.87901849322</v>
      </c>
      <c r="AB75" s="17" t="n">
        <f aca="false">AB51*(1-AB73)</f>
        <v>2515.47092666308</v>
      </c>
      <c r="AC75" s="17" t="n">
        <f aca="false">AC51*(1-AC73)</f>
        <v>2361.37274865792</v>
      </c>
      <c r="AD75" s="17" t="n">
        <f aca="false">AD51*(1-AD73)</f>
        <v>2194.1919423404</v>
      </c>
      <c r="AE75" s="17" t="n">
        <f aca="false">AE51*(1-AE73)</f>
        <v>2038.84722671074</v>
      </c>
      <c r="AF75" s="17" t="n">
        <f aca="false">AF51*(1-AF73)</f>
        <v>1894.50062852395</v>
      </c>
      <c r="AG75" s="17" t="n">
        <f aca="false">AG51*(1-AG73)</f>
        <v>1760.37350148494</v>
      </c>
      <c r="AH75" s="17" t="n">
        <f aca="false">AH51*(1-AH73)</f>
        <v>1635.74232601062</v>
      </c>
      <c r="AI75" s="17" t="n">
        <f aca="false">AI51*(1-AI73)</f>
        <v>1519.93480636105</v>
      </c>
      <c r="AJ75" s="17" t="n">
        <f aca="false">AJ51*(1-AJ73)</f>
        <v>1412.32624408645</v>
      </c>
      <c r="AK75" s="17" t="n">
        <f aca="false">AK51*(1-AK73)</f>
        <v>1312.33616822741</v>
      </c>
      <c r="AL75" s="17" t="n">
        <f aca="false">AL51*(1-AL73)</f>
        <v>1219.42520409072</v>
      </c>
      <c r="AM75" s="17" t="n">
        <f aca="false">AM51*(1-AM73)</f>
        <v>1133.09216371001</v>
      </c>
      <c r="AN75" s="17" t="n">
        <f aca="false">AN51*(1-AN73)</f>
        <v>1052.87134229637</v>
      </c>
    </row>
    <row r="76" customFormat="false" ht="15" hidden="false" customHeight="false" outlineLevel="0" collapsed="false">
      <c r="A76" s="9" t="n">
        <v>4</v>
      </c>
      <c r="B76" s="9" t="s">
        <v>448</v>
      </c>
      <c r="C76" s="9" t="s">
        <v>431</v>
      </c>
      <c r="D76" s="9" t="s">
        <v>471</v>
      </c>
      <c r="E76" s="9" t="s">
        <v>433</v>
      </c>
      <c r="F76" s="9" t="s">
        <v>425</v>
      </c>
      <c r="G76" s="18"/>
      <c r="H76" s="18" t="s">
        <v>481</v>
      </c>
      <c r="I76" s="9"/>
      <c r="J76" s="9"/>
      <c r="K76" s="17"/>
      <c r="L76" s="17"/>
      <c r="M76" s="17"/>
      <c r="N76" s="19" t="n">
        <f aca="false">(N50+N51)*N73*p_ev_ratio</f>
        <v>12.1062251067207</v>
      </c>
      <c r="O76" s="17" t="n">
        <f aca="false">(O50+O51)*O73*p_ev_ratio</f>
        <v>21.0953820986209</v>
      </c>
      <c r="P76" s="17" t="n">
        <f aca="false">(P50+P51)*P73*p_ev_ratio</f>
        <v>36.4068897222594</v>
      </c>
      <c r="Q76" s="17" t="n">
        <f aca="false">(Q50+Q51)*Q73*p_ev_ratio</f>
        <v>58.1194107804099</v>
      </c>
      <c r="R76" s="17" t="n">
        <f aca="false">(R50+R51)*R73*p_ev_ratio</f>
        <v>86.2167951302271</v>
      </c>
      <c r="S76" s="17" t="n">
        <f aca="false">(S50+S51)*S73*p_ev_ratio</f>
        <v>120.657086493543</v>
      </c>
      <c r="T76" s="17" t="n">
        <f aca="false">(T50+T51)*T73*p_ev_ratio</f>
        <v>161.372114809064</v>
      </c>
      <c r="U76" s="17" t="n">
        <f aca="false">(U50+U51)*U73*p_ev_ratio</f>
        <v>208.267218650496</v>
      </c>
      <c r="V76" s="17" t="n">
        <f aca="false">(V50+V51)*V73*p_ev_ratio</f>
        <v>261.221104910331</v>
      </c>
      <c r="W76" s="17" t="n">
        <f aca="false">(W50+W51)*W73*p_ev_ratio</f>
        <v>320.085852145802</v>
      </c>
      <c r="X76" s="17" t="n">
        <f aca="false">(X50+X51)*X73*p_ev_ratio</f>
        <v>384.687063075046</v>
      </c>
      <c r="Y76" s="17" t="n">
        <f aca="false">(Y50+Y51)*Y73*p_ev_ratio</f>
        <v>454.824170703452</v>
      </c>
      <c r="Z76" s="17" t="n">
        <f aca="false">(Z50+Z51)*Z73*p_ev_ratio</f>
        <v>530.270901459726</v>
      </c>
      <c r="AA76" s="17" t="n">
        <f aca="false">(AA50+AA51)*AA73*p_ev_ratio</f>
        <v>610.775897537193</v>
      </c>
      <c r="AB76" s="17" t="n">
        <f aca="false">(AB50+AB51)*AB73*p_ev_ratio</f>
        <v>696.063499378377</v>
      </c>
      <c r="AC76" s="17" t="n">
        <f aca="false">(AC50+AC51)*AC73*p_ev_ratio</f>
        <v>785.834687921793</v>
      </c>
      <c r="AD76" s="17" t="n">
        <f aca="false">(AD50+AD51)*AD73*p_ev_ratio</f>
        <v>879.768184861831</v>
      </c>
      <c r="AE76" s="17" t="n">
        <f aca="false">(AE50+AE51)*AE73*p_ev_ratio</f>
        <v>969.449917968665</v>
      </c>
      <c r="AF76" s="17" t="n">
        <f aca="false">(AF50+AF51)*AF73*p_ev_ratio</f>
        <v>1055.21046889639</v>
      </c>
      <c r="AG76" s="17" t="n">
        <f aca="false">(AG50+AG51)*AG73*p_ev_ratio</f>
        <v>1137.35799793876</v>
      </c>
      <c r="AH76" s="17" t="n">
        <f aca="false">(AH50+AH51)*AH73*p_ev_ratio</f>
        <v>1216.1798123797</v>
      </c>
      <c r="AI76" s="17" t="n">
        <f aca="false">(AI50+AI51)*AI73*p_ev_ratio</f>
        <v>1291.94382584111</v>
      </c>
      <c r="AJ76" s="17" t="n">
        <f aca="false">(AJ50+AJ51)*AJ73*p_ev_ratio</f>
        <v>1364.89991622115</v>
      </c>
      <c r="AK76" s="17" t="n">
        <f aca="false">(AK50+AK51)*AK73*p_ev_ratio</f>
        <v>1435.28118928663</v>
      </c>
      <c r="AL76" s="17" t="n">
        <f aca="false">(AL50+AL51)*AL73*p_ev_ratio</f>
        <v>1503.30515449156</v>
      </c>
      <c r="AM76" s="17" t="n">
        <f aca="false">(AM50+AM51)*AM73*p_ev_ratio</f>
        <v>1569.17481913567</v>
      </c>
      <c r="AN76" s="17" t="n">
        <f aca="false">(AN50+AN51)*AN73*p_ev_ratio</f>
        <v>1633.07970655097</v>
      </c>
    </row>
    <row r="77" customFormat="false" ht="15" hidden="false" customHeight="false" outlineLevel="0" collapsed="false">
      <c r="A77" s="9" t="n">
        <v>4</v>
      </c>
      <c r="B77" s="9"/>
      <c r="C77" s="9" t="s">
        <v>431</v>
      </c>
      <c r="D77" s="9" t="s">
        <v>473</v>
      </c>
      <c r="E77" s="9" t="s">
        <v>301</v>
      </c>
      <c r="F77" s="9" t="s">
        <v>425</v>
      </c>
      <c r="G77" s="18"/>
      <c r="H77" s="18" t="s">
        <v>482</v>
      </c>
      <c r="I77" s="9"/>
      <c r="J77" s="9"/>
      <c r="K77" s="17"/>
      <c r="L77" s="17"/>
      <c r="M77" s="17"/>
      <c r="N77" s="19" t="n">
        <f aca="false">0</f>
        <v>0</v>
      </c>
      <c r="O77" s="17" t="n">
        <f aca="false">O63*O72*(O64+p_charger)*$J$11/1000</f>
        <v>6.83523691472578</v>
      </c>
      <c r="P77" s="17" t="n">
        <f aca="false">P63*P72*(P64+p_charger)*$J$11/1000</f>
        <v>9.68666023297935</v>
      </c>
      <c r="Q77" s="17" t="n">
        <f aca="false">Q63*Q72*(Q64+p_charger)*$J$11/1000</f>
        <v>11.8067867596628</v>
      </c>
      <c r="R77" s="17" t="n">
        <f aca="false">R63*R72*(R64+p_charger)*$J$11/1000</f>
        <v>12.8049667909805</v>
      </c>
      <c r="S77" s="17" t="n">
        <f aca="false">S63*S72*(S64+p_charger)*$J$11/1000</f>
        <v>12.6124246680779</v>
      </c>
      <c r="T77" s="17" t="n">
        <f aca="false">T63*T72*(T64+p_charger)*$J$11/1000</f>
        <v>11.166359725928</v>
      </c>
      <c r="U77" s="17" t="n">
        <f aca="false">U63*U72*(U64+p_charger)*$J$11/1000</f>
        <v>8.41068241780239</v>
      </c>
      <c r="V77" s="17" t="n">
        <f aca="false">V63*V72*(V64+p_charger)*$J$11/1000</f>
        <v>4.29671578511449</v>
      </c>
      <c r="W77" s="17" t="n">
        <f aca="false">W63*W72*(W64+p_charger)*$J$11/1000</f>
        <v>4.8645843954807</v>
      </c>
      <c r="X77" s="17" t="n">
        <f aca="false">X63*X72*(X64+p_charger)*$J$11/1000</f>
        <v>5.43988726321995</v>
      </c>
      <c r="Y77" s="17" t="n">
        <f aca="false">Y63*Y72*(Y64+p_charger)*$J$11/1000</f>
        <v>6.02074176716884</v>
      </c>
      <c r="Z77" s="17" t="n">
        <f aca="false">Z63*Z72*(Z64+p_charger)*$J$11/1000</f>
        <v>6.60519157204895</v>
      </c>
      <c r="AA77" s="17" t="n">
        <f aca="false">AA63*AA72*(AA64+p_charger)*$J$11/1000</f>
        <v>7.19121666762926</v>
      </c>
      <c r="AB77" s="17" t="n">
        <f aca="false">AB63*AB72*(AB64+p_charger)*$J$11/1000</f>
        <v>7.77674411792484</v>
      </c>
      <c r="AC77" s="17" t="n">
        <f aca="false">AC63*AC72*(AC64+p_charger)*$J$11/1000</f>
        <v>8.35965944732294</v>
      </c>
      <c r="AD77" s="17" t="n">
        <f aca="false">AD63*AD72*(AD64+p_charger)*$J$11/1000</f>
        <v>8.9378185825138</v>
      </c>
      <c r="AE77" s="17" t="n">
        <f aca="false">AE63*AE72*(AE64+p_charger)*$J$11/1000</f>
        <v>9.07431628692716</v>
      </c>
      <c r="AF77" s="17" t="n">
        <f aca="false">AF63*AF72*(AF64+p_charger)*$J$11/1000</f>
        <v>9.21293263974913</v>
      </c>
      <c r="AG77" s="17" t="n">
        <f aca="false">AG63*AG72*(AG64+p_charger)*$J$11/1000</f>
        <v>9.35370106419831</v>
      </c>
      <c r="AH77" s="17" t="n">
        <f aca="false">AH63*AH72*(AH64+p_charger)*$J$11/1000</f>
        <v>9.49665551914853</v>
      </c>
      <c r="AI77" s="17" t="n">
        <f aca="false">AI63*AI72*(AI64+p_charger)*$J$11/1000</f>
        <v>9.64183050784161</v>
      </c>
      <c r="AJ77" s="17" t="n">
        <f aca="false">AJ63*AJ72*(AJ64+p_charger)*$J$11/1000</f>
        <v>9.78926108674409</v>
      </c>
      <c r="AK77" s="17" t="n">
        <f aca="false">AK63*AK72*(AK64+p_charger)*$J$11/1000</f>
        <v>9.93898287454967</v>
      </c>
      <c r="AL77" s="17" t="n">
        <f aca="false">AL63*AL72*(AL64+p_charger)*$J$11/1000</f>
        <v>10.0910320613305</v>
      </c>
      <c r="AM77" s="17" t="n">
        <f aca="false">AM63*AM72*(AM64+p_charger)*$J$11/1000</f>
        <v>10.2454454178391</v>
      </c>
      <c r="AN77" s="17" t="n">
        <f aca="false">AN63*AN72*(AN64+p_charger)*$J$11/1000</f>
        <v>10.402260304964</v>
      </c>
    </row>
    <row r="78" customFormat="false" ht="15" hidden="false" customHeight="false" outlineLevel="0" collapsed="false">
      <c r="A78" s="9" t="n">
        <v>4</v>
      </c>
      <c r="B78" s="9"/>
      <c r="C78" s="9" t="s">
        <v>431</v>
      </c>
      <c r="D78" s="9" t="s">
        <v>475</v>
      </c>
      <c r="E78" s="9" t="s">
        <v>301</v>
      </c>
      <c r="F78" s="9" t="s">
        <v>425</v>
      </c>
      <c r="G78" s="18"/>
      <c r="H78" s="18" t="s">
        <v>483</v>
      </c>
      <c r="I78" s="9"/>
      <c r="J78" s="9"/>
      <c r="K78" s="17"/>
      <c r="L78" s="17"/>
      <c r="M78" s="17"/>
      <c r="N78" s="19" t="n">
        <f aca="false">-N73*N62*p_veh_km*p_ev_maint/1000</f>
        <v>-0.226402131865946</v>
      </c>
      <c r="O78" s="17" t="n">
        <f aca="false">-O73*O62*p_veh_km*p_ev_maint/1000</f>
        <v>-0.39451104184434</v>
      </c>
      <c r="P78" s="17" t="n">
        <f aca="false">-P73*P62*p_veh_km*p_ev_maint/1000</f>
        <v>-0.680856119481215</v>
      </c>
      <c r="Q78" s="17" t="n">
        <f aca="false">-Q73*Q62*p_veh_km*p_ev_maint/1000</f>
        <v>-1.08690846134793</v>
      </c>
      <c r="R78" s="17" t="n">
        <f aca="false">-R73*R62*p_veh_km*p_ev_maint/1000</f>
        <v>-1.61236603879905</v>
      </c>
      <c r="S78" s="17" t="n">
        <f aca="false">-S73*S62*p_veh_km*p_ev_maint/1000</f>
        <v>-2.25644421494418</v>
      </c>
      <c r="T78" s="17" t="n">
        <f aca="false">-T73*T62*p_veh_km*p_ev_maint/1000</f>
        <v>-3.01786812110458</v>
      </c>
      <c r="U78" s="17" t="n">
        <f aca="false">-U73*U62*p_veh_km*p_ev_maint/1000</f>
        <v>-3.89486746567161</v>
      </c>
      <c r="V78" s="17" t="n">
        <f aca="false">-V73*V62*p_veh_km*p_ev_maint/1000</f>
        <v>-4.88517391001138</v>
      </c>
      <c r="W78" s="17" t="n">
        <f aca="false">-W73*W62*p_veh_km*p_ev_maint/1000</f>
        <v>-5.98602113103837</v>
      </c>
      <c r="X78" s="17" t="n">
        <f aca="false">-X73*X62*p_veh_km*p_ev_maint/1000</f>
        <v>-7.19414767309177</v>
      </c>
      <c r="Y78" s="17" t="n">
        <f aca="false">-Y73*Y62*p_veh_km*p_ev_maint/1000</f>
        <v>-8.50580267289572</v>
      </c>
      <c r="Z78" s="17" t="n">
        <f aca="false">-Z73*Z62*p_veh_km*p_ev_maint/1000</f>
        <v>-9.91675452080526</v>
      </c>
      <c r="AA78" s="17" t="n">
        <f aca="false">-AA73*AA62*p_veh_km*p_ev_maint/1000</f>
        <v>-11.4223024993968</v>
      </c>
      <c r="AB78" s="17" t="n">
        <f aca="false">-AB73*AB62*p_veh_km*p_ev_maint/1000</f>
        <v>-13.0172914169463</v>
      </c>
      <c r="AC78" s="17" t="n">
        <f aca="false">-AC73*AC62*p_veh_km*p_ev_maint/1000</f>
        <v>-14.6961292286673</v>
      </c>
      <c r="AD78" s="17" t="n">
        <f aca="false">-AD73*AD62*p_veh_km*p_ev_maint/1000</f>
        <v>-16.4528076130005</v>
      </c>
      <c r="AE78" s="17" t="n">
        <f aca="false">-AE73*AE62*p_veh_km*p_ev_maint/1000</f>
        <v>-18.1299724918815</v>
      </c>
      <c r="AF78" s="17" t="n">
        <f aca="false">-AF73*AF62*p_veh_km*p_ev_maint/1000</f>
        <v>-19.7338061715688</v>
      </c>
      <c r="AG78" s="17" t="n">
        <f aca="false">-AG73*AG62*p_veh_km*p_ev_maint/1000</f>
        <v>-21.2700716497639</v>
      </c>
      <c r="AH78" s="17" t="n">
        <f aca="false">-AH73*AH62*p_veh_km*p_ev_maint/1000</f>
        <v>-22.7441419458021</v>
      </c>
      <c r="AI78" s="17" t="n">
        <f aca="false">-AI73*AI62*p_veh_km*p_ev_maint/1000</f>
        <v>-24.1610273923532</v>
      </c>
      <c r="AJ78" s="17" t="n">
        <f aca="false">-AJ73*AJ62*p_veh_km*p_ev_maint/1000</f>
        <v>-25.5254010306292</v>
      </c>
      <c r="AK78" s="17" t="n">
        <f aca="false">-AK73*AK62*p_veh_km*p_ev_maint/1000</f>
        <v>-26.8416222412044</v>
      </c>
      <c r="AL78" s="17" t="n">
        <f aca="false">-AL73*AL62*p_veh_km*p_ev_maint/1000</f>
        <v>-28.1137587333486</v>
      </c>
      <c r="AM78" s="17" t="n">
        <f aca="false">-AM73*AM62*p_veh_km*p_ev_maint/1000</f>
        <v>-29.3456070072125</v>
      </c>
      <c r="AN78" s="17" t="n">
        <f aca="false">-AN73*AN62*p_veh_km*p_ev_maint/1000</f>
        <v>-30.540711395239</v>
      </c>
    </row>
    <row r="79" customFormat="false" ht="15" hidden="false" customHeight="false" outlineLevel="0" collapsed="false">
      <c r="A79" s="12" t="s">
        <v>484</v>
      </c>
      <c r="B79" s="13"/>
      <c r="C79" s="13"/>
      <c r="D79" s="13"/>
      <c r="E79" s="13"/>
      <c r="F79" s="13"/>
      <c r="G79" s="13"/>
      <c r="H79" s="13"/>
      <c r="I79" s="13"/>
      <c r="J79" s="13"/>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row>
    <row r="80" customFormat="false" ht="15" hidden="false" customHeight="false" outlineLevel="0" collapsed="false">
      <c r="A80" s="9" t="n">
        <v>5</v>
      </c>
      <c r="B80" s="9"/>
      <c r="C80" s="9" t="s">
        <v>439</v>
      </c>
      <c r="D80" s="9" t="s">
        <v>485</v>
      </c>
      <c r="E80" s="9" t="s">
        <v>97</v>
      </c>
      <c r="F80" s="9" t="s">
        <v>425</v>
      </c>
      <c r="G80" s="18"/>
      <c r="H80" s="18" t="s">
        <v>486</v>
      </c>
      <c r="I80" s="9"/>
      <c r="J80" s="9"/>
      <c r="K80" s="17"/>
      <c r="L80" s="17"/>
      <c r="M80" s="17"/>
      <c r="N80" s="19" t="n">
        <f aca="false">0</f>
        <v>0</v>
      </c>
      <c r="O80" s="17" t="n">
        <f aca="false">MIN(1,(O$1-2024)/($J$15-2024))</f>
        <v>0.0384615384615385</v>
      </c>
      <c r="P80" s="17" t="n">
        <f aca="false">MIN(1,(P$1-2024)/($J$15-2024))</f>
        <v>0.0769230769230769</v>
      </c>
      <c r="Q80" s="17" t="n">
        <f aca="false">MIN(1,(Q$1-2024)/($J$15-2024))</f>
        <v>0.115384615384615</v>
      </c>
      <c r="R80" s="17" t="n">
        <f aca="false">MIN(1,(R$1-2024)/($J$15-2024))</f>
        <v>0.153846153846154</v>
      </c>
      <c r="S80" s="17" t="n">
        <f aca="false">MIN(1,(S$1-2024)/($J$15-2024))</f>
        <v>0.192307692307692</v>
      </c>
      <c r="T80" s="17" t="n">
        <f aca="false">MIN(1,(T$1-2024)/($J$15-2024))</f>
        <v>0.230769230769231</v>
      </c>
      <c r="U80" s="17" t="n">
        <f aca="false">MIN(1,(U$1-2024)/($J$15-2024))</f>
        <v>0.269230769230769</v>
      </c>
      <c r="V80" s="17" t="n">
        <f aca="false">MIN(1,(V$1-2024)/($J$15-2024))</f>
        <v>0.307692307692308</v>
      </c>
      <c r="W80" s="17" t="n">
        <f aca="false">MIN(1,(W$1-2024)/($J$15-2024))</f>
        <v>0.346153846153846</v>
      </c>
      <c r="X80" s="17" t="n">
        <f aca="false">MIN(1,(X$1-2024)/($J$15-2024))</f>
        <v>0.384615384615385</v>
      </c>
      <c r="Y80" s="17" t="n">
        <f aca="false">MIN(1,(Y$1-2024)/($J$15-2024))</f>
        <v>0.423076923076923</v>
      </c>
      <c r="Z80" s="17" t="n">
        <f aca="false">MIN(1,(Z$1-2024)/($J$15-2024))</f>
        <v>0.461538461538462</v>
      </c>
      <c r="AA80" s="17" t="n">
        <f aca="false">MIN(1,(AA$1-2024)/($J$15-2024))</f>
        <v>0.5</v>
      </c>
      <c r="AB80" s="17" t="n">
        <f aca="false">MIN(1,(AB$1-2024)/($J$15-2024))</f>
        <v>0.538461538461538</v>
      </c>
      <c r="AC80" s="17" t="n">
        <f aca="false">MIN(1,(AC$1-2024)/($J$15-2024))</f>
        <v>0.576923076923077</v>
      </c>
      <c r="AD80" s="17" t="n">
        <f aca="false">MIN(1,(AD$1-2024)/($J$15-2024))</f>
        <v>0.615384615384615</v>
      </c>
      <c r="AE80" s="17" t="n">
        <f aca="false">MIN(1,(AE$1-2024)/($J$15-2024))</f>
        <v>0.653846153846154</v>
      </c>
      <c r="AF80" s="17" t="n">
        <f aca="false">MIN(1,(AF$1-2024)/($J$15-2024))</f>
        <v>0.692307692307692</v>
      </c>
      <c r="AG80" s="17" t="n">
        <f aca="false">MIN(1,(AG$1-2024)/($J$15-2024))</f>
        <v>0.730769230769231</v>
      </c>
      <c r="AH80" s="17" t="n">
        <f aca="false">MIN(1,(AH$1-2024)/($J$15-2024))</f>
        <v>0.769230769230769</v>
      </c>
      <c r="AI80" s="17" t="n">
        <f aca="false">MIN(1,(AI$1-2024)/($J$15-2024))</f>
        <v>0.807692307692308</v>
      </c>
      <c r="AJ80" s="17" t="n">
        <f aca="false">MIN(1,(AJ$1-2024)/($J$15-2024))</f>
        <v>0.846153846153846</v>
      </c>
      <c r="AK80" s="17" t="n">
        <f aca="false">MIN(1,(AK$1-2024)/($J$15-2024))</f>
        <v>0.884615384615385</v>
      </c>
      <c r="AL80" s="17" t="n">
        <f aca="false">MIN(1,(AL$1-2024)/($J$15-2024))</f>
        <v>0.923076923076923</v>
      </c>
      <c r="AM80" s="17" t="n">
        <f aca="false">MIN(1,(AM$1-2024)/($J$15-2024))</f>
        <v>0.961538461538462</v>
      </c>
      <c r="AN80" s="17" t="n">
        <f aca="false">MIN(1,(AN$1-2024)/($J$15-2024))</f>
        <v>1</v>
      </c>
    </row>
    <row r="81" customFormat="false" ht="15" hidden="false" customHeight="false" outlineLevel="0" collapsed="false">
      <c r="A81" s="9" t="n">
        <v>5</v>
      </c>
      <c r="B81" s="9" t="s">
        <v>438</v>
      </c>
      <c r="C81" s="9" t="s">
        <v>439</v>
      </c>
      <c r="D81" s="9" t="s">
        <v>468</v>
      </c>
      <c r="E81" s="9" t="s">
        <v>433</v>
      </c>
      <c r="F81" s="9" t="s">
        <v>425</v>
      </c>
      <c r="G81" s="18"/>
      <c r="H81" s="18" t="s">
        <v>487</v>
      </c>
      <c r="I81" s="9"/>
      <c r="J81" s="9"/>
      <c r="K81" s="17"/>
      <c r="L81" s="17"/>
      <c r="M81" s="17"/>
      <c r="N81" s="19" t="n">
        <f aca="false">N52</f>
        <v>430.484273660367</v>
      </c>
      <c r="O81" s="17" t="n">
        <f aca="false">O52</f>
        <v>437.881607568034</v>
      </c>
      <c r="P81" s="17" t="n">
        <f aca="false">P52</f>
        <v>443.985316743008</v>
      </c>
      <c r="Q81" s="17" t="n">
        <f aca="false">Q52</f>
        <v>449.949476479766</v>
      </c>
      <c r="R81" s="17" t="n">
        <f aca="false">R52</f>
        <v>455.765841063564</v>
      </c>
      <c r="S81" s="17" t="n">
        <f aca="false">S52</f>
        <v>461.426263109081</v>
      </c>
      <c r="T81" s="17" t="n">
        <f aca="false">T52</f>
        <v>466.92271193011</v>
      </c>
      <c r="U81" s="17" t="n">
        <f aca="false">U52</f>
        <v>472.247291919988</v>
      </c>
      <c r="V81" s="17" t="n">
        <f aca="false">V52</f>
        <v>477.392260886222</v>
      </c>
      <c r="W81" s="17" t="n">
        <f aca="false">W52</f>
        <v>482.350048281867</v>
      </c>
      <c r="X81" s="17" t="n">
        <f aca="false">X52</f>
        <v>487.113273275621</v>
      </c>
      <c r="Y81" s="17" t="n">
        <f aca="false">Y52</f>
        <v>491.674762602137</v>
      </c>
      <c r="Z81" s="17" t="n">
        <f aca="false">Z52</f>
        <v>496.027568133935</v>
      </c>
      <c r="AA81" s="17" t="n">
        <f aca="false">AA52</f>
        <v>500.164984116289</v>
      </c>
      <c r="AB81" s="17" t="n">
        <f aca="false">AB52</f>
        <v>504.080564006828</v>
      </c>
      <c r="AC81" s="17" t="n">
        <f aca="false">AC52</f>
        <v>507.768136862106</v>
      </c>
      <c r="AD81" s="17" t="n">
        <f aca="false">AD52</f>
        <v>511.221823214188</v>
      </c>
      <c r="AE81" s="17" t="n">
        <f aca="false">AE52</f>
        <v>514.699000503477</v>
      </c>
      <c r="AF81" s="17" t="n">
        <f aca="false">AF52</f>
        <v>518.199828508271</v>
      </c>
      <c r="AG81" s="17" t="n">
        <f aca="false">AG52</f>
        <v>521.724468093634</v>
      </c>
      <c r="AH81" s="17" t="n">
        <f aca="false">AH52</f>
        <v>525.273081218785</v>
      </c>
      <c r="AI81" s="17" t="n">
        <f aca="false">AI52</f>
        <v>528.84583094454</v>
      </c>
      <c r="AJ81" s="17" t="n">
        <f aca="false">AJ52</f>
        <v>532.442881440807</v>
      </c>
      <c r="AK81" s="17" t="n">
        <f aca="false">AK52</f>
        <v>536.064397994129</v>
      </c>
      <c r="AL81" s="17" t="n">
        <f aca="false">AL52</f>
        <v>539.710547015276</v>
      </c>
      <c r="AM81" s="17" t="n">
        <f aca="false">AM52</f>
        <v>543.381496046896</v>
      </c>
      <c r="AN81" s="17" t="n">
        <f aca="false">AN52</f>
        <v>547.077413771211</v>
      </c>
    </row>
    <row r="82" customFormat="false" ht="15" hidden="false" customHeight="false" outlineLevel="0" collapsed="false">
      <c r="A82" s="9" t="n">
        <v>5</v>
      </c>
      <c r="B82" s="9" t="s">
        <v>442</v>
      </c>
      <c r="C82" s="9" t="s">
        <v>439</v>
      </c>
      <c r="D82" s="9" t="s">
        <v>468</v>
      </c>
      <c r="E82" s="9" t="s">
        <v>433</v>
      </c>
      <c r="F82" s="9" t="s">
        <v>425</v>
      </c>
      <c r="G82" s="18"/>
      <c r="H82" s="18" t="s">
        <v>488</v>
      </c>
      <c r="I82" s="9"/>
      <c r="J82" s="9"/>
      <c r="K82" s="17"/>
      <c r="L82" s="17"/>
      <c r="M82" s="17"/>
      <c r="N82" s="19" t="n">
        <f aca="false">N53</f>
        <v>241.485724789096</v>
      </c>
      <c r="O82" s="17" t="n">
        <f aca="false">O53</f>
        <v>244.419338374677</v>
      </c>
      <c r="P82" s="17" t="n">
        <f aca="false">P53</f>
        <v>246.599479679171</v>
      </c>
      <c r="Q82" s="17" t="n">
        <f aca="false">Q53</f>
        <v>248.674920138864</v>
      </c>
      <c r="R82" s="17" t="n">
        <f aca="false">R53</f>
        <v>250.642490150667</v>
      </c>
      <c r="S82" s="17" t="n">
        <f aca="false">S53</f>
        <v>252.499150874057</v>
      </c>
      <c r="T82" s="17" t="n">
        <f aca="false">T53</f>
        <v>254.242001893318</v>
      </c>
      <c r="U82" s="17" t="n">
        <f aca="false">U53</f>
        <v>255.868288618532</v>
      </c>
      <c r="V82" s="17" t="n">
        <f aca="false">V53</f>
        <v>257.375409399466</v>
      </c>
      <c r="W82" s="17" t="n">
        <f aca="false">W53</f>
        <v>258.76092232715</v>
      </c>
      <c r="X82" s="17" t="n">
        <f aca="false">X53</f>
        <v>260.022551698792</v>
      </c>
      <c r="Y82" s="17" t="n">
        <f aca="false">Y53</f>
        <v>261.158194122531</v>
      </c>
      <c r="Z82" s="17" t="n">
        <f aca="false">Z53</f>
        <v>262.165924239579</v>
      </c>
      <c r="AA82" s="17" t="n">
        <f aca="false">AA53</f>
        <v>263.0440000424</v>
      </c>
      <c r="AB82" s="17" t="n">
        <f aca="false">AB53</f>
        <v>263.79086776881</v>
      </c>
      <c r="AC82" s="17" t="n">
        <f aca="false">AC53</f>
        <v>264.405166353183</v>
      </c>
      <c r="AD82" s="17" t="n">
        <f aca="false">AD53</f>
        <v>264.885731417352</v>
      </c>
      <c r="AE82" s="17" t="n">
        <f aca="false">AE53</f>
        <v>265.367169924291</v>
      </c>
      <c r="AF82" s="17" t="n">
        <f aca="false">AF53</f>
        <v>265.84948346151</v>
      </c>
      <c r="AG82" s="17" t="n">
        <f aca="false">AG53</f>
        <v>266.332673619407</v>
      </c>
      <c r="AH82" s="17" t="n">
        <f aca="false">AH53</f>
        <v>266.816741991268</v>
      </c>
      <c r="AI82" s="17" t="n">
        <f aca="false">AI53</f>
        <v>267.301690173276</v>
      </c>
      <c r="AJ82" s="17" t="n">
        <f aca="false">AJ53</f>
        <v>267.787519764514</v>
      </c>
      <c r="AK82" s="17" t="n">
        <f aca="false">AK53</f>
        <v>268.274232366973</v>
      </c>
      <c r="AL82" s="17" t="n">
        <f aca="false">AL53</f>
        <v>268.761829585554</v>
      </c>
      <c r="AM82" s="17" t="n">
        <f aca="false">AM53</f>
        <v>269.250313028077</v>
      </c>
      <c r="AN82" s="17" t="n">
        <f aca="false">AN53</f>
        <v>269.739684305282</v>
      </c>
    </row>
    <row r="83" customFormat="false" ht="15" hidden="false" customHeight="false" outlineLevel="0" collapsed="false">
      <c r="A83" s="9" t="n">
        <v>5</v>
      </c>
      <c r="B83" s="9" t="s">
        <v>444</v>
      </c>
      <c r="C83" s="9" t="s">
        <v>439</v>
      </c>
      <c r="D83" s="9" t="s">
        <v>468</v>
      </c>
      <c r="E83" s="9" t="s">
        <v>433</v>
      </c>
      <c r="F83" s="9" t="s">
        <v>425</v>
      </c>
      <c r="G83" s="18"/>
      <c r="H83" s="18" t="s">
        <v>489</v>
      </c>
      <c r="I83" s="9"/>
      <c r="J83" s="9"/>
      <c r="K83" s="17"/>
      <c r="L83" s="17"/>
      <c r="M83" s="17"/>
      <c r="N83" s="19" t="n">
        <f aca="false">N54</f>
        <v>1626.2883456291</v>
      </c>
      <c r="O83" s="17" t="n">
        <f aca="false">O54</f>
        <v>1678.70330851749</v>
      </c>
      <c r="P83" s="17" t="n">
        <f aca="false">P54</f>
        <v>1723.60532503701</v>
      </c>
      <c r="Q83" s="17" t="n">
        <f aca="false">Q54</f>
        <v>1768.23686393492</v>
      </c>
      <c r="R83" s="17" t="n">
        <f aca="false">R54</f>
        <v>1812.51322526686</v>
      </c>
      <c r="S83" s="17" t="n">
        <f aca="false">S54</f>
        <v>1856.34825554685</v>
      </c>
      <c r="T83" s="17" t="n">
        <f aca="false">T54</f>
        <v>1899.65460463712</v>
      </c>
      <c r="U83" s="17" t="n">
        <f aca="false">U54</f>
        <v>1942.34399524639</v>
      </c>
      <c r="V83" s="17" t="n">
        <f aca="false">V54</f>
        <v>1984.32750400617</v>
      </c>
      <c r="W83" s="17" t="n">
        <f aca="false">W54</f>
        <v>2025.51585299429</v>
      </c>
      <c r="X83" s="17" t="n">
        <f aca="false">X54</f>
        <v>2065.81971047831</v>
      </c>
      <c r="Y83" s="17" t="n">
        <f aca="false">Y54</f>
        <v>2105.14999956144</v>
      </c>
      <c r="Z83" s="17" t="n">
        <f aca="false">Z54</f>
        <v>2143.41821332951</v>
      </c>
      <c r="AA83" s="17" t="n">
        <f aca="false">AA54</f>
        <v>2180.53673502112</v>
      </c>
      <c r="AB83" s="17" t="n">
        <f aca="false">AB54</f>
        <v>2216.4191616751</v>
      </c>
      <c r="AC83" s="17" t="n">
        <f aca="false">AC54</f>
        <v>2250.9806296497</v>
      </c>
      <c r="AD83" s="17" t="n">
        <f aca="false">AD54</f>
        <v>2284.13814035885</v>
      </c>
      <c r="AE83" s="17" t="n">
        <f aca="false">AE54</f>
        <v>2317.78406953857</v>
      </c>
      <c r="AF83" s="17" t="n">
        <f aca="false">AF54</f>
        <v>2351.92561171575</v>
      </c>
      <c r="AG83" s="17" t="n">
        <f aca="false">AG54</f>
        <v>2386.57006739448</v>
      </c>
      <c r="AH83" s="17" t="n">
        <f aca="false">AH54</f>
        <v>2421.72484461709</v>
      </c>
      <c r="AI83" s="17" t="n">
        <f aca="false">AI54</f>
        <v>2457.39746054826</v>
      </c>
      <c r="AJ83" s="17" t="n">
        <f aca="false">AJ54</f>
        <v>2493.59554308238</v>
      </c>
      <c r="AK83" s="17" t="n">
        <f aca="false">AK54</f>
        <v>2530.32683247464</v>
      </c>
      <c r="AL83" s="17" t="n">
        <f aca="false">AL54</f>
        <v>2567.59918299614</v>
      </c>
      <c r="AM83" s="17" t="n">
        <f aca="false">AM54</f>
        <v>2605.42056461337</v>
      </c>
      <c r="AN83" s="17" t="n">
        <f aca="false">AN54</f>
        <v>2643.79906469244</v>
      </c>
    </row>
    <row r="84" customFormat="false" ht="15" hidden="false" customHeight="false" outlineLevel="0" collapsed="false">
      <c r="A84" s="9" t="n">
        <v>5</v>
      </c>
      <c r="B84" s="9" t="s">
        <v>446</v>
      </c>
      <c r="C84" s="9" t="s">
        <v>439</v>
      </c>
      <c r="D84" s="9" t="s">
        <v>468</v>
      </c>
      <c r="E84" s="9" t="s">
        <v>433</v>
      </c>
      <c r="F84" s="9" t="s">
        <v>425</v>
      </c>
      <c r="G84" s="18"/>
      <c r="H84" s="18" t="s">
        <v>490</v>
      </c>
      <c r="I84" s="9"/>
      <c r="J84" s="9"/>
      <c r="K84" s="17"/>
      <c r="L84" s="17"/>
      <c r="M84" s="17"/>
      <c r="N84" s="19" t="n">
        <f aca="false">N55</f>
        <v>259.214427613643</v>
      </c>
      <c r="O84" s="17" t="n">
        <f aca="false">O55</f>
        <v>267.56885912637</v>
      </c>
      <c r="P84" s="17" t="n">
        <f aca="false">P55</f>
        <v>274.725800601163</v>
      </c>
      <c r="Q84" s="17" t="n">
        <f aca="false">Q55</f>
        <v>281.839630593261</v>
      </c>
      <c r="R84" s="17" t="n">
        <f aca="false">R55</f>
        <v>288.896848761442</v>
      </c>
      <c r="S84" s="17" t="n">
        <f aca="false">S55</f>
        <v>295.883723084186</v>
      </c>
      <c r="T84" s="17" t="n">
        <f aca="false">T55</f>
        <v>302.786330805407</v>
      </c>
      <c r="U84" s="17" t="n">
        <f aca="false">U55</f>
        <v>309.590601389832</v>
      </c>
      <c r="V84" s="17" t="n">
        <f aca="false">V55</f>
        <v>316.282361323812</v>
      </c>
      <c r="W84" s="17" t="n">
        <f aca="false">W55</f>
        <v>322.847380581315</v>
      </c>
      <c r="X84" s="17" t="n">
        <f aca="false">X55</f>
        <v>329.271420559478</v>
      </c>
      <c r="Y84" s="17" t="n">
        <f aca="false">Y55</f>
        <v>335.540283273746</v>
      </c>
      <c r="Z84" s="17" t="n">
        <f aca="false">Z55</f>
        <v>341.639861589206</v>
      </c>
      <c r="AA84" s="17" t="n">
        <f aca="false">AA55</f>
        <v>347.55619025258</v>
      </c>
      <c r="AB84" s="17" t="n">
        <f aca="false">AB55</f>
        <v>353.275497478447</v>
      </c>
      <c r="AC84" s="17" t="n">
        <f aca="false">AC55</f>
        <v>358.784256833823</v>
      </c>
      <c r="AD84" s="17" t="n">
        <f aca="false">AD55</f>
        <v>364.069239157323</v>
      </c>
      <c r="AE84" s="17" t="n">
        <f aca="false">AE55</f>
        <v>369.432070599417</v>
      </c>
      <c r="AF84" s="17" t="n">
        <f aca="false">AF55</f>
        <v>374.873897897196</v>
      </c>
      <c r="AG84" s="17" t="n">
        <f aca="false">AG55</f>
        <v>380.395884679481</v>
      </c>
      <c r="AH84" s="17" t="n">
        <f aca="false">AH55</f>
        <v>385.999211715635</v>
      </c>
      <c r="AI84" s="17" t="n">
        <f aca="false">AI55</f>
        <v>391.685077168051</v>
      </c>
      <c r="AJ84" s="17" t="n">
        <f aca="false">AJ55</f>
        <v>397.454696848356</v>
      </c>
      <c r="AK84" s="17" t="n">
        <f aca="false">AK55</f>
        <v>403.309304477388</v>
      </c>
      <c r="AL84" s="17" t="n">
        <f aca="false">AL55</f>
        <v>409.250151949002</v>
      </c>
      <c r="AM84" s="17" t="n">
        <f aca="false">AM55</f>
        <v>415.278509597766</v>
      </c>
      <c r="AN84" s="17" t="n">
        <f aca="false">AN55</f>
        <v>421.395666470594</v>
      </c>
    </row>
    <row r="85" customFormat="false" ht="15" hidden="false" customHeight="false" outlineLevel="0" collapsed="false">
      <c r="A85" s="9" t="n">
        <v>5</v>
      </c>
      <c r="B85" s="9" t="s">
        <v>438</v>
      </c>
      <c r="C85" s="9" t="s">
        <v>439</v>
      </c>
      <c r="D85" s="9" t="s">
        <v>468</v>
      </c>
      <c r="E85" s="9" t="s">
        <v>433</v>
      </c>
      <c r="F85" s="9" t="s">
        <v>425</v>
      </c>
      <c r="G85" s="18"/>
      <c r="H85" s="18" t="s">
        <v>491</v>
      </c>
      <c r="I85" s="9"/>
      <c r="J85" s="9"/>
      <c r="K85" s="17"/>
      <c r="L85" s="17"/>
      <c r="M85" s="17"/>
      <c r="N85" s="19" t="n">
        <f aca="false">N52</f>
        <v>430.484273660367</v>
      </c>
      <c r="O85" s="17" t="n">
        <f aca="false">O52*(1-O80)</f>
        <v>421.040007276956</v>
      </c>
      <c r="P85" s="17" t="n">
        <f aca="false">P52*(1-P80)</f>
        <v>409.832600070469</v>
      </c>
      <c r="Q85" s="17" t="n">
        <f aca="false">Q52*(1-Q80)</f>
        <v>398.032229193639</v>
      </c>
      <c r="R85" s="17" t="n">
        <f aca="false">R52*(1-R80)</f>
        <v>385.648019361477</v>
      </c>
      <c r="S85" s="17" t="n">
        <f aca="false">S52*(1-S80)</f>
        <v>372.690443280412</v>
      </c>
      <c r="T85" s="17" t="n">
        <f aca="false">T52*(1-T80)</f>
        <v>359.171316869315</v>
      </c>
      <c r="U85" s="17" t="n">
        <f aca="false">U52*(1-U80)</f>
        <v>345.103790249222</v>
      </c>
      <c r="V85" s="17" t="n">
        <f aca="false">V52*(1-V80)</f>
        <v>330.502334459692</v>
      </c>
      <c r="W85" s="17" t="n">
        <f aca="false">W52*(1-W80)</f>
        <v>315.382723876606</v>
      </c>
      <c r="X85" s="17" t="n">
        <f aca="false">X52*(1-X80)</f>
        <v>299.762014323459</v>
      </c>
      <c r="Y85" s="17" t="n">
        <f aca="false">Y52*(1-Y80)</f>
        <v>283.658516885848</v>
      </c>
      <c r="Z85" s="17" t="n">
        <f aca="false">Z52*(1-Z80)</f>
        <v>267.091767456734</v>
      </c>
      <c r="AA85" s="17" t="n">
        <f aca="false">AA52*(1-AA80)</f>
        <v>250.082492058144</v>
      </c>
      <c r="AB85" s="17" t="n">
        <f aca="false">AB52*(1-AB80)</f>
        <v>232.652568003151</v>
      </c>
      <c r="AC85" s="17" t="n">
        <f aca="false">AC52*(1-AC80)</f>
        <v>214.824980980122</v>
      </c>
      <c r="AD85" s="17" t="n">
        <f aca="false">AD52*(1-AD80)</f>
        <v>196.623778159303</v>
      </c>
      <c r="AE85" s="17" t="n">
        <f aca="false">AE52*(1-AE80)</f>
        <v>178.165038635819</v>
      </c>
      <c r="AF85" s="17" t="n">
        <f aca="false">AF52*(1-AF80)</f>
        <v>159.446101079468</v>
      </c>
      <c r="AG85" s="17" t="n">
        <f aca="false">AG52*(1-AG80)</f>
        <v>140.464279871363</v>
      </c>
      <c r="AH85" s="17" t="n">
        <f aca="false">AH52*(1-AH80)</f>
        <v>121.216864896643</v>
      </c>
      <c r="AI85" s="17" t="n">
        <f aca="false">AI52*(1-AI80)</f>
        <v>101.701121335488</v>
      </c>
      <c r="AJ85" s="17" t="n">
        <f aca="false">AJ52*(1-AJ80)</f>
        <v>81.9142894524319</v>
      </c>
      <c r="AK85" s="17" t="n">
        <f aca="false">AK52*(1-AK80)</f>
        <v>61.853584383938</v>
      </c>
      <c r="AL85" s="17" t="n">
        <f aca="false">AL52*(1-AL80)</f>
        <v>41.516195924252</v>
      </c>
      <c r="AM85" s="17" t="n">
        <f aca="false">AM52*(1-AM80)</f>
        <v>20.899288309496</v>
      </c>
      <c r="AN85" s="17" t="n">
        <f aca="false">AN52*(1-AN80)</f>
        <v>0</v>
      </c>
    </row>
    <row r="86" customFormat="false" ht="15" hidden="false" customHeight="false" outlineLevel="0" collapsed="false">
      <c r="A86" s="9" t="n">
        <v>5</v>
      </c>
      <c r="B86" s="9" t="s">
        <v>442</v>
      </c>
      <c r="C86" s="9" t="s">
        <v>439</v>
      </c>
      <c r="D86" s="9" t="s">
        <v>468</v>
      </c>
      <c r="E86" s="9" t="s">
        <v>433</v>
      </c>
      <c r="F86" s="9" t="s">
        <v>425</v>
      </c>
      <c r="G86" s="18"/>
      <c r="H86" s="18" t="s">
        <v>492</v>
      </c>
      <c r="I86" s="9"/>
      <c r="J86" s="9"/>
      <c r="K86" s="17"/>
      <c r="L86" s="17"/>
      <c r="M86" s="17"/>
      <c r="N86" s="19" t="n">
        <f aca="false">N53</f>
        <v>241.485724789096</v>
      </c>
      <c r="O86" s="17" t="n">
        <f aca="false">O53*(1-O80)</f>
        <v>235.018594591036</v>
      </c>
      <c r="P86" s="17" t="n">
        <f aca="false">P53*(1-P80)</f>
        <v>227.630288934619</v>
      </c>
      <c r="Q86" s="17" t="n">
        <f aca="false">Q53*(1-Q80)</f>
        <v>219.981660122841</v>
      </c>
      <c r="R86" s="17" t="n">
        <f aca="false">R53*(1-R80)</f>
        <v>212.082107050564</v>
      </c>
      <c r="S86" s="17" t="n">
        <f aca="false">S53*(1-S80)</f>
        <v>203.941621859816</v>
      </c>
      <c r="T86" s="17" t="n">
        <f aca="false">T53*(1-T80)</f>
        <v>195.570770687167</v>
      </c>
      <c r="U86" s="17" t="n">
        <f aca="false">U53*(1-U80)</f>
        <v>186.980672452004</v>
      </c>
      <c r="V86" s="17" t="n">
        <f aca="false">V53*(1-V80)</f>
        <v>178.182975738092</v>
      </c>
      <c r="W86" s="17" t="n">
        <f aca="false">W53*(1-W80)</f>
        <v>169.18983382929</v>
      </c>
      <c r="X86" s="17" t="n">
        <f aca="false">X53*(1-X80)</f>
        <v>160.013877968487</v>
      </c>
      <c r="Y86" s="17" t="n">
        <f aca="false">Y53*(1-Y80)</f>
        <v>150.668188916845</v>
      </c>
      <c r="Z86" s="17" t="n">
        <f aca="false">Z53*(1-Z80)</f>
        <v>141.166266898235</v>
      </c>
      <c r="AA86" s="17" t="n">
        <f aca="false">AA53*(1-AA80)</f>
        <v>131.5220000212</v>
      </c>
      <c r="AB86" s="17" t="n">
        <f aca="false">AB53*(1-AB80)</f>
        <v>121.749631277912</v>
      </c>
      <c r="AC86" s="17" t="n">
        <f aca="false">AC53*(1-AC80)</f>
        <v>111.863724226347</v>
      </c>
      <c r="AD86" s="17" t="n">
        <f aca="false">AD53*(1-AD80)</f>
        <v>101.879127468212</v>
      </c>
      <c r="AE86" s="17" t="n">
        <f aca="false">AE53*(1-AE80)</f>
        <v>91.8578665122544</v>
      </c>
      <c r="AF86" s="17" t="n">
        <f aca="false">AF53*(1-AF80)</f>
        <v>81.7998410650801</v>
      </c>
      <c r="AG86" s="17" t="n">
        <f aca="false">AG53*(1-AG80)</f>
        <v>71.7049505898405</v>
      </c>
      <c r="AH86" s="17" t="n">
        <f aca="false">AH53*(1-AH80)</f>
        <v>61.5730943056773</v>
      </c>
      <c r="AI86" s="17" t="n">
        <f aca="false">AI53*(1-AI80)</f>
        <v>51.4041711871685</v>
      </c>
      <c r="AJ86" s="17" t="n">
        <f aca="false">AJ53*(1-AJ80)</f>
        <v>41.1980799637714</v>
      </c>
      <c r="AK86" s="17" t="n">
        <f aca="false">AK53*(1-AK80)</f>
        <v>30.9547191192661</v>
      </c>
      <c r="AL86" s="17" t="n">
        <f aca="false">AL53*(1-AL80)</f>
        <v>20.6739868911964</v>
      </c>
      <c r="AM86" s="17" t="n">
        <f aca="false">AM53*(1-AM80)</f>
        <v>10.3557812703106</v>
      </c>
      <c r="AN86" s="17" t="n">
        <f aca="false">AN53*(1-AN80)</f>
        <v>0</v>
      </c>
    </row>
    <row r="87" customFormat="false" ht="15" hidden="false" customHeight="false" outlineLevel="0" collapsed="false">
      <c r="A87" s="9" t="n">
        <v>5</v>
      </c>
      <c r="B87" s="9" t="s">
        <v>444</v>
      </c>
      <c r="C87" s="9" t="s">
        <v>439</v>
      </c>
      <c r="D87" s="9" t="s">
        <v>468</v>
      </c>
      <c r="E87" s="9" t="s">
        <v>433</v>
      </c>
      <c r="F87" s="9" t="s">
        <v>425</v>
      </c>
      <c r="G87" s="18"/>
      <c r="H87" s="18" t="s">
        <v>493</v>
      </c>
      <c r="I87" s="9"/>
      <c r="J87" s="9"/>
      <c r="K87" s="17"/>
      <c r="L87" s="17"/>
      <c r="M87" s="17"/>
      <c r="N87" s="19" t="n">
        <f aca="false">N54</f>
        <v>1626.2883456291</v>
      </c>
      <c r="O87" s="17" t="n">
        <f aca="false">O54*(1-O80)</f>
        <v>1614.13779665144</v>
      </c>
      <c r="P87" s="17" t="n">
        <f aca="false">P54*(1-P80)</f>
        <v>1591.02030003416</v>
      </c>
      <c r="Q87" s="17" t="n">
        <f aca="false">Q54*(1-Q80)</f>
        <v>1564.20953348089</v>
      </c>
      <c r="R87" s="17" t="n">
        <f aca="false">R54*(1-R80)</f>
        <v>1533.66503676427</v>
      </c>
      <c r="S87" s="17" t="n">
        <f aca="false">S54*(1-S80)</f>
        <v>1499.35820640322</v>
      </c>
      <c r="T87" s="17" t="n">
        <f aca="false">T54*(1-T80)</f>
        <v>1461.27277279778</v>
      </c>
      <c r="U87" s="17" t="n">
        <f aca="false">U54*(1-U80)</f>
        <v>1419.40522729544</v>
      </c>
      <c r="V87" s="17" t="n">
        <f aca="false">V54*(1-V80)</f>
        <v>1373.7651950812</v>
      </c>
      <c r="W87" s="17" t="n">
        <f aca="false">W54*(1-W80)</f>
        <v>1324.37575003473</v>
      </c>
      <c r="X87" s="17" t="n">
        <f aca="false">X54*(1-X80)</f>
        <v>1271.27366798665</v>
      </c>
      <c r="Y87" s="17" t="n">
        <f aca="false">Y54*(1-Y80)</f>
        <v>1214.5096151316</v>
      </c>
      <c r="Z87" s="17" t="n">
        <f aca="false">Z54*(1-Z80)</f>
        <v>1154.14826871589</v>
      </c>
      <c r="AA87" s="17" t="n">
        <f aca="false">AA54*(1-AA80)</f>
        <v>1090.26836751056</v>
      </c>
      <c r="AB87" s="17" t="n">
        <f aca="false">AB54*(1-AB80)</f>
        <v>1022.96269000389</v>
      </c>
      <c r="AC87" s="17" t="n">
        <f aca="false">AC54*(1-AC80)</f>
        <v>952.33795869795</v>
      </c>
      <c r="AD87" s="17" t="n">
        <f aca="false">AD54*(1-AD80)</f>
        <v>878.514669368787</v>
      </c>
      <c r="AE87" s="17" t="n">
        <f aca="false">AE54*(1-AE80)</f>
        <v>802.309870224888</v>
      </c>
      <c r="AF87" s="17" t="n">
        <f aca="false">AF54*(1-AF80)</f>
        <v>723.669418989461</v>
      </c>
      <c r="AG87" s="17" t="n">
        <f aca="false">AG54*(1-AG80)</f>
        <v>642.538095067744</v>
      </c>
      <c r="AH87" s="17" t="n">
        <f aca="false">AH54*(1-AH80)</f>
        <v>558.859579527022</v>
      </c>
      <c r="AI87" s="17" t="n">
        <f aca="false">AI54*(1-AI80)</f>
        <v>472.57643472082</v>
      </c>
      <c r="AJ87" s="17" t="n">
        <f aca="false">AJ54*(1-AJ80)</f>
        <v>383.630083551135</v>
      </c>
      <c r="AK87" s="17" t="n">
        <f aca="false">AK54*(1-AK80)</f>
        <v>291.960788362458</v>
      </c>
      <c r="AL87" s="17" t="n">
        <f aca="false">AL54*(1-AL80)</f>
        <v>197.507629461241</v>
      </c>
      <c r="AM87" s="17" t="n">
        <f aca="false">AM54*(1-AM80)</f>
        <v>100.20848325436</v>
      </c>
      <c r="AN87" s="17" t="n">
        <f aca="false">AN54*(1-AN80)</f>
        <v>0</v>
      </c>
    </row>
    <row r="88" customFormat="false" ht="15" hidden="false" customHeight="false" outlineLevel="0" collapsed="false">
      <c r="A88" s="9" t="n">
        <v>5</v>
      </c>
      <c r="B88" s="9" t="s">
        <v>446</v>
      </c>
      <c r="C88" s="9" t="s">
        <v>439</v>
      </c>
      <c r="D88" s="9" t="s">
        <v>468</v>
      </c>
      <c r="E88" s="9" t="s">
        <v>433</v>
      </c>
      <c r="F88" s="9" t="s">
        <v>425</v>
      </c>
      <c r="G88" s="18"/>
      <c r="H88" s="18" t="s">
        <v>494</v>
      </c>
      <c r="I88" s="9"/>
      <c r="J88" s="9"/>
      <c r="K88" s="17"/>
      <c r="L88" s="17"/>
      <c r="M88" s="17"/>
      <c r="N88" s="19" t="n">
        <f aca="false">N55</f>
        <v>259.214427613643</v>
      </c>
      <c r="O88" s="17" t="n">
        <f aca="false">O55*(1-O80)</f>
        <v>257.277749159971</v>
      </c>
      <c r="P88" s="17" t="n">
        <f aca="false">P55*(1-P80)</f>
        <v>253.593046708766</v>
      </c>
      <c r="Q88" s="17" t="n">
        <f aca="false">Q55*(1-Q80)</f>
        <v>249.319673217116</v>
      </c>
      <c r="R88" s="17" t="n">
        <f aca="false">R55*(1-R80)</f>
        <v>244.451179721221</v>
      </c>
      <c r="S88" s="17" t="n">
        <f aca="false">S55*(1-S80)</f>
        <v>238.983007106458</v>
      </c>
      <c r="T88" s="17" t="n">
        <f aca="false">T55*(1-T80)</f>
        <v>232.912562158006</v>
      </c>
      <c r="U88" s="17" t="n">
        <f aca="false">U55*(1-U80)</f>
        <v>226.239285631031</v>
      </c>
      <c r="V88" s="17" t="n">
        <f aca="false">V55*(1-V80)</f>
        <v>218.964711685716</v>
      </c>
      <c r="W88" s="17" t="n">
        <f aca="false">W55*(1-W80)</f>
        <v>211.092518072398</v>
      </c>
      <c r="X88" s="17" t="n">
        <f aca="false">X55*(1-X80)</f>
        <v>202.62856649814</v>
      </c>
      <c r="Y88" s="17" t="n">
        <f aca="false">Y55*(1-Y80)</f>
        <v>193.58093265793</v>
      </c>
      <c r="Z88" s="17" t="n">
        <f aca="false">Z55*(1-Z80)</f>
        <v>183.959925471111</v>
      </c>
      <c r="AA88" s="17" t="n">
        <f aca="false">AA55*(1-AA80)</f>
        <v>173.77809512629</v>
      </c>
      <c r="AB88" s="17" t="n">
        <f aca="false">AB55*(1-AB80)</f>
        <v>163.050229605437</v>
      </c>
      <c r="AC88" s="17" t="n">
        <f aca="false">AC55*(1-AC80)</f>
        <v>151.793339429694</v>
      </c>
      <c r="AD88" s="17" t="n">
        <f aca="false">AD55*(1-AD80)</f>
        <v>140.026630445124</v>
      </c>
      <c r="AE88" s="17" t="n">
        <f aca="false">AE55*(1-AE80)</f>
        <v>127.880332130567</v>
      </c>
      <c r="AF88" s="17" t="n">
        <f aca="false">AF55*(1-AF80)</f>
        <v>115.345814737599</v>
      </c>
      <c r="AG88" s="17" t="n">
        <f aca="false">AG55*(1-AG80)</f>
        <v>102.414276644476</v>
      </c>
      <c r="AH88" s="17" t="n">
        <f aca="false">AH55*(1-AH80)</f>
        <v>89.0767411651466</v>
      </c>
      <c r="AI88" s="17" t="n">
        <f aca="false">AI55*(1-AI80)</f>
        <v>75.3240533015483</v>
      </c>
      <c r="AJ88" s="17" t="n">
        <f aca="false">AJ55*(1-AJ80)</f>
        <v>61.1468764382086</v>
      </c>
      <c r="AK88" s="17" t="n">
        <f aca="false">AK55*(1-AK80)</f>
        <v>46.5356889781601</v>
      </c>
      <c r="AL88" s="17" t="n">
        <f aca="false">AL55*(1-AL80)</f>
        <v>31.480780919154</v>
      </c>
      <c r="AM88" s="17" t="n">
        <f aca="false">AM55*(1-AM80)</f>
        <v>15.9722503691448</v>
      </c>
      <c r="AN88" s="17" t="n">
        <f aca="false">AN55*(1-AN80)</f>
        <v>0</v>
      </c>
    </row>
    <row r="89" customFormat="false" ht="15" hidden="false" customHeight="false" outlineLevel="0" collapsed="false">
      <c r="A89" s="9" t="n">
        <v>5</v>
      </c>
      <c r="B89" s="9"/>
      <c r="C89" s="9" t="s">
        <v>439</v>
      </c>
      <c r="D89" s="9" t="s">
        <v>495</v>
      </c>
      <c r="E89" s="9" t="s">
        <v>433</v>
      </c>
      <c r="F89" s="9" t="s">
        <v>425</v>
      </c>
      <c r="G89" s="18"/>
      <c r="H89" s="18" t="s">
        <v>496</v>
      </c>
      <c r="I89" s="9"/>
      <c r="J89" s="9"/>
      <c r="K89" s="17"/>
      <c r="L89" s="17"/>
      <c r="M89" s="17"/>
      <c r="N89" s="19" t="n">
        <f aca="false">0</f>
        <v>0</v>
      </c>
      <c r="O89" s="17" t="n">
        <f aca="false">(O52+O53+O54+O55)*O80</f>
        <v>101.098965907176</v>
      </c>
      <c r="P89" s="17" t="n">
        <f aca="false">(P52+P53+P54+P55)*P80</f>
        <v>206.839686312335</v>
      </c>
      <c r="Q89" s="17" t="n">
        <f aca="false">(Q52+Q53+Q54+Q55)*Q80</f>
        <v>317.157795132324</v>
      </c>
      <c r="R89" s="17" t="n">
        <f aca="false">(R52+R53+R54+R55)*R80</f>
        <v>431.972062345005</v>
      </c>
      <c r="S89" s="17" t="n">
        <f aca="false">(S52+S53+S54+S55)*S80</f>
        <v>551.184113964263</v>
      </c>
      <c r="T89" s="17" t="n">
        <f aca="false">(T52+T53+T54+T55)*T80</f>
        <v>674.678226753681</v>
      </c>
      <c r="U89" s="17" t="n">
        <f aca="false">(U52+U53+U54+U55)*U80</f>
        <v>802.321201547045</v>
      </c>
      <c r="V89" s="17" t="n">
        <f aca="false">(V52+V53+V54+V55)*V80</f>
        <v>933.962318650976</v>
      </c>
      <c r="W89" s="17" t="n">
        <f aca="false">(W52+W53+W54+W55)*W80</f>
        <v>1069.4333783716</v>
      </c>
      <c r="X89" s="17" t="n">
        <f aca="false">(X52+X53+X54+X55)*X80</f>
        <v>1208.54882923546</v>
      </c>
      <c r="Y89" s="17" t="n">
        <f aca="false">(Y52+Y53+Y54+Y55)*Y80</f>
        <v>1351.10598596763</v>
      </c>
      <c r="Z89" s="17" t="n">
        <f aca="false">(Z52+Z53+Z54+Z55)*Z80</f>
        <v>1496.88533875026</v>
      </c>
      <c r="AA89" s="17" t="n">
        <f aca="false">(AA52+AA53+AA54+AA55)*AA80</f>
        <v>1645.6509547162</v>
      </c>
      <c r="AB89" s="17" t="n">
        <f aca="false">(AB52+AB53+AB54+AB55)*AB80</f>
        <v>1797.15097203879</v>
      </c>
      <c r="AC89" s="17" t="n">
        <f aca="false">(AC52+AC53+AC54+AC55)*AC80</f>
        <v>1951.1181863647</v>
      </c>
      <c r="AD89" s="17" t="n">
        <f aca="false">(AD52+AD53+AD54+AD55)*AD80</f>
        <v>2107.27072870628</v>
      </c>
      <c r="AE89" s="17" t="n">
        <f aca="false">(AE52+AE53+AE54+AE55)*AE80</f>
        <v>2267.06920306222</v>
      </c>
      <c r="AF89" s="17" t="n">
        <f aca="false">(AF52+AF53+AF54+AF55)*AF80</f>
        <v>2430.58764571112</v>
      </c>
      <c r="AG89" s="17" t="n">
        <f aca="false">(AG52+AG53+AG54+AG55)*AG80</f>
        <v>2597.90149161358</v>
      </c>
      <c r="AH89" s="17" t="n">
        <f aca="false">(AH52+AH53+AH54+AH55)*AH80</f>
        <v>2769.08759964829</v>
      </c>
      <c r="AI89" s="17" t="n">
        <f aca="false">(AI52+AI53+AI54+AI55)*AI80</f>
        <v>2944.22427828911</v>
      </c>
      <c r="AJ89" s="17" t="n">
        <f aca="false">(AJ52+AJ53+AJ54+AJ55)*AJ80</f>
        <v>3123.39131173051</v>
      </c>
      <c r="AK89" s="17" t="n">
        <f aca="false">(AK52+AK53+AK54+AK55)*AK80</f>
        <v>3306.6699864693</v>
      </c>
      <c r="AL89" s="17" t="n">
        <f aca="false">(AL52+AL53+AL54+AL55)*AL80</f>
        <v>3494.14311835013</v>
      </c>
      <c r="AM89" s="17" t="n">
        <f aca="false">(AM52+AM53+AM54+AM55)*AM80</f>
        <v>3685.8950800828</v>
      </c>
      <c r="AN89" s="17" t="n">
        <f aca="false">(AN52+AN53+AN54+AN55)*AN80</f>
        <v>3882.01182923953</v>
      </c>
    </row>
    <row r="90" customFormat="false" ht="15" hidden="false" customHeight="false" outlineLevel="0" collapsed="false">
      <c r="A90" s="9" t="n">
        <v>5</v>
      </c>
      <c r="B90" s="9" t="s">
        <v>448</v>
      </c>
      <c r="C90" s="9" t="s">
        <v>439</v>
      </c>
      <c r="D90" s="9" t="s">
        <v>497</v>
      </c>
      <c r="E90" s="9" t="s">
        <v>433</v>
      </c>
      <c r="F90" s="9" t="s">
        <v>425</v>
      </c>
      <c r="G90" s="18"/>
      <c r="H90" s="18" t="s">
        <v>498</v>
      </c>
      <c r="I90" s="9"/>
      <c r="J90" s="9"/>
      <c r="K90" s="17"/>
      <c r="L90" s="17"/>
      <c r="M90" s="17"/>
      <c r="N90" s="19" t="n">
        <f aca="false">0</f>
        <v>0</v>
      </c>
      <c r="O90" s="17" t="n">
        <f aca="false">O89*p_hp_ratio</f>
        <v>33.3626587493681</v>
      </c>
      <c r="P90" s="17" t="n">
        <f aca="false">P89*p_hp_ratio</f>
        <v>68.2570964830705</v>
      </c>
      <c r="Q90" s="17" t="n">
        <f aca="false">Q89*p_hp_ratio</f>
        <v>104.662072393667</v>
      </c>
      <c r="R90" s="17" t="n">
        <f aca="false">R89*p_hp_ratio</f>
        <v>142.550780573852</v>
      </c>
      <c r="S90" s="17" t="n">
        <f aca="false">S89*p_hp_ratio</f>
        <v>181.890757608207</v>
      </c>
      <c r="T90" s="17" t="n">
        <f aca="false">T89*p_hp_ratio</f>
        <v>222.643814828715</v>
      </c>
      <c r="U90" s="17" t="n">
        <f aca="false">U89*p_hp_ratio</f>
        <v>264.765996510525</v>
      </c>
      <c r="V90" s="17" t="n">
        <f aca="false">V89*p_hp_ratio</f>
        <v>308.207565154822</v>
      </c>
      <c r="W90" s="17" t="n">
        <f aca="false">W89*p_hp_ratio</f>
        <v>352.913014862628</v>
      </c>
      <c r="X90" s="17" t="n">
        <f aca="false">X89*p_hp_ratio</f>
        <v>398.821113647703</v>
      </c>
      <c r="Y90" s="17" t="n">
        <f aca="false">Y89*p_hp_ratio</f>
        <v>445.864975369319</v>
      </c>
      <c r="Z90" s="17" t="n">
        <f aca="false">Z89*p_hp_ratio</f>
        <v>493.972161787586</v>
      </c>
      <c r="AA90" s="17" t="n">
        <f aca="false">AA89*p_hp_ratio</f>
        <v>543.064815056345</v>
      </c>
      <c r="AB90" s="17" t="n">
        <f aca="false">AB89*p_hp_ratio</f>
        <v>593.059820772802</v>
      </c>
      <c r="AC90" s="17" t="n">
        <f aca="false">AC89*p_hp_ratio</f>
        <v>643.869001500351</v>
      </c>
      <c r="AD90" s="17" t="n">
        <f aca="false">AD89*p_hp_ratio</f>
        <v>695.399340473073</v>
      </c>
      <c r="AE90" s="17" t="n">
        <f aca="false">AE89*p_hp_ratio</f>
        <v>748.132837010533</v>
      </c>
      <c r="AF90" s="17" t="n">
        <f aca="false">AF89*p_hp_ratio</f>
        <v>802.093923084669</v>
      </c>
      <c r="AG90" s="17" t="n">
        <f aca="false">AG89*p_hp_ratio</f>
        <v>857.307492232481</v>
      </c>
      <c r="AH90" s="17" t="n">
        <f aca="false">AH89*p_hp_ratio</f>
        <v>913.798907883937</v>
      </c>
      <c r="AI90" s="17" t="n">
        <f aca="false">AI89*p_hp_ratio</f>
        <v>971.594011835405</v>
      </c>
      <c r="AJ90" s="17" t="n">
        <f aca="false">AJ89*p_hp_ratio</f>
        <v>1030.71913287107</v>
      </c>
      <c r="AK90" s="17" t="n">
        <f aca="false">AK89*p_hp_ratio</f>
        <v>1091.20109553487</v>
      </c>
      <c r="AL90" s="17" t="n">
        <f aca="false">AL89*p_hp_ratio</f>
        <v>1153.06722905554</v>
      </c>
      <c r="AM90" s="17" t="n">
        <f aca="false">AM89*p_hp_ratio</f>
        <v>1216.34537642732</v>
      </c>
      <c r="AN90" s="17" t="n">
        <f aca="false">AN89*p_hp_ratio</f>
        <v>1281.06390364904</v>
      </c>
    </row>
    <row r="91" customFormat="false" ht="15" hidden="false" customHeight="false" outlineLevel="0" collapsed="false">
      <c r="A91" s="9" t="n">
        <v>5</v>
      </c>
      <c r="B91" s="9"/>
      <c r="C91" s="9" t="s">
        <v>439</v>
      </c>
      <c r="D91" s="9" t="s">
        <v>499</v>
      </c>
      <c r="E91" s="9" t="s">
        <v>301</v>
      </c>
      <c r="F91" s="9" t="s">
        <v>425</v>
      </c>
      <c r="G91" s="18"/>
      <c r="H91" s="18" t="s">
        <v>500</v>
      </c>
      <c r="I91" s="9"/>
      <c r="J91" s="9"/>
      <c r="K91" s="17"/>
      <c r="L91" s="17"/>
      <c r="M91" s="17"/>
      <c r="N91" s="19" t="n">
        <f aca="false">0</f>
        <v>0</v>
      </c>
      <c r="O91" s="17" t="n">
        <f aca="false">p_k_bld*MAX(0,O89-N89)*$J$11/1000</f>
        <v>9.92982195826413</v>
      </c>
      <c r="P91" s="17" t="n">
        <f aca="false">p_k_bld*MAX(0,P89-O89)*$J$11/1000</f>
        <v>10.3857296456015</v>
      </c>
      <c r="Q91" s="17" t="n">
        <f aca="false">p_k_bld*MAX(0,Q89-P89)*$J$11/1000</f>
        <v>10.8353153716793</v>
      </c>
      <c r="R91" s="17" t="n">
        <f aca="false">p_k_bld*MAX(0,R89-Q89)*$J$11/1000</f>
        <v>11.2769227801722</v>
      </c>
      <c r="S91" s="17" t="n">
        <f aca="false">p_k_bld*MAX(0,S89-R89)*$J$11/1000</f>
        <v>11.7088680110288</v>
      </c>
      <c r="T91" s="17" t="n">
        <f aca="false">p_k_bld*MAX(0,T89-S89)*$J$11/1000</f>
        <v>12.1294470412152</v>
      </c>
      <c r="U91" s="17" t="n">
        <f aca="false">p_k_bld*MAX(0,U89-T89)*$J$11/1000</f>
        <v>12.5369434053858</v>
      </c>
      <c r="V91" s="17" t="n">
        <f aca="false">p_k_bld*MAX(0,V89-U89)*$J$11/1000</f>
        <v>12.9296362578942</v>
      </c>
      <c r="W91" s="17" t="n">
        <f aca="false">p_k_bld*MAX(0,W89-V89)*$J$11/1000</f>
        <v>13.3058087335757</v>
      </c>
      <c r="X91" s="17" t="n">
        <f aca="false">p_k_bld*MAX(0,X89-W89)*$J$11/1000</f>
        <v>13.6637565609732</v>
      </c>
      <c r="Y91" s="17" t="n">
        <f aca="false">p_k_bld*MAX(0,Y89-X89)*$J$11/1000</f>
        <v>14.0017968781848</v>
      </c>
      <c r="Z91" s="17" t="n">
        <f aca="false">p_k_bld*MAX(0,Z89-Y89)*$J$11/1000</f>
        <v>14.3182771983201</v>
      </c>
      <c r="AA91" s="17" t="n">
        <f aca="false">p_k_bld*MAX(0,AA89-Z89)*$J$11/1000</f>
        <v>14.6115844687231</v>
      </c>
      <c r="AB91" s="17" t="n">
        <f aca="false">p_k_bld*MAX(0,AB89-AA89)*$J$11/1000</f>
        <v>14.8801541656574</v>
      </c>
      <c r="AC91" s="17" t="n">
        <f aca="false">p_k_bld*MAX(0,AC89-AB89)*$J$11/1000</f>
        <v>15.1224793641298</v>
      </c>
      <c r="AD91" s="17" t="n">
        <f aca="false">p_k_bld*MAX(0,AD89-AC89)*$J$11/1000</f>
        <v>15.3371197209462</v>
      </c>
      <c r="AE91" s="17" t="n">
        <f aca="false">p_k_bld*MAX(0,AE89-AD89)*$J$11/1000</f>
        <v>15.6952188908994</v>
      </c>
      <c r="AF91" s="17" t="n">
        <f aca="false">p_k_bld*MAX(0,AF89-AE89)*$J$11/1000</f>
        <v>16.0605898173775</v>
      </c>
      <c r="AG91" s="17" t="n">
        <f aca="false">p_k_bld*MAX(0,AG89-AF89)*$J$11/1000</f>
        <v>16.4333698772871</v>
      </c>
      <c r="AH91" s="17" t="n">
        <f aca="false">p_k_bld*MAX(0,AH89-AG89)*$J$11/1000</f>
        <v>16.8136989261949</v>
      </c>
      <c r="AI91" s="17" t="n">
        <f aca="false">p_k_bld*MAX(0,AI89-AH89)*$J$11/1000</f>
        <v>17.201719341637</v>
      </c>
      <c r="AJ91" s="17" t="n">
        <f aca="false">p_k_bld*MAX(0,AJ89-AI89)*$J$11/1000</f>
        <v>17.5975760671673</v>
      </c>
      <c r="AK91" s="17" t="n">
        <f aca="false">p_k_bld*MAX(0,AK89-AJ89)*$J$11/1000</f>
        <v>18.0014166571575</v>
      </c>
      <c r="AL91" s="17" t="n">
        <f aca="false">p_k_bld*MAX(0,AL89-AK89)*$J$11/1000</f>
        <v>18.4133913223597</v>
      </c>
      <c r="AM91" s="17" t="n">
        <f aca="false">p_k_bld*MAX(0,AM89-AL89)*$J$11/1000</f>
        <v>18.8336529762484</v>
      </c>
      <c r="AN91" s="17" t="n">
        <f aca="false">p_k_bld*MAX(0,AN89-AM89)*$J$11/1000</f>
        <v>19.2623572821495</v>
      </c>
    </row>
    <row r="92" customFormat="false" ht="15" hidden="false" customHeight="false" outlineLevel="0" collapsed="false">
      <c r="A92" s="12" t="s">
        <v>501</v>
      </c>
      <c r="B92" s="13"/>
      <c r="C92" s="13"/>
      <c r="D92" s="13"/>
      <c r="E92" s="13"/>
      <c r="F92" s="13"/>
      <c r="G92" s="13"/>
      <c r="H92" s="13"/>
      <c r="I92" s="13"/>
      <c r="J92" s="13"/>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row>
    <row r="93" customFormat="false" ht="15" hidden="false" customHeight="false" outlineLevel="0" collapsed="false">
      <c r="A93" s="9" t="n">
        <v>6</v>
      </c>
      <c r="B93" s="9"/>
      <c r="C93" s="9" t="s">
        <v>450</v>
      </c>
      <c r="D93" s="9" t="s">
        <v>502</v>
      </c>
      <c r="E93" s="9" t="s">
        <v>97</v>
      </c>
      <c r="F93" s="9" t="s">
        <v>425</v>
      </c>
      <c r="G93" s="18"/>
      <c r="H93" s="18" t="s">
        <v>503</v>
      </c>
      <c r="I93" s="9"/>
      <c r="J93" s="9"/>
      <c r="K93" s="17"/>
      <c r="L93" s="17"/>
      <c r="M93" s="17"/>
      <c r="N93" s="19" t="n">
        <f aca="false">0</f>
        <v>0</v>
      </c>
      <c r="O93" s="17" t="n">
        <f aca="false">$J$16*(O$1-2024)/26</f>
        <v>0.0307692307692308</v>
      </c>
      <c r="P93" s="17" t="n">
        <f aca="false">$J$16*(P$1-2024)/26</f>
        <v>0.0615384615384615</v>
      </c>
      <c r="Q93" s="17" t="n">
        <f aca="false">$J$16*(Q$1-2024)/26</f>
        <v>0.0923076923076923</v>
      </c>
      <c r="R93" s="17" t="n">
        <f aca="false">$J$16*(R$1-2024)/26</f>
        <v>0.123076923076923</v>
      </c>
      <c r="S93" s="17" t="n">
        <f aca="false">$J$16*(S$1-2024)/26</f>
        <v>0.153846153846154</v>
      </c>
      <c r="T93" s="17" t="n">
        <f aca="false">$J$16*(T$1-2024)/26</f>
        <v>0.184615384615385</v>
      </c>
      <c r="U93" s="17" t="n">
        <f aca="false">$J$16*(U$1-2024)/26</f>
        <v>0.215384615384615</v>
      </c>
      <c r="V93" s="17" t="n">
        <f aca="false">$J$16*(V$1-2024)/26</f>
        <v>0.246153846153846</v>
      </c>
      <c r="W93" s="17" t="n">
        <f aca="false">$J$16*(W$1-2024)/26</f>
        <v>0.276923076923077</v>
      </c>
      <c r="X93" s="17" t="n">
        <f aca="false">$J$16*(X$1-2024)/26</f>
        <v>0.307692307692308</v>
      </c>
      <c r="Y93" s="17" t="n">
        <f aca="false">$J$16*(Y$1-2024)/26</f>
        <v>0.338461538461539</v>
      </c>
      <c r="Z93" s="17" t="n">
        <f aca="false">$J$16*(Z$1-2024)/26</f>
        <v>0.369230769230769</v>
      </c>
      <c r="AA93" s="17" t="n">
        <f aca="false">$J$16*(AA$1-2024)/26</f>
        <v>0.4</v>
      </c>
      <c r="AB93" s="17" t="n">
        <f aca="false">$J$16*(AB$1-2024)/26</f>
        <v>0.430769230769231</v>
      </c>
      <c r="AC93" s="17" t="n">
        <f aca="false">$J$16*(AC$1-2024)/26</f>
        <v>0.461538461538462</v>
      </c>
      <c r="AD93" s="17" t="n">
        <f aca="false">$J$16*(AD$1-2024)/26</f>
        <v>0.492307692307692</v>
      </c>
      <c r="AE93" s="17" t="n">
        <f aca="false">$J$16*(AE$1-2024)/26</f>
        <v>0.523076923076923</v>
      </c>
      <c r="AF93" s="17" t="n">
        <f aca="false">$J$16*(AF$1-2024)/26</f>
        <v>0.553846153846154</v>
      </c>
      <c r="AG93" s="17" t="n">
        <f aca="false">$J$16*(AG$1-2024)/26</f>
        <v>0.584615384615385</v>
      </c>
      <c r="AH93" s="17" t="n">
        <f aca="false">$J$16*(AH$1-2024)/26</f>
        <v>0.615384615384615</v>
      </c>
      <c r="AI93" s="17" t="n">
        <f aca="false">$J$16*(AI$1-2024)/26</f>
        <v>0.646153846153846</v>
      </c>
      <c r="AJ93" s="17" t="n">
        <f aca="false">$J$16*(AJ$1-2024)/26</f>
        <v>0.676923076923077</v>
      </c>
      <c r="AK93" s="17" t="n">
        <f aca="false">$J$16*(AK$1-2024)/26</f>
        <v>0.707692307692308</v>
      </c>
      <c r="AL93" s="17" t="n">
        <f aca="false">$J$16*(AL$1-2024)/26</f>
        <v>0.738461538461539</v>
      </c>
      <c r="AM93" s="17" t="n">
        <f aca="false">$J$16*(AM$1-2024)/26</f>
        <v>0.769230769230769</v>
      </c>
      <c r="AN93" s="17" t="n">
        <f aca="false">$J$16*(AN$1-2024)/26</f>
        <v>0.8</v>
      </c>
    </row>
    <row r="94" customFormat="false" ht="15" hidden="false" customHeight="false" outlineLevel="0" collapsed="false">
      <c r="A94" s="9" t="n">
        <v>6</v>
      </c>
      <c r="B94" s="9" t="s">
        <v>438</v>
      </c>
      <c r="C94" s="9" t="s">
        <v>450</v>
      </c>
      <c r="D94" s="9" t="s">
        <v>468</v>
      </c>
      <c r="E94" s="9" t="s">
        <v>433</v>
      </c>
      <c r="F94" s="9" t="s">
        <v>425</v>
      </c>
      <c r="G94" s="18"/>
      <c r="H94" s="18" t="s">
        <v>504</v>
      </c>
      <c r="I94" s="9"/>
      <c r="J94" s="9"/>
      <c r="K94" s="17"/>
      <c r="L94" s="17"/>
      <c r="M94" s="17"/>
      <c r="N94" s="19" t="n">
        <f aca="false">N57</f>
        <v>5318.8273393572</v>
      </c>
      <c r="O94" s="17" t="n">
        <f aca="false">O57</f>
        <v>5490.25212903332</v>
      </c>
      <c r="P94" s="17" t="n">
        <f aca="false">P57</f>
        <v>5637.10559059697</v>
      </c>
      <c r="Q94" s="17" t="n">
        <f aca="false">Q57</f>
        <v>5783.07444656633</v>
      </c>
      <c r="R94" s="17" t="n">
        <f aca="false">R57</f>
        <v>5927.88168310131</v>
      </c>
      <c r="S94" s="17" t="n">
        <f aca="false">S57</f>
        <v>6071.24553250807</v>
      </c>
      <c r="T94" s="17" t="n">
        <f aca="false">T57</f>
        <v>6212.88031340542</v>
      </c>
      <c r="U94" s="17" t="n">
        <f aca="false">U57</f>
        <v>6352.49731212728</v>
      </c>
      <c r="V94" s="17" t="n">
        <f aca="false">V57</f>
        <v>6489.80570199175</v>
      </c>
      <c r="W94" s="17" t="n">
        <f aca="false">W57</f>
        <v>6624.51349673786</v>
      </c>
      <c r="X94" s="17" t="n">
        <f aca="false">X57</f>
        <v>6756.32853411651</v>
      </c>
      <c r="Y94" s="17" t="n">
        <f aca="false">Y57</f>
        <v>6884.95948532662</v>
      </c>
      <c r="Z94" s="17" t="n">
        <f aca="false">Z57</f>
        <v>7010.11688571321</v>
      </c>
      <c r="AA94" s="17" t="n">
        <f aca="false">AA57</f>
        <v>7131.51418189411</v>
      </c>
      <c r="AB94" s="17" t="n">
        <f aca="false">AB57</f>
        <v>7248.86879025899</v>
      </c>
      <c r="AC94" s="17" t="n">
        <f aca="false">AC57</f>
        <v>7361.90316159029</v>
      </c>
      <c r="AD94" s="17" t="n">
        <f aca="false">AD57</f>
        <v>7470.34584639389</v>
      </c>
      <c r="AE94" s="17" t="n">
        <f aca="false">AE57</f>
        <v>7580.38591921378</v>
      </c>
      <c r="AF94" s="17" t="n">
        <f aca="false">AF57</f>
        <v>7692.04690997713</v>
      </c>
      <c r="AG94" s="17" t="n">
        <f aca="false">AG57</f>
        <v>7805.35269521283</v>
      </c>
      <c r="AH94" s="17" t="n">
        <f aca="false">AH57</f>
        <v>7920.32750315707</v>
      </c>
      <c r="AI94" s="17" t="n">
        <f aca="false">AI57</f>
        <v>8036.99591893403</v>
      </c>
      <c r="AJ94" s="17" t="n">
        <f aca="false">AJ57</f>
        <v>8155.38288981298</v>
      </c>
      <c r="AK94" s="17" t="n">
        <f aca="false">AK57</f>
        <v>8275.5137305427</v>
      </c>
      <c r="AL94" s="17" t="n">
        <f aca="false">AL57</f>
        <v>8397.41412876463</v>
      </c>
      <c r="AM94" s="17" t="n">
        <f aca="false">AM57</f>
        <v>8521.11015050559</v>
      </c>
      <c r="AN94" s="17" t="n">
        <f aca="false">AN57</f>
        <v>8646.62824575156</v>
      </c>
    </row>
    <row r="95" customFormat="false" ht="15" hidden="false" customHeight="false" outlineLevel="0" collapsed="false">
      <c r="A95" s="9" t="n">
        <v>6</v>
      </c>
      <c r="B95" s="9" t="s">
        <v>442</v>
      </c>
      <c r="C95" s="9" t="s">
        <v>450</v>
      </c>
      <c r="D95" s="9" t="s">
        <v>468</v>
      </c>
      <c r="E95" s="9" t="s">
        <v>433</v>
      </c>
      <c r="F95" s="9" t="s">
        <v>425</v>
      </c>
      <c r="G95" s="18"/>
      <c r="H95" s="18" t="s">
        <v>505</v>
      </c>
      <c r="I95" s="9"/>
      <c r="J95" s="9"/>
      <c r="K95" s="17"/>
      <c r="L95" s="17"/>
      <c r="M95" s="17"/>
      <c r="N95" s="19" t="n">
        <f aca="false">N58</f>
        <v>1369.89880621926</v>
      </c>
      <c r="O95" s="17" t="n">
        <f aca="false">O58</f>
        <v>1459.66108641292</v>
      </c>
      <c r="P95" s="17" t="n">
        <f aca="false">P58</f>
        <v>1538.82963523836</v>
      </c>
      <c r="Q95" s="17" t="n">
        <f aca="false">Q58</f>
        <v>1619.5953371829</v>
      </c>
      <c r="R95" s="17" t="n">
        <f aca="false">R58</f>
        <v>1701.76173824949</v>
      </c>
      <c r="S95" s="17" t="n">
        <f aca="false">S58</f>
        <v>1785.11436517147</v>
      </c>
      <c r="T95" s="17" t="n">
        <f aca="false">T58</f>
        <v>1869.4212515266</v>
      </c>
      <c r="U95" s="17" t="n">
        <f aca="false">U58</f>
        <v>1954.4336456678</v>
      </c>
      <c r="V95" s="17" t="n">
        <f aca="false">V58</f>
        <v>2039.88690288829</v>
      </c>
      <c r="W95" s="17" t="n">
        <f aca="false">W58</f>
        <v>2125.50156210951</v>
      </c>
      <c r="X95" s="17" t="n">
        <f aca="false">X58</f>
        <v>2210.98460513217</v>
      </c>
      <c r="Y95" s="17" t="n">
        <f aca="false">Y58</f>
        <v>2296.03089415136</v>
      </c>
      <c r="Z95" s="17" t="n">
        <f aca="false">Z58</f>
        <v>2380.32478083961</v>
      </c>
      <c r="AA95" s="17" t="n">
        <f aca="false">AA58</f>
        <v>2463.54187788065</v>
      </c>
      <c r="AB95" s="17" t="n">
        <f aca="false">AB58</f>
        <v>2545.35098142928</v>
      </c>
      <c r="AC95" s="17" t="n">
        <f aca="false">AC58</f>
        <v>2625.41613061741</v>
      </c>
      <c r="AD95" s="17" t="n">
        <f aca="false">AD58</f>
        <v>2703.39878796248</v>
      </c>
      <c r="AE95" s="17" t="n">
        <f aca="false">AE58</f>
        <v>2783.69776186235</v>
      </c>
      <c r="AF95" s="17" t="n">
        <f aca="false">AF58</f>
        <v>2866.38185379886</v>
      </c>
      <c r="AG95" s="17" t="n">
        <f aca="false">AG58</f>
        <v>2951.52190886219</v>
      </c>
      <c r="AH95" s="17" t="n">
        <f aca="false">AH58</f>
        <v>3039.19087645216</v>
      </c>
      <c r="AI95" s="17" t="n">
        <f aca="false">AI58</f>
        <v>3129.46387278242</v>
      </c>
      <c r="AJ95" s="17" t="n">
        <f aca="false">AJ58</f>
        <v>3222.4182452413</v>
      </c>
      <c r="AK95" s="17" t="n">
        <f aca="false">AK58</f>
        <v>3318.13363866431</v>
      </c>
      <c r="AL95" s="17" t="n">
        <f aca="false">AL58</f>
        <v>3416.69206357513</v>
      </c>
      <c r="AM95" s="17" t="n">
        <f aca="false">AM58</f>
        <v>3518.1779664536</v>
      </c>
      <c r="AN95" s="17" t="n">
        <f aca="false">AN58</f>
        <v>3622.67830209084</v>
      </c>
    </row>
    <row r="96" customFormat="false" ht="15" hidden="false" customHeight="false" outlineLevel="0" collapsed="false">
      <c r="A96" s="9" t="n">
        <v>6</v>
      </c>
      <c r="B96" s="9" t="s">
        <v>453</v>
      </c>
      <c r="C96" s="9" t="s">
        <v>450</v>
      </c>
      <c r="D96" s="9" t="s">
        <v>468</v>
      </c>
      <c r="E96" s="9" t="s">
        <v>433</v>
      </c>
      <c r="F96" s="9" t="s">
        <v>425</v>
      </c>
      <c r="G96" s="18"/>
      <c r="H96" s="18" t="s">
        <v>506</v>
      </c>
      <c r="I96" s="9"/>
      <c r="J96" s="9"/>
      <c r="K96" s="17"/>
      <c r="L96" s="17"/>
      <c r="M96" s="17"/>
      <c r="N96" s="19" t="n">
        <f aca="false">N59</f>
        <v>3560.83322638007</v>
      </c>
      <c r="O96" s="17" t="n">
        <f aca="false">O59</f>
        <v>3757.45255386313</v>
      </c>
      <c r="P96" s="17" t="n">
        <f aca="false">P59</f>
        <v>3931.29244428592</v>
      </c>
      <c r="Q96" s="17" t="n">
        <f aca="false">Q59</f>
        <v>4107.70427487162</v>
      </c>
      <c r="R96" s="17" t="n">
        <f aca="false">R59</f>
        <v>4286.31414057421</v>
      </c>
      <c r="S96" s="17" t="n">
        <f aca="false">S59</f>
        <v>4466.72140873803</v>
      </c>
      <c r="T96" s="17" t="n">
        <f aca="false">T59</f>
        <v>4648.49970694907</v>
      </c>
      <c r="U96" s="17" t="n">
        <f aca="false">U59</f>
        <v>4831.19813764838</v>
      </c>
      <c r="V96" s="17" t="n">
        <f aca="false">V59</f>
        <v>5014.34272003612</v>
      </c>
      <c r="W96" s="17" t="n">
        <f aca="false">W59</f>
        <v>5197.43805759167</v>
      </c>
      <c r="X96" s="17" t="n">
        <f aca="false">X59</f>
        <v>5379.96922724633</v>
      </c>
      <c r="Y96" s="17" t="n">
        <f aca="false">Y59</f>
        <v>5561.40388389419</v>
      </c>
      <c r="Z96" s="17" t="n">
        <f aca="false">Z59</f>
        <v>5741.19457154142</v>
      </c>
      <c r="AA96" s="17" t="n">
        <f aca="false">AA59</f>
        <v>5918.78123000226</v>
      </c>
      <c r="AB96" s="17" t="n">
        <f aca="false">AB59</f>
        <v>6093.59388368206</v>
      </c>
      <c r="AC96" s="17" t="n">
        <f aca="false">AC59</f>
        <v>6265.05549667403</v>
      </c>
      <c r="AD96" s="17" t="n">
        <f aca="false">AD59</f>
        <v>6432.58497616832</v>
      </c>
      <c r="AE96" s="17" t="n">
        <f aca="false">AE59</f>
        <v>6604.59424463089</v>
      </c>
      <c r="AF96" s="17" t="n">
        <f aca="false">AF59</f>
        <v>6781.20309297411</v>
      </c>
      <c r="AG96" s="17" t="n">
        <f aca="false">AG59</f>
        <v>6962.53451535563</v>
      </c>
      <c r="AH96" s="17" t="n">
        <f aca="false">AH59</f>
        <v>7148.71479483405</v>
      </c>
      <c r="AI96" s="17" t="n">
        <f aca="false">AI59</f>
        <v>7339.87359131518</v>
      </c>
      <c r="AJ96" s="17" t="n">
        <f aca="false">AJ59</f>
        <v>7536.14403184993</v>
      </c>
      <c r="AK96" s="17" t="n">
        <f aca="false">AK59</f>
        <v>7737.66280334686</v>
      </c>
      <c r="AL96" s="17" t="n">
        <f aca="false">AL59</f>
        <v>7944.57024776379</v>
      </c>
      <c r="AM96" s="17" t="n">
        <f aca="false">AM59</f>
        <v>8157.01045984495</v>
      </c>
      <c r="AN96" s="17" t="n">
        <f aca="false">AN59</f>
        <v>8375.13138747165</v>
      </c>
    </row>
    <row r="97" customFormat="false" ht="15" hidden="false" customHeight="false" outlineLevel="0" collapsed="false">
      <c r="A97" s="9" t="n">
        <v>6</v>
      </c>
      <c r="B97" s="9" t="s">
        <v>438</v>
      </c>
      <c r="C97" s="9" t="s">
        <v>450</v>
      </c>
      <c r="D97" s="9" t="s">
        <v>468</v>
      </c>
      <c r="E97" s="9" t="s">
        <v>433</v>
      </c>
      <c r="F97" s="9" t="s">
        <v>425</v>
      </c>
      <c r="G97" s="18"/>
      <c r="H97" s="18" t="s">
        <v>507</v>
      </c>
      <c r="I97" s="9"/>
      <c r="J97" s="9"/>
      <c r="K97" s="17"/>
      <c r="L97" s="17"/>
      <c r="M97" s="17"/>
      <c r="N97" s="19" t="n">
        <f aca="false">N57</f>
        <v>5318.8273393572</v>
      </c>
      <c r="O97" s="17" t="n">
        <f aca="false">O57*(1-O93)</f>
        <v>5321.32129429383</v>
      </c>
      <c r="P97" s="17" t="n">
        <f aca="false">P57*(1-P93)</f>
        <v>5290.20678502178</v>
      </c>
      <c r="Q97" s="17" t="n">
        <f aca="false">Q57*(1-Q93)</f>
        <v>5249.2521899602</v>
      </c>
      <c r="R97" s="17" t="n">
        <f aca="false">R57*(1-R93)</f>
        <v>5198.29624518115</v>
      </c>
      <c r="S97" s="17" t="n">
        <f aca="false">S57*(1-S93)</f>
        <v>5137.20775827606</v>
      </c>
      <c r="T97" s="17" t="n">
        <f aca="false">T57*(1-T93)</f>
        <v>5065.88702477672</v>
      </c>
      <c r="U97" s="17" t="n">
        <f aca="false">U57*(1-U93)</f>
        <v>4984.26712182294</v>
      </c>
      <c r="V97" s="17" t="n">
        <f aca="false">V57*(1-V93)</f>
        <v>4892.31506765532</v>
      </c>
      <c r="W97" s="17" t="n">
        <f aca="false">W57*(1-W93)</f>
        <v>4790.03283610276</v>
      </c>
      <c r="X97" s="17" t="n">
        <f aca="false">X57*(1-X93)</f>
        <v>4677.45821592681</v>
      </c>
      <c r="Y97" s="17" t="n">
        <f aca="false">Y57*(1-Y93)</f>
        <v>4554.66550567761</v>
      </c>
      <c r="Z97" s="17" t="n">
        <f aca="false">Z57*(1-Z93)</f>
        <v>4421.76603560371</v>
      </c>
      <c r="AA97" s="17" t="n">
        <f aca="false">AA57*(1-AA93)</f>
        <v>4278.90850913647</v>
      </c>
      <c r="AB97" s="17" t="n">
        <f aca="false">AB57*(1-AB93)</f>
        <v>4126.27915753204</v>
      </c>
      <c r="AC97" s="17" t="n">
        <f aca="false">AC57*(1-AC93)</f>
        <v>3964.10170239477</v>
      </c>
      <c r="AD97" s="17" t="n">
        <f aca="false">AD57*(1-AD93)</f>
        <v>3792.63712201536</v>
      </c>
      <c r="AE97" s="17" t="n">
        <f aca="false">AE57*(1-AE93)</f>
        <v>3615.2609768558</v>
      </c>
      <c r="AF97" s="17" t="n">
        <f aca="false">AF57*(1-AF93)</f>
        <v>3431.8363136821</v>
      </c>
      <c r="AG97" s="17" t="n">
        <f aca="false">AG57*(1-AG93)</f>
        <v>3242.22342724225</v>
      </c>
      <c r="AH97" s="17" t="n">
        <f aca="false">AH57*(1-AH93)</f>
        <v>3046.27980890656</v>
      </c>
      <c r="AI97" s="17" t="n">
        <f aca="false">AI57*(1-AI93)</f>
        <v>2843.86009439204</v>
      </c>
      <c r="AJ97" s="17" t="n">
        <f aca="false">AJ57*(1-AJ93)</f>
        <v>2634.81601055496</v>
      </c>
      <c r="AK97" s="17" t="n">
        <f aca="false">AK57*(1-AK93)</f>
        <v>2418.99632123556</v>
      </c>
      <c r="AL97" s="17" t="n">
        <f aca="false">AL57*(1-AL93)</f>
        <v>2196.24677213844</v>
      </c>
      <c r="AM97" s="17" t="n">
        <f aca="false">AM57*(1-AM93)</f>
        <v>1966.41003473206</v>
      </c>
      <c r="AN97" s="17" t="n">
        <f aca="false">AN57*(1-AN93)</f>
        <v>1729.32564915031</v>
      </c>
    </row>
    <row r="98" customFormat="false" ht="15" hidden="false" customHeight="false" outlineLevel="0" collapsed="false">
      <c r="A98" s="9" t="n">
        <v>6</v>
      </c>
      <c r="B98" s="9" t="s">
        <v>442</v>
      </c>
      <c r="C98" s="9" t="s">
        <v>450</v>
      </c>
      <c r="D98" s="9" t="s">
        <v>468</v>
      </c>
      <c r="E98" s="9" t="s">
        <v>433</v>
      </c>
      <c r="F98" s="9" t="s">
        <v>425</v>
      </c>
      <c r="G98" s="18"/>
      <c r="H98" s="18" t="s">
        <v>508</v>
      </c>
      <c r="I98" s="9"/>
      <c r="J98" s="9"/>
      <c r="K98" s="17"/>
      <c r="L98" s="17"/>
      <c r="M98" s="17"/>
      <c r="N98" s="19" t="n">
        <f aca="false">N58</f>
        <v>1369.89880621926</v>
      </c>
      <c r="O98" s="17" t="n">
        <f aca="false">O58*(1-O93)</f>
        <v>1414.74843760021</v>
      </c>
      <c r="P98" s="17" t="n">
        <f aca="false">P58*(1-P93)</f>
        <v>1444.132426916</v>
      </c>
      <c r="Q98" s="17" t="n">
        <f aca="false">Q58*(1-Q93)</f>
        <v>1470.09422913525</v>
      </c>
      <c r="R98" s="17" t="n">
        <f aca="false">R58*(1-R93)</f>
        <v>1492.3141396957</v>
      </c>
      <c r="S98" s="17" t="n">
        <f aca="false">S58*(1-S93)</f>
        <v>1510.48138591432</v>
      </c>
      <c r="T98" s="17" t="n">
        <f aca="false">T58*(1-T93)</f>
        <v>1524.29732816784</v>
      </c>
      <c r="U98" s="17" t="n">
        <f aca="false">U58*(1-U93)</f>
        <v>1533.47870660089</v>
      </c>
      <c r="V98" s="17" t="n">
        <f aca="false">V58*(1-V93)</f>
        <v>1537.76089602348</v>
      </c>
      <c r="W98" s="17" t="n">
        <f aca="false">W58*(1-W93)</f>
        <v>1536.90112952534</v>
      </c>
      <c r="X98" s="17" t="n">
        <f aca="false">X58*(1-X93)</f>
        <v>1530.68164970689</v>
      </c>
      <c r="Y98" s="17" t="n">
        <f aca="false">Y58*(1-Y93)</f>
        <v>1518.91274536167</v>
      </c>
      <c r="Z98" s="17" t="n">
        <f aca="false">Z58*(1-Z93)</f>
        <v>1501.43563099114</v>
      </c>
      <c r="AA98" s="17" t="n">
        <f aca="false">AA58*(1-AA93)</f>
        <v>1478.12512672839</v>
      </c>
      <c r="AB98" s="17" t="n">
        <f aca="false">AB58*(1-AB93)</f>
        <v>1448.89209712128</v>
      </c>
      <c r="AC98" s="17" t="n">
        <f aca="false">AC58*(1-AC93)</f>
        <v>1413.68560879399</v>
      </c>
      <c r="AD98" s="17" t="n">
        <f aca="false">AD58*(1-AD93)</f>
        <v>1372.49476927326</v>
      </c>
      <c r="AE98" s="17" t="n">
        <f aca="false">AE58*(1-AE93)</f>
        <v>1327.60970181128</v>
      </c>
      <c r="AF98" s="17" t="n">
        <f aca="false">AF58*(1-AF93)</f>
        <v>1278.84728861795</v>
      </c>
      <c r="AG98" s="17" t="n">
        <f aca="false">AG58*(1-AG93)</f>
        <v>1226.01679291199</v>
      </c>
      <c r="AH98" s="17" t="n">
        <f aca="false">AH58*(1-AH93)</f>
        <v>1168.91956786621</v>
      </c>
      <c r="AI98" s="17" t="n">
        <f aca="false">AI58*(1-AI93)</f>
        <v>1107.34875498455</v>
      </c>
      <c r="AJ98" s="17" t="n">
        <f aca="false">AJ58*(1-AJ93)</f>
        <v>1041.0889715395</v>
      </c>
      <c r="AK98" s="17" t="n">
        <f aca="false">AK58*(1-AK93)</f>
        <v>969.915986686491</v>
      </c>
      <c r="AL98" s="17" t="n">
        <f aca="false">AL58*(1-AL93)</f>
        <v>893.596385858111</v>
      </c>
      <c r="AM98" s="17" t="n">
        <f aca="false">AM58*(1-AM93)</f>
        <v>811.887223027754</v>
      </c>
      <c r="AN98" s="17" t="n">
        <f aca="false">AN58*(1-AN93)</f>
        <v>724.535660418168</v>
      </c>
    </row>
    <row r="99" customFormat="false" ht="15" hidden="false" customHeight="false" outlineLevel="0" collapsed="false">
      <c r="A99" s="9" t="n">
        <v>6</v>
      </c>
      <c r="B99" s="9" t="s">
        <v>453</v>
      </c>
      <c r="C99" s="9" t="s">
        <v>450</v>
      </c>
      <c r="D99" s="9" t="s">
        <v>468</v>
      </c>
      <c r="E99" s="9" t="s">
        <v>433</v>
      </c>
      <c r="F99" s="9" t="s">
        <v>425</v>
      </c>
      <c r="G99" s="18"/>
      <c r="H99" s="18" t="s">
        <v>509</v>
      </c>
      <c r="I99" s="9"/>
      <c r="J99" s="9"/>
      <c r="K99" s="17"/>
      <c r="L99" s="17"/>
      <c r="M99" s="17"/>
      <c r="N99" s="19" t="n">
        <f aca="false">N59</f>
        <v>3560.83322638007</v>
      </c>
      <c r="O99" s="17" t="n">
        <f aca="false">O59*(1-O93)</f>
        <v>3641.83862912888</v>
      </c>
      <c r="P99" s="17" t="n">
        <f aca="false">P59*(1-P93)</f>
        <v>3689.36675540679</v>
      </c>
      <c r="Q99" s="17" t="n">
        <f aca="false">Q59*(1-Q93)</f>
        <v>3728.53157257578</v>
      </c>
      <c r="R99" s="17" t="n">
        <f aca="false">R59*(1-R93)</f>
        <v>3758.76778481123</v>
      </c>
      <c r="S99" s="17" t="n">
        <f aca="false">S59*(1-S93)</f>
        <v>3779.53349970141</v>
      </c>
      <c r="T99" s="17" t="n">
        <f aca="false">T59*(1-T93)</f>
        <v>3790.31514566616</v>
      </c>
      <c r="U99" s="17" t="n">
        <f aca="false">U59*(1-U93)</f>
        <v>3790.63238492411</v>
      </c>
      <c r="V99" s="17" t="n">
        <f aca="false">V59*(1-V93)</f>
        <v>3780.04297356569</v>
      </c>
      <c r="W99" s="17" t="n">
        <f aca="false">W59*(1-W93)</f>
        <v>3758.14751856628</v>
      </c>
      <c r="X99" s="17" t="n">
        <f aca="false">X59*(1-X93)</f>
        <v>3724.5940804013</v>
      </c>
      <c r="Y99" s="17" t="n">
        <f aca="false">Y59*(1-Y93)</f>
        <v>3679.08256934539</v>
      </c>
      <c r="Z99" s="17" t="n">
        <f aca="false">Z59*(1-Z93)</f>
        <v>3621.36888358767</v>
      </c>
      <c r="AA99" s="17" t="n">
        <f aca="false">AA59*(1-AA93)</f>
        <v>3551.26873800135</v>
      </c>
      <c r="AB99" s="17" t="n">
        <f aca="false">AB59*(1-AB93)</f>
        <v>3468.66113378825</v>
      </c>
      <c r="AC99" s="17" t="n">
        <f aca="false">AC59*(1-AC93)</f>
        <v>3373.49142128602</v>
      </c>
      <c r="AD99" s="17" t="n">
        <f aca="false">AD59*(1-AD93)</f>
        <v>3265.77391097776</v>
      </c>
      <c r="AE99" s="17" t="n">
        <f aca="false">AE59*(1-AE93)</f>
        <v>3149.88340897781</v>
      </c>
      <c r="AF99" s="17" t="n">
        <f aca="false">AF59*(1-AF93)</f>
        <v>3025.45984148076</v>
      </c>
      <c r="AG99" s="17" t="n">
        <f aca="false">AG59*(1-AG93)</f>
        <v>2892.12972176311</v>
      </c>
      <c r="AH99" s="17" t="n">
        <f aca="false">AH59*(1-AH93)</f>
        <v>2749.50569032079</v>
      </c>
      <c r="AI99" s="17" t="n">
        <f aca="false">AI59*(1-AI93)</f>
        <v>2597.18604000383</v>
      </c>
      <c r="AJ99" s="17" t="n">
        <f aca="false">AJ59*(1-AJ93)</f>
        <v>2434.75422567459</v>
      </c>
      <c r="AK99" s="17" t="n">
        <f aca="false">AK59*(1-AK93)</f>
        <v>2261.77835790139</v>
      </c>
      <c r="AL99" s="17" t="n">
        <f aca="false">AL59*(1-AL93)</f>
        <v>2077.81068018437</v>
      </c>
      <c r="AM99" s="17" t="n">
        <f aca="false">AM59*(1-AM93)</f>
        <v>1882.38702919499</v>
      </c>
      <c r="AN99" s="17" t="n">
        <f aca="false">AN59*(1-AN93)</f>
        <v>1675.02627749433</v>
      </c>
    </row>
    <row r="100" customFormat="false" ht="15" hidden="false" customHeight="false" outlineLevel="0" collapsed="false">
      <c r="A100" s="9" t="n">
        <v>6</v>
      </c>
      <c r="B100" s="9"/>
      <c r="C100" s="9" t="s">
        <v>450</v>
      </c>
      <c r="D100" s="9" t="s">
        <v>510</v>
      </c>
      <c r="E100" s="9" t="s">
        <v>433</v>
      </c>
      <c r="F100" s="9" t="s">
        <v>425</v>
      </c>
      <c r="G100" s="18"/>
      <c r="H100" s="18" t="s">
        <v>511</v>
      </c>
      <c r="I100" s="9"/>
      <c r="J100" s="9"/>
      <c r="K100" s="17"/>
      <c r="L100" s="17"/>
      <c r="M100" s="17"/>
      <c r="N100" s="19" t="n">
        <f aca="false">0</f>
        <v>0</v>
      </c>
      <c r="O100" s="17" t="n">
        <f aca="false">(O57+O58+O59)*O93</f>
        <v>329.457408286442</v>
      </c>
      <c r="P100" s="17" t="n">
        <f aca="false">(P57+P58+P59)*P93</f>
        <v>683.521702776693</v>
      </c>
      <c r="Q100" s="17" t="n">
        <f aca="false">(Q57+Q58+Q59)*Q93</f>
        <v>1062.49606694962</v>
      </c>
      <c r="R100" s="17" t="n">
        <f aca="false">(R57+R58+R59)*R93</f>
        <v>1466.57939223692</v>
      </c>
      <c r="S100" s="17" t="n">
        <f aca="false">(S57+S58+S59)*S93</f>
        <v>1895.85866252578</v>
      </c>
      <c r="T100" s="17" t="n">
        <f aca="false">(T57+T58+T59)*T93</f>
        <v>2350.30177327035</v>
      </c>
      <c r="U100" s="17" t="n">
        <f aca="false">(U57+U58+U59)*U93</f>
        <v>2829.75088209551</v>
      </c>
      <c r="V100" s="17" t="n">
        <f aca="false">(V57+V58+V59)*V93</f>
        <v>3333.91638767167</v>
      </c>
      <c r="W100" s="17" t="n">
        <f aca="false">(W57+W58+W59)*W93</f>
        <v>3862.37163224466</v>
      </c>
      <c r="X100" s="17" t="n">
        <f aca="false">(X57+X58+X59)*X93</f>
        <v>4414.54842046</v>
      </c>
      <c r="Y100" s="17" t="n">
        <f aca="false">(Y57+Y58+Y59)*Y93</f>
        <v>4989.73344298751</v>
      </c>
      <c r="Z100" s="17" t="n">
        <f aca="false">(Z57+Z58+Z59)*Z93</f>
        <v>5587.06568791172</v>
      </c>
      <c r="AA100" s="17" t="n">
        <f aca="false">(AA57+AA58+AA59)*AA93</f>
        <v>6205.53491591081</v>
      </c>
      <c r="AB100" s="17" t="n">
        <f aca="false">(AB57+AB58+AB59)*AB93</f>
        <v>6843.98126692876</v>
      </c>
      <c r="AC100" s="17" t="n">
        <f aca="false">(AC57+AC58+AC59)*AC93</f>
        <v>7501.09605640695</v>
      </c>
      <c r="AD100" s="17" t="n">
        <f aca="false">(AD57+AD58+AD59)*AD93</f>
        <v>8175.42380825831</v>
      </c>
      <c r="AE100" s="17" t="n">
        <f aca="false">(AE57+AE58+AE59)*AE93</f>
        <v>8875.92383806214</v>
      </c>
      <c r="AF100" s="17" t="n">
        <f aca="false">(AF57+AF58+AF59)*AF93</f>
        <v>9603.48841296929</v>
      </c>
      <c r="AG100" s="17" t="n">
        <f aca="false">(AG57+AG58+AG59)*AG93</f>
        <v>10359.0391775133</v>
      </c>
      <c r="AH100" s="17" t="n">
        <f aca="false">(AH57+AH58+AH59)*AH93</f>
        <v>11143.5281073497</v>
      </c>
      <c r="AI100" s="17" t="n">
        <f aca="false">(AI57+AI58+AI59)*AI93</f>
        <v>11957.9384936512</v>
      </c>
      <c r="AJ100" s="17" t="n">
        <f aca="false">(AJ57+AJ58+AJ59)*AJ93</f>
        <v>12803.2859591352</v>
      </c>
      <c r="AK100" s="17" t="n">
        <f aca="false">(AK57+AK58+AK59)*AK93</f>
        <v>13680.6195067304</v>
      </c>
      <c r="AL100" s="17" t="n">
        <f aca="false">(AL57+AL58+AL59)*AL93</f>
        <v>14591.0226019226</v>
      </c>
      <c r="AM100" s="17" t="n">
        <f aca="false">(AM57+AM58+AM59)*AM93</f>
        <v>15535.6142898493</v>
      </c>
      <c r="AN100" s="17" t="n">
        <f aca="false">(AN57+AN58+AN59)*AN93</f>
        <v>16515.5503482512</v>
      </c>
    </row>
    <row r="101" customFormat="false" ht="15" hidden="false" customHeight="false" outlineLevel="0" collapsed="false">
      <c r="A101" s="9" t="n">
        <v>6</v>
      </c>
      <c r="B101" s="9" t="s">
        <v>448</v>
      </c>
      <c r="C101" s="9" t="s">
        <v>450</v>
      </c>
      <c r="D101" s="9" t="s">
        <v>512</v>
      </c>
      <c r="E101" s="9" t="s">
        <v>433</v>
      </c>
      <c r="F101" s="9" t="s">
        <v>425</v>
      </c>
      <c r="G101" s="18"/>
      <c r="H101" s="18" t="s">
        <v>513</v>
      </c>
      <c r="I101" s="9"/>
      <c r="J101" s="9"/>
      <c r="K101" s="17"/>
      <c r="L101" s="17"/>
      <c r="M101" s="17"/>
      <c r="N101" s="19" t="n">
        <f aca="false">0</f>
        <v>0</v>
      </c>
      <c r="O101" s="17" t="n">
        <f aca="false">O100*p_ind_elec_sh*p_ind_ratio</f>
        <v>158.139555977492</v>
      </c>
      <c r="P101" s="17" t="n">
        <f aca="false">P100*p_ind_elec_sh*p_ind_ratio</f>
        <v>328.090417332812</v>
      </c>
      <c r="Q101" s="17" t="n">
        <f aca="false">Q100*p_ind_elec_sh*p_ind_ratio</f>
        <v>509.998112135816</v>
      </c>
      <c r="R101" s="17" t="n">
        <f aca="false">R100*p_ind_elec_sh*p_ind_ratio</f>
        <v>703.958108273724</v>
      </c>
      <c r="S101" s="17" t="n">
        <f aca="false">S100*p_ind_elec_sh*p_ind_ratio</f>
        <v>910.012158012374</v>
      </c>
      <c r="T101" s="17" t="n">
        <f aca="false">T100*p_ind_elec_sh*p_ind_ratio</f>
        <v>1128.14485116977</v>
      </c>
      <c r="U101" s="17" t="n">
        <f aca="false">U100*p_ind_elec_sh*p_ind_ratio</f>
        <v>1358.28042340585</v>
      </c>
      <c r="V101" s="17" t="n">
        <f aca="false">V100*p_ind_elec_sh*p_ind_ratio</f>
        <v>1600.2798660824</v>
      </c>
      <c r="W101" s="17" t="n">
        <f aca="false">W100*p_ind_elec_sh*p_ind_ratio</f>
        <v>1853.93838347743</v>
      </c>
      <c r="X101" s="17" t="n">
        <f aca="false">X100*p_ind_elec_sh*p_ind_ratio</f>
        <v>2118.9832418208</v>
      </c>
      <c r="Y101" s="17" t="n">
        <f aca="false">Y100*p_ind_elec_sh*p_ind_ratio</f>
        <v>2395.072052634</v>
      </c>
      <c r="Z101" s="17" t="n">
        <f aca="false">Z100*p_ind_elec_sh*p_ind_ratio</f>
        <v>2681.79153019763</v>
      </c>
      <c r="AA101" s="17" t="n">
        <f aca="false">AA100*p_ind_elec_sh*p_ind_ratio</f>
        <v>2978.65675963719</v>
      </c>
      <c r="AB101" s="17" t="n">
        <f aca="false">AB100*p_ind_elec_sh*p_ind_ratio</f>
        <v>3285.1110081258</v>
      </c>
      <c r="AC101" s="17" t="n">
        <f aca="false">AC100*p_ind_elec_sh*p_ind_ratio</f>
        <v>3600.52610707534</v>
      </c>
      <c r="AD101" s="17" t="n">
        <f aca="false">AD100*p_ind_elec_sh*p_ind_ratio</f>
        <v>3924.20342796399</v>
      </c>
      <c r="AE101" s="17" t="n">
        <f aca="false">AE100*p_ind_elec_sh*p_ind_ratio</f>
        <v>4260.44344226983</v>
      </c>
      <c r="AF101" s="17" t="n">
        <f aca="false">AF100*p_ind_elec_sh*p_ind_ratio</f>
        <v>4609.67443822526</v>
      </c>
      <c r="AG101" s="17" t="n">
        <f aca="false">AG100*p_ind_elec_sh*p_ind_ratio</f>
        <v>4972.33880520639</v>
      </c>
      <c r="AH101" s="17" t="n">
        <f aca="false">AH100*p_ind_elec_sh*p_ind_ratio</f>
        <v>5348.89349152786</v>
      </c>
      <c r="AI101" s="17" t="n">
        <f aca="false">AI100*p_ind_elec_sh*p_ind_ratio</f>
        <v>5739.81047695258</v>
      </c>
      <c r="AJ101" s="17" t="n">
        <f aca="false">AJ100*p_ind_elec_sh*p_ind_ratio</f>
        <v>6145.57726038488</v>
      </c>
      <c r="AK101" s="17" t="n">
        <f aca="false">AK100*p_ind_elec_sh*p_ind_ratio</f>
        <v>6566.69736323061</v>
      </c>
      <c r="AL101" s="17" t="n">
        <f aca="false">AL100*p_ind_elec_sh*p_ind_ratio</f>
        <v>7003.69084892286</v>
      </c>
      <c r="AM101" s="17" t="n">
        <f aca="false">AM100*p_ind_elec_sh*p_ind_ratio</f>
        <v>7457.09485912769</v>
      </c>
      <c r="AN101" s="17" t="n">
        <f aca="false">AN100*p_ind_elec_sh*p_ind_ratio</f>
        <v>7927.4641671606</v>
      </c>
    </row>
    <row r="102" customFormat="false" ht="15" hidden="false" customHeight="false" outlineLevel="0" collapsed="false">
      <c r="A102" s="9" t="n">
        <v>6</v>
      </c>
      <c r="B102" s="9"/>
      <c r="C102" s="9" t="s">
        <v>450</v>
      </c>
      <c r="D102" s="9" t="s">
        <v>514</v>
      </c>
      <c r="E102" s="9" t="s">
        <v>387</v>
      </c>
      <c r="F102" s="9" t="s">
        <v>425</v>
      </c>
      <c r="G102" s="18"/>
      <c r="H102" s="18" t="s">
        <v>515</v>
      </c>
      <c r="I102" s="9"/>
      <c r="J102" s="9"/>
      <c r="K102" s="17"/>
      <c r="L102" s="17"/>
      <c r="M102" s="17"/>
      <c r="N102" s="19" t="n">
        <f aca="false">$J$34</f>
        <v>200.816834563138</v>
      </c>
      <c r="O102" s="17" t="n">
        <f aca="false">$J$34*(1+$J$35/100)^MIN(O$1-2024,6)</f>
        <v>213.869928809742</v>
      </c>
      <c r="P102" s="17" t="n">
        <f aca="false">$J$34*(1+$J$35/100)^MIN(P$1-2024,6)</f>
        <v>227.771474182375</v>
      </c>
      <c r="Q102" s="17" t="n">
        <f aca="false">$J$34*(1+$J$35/100)^MIN(Q$1-2024,6)</f>
        <v>242.576620004229</v>
      </c>
      <c r="R102" s="17" t="n">
        <f aca="false">$J$34*(1+$J$35/100)^MIN(R$1-2024,6)</f>
        <v>258.344100304504</v>
      </c>
      <c r="S102" s="17" t="n">
        <f aca="false">$J$34*(1+$J$35/100)^MIN(S$1-2024,6)</f>
        <v>275.136466824297</v>
      </c>
      <c r="T102" s="17" t="n">
        <f aca="false">$J$34*(1+$J$35/100)^MIN(T$1-2024,6)</f>
        <v>293.020337167876</v>
      </c>
      <c r="U102" s="17" t="n">
        <f aca="false">$J$34*(1+$J$35/100)^MIN(U$1-2024,6)</f>
        <v>293.020337167876</v>
      </c>
      <c r="V102" s="17" t="n">
        <f aca="false">$J$34*(1+$J$35/100)^MIN(V$1-2024,6)</f>
        <v>293.020337167876</v>
      </c>
      <c r="W102" s="17" t="n">
        <f aca="false">$J$34*(1+$J$35/100)^MIN(W$1-2024,6)</f>
        <v>293.020337167876</v>
      </c>
      <c r="X102" s="17" t="n">
        <f aca="false">$J$34*(1+$J$35/100)^MIN(X$1-2024,6)</f>
        <v>293.020337167876</v>
      </c>
      <c r="Y102" s="17" t="n">
        <f aca="false">$J$34*(1+$J$35/100)^MIN(Y$1-2024,6)</f>
        <v>293.020337167876</v>
      </c>
      <c r="Z102" s="17" t="n">
        <f aca="false">$J$34*(1+$J$35/100)^MIN(Z$1-2024,6)</f>
        <v>293.020337167876</v>
      </c>
      <c r="AA102" s="17" t="n">
        <f aca="false">$J$34*(1+$J$35/100)^MIN(AA$1-2024,6)</f>
        <v>293.020337167876</v>
      </c>
      <c r="AB102" s="17" t="n">
        <f aca="false">$J$34*(1+$J$35/100)^MIN(AB$1-2024,6)</f>
        <v>293.020337167876</v>
      </c>
      <c r="AC102" s="17" t="n">
        <f aca="false">$J$34*(1+$J$35/100)^MIN(AC$1-2024,6)</f>
        <v>293.020337167876</v>
      </c>
      <c r="AD102" s="17" t="n">
        <f aca="false">$J$34*(1+$J$35/100)^MIN(AD$1-2024,6)</f>
        <v>293.020337167876</v>
      </c>
      <c r="AE102" s="17" t="n">
        <f aca="false">$J$34*(1+$J$35/100)^MIN(AE$1-2024,6)</f>
        <v>293.020337167876</v>
      </c>
      <c r="AF102" s="17" t="n">
        <f aca="false">$J$34*(1+$J$35/100)^MIN(AF$1-2024,6)</f>
        <v>293.020337167876</v>
      </c>
      <c r="AG102" s="17" t="n">
        <f aca="false">$J$34*(1+$J$35/100)^MIN(AG$1-2024,6)</f>
        <v>293.020337167876</v>
      </c>
      <c r="AH102" s="17" t="n">
        <f aca="false">$J$34*(1+$J$35/100)^MIN(AH$1-2024,6)</f>
        <v>293.020337167876</v>
      </c>
      <c r="AI102" s="17" t="n">
        <f aca="false">$J$34*(1+$J$35/100)^MIN(AI$1-2024,6)</f>
        <v>293.020337167876</v>
      </c>
      <c r="AJ102" s="17" t="n">
        <f aca="false">$J$34*(1+$J$35/100)^MIN(AJ$1-2024,6)</f>
        <v>293.020337167876</v>
      </c>
      <c r="AK102" s="17" t="n">
        <f aca="false">$J$34*(1+$J$35/100)^MIN(AK$1-2024,6)</f>
        <v>293.020337167876</v>
      </c>
      <c r="AL102" s="17" t="n">
        <f aca="false">$J$34*(1+$J$35/100)^MIN(AL$1-2024,6)</f>
        <v>293.020337167876</v>
      </c>
      <c r="AM102" s="17" t="n">
        <f aca="false">$J$34*(1+$J$35/100)^MIN(AM$1-2024,6)</f>
        <v>293.020337167876</v>
      </c>
      <c r="AN102" s="17" t="n">
        <f aca="false">$J$34*(1+$J$35/100)^MIN(AN$1-2024,6)</f>
        <v>293.020337167876</v>
      </c>
    </row>
    <row r="103" customFormat="false" ht="15" hidden="false" customHeight="false" outlineLevel="0" collapsed="false">
      <c r="A103" s="9" t="n">
        <v>6</v>
      </c>
      <c r="B103" s="9"/>
      <c r="C103" s="9" t="s">
        <v>450</v>
      </c>
      <c r="D103" s="9" t="s">
        <v>516</v>
      </c>
      <c r="E103" s="9" t="s">
        <v>387</v>
      </c>
      <c r="F103" s="9" t="s">
        <v>425</v>
      </c>
      <c r="G103" s="18"/>
      <c r="H103" s="18" t="s">
        <v>517</v>
      </c>
      <c r="I103" s="9"/>
      <c r="J103" s="9"/>
      <c r="K103" s="17"/>
      <c r="L103" s="17"/>
      <c r="M103" s="17"/>
      <c r="N103" s="19" t="n">
        <f aca="false">0</f>
        <v>0</v>
      </c>
      <c r="O103" s="17" t="n">
        <f aca="false">O102*p_cbam_a_2050*(O$1-2024)/26</f>
        <v>7.40318984341413</v>
      </c>
      <c r="P103" s="17" t="n">
        <f aca="false">P102*p_cbam_a_2050*(P$1-2024)/26</f>
        <v>15.7687943664721</v>
      </c>
      <c r="Q103" s="17" t="n">
        <f aca="false">Q102*p_cbam_a_2050*(Q$1-2024)/26</f>
        <v>25.1906490004392</v>
      </c>
      <c r="R103" s="17" t="n">
        <f aca="false">R102*p_cbam_a_2050*(R$1-2024)/26</f>
        <v>35.7707215806236</v>
      </c>
      <c r="S103" s="17" t="n">
        <f aca="false">S102*p_cbam_a_2050*(S$1-2024)/26</f>
        <v>47.6197731042052</v>
      </c>
      <c r="T103" s="17" t="n">
        <f aca="false">T102*p_cbam_a_2050*(T$1-2024)/26</f>
        <v>60.8580700271742</v>
      </c>
      <c r="U103" s="17" t="n">
        <f aca="false">U102*p_cbam_a_2050*(U$1-2024)/26</f>
        <v>71.0010816983699</v>
      </c>
      <c r="V103" s="17" t="n">
        <f aca="false">V102*p_cbam_a_2050*(V$1-2024)/26</f>
        <v>81.1440933695656</v>
      </c>
      <c r="W103" s="17" t="n">
        <f aca="false">W102*p_cbam_a_2050*(W$1-2024)/26</f>
        <v>91.2871050407613</v>
      </c>
      <c r="X103" s="17" t="n">
        <f aca="false">X102*p_cbam_a_2050*(X$1-2024)/26</f>
        <v>101.430116711957</v>
      </c>
      <c r="Y103" s="17" t="n">
        <f aca="false">Y102*p_cbam_a_2050*(Y$1-2024)/26</f>
        <v>111.573128383153</v>
      </c>
      <c r="Z103" s="17" t="n">
        <f aca="false">Z102*p_cbam_a_2050*(Z$1-2024)/26</f>
        <v>121.716140054348</v>
      </c>
      <c r="AA103" s="17" t="n">
        <f aca="false">AA102*p_cbam_a_2050*(AA$1-2024)/26</f>
        <v>131.859151725544</v>
      </c>
      <c r="AB103" s="17" t="n">
        <f aca="false">AB102*p_cbam_a_2050*(AB$1-2024)/26</f>
        <v>142.00216339674</v>
      </c>
      <c r="AC103" s="17" t="n">
        <f aca="false">AC102*p_cbam_a_2050*(AC$1-2024)/26</f>
        <v>152.145175067936</v>
      </c>
      <c r="AD103" s="17" t="n">
        <f aca="false">AD102*p_cbam_a_2050*(AD$1-2024)/26</f>
        <v>162.288186739131</v>
      </c>
      <c r="AE103" s="17" t="n">
        <f aca="false">AE102*p_cbam_a_2050*(AE$1-2024)/26</f>
        <v>172.431198410327</v>
      </c>
      <c r="AF103" s="17" t="n">
        <f aca="false">AF102*p_cbam_a_2050*(AF$1-2024)/26</f>
        <v>182.574210081523</v>
      </c>
      <c r="AG103" s="17" t="n">
        <f aca="false">AG102*p_cbam_a_2050*(AG$1-2024)/26</f>
        <v>192.717221752718</v>
      </c>
      <c r="AH103" s="17" t="n">
        <f aca="false">AH102*p_cbam_a_2050*(AH$1-2024)/26</f>
        <v>202.860233423914</v>
      </c>
      <c r="AI103" s="17" t="n">
        <f aca="false">AI102*p_cbam_a_2050*(AI$1-2024)/26</f>
        <v>213.00324509511</v>
      </c>
      <c r="AJ103" s="17" t="n">
        <f aca="false">AJ102*p_cbam_a_2050*(AJ$1-2024)/26</f>
        <v>223.146256766306</v>
      </c>
      <c r="AK103" s="17" t="n">
        <f aca="false">AK102*p_cbam_a_2050*(AK$1-2024)/26</f>
        <v>233.289268437501</v>
      </c>
      <c r="AL103" s="17" t="n">
        <f aca="false">AL102*p_cbam_a_2050*(AL$1-2024)/26</f>
        <v>243.432280108697</v>
      </c>
      <c r="AM103" s="17" t="n">
        <f aca="false">AM102*p_cbam_a_2050*(AM$1-2024)/26</f>
        <v>253.575291779893</v>
      </c>
      <c r="AN103" s="17" t="n">
        <f aca="false">AN102*p_cbam_a_2050*(AN$1-2024)/26</f>
        <v>263.718303451088</v>
      </c>
    </row>
    <row r="104" customFormat="false" ht="15" hidden="false" customHeight="false" outlineLevel="0" collapsed="false">
      <c r="A104" s="9" t="n">
        <v>6</v>
      </c>
      <c r="B104" s="9"/>
      <c r="C104" s="9" t="s">
        <v>450</v>
      </c>
      <c r="D104" s="9" t="s">
        <v>518</v>
      </c>
      <c r="E104" s="9" t="s">
        <v>301</v>
      </c>
      <c r="F104" s="9" t="s">
        <v>425</v>
      </c>
      <c r="G104" s="18"/>
      <c r="H104" s="18" t="s">
        <v>519</v>
      </c>
      <c r="I104" s="9"/>
      <c r="J104" s="9"/>
      <c r="K104" s="17"/>
      <c r="L104" s="17"/>
      <c r="M104" s="17"/>
      <c r="N104" s="19" t="n">
        <f aca="false">0</f>
        <v>0</v>
      </c>
      <c r="O104" s="17" t="n">
        <f aca="false">(p_k_ind*MAX(0,O100-N100)+p_k_ccs*MAX(0,O103-N103))*$J$11/1000</f>
        <v>27.1777209485278</v>
      </c>
      <c r="P104" s="17" t="n">
        <f aca="false">(p_k_ind*MAX(0,P100-O100)+p_k_ccs*MAX(0,P103-O103))*$J$11/1000</f>
        <v>29.368474562093</v>
      </c>
      <c r="Q104" s="17" t="n">
        <f aca="false">(p_k_ind*MAX(0,Q100-P100)+p_k_ccs*MAX(0,Q103-P103))*$J$11/1000</f>
        <v>31.6184275445539</v>
      </c>
      <c r="R104" s="17" t="n">
        <f aca="false">(p_k_ind*MAX(0,R100-Q100)+p_k_ccs*MAX(0,R103-Q103))*$J$11/1000</f>
        <v>33.9230923346988</v>
      </c>
      <c r="S104" s="17" t="n">
        <f aca="false">(p_k_ind*MAX(0,S100-R100)+p_k_ccs*MAX(0,S103-R103))*$J$11/1000</f>
        <v>36.2776799778318</v>
      </c>
      <c r="T104" s="17" t="n">
        <f aca="false">(p_k_ind*MAX(0,T100-S100)+p_k_ccs*MAX(0,T103-S103))*$J$11/1000</f>
        <v>38.6771523893038</v>
      </c>
      <c r="U104" s="17" t="n">
        <f aca="false">(p_k_ind*MAX(0,U100-T100)+p_k_ccs*MAX(0,U103-T103))*$J$11/1000</f>
        <v>39.3031360995545</v>
      </c>
      <c r="V104" s="17" t="n">
        <f aca="false">(p_k_ind*MAX(0,V100-U100)+p_k_ccs*MAX(0,V103-U103))*$J$11/1000</f>
        <v>41.1238477432265</v>
      </c>
      <c r="W104" s="17" t="n">
        <f aca="false">(p_k_ind*MAX(0,W100-V100)+p_k_ccs*MAX(0,W103-V103))*$J$11/1000</f>
        <v>42.9131300184234</v>
      </c>
      <c r="X104" s="17" t="n">
        <f aca="false">(p_k_ind*MAX(0,X100-W100)+p_k_ccs*MAX(0,X103-W103))*$J$11/1000</f>
        <v>44.660556682214</v>
      </c>
      <c r="Y104" s="17" t="n">
        <f aca="false">(p_k_ind*MAX(0,Y100-X100)+p_k_ccs*MAX(0,Y103-X103))*$J$11/1000</f>
        <v>46.3554380411157</v>
      </c>
      <c r="Z104" s="17" t="n">
        <f aca="false">(p_k_ind*MAX(0,Z100-Y100)+p_k_ccs*MAX(0,Z103-Y103))*$J$11/1000</f>
        <v>47.9868937140008</v>
      </c>
      <c r="AA104" s="17" t="n">
        <f aca="false">(p_k_ind*MAX(0,AA100-Z100)+p_k_ccs*MAX(0,AA103-Z103))*$J$11/1000</f>
        <v>49.5439309951314</v>
      </c>
      <c r="AB104" s="17" t="n">
        <f aca="false">(p_k_ind*MAX(0,AB100-AA100)+p_k_ccs*MAX(0,AB103-AA103))*$J$11/1000</f>
        <v>51.0155282046255</v>
      </c>
      <c r="AC104" s="17" t="n">
        <f aca="false">(p_k_ind*MAX(0,AC100-AB100)+p_k_ccs*MAX(0,AC103-AB103))*$J$11/1000</f>
        <v>52.3907223162985</v>
      </c>
      <c r="AD104" s="17" t="n">
        <f aca="false">(p_k_ind*MAX(0,AD100-AC100)+p_k_ccs*MAX(0,AD103-AC103))*$J$11/1000</f>
        <v>53.6587000612199</v>
      </c>
      <c r="AE104" s="17" t="n">
        <f aca="false">(p_k_ind*MAX(0,AE100-AD100)+p_k_ccs*MAX(0,AE103-AD103))*$J$11/1000</f>
        <v>55.5866579140393</v>
      </c>
      <c r="AF104" s="17" t="n">
        <f aca="false">(p_k_ind*MAX(0,AF100-AE100)+p_k_ccs*MAX(0,AF103-AE103))*$J$11/1000</f>
        <v>57.580343842322</v>
      </c>
      <c r="AG104" s="17" t="n">
        <f aca="false">(p_k_ind*MAX(0,AG100-AF100)+p_k_ccs*MAX(0,AG103-AF103))*$J$11/1000</f>
        <v>59.6419219051437</v>
      </c>
      <c r="AH104" s="17" t="n">
        <f aca="false">(p_k_ind*MAX(0,AH100-AG100)+p_k_ccs*MAX(0,AH103-AG103))*$J$11/1000</f>
        <v>61.7736264179479</v>
      </c>
      <c r="AI104" s="17" t="n">
        <f aca="false">(p_k_ind*MAX(0,AI100-AH100)+p_k_ccs*MAX(0,AI103-AH103))*$J$11/1000</f>
        <v>63.9777642107855</v>
      </c>
      <c r="AJ104" s="17" t="n">
        <f aca="false">(p_k_ind*MAX(0,AJ100-AI100)+p_k_ccs*MAX(0,AJ103-AI103))*$J$11/1000</f>
        <v>66.2567169584762</v>
      </c>
      <c r="AK104" s="17" t="n">
        <f aca="false">(p_k_ind*MAX(0,AK100-AJ100)+p_k_ccs*MAX(0,AK103-AJ103))*$J$11/1000</f>
        <v>68.6129435849642</v>
      </c>
      <c r="AL104" s="17" t="n">
        <f aca="false">(p_k_ind*MAX(0,AL100-AK100)+p_k_ccs*MAX(0,AL103-AK103))*$J$11/1000</f>
        <v>71.0489827442013</v>
      </c>
      <c r="AM104" s="17" t="n">
        <f aca="false">(p_k_ind*MAX(0,AM100-AL100)+p_k_ccs*MAX(0,AM103-AL103))*$J$11/1000</f>
        <v>73.5674553799838</v>
      </c>
      <c r="AN104" s="17" t="n">
        <f aca="false">(p_k_ind*MAX(0,AN100-AM100)+p_k_ccs*MAX(0,AN103-AM103))*$J$11/1000</f>
        <v>76.1710673672293</v>
      </c>
    </row>
    <row r="105" customFormat="false" ht="15" hidden="false" customHeight="false" outlineLevel="0" collapsed="false">
      <c r="A105" s="12" t="s">
        <v>520</v>
      </c>
      <c r="B105" s="13"/>
      <c r="C105" s="13"/>
      <c r="D105" s="13"/>
      <c r="E105" s="13"/>
      <c r="F105" s="13"/>
      <c r="G105" s="13"/>
      <c r="H105" s="13"/>
      <c r="I105" s="13"/>
      <c r="J105" s="13"/>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row>
    <row r="106" customFormat="false" ht="15" hidden="false" customHeight="false" outlineLevel="0" collapsed="false">
      <c r="A106" s="9" t="n">
        <v>7</v>
      </c>
      <c r="B106" s="9"/>
      <c r="C106" s="9" t="s">
        <v>521</v>
      </c>
      <c r="D106" s="9" t="s">
        <v>522</v>
      </c>
      <c r="E106" s="9" t="s">
        <v>176</v>
      </c>
      <c r="F106" s="9" t="s">
        <v>425</v>
      </c>
      <c r="G106" s="18"/>
      <c r="H106" s="18" t="s">
        <v>523</v>
      </c>
      <c r="I106" s="9"/>
      <c r="J106" s="9"/>
      <c r="K106" s="17"/>
      <c r="L106" s="17"/>
      <c r="M106" s="17"/>
      <c r="N106" s="19" t="n">
        <f aca="false">p_capex_sol24</f>
        <v>760</v>
      </c>
      <c r="O106" s="17" t="n">
        <f aca="false">p_capex_sol24*(1-p_lr_sol)^(O$1-2024)</f>
        <v>737.2</v>
      </c>
      <c r="P106" s="17" t="n">
        <f aca="false">p_capex_sol24*(1-p_lr_sol)^(P$1-2024)</f>
        <v>715.084</v>
      </c>
      <c r="Q106" s="17" t="n">
        <f aca="false">p_capex_sol24*(1-p_lr_sol)^(Q$1-2024)</f>
        <v>693.63148</v>
      </c>
      <c r="R106" s="17" t="n">
        <f aca="false">p_capex_sol24*(1-p_lr_sol)^(R$1-2024)</f>
        <v>672.8225356</v>
      </c>
      <c r="S106" s="17" t="n">
        <f aca="false">p_capex_sol24*(1-p_lr_sol)^(S$1-2024)</f>
        <v>652.637859532</v>
      </c>
      <c r="T106" s="17" t="n">
        <f aca="false">p_capex_sol24*(1-p_lr_sol)^(T$1-2024)</f>
        <v>633.05872374604</v>
      </c>
      <c r="U106" s="17" t="n">
        <f aca="false">p_capex_sol24*(1-p_lr_sol)^(U$1-2024)</f>
        <v>614.066962033659</v>
      </c>
      <c r="V106" s="17" t="n">
        <f aca="false">p_capex_sol24*(1-p_lr_sol)^(V$1-2024)</f>
        <v>595.644953172649</v>
      </c>
      <c r="W106" s="17" t="n">
        <f aca="false">p_capex_sol24*(1-p_lr_sol)^(W$1-2024)</f>
        <v>577.77560457747</v>
      </c>
      <c r="X106" s="17" t="n">
        <f aca="false">p_capex_sol24*(1-p_lr_sol)^(X$1-2024)</f>
        <v>560.442336440145</v>
      </c>
      <c r="Y106" s="17" t="n">
        <f aca="false">p_capex_sol24*(1-p_lr_sol)^(Y$1-2024)</f>
        <v>543.629066346941</v>
      </c>
      <c r="Z106" s="17" t="n">
        <f aca="false">p_capex_sol24*(1-p_lr_sol)^(Z$1-2024)</f>
        <v>527.320194356533</v>
      </c>
      <c r="AA106" s="17" t="n">
        <f aca="false">p_capex_sol24*(1-p_lr_sol)^(AA$1-2024)</f>
        <v>511.500588525837</v>
      </c>
      <c r="AB106" s="17" t="n">
        <f aca="false">p_capex_sol24*(1-p_lr_sol)^(AB$1-2024)</f>
        <v>496.155570870062</v>
      </c>
      <c r="AC106" s="17" t="n">
        <f aca="false">p_capex_sol24*(1-p_lr_sol)^(AC$1-2024)</f>
        <v>481.27090374396</v>
      </c>
      <c r="AD106" s="17" t="n">
        <f aca="false">p_capex_sol24*(1-p_lr_sol)^(AD$1-2024)</f>
        <v>466.832776631641</v>
      </c>
      <c r="AE106" s="17" t="n">
        <f aca="false">p_capex_sol24*(1-p_lr_sol)^(AE$1-2024)</f>
        <v>452.827793332692</v>
      </c>
      <c r="AF106" s="17" t="n">
        <f aca="false">p_capex_sol24*(1-p_lr_sol)^(AF$1-2024)</f>
        <v>439.242959532711</v>
      </c>
      <c r="AG106" s="17" t="n">
        <f aca="false">p_capex_sol24*(1-p_lr_sol)^(AG$1-2024)</f>
        <v>426.06567074673</v>
      </c>
      <c r="AH106" s="17" t="n">
        <f aca="false">p_capex_sol24*(1-p_lr_sol)^(AH$1-2024)</f>
        <v>413.283700624328</v>
      </c>
      <c r="AI106" s="17" t="n">
        <f aca="false">p_capex_sol24*(1-p_lr_sol)^(AI$1-2024)</f>
        <v>400.885189605598</v>
      </c>
      <c r="AJ106" s="17" t="n">
        <f aca="false">p_capex_sol24*(1-p_lr_sol)^(AJ$1-2024)</f>
        <v>388.85863391743</v>
      </c>
      <c r="AK106" s="17" t="n">
        <f aca="false">p_capex_sol24*(1-p_lr_sol)^(AK$1-2024)</f>
        <v>377.192874899907</v>
      </c>
      <c r="AL106" s="17" t="n">
        <f aca="false">p_capex_sol24*(1-p_lr_sol)^(AL$1-2024)</f>
        <v>365.87708865291</v>
      </c>
      <c r="AM106" s="17" t="n">
        <f aca="false">p_capex_sol24*(1-p_lr_sol)^(AM$1-2024)</f>
        <v>354.900775993323</v>
      </c>
      <c r="AN106" s="17" t="n">
        <f aca="false">p_capex_sol24*(1-p_lr_sol)^(AN$1-2024)</f>
        <v>344.253752713523</v>
      </c>
    </row>
    <row r="107" customFormat="false" ht="15" hidden="false" customHeight="false" outlineLevel="0" collapsed="false">
      <c r="A107" s="9" t="n">
        <v>7</v>
      </c>
      <c r="B107" s="9"/>
      <c r="C107" s="9" t="s">
        <v>521</v>
      </c>
      <c r="D107" s="9" t="s">
        <v>524</v>
      </c>
      <c r="E107" s="9" t="s">
        <v>176</v>
      </c>
      <c r="F107" s="9" t="s">
        <v>425</v>
      </c>
      <c r="G107" s="18"/>
      <c r="H107" s="18" t="s">
        <v>525</v>
      </c>
      <c r="I107" s="9"/>
      <c r="J107" s="9"/>
      <c r="K107" s="17"/>
      <c r="L107" s="17"/>
      <c r="M107" s="17"/>
      <c r="N107" s="19" t="n">
        <f aca="false">p_capex_wnd24</f>
        <v>1160</v>
      </c>
      <c r="O107" s="17" t="n">
        <f aca="false">p_capex_wnd24*(1-p_lr_wnd)^(O$1-2024)</f>
        <v>1142.6</v>
      </c>
      <c r="P107" s="17" t="n">
        <f aca="false">p_capex_wnd24*(1-p_lr_wnd)^(P$1-2024)</f>
        <v>1125.461</v>
      </c>
      <c r="Q107" s="17" t="n">
        <f aca="false">p_capex_wnd24*(1-p_lr_wnd)^(Q$1-2024)</f>
        <v>1108.579085</v>
      </c>
      <c r="R107" s="17" t="n">
        <f aca="false">p_capex_wnd24*(1-p_lr_wnd)^(R$1-2024)</f>
        <v>1091.950398725</v>
      </c>
      <c r="S107" s="17" t="n">
        <f aca="false">p_capex_wnd24*(1-p_lr_wnd)^(S$1-2024)</f>
        <v>1075.57114274413</v>
      </c>
      <c r="T107" s="17" t="n">
        <f aca="false">p_capex_wnd24*(1-p_lr_wnd)^(T$1-2024)</f>
        <v>1059.43757560296</v>
      </c>
      <c r="U107" s="17" t="n">
        <f aca="false">p_capex_wnd24*(1-p_lr_wnd)^(U$1-2024)</f>
        <v>1043.54601196892</v>
      </c>
      <c r="V107" s="17" t="n">
        <f aca="false">p_capex_wnd24*(1-p_lr_wnd)^(V$1-2024)</f>
        <v>1027.89282178938</v>
      </c>
      <c r="W107" s="17" t="n">
        <f aca="false">p_capex_wnd24*(1-p_lr_wnd)^(W$1-2024)</f>
        <v>1012.47442946254</v>
      </c>
      <c r="X107" s="17" t="n">
        <f aca="false">p_capex_wnd24*(1-p_lr_wnd)^(X$1-2024)</f>
        <v>997.287313020606</v>
      </c>
      <c r="Y107" s="17" t="n">
        <f aca="false">p_capex_wnd24*(1-p_lr_wnd)^(Y$1-2024)</f>
        <v>982.328003325297</v>
      </c>
      <c r="Z107" s="17" t="n">
        <f aca="false">p_capex_wnd24*(1-p_lr_wnd)^(Z$1-2024)</f>
        <v>967.593083275417</v>
      </c>
      <c r="AA107" s="17" t="n">
        <f aca="false">p_capex_wnd24*(1-p_lr_wnd)^(AA$1-2024)</f>
        <v>953.079187026286</v>
      </c>
      <c r="AB107" s="17" t="n">
        <f aca="false">p_capex_wnd24*(1-p_lr_wnd)^(AB$1-2024)</f>
        <v>938.782999220892</v>
      </c>
      <c r="AC107" s="17" t="n">
        <f aca="false">p_capex_wnd24*(1-p_lr_wnd)^(AC$1-2024)</f>
        <v>924.701254232578</v>
      </c>
      <c r="AD107" s="17" t="n">
        <f aca="false">p_capex_wnd24*(1-p_lr_wnd)^(AD$1-2024)</f>
        <v>910.83073541909</v>
      </c>
      <c r="AE107" s="17" t="n">
        <f aca="false">p_capex_wnd24*(1-p_lr_wnd)^(AE$1-2024)</f>
        <v>897.168274387803</v>
      </c>
      <c r="AF107" s="17" t="n">
        <f aca="false">p_capex_wnd24*(1-p_lr_wnd)^(AF$1-2024)</f>
        <v>883.710750271986</v>
      </c>
      <c r="AG107" s="17" t="n">
        <f aca="false">p_capex_wnd24*(1-p_lr_wnd)^(AG$1-2024)</f>
        <v>870.455089017906</v>
      </c>
      <c r="AH107" s="17" t="n">
        <f aca="false">p_capex_wnd24*(1-p_lr_wnd)^(AH$1-2024)</f>
        <v>857.398262682638</v>
      </c>
      <c r="AI107" s="17" t="n">
        <f aca="false">p_capex_wnd24*(1-p_lr_wnd)^(AI$1-2024)</f>
        <v>844.537288742398</v>
      </c>
      <c r="AJ107" s="17" t="n">
        <f aca="false">p_capex_wnd24*(1-p_lr_wnd)^(AJ$1-2024)</f>
        <v>831.869229411262</v>
      </c>
      <c r="AK107" s="17" t="n">
        <f aca="false">p_capex_wnd24*(1-p_lr_wnd)^(AK$1-2024)</f>
        <v>819.391190970093</v>
      </c>
      <c r="AL107" s="17" t="n">
        <f aca="false">p_capex_wnd24*(1-p_lr_wnd)^(AL$1-2024)</f>
        <v>807.100323105542</v>
      </c>
      <c r="AM107" s="17" t="n">
        <f aca="false">p_capex_wnd24*(1-p_lr_wnd)^(AM$1-2024)</f>
        <v>794.993818258959</v>
      </c>
      <c r="AN107" s="17" t="n">
        <f aca="false">p_capex_wnd24*(1-p_lr_wnd)^(AN$1-2024)</f>
        <v>783.068910985074</v>
      </c>
    </row>
    <row r="108" customFormat="false" ht="15" hidden="false" customHeight="false" outlineLevel="0" collapsed="false">
      <c r="A108" s="9" t="n">
        <v>7</v>
      </c>
      <c r="B108" s="9"/>
      <c r="C108" s="9" t="s">
        <v>521</v>
      </c>
      <c r="D108" s="9" t="s">
        <v>526</v>
      </c>
      <c r="E108" s="9" t="s">
        <v>211</v>
      </c>
      <c r="F108" s="9" t="s">
        <v>425</v>
      </c>
      <c r="G108" s="18"/>
      <c r="H108" s="18" t="s">
        <v>527</v>
      </c>
      <c r="I108" s="9"/>
      <c r="J108" s="9"/>
      <c r="K108" s="17"/>
      <c r="L108" s="17"/>
      <c r="M108" s="17"/>
      <c r="N108" s="19" t="n">
        <f aca="false">p_capex_st24</f>
        <v>250</v>
      </c>
      <c r="O108" s="17" t="n">
        <f aca="false">p_capex_st24*(1-p_lr_st)^(O$1-2024)</f>
        <v>242.5</v>
      </c>
      <c r="P108" s="17" t="n">
        <f aca="false">p_capex_st24*(1-p_lr_st)^(P$1-2024)</f>
        <v>235.225</v>
      </c>
      <c r="Q108" s="17" t="n">
        <f aca="false">p_capex_st24*(1-p_lr_st)^(Q$1-2024)</f>
        <v>228.16825</v>
      </c>
      <c r="R108" s="17" t="n">
        <f aca="false">p_capex_st24*(1-p_lr_st)^(R$1-2024)</f>
        <v>221.3232025</v>
      </c>
      <c r="S108" s="17" t="n">
        <f aca="false">p_capex_st24*(1-p_lr_st)^(S$1-2024)</f>
        <v>214.683506425</v>
      </c>
      <c r="T108" s="17" t="n">
        <f aca="false">p_capex_st24*(1-p_lr_st)^(T$1-2024)</f>
        <v>208.24300123225</v>
      </c>
      <c r="U108" s="17" t="n">
        <f aca="false">p_capex_st24*(1-p_lr_st)^(U$1-2024)</f>
        <v>201.995711195282</v>
      </c>
      <c r="V108" s="17" t="n">
        <f aca="false">p_capex_st24*(1-p_lr_st)^(V$1-2024)</f>
        <v>195.935839859424</v>
      </c>
      <c r="W108" s="17" t="n">
        <f aca="false">p_capex_st24*(1-p_lr_st)^(W$1-2024)</f>
        <v>190.057764663641</v>
      </c>
      <c r="X108" s="17" t="n">
        <f aca="false">p_capex_st24*(1-p_lr_st)^(X$1-2024)</f>
        <v>184.356031723732</v>
      </c>
      <c r="Y108" s="17" t="n">
        <f aca="false">p_capex_st24*(1-p_lr_st)^(Y$1-2024)</f>
        <v>178.82535077202</v>
      </c>
      <c r="Z108" s="17" t="n">
        <f aca="false">p_capex_st24*(1-p_lr_st)^(Z$1-2024)</f>
        <v>173.460590248859</v>
      </c>
      <c r="AA108" s="17" t="n">
        <f aca="false">p_capex_st24*(1-p_lr_st)^(AA$1-2024)</f>
        <v>168.256772541394</v>
      </c>
      <c r="AB108" s="17" t="n">
        <f aca="false">p_capex_st24*(1-p_lr_st)^(AB$1-2024)</f>
        <v>163.209069365152</v>
      </c>
      <c r="AC108" s="17" t="n">
        <f aca="false">p_capex_st24*(1-p_lr_st)^(AC$1-2024)</f>
        <v>158.312797284197</v>
      </c>
      <c r="AD108" s="17" t="n">
        <f aca="false">p_capex_st24*(1-p_lr_st)^(AD$1-2024)</f>
        <v>153.563413365671</v>
      </c>
      <c r="AE108" s="17" t="n">
        <f aca="false">p_capex_st24*(1-p_lr_st)^(AE$1-2024)</f>
        <v>148.956510964701</v>
      </c>
      <c r="AF108" s="17" t="n">
        <f aca="false">p_capex_st24*(1-p_lr_st)^(AF$1-2024)</f>
        <v>144.48781563576</v>
      </c>
      <c r="AG108" s="17" t="n">
        <f aca="false">p_capex_st24*(1-p_lr_st)^(AG$1-2024)</f>
        <v>140.153181166687</v>
      </c>
      <c r="AH108" s="17" t="n">
        <f aca="false">p_capex_st24*(1-p_lr_st)^(AH$1-2024)</f>
        <v>135.948585731687</v>
      </c>
      <c r="AI108" s="17" t="n">
        <f aca="false">p_capex_st24*(1-p_lr_st)^(AI$1-2024)</f>
        <v>131.870128159736</v>
      </c>
      <c r="AJ108" s="17" t="n">
        <f aca="false">p_capex_st24*(1-p_lr_st)^(AJ$1-2024)</f>
        <v>127.914024314944</v>
      </c>
      <c r="AK108" s="17" t="n">
        <f aca="false">p_capex_st24*(1-p_lr_st)^(AK$1-2024)</f>
        <v>124.076603585496</v>
      </c>
      <c r="AL108" s="17" t="n">
        <f aca="false">p_capex_st24*(1-p_lr_st)^(AL$1-2024)</f>
        <v>120.354305477931</v>
      </c>
      <c r="AM108" s="17" t="n">
        <f aca="false">p_capex_st24*(1-p_lr_st)^(AM$1-2024)</f>
        <v>116.743676313593</v>
      </c>
      <c r="AN108" s="17" t="n">
        <f aca="false">p_capex_st24*(1-p_lr_st)^(AN$1-2024)</f>
        <v>113.241366024185</v>
      </c>
    </row>
    <row r="109" customFormat="false" ht="15" hidden="false" customHeight="false" outlineLevel="0" collapsed="false">
      <c r="A109" s="9" t="n">
        <v>7</v>
      </c>
      <c r="B109" s="9" t="s">
        <v>448</v>
      </c>
      <c r="C109" s="9" t="s">
        <v>521</v>
      </c>
      <c r="D109" s="9" t="s">
        <v>528</v>
      </c>
      <c r="E109" s="9" t="s">
        <v>433</v>
      </c>
      <c r="F109" s="9" t="s">
        <v>425</v>
      </c>
      <c r="G109" s="18"/>
      <c r="H109" s="18" t="s">
        <v>529</v>
      </c>
      <c r="I109" s="9"/>
      <c r="J109" s="9"/>
      <c r="K109" s="17"/>
      <c r="L109" s="17"/>
      <c r="M109" s="17"/>
      <c r="N109" s="19" t="n">
        <f aca="false">N56+N60+N69</f>
        <v>5864.66567288246</v>
      </c>
      <c r="O109" s="17" t="n">
        <f aca="false">O56+O60+O69</f>
        <v>6191.56055413906</v>
      </c>
      <c r="P109" s="17" t="n">
        <f aca="false">P56+P60+P69</f>
        <v>6482.05149299891</v>
      </c>
      <c r="Q109" s="17" t="n">
        <f aca="false">Q56+Q60+Q69</f>
        <v>6777.8749313089</v>
      </c>
      <c r="R109" s="17" t="n">
        <f aca="false">R56+R60+R69</f>
        <v>7078.41139458139</v>
      </c>
      <c r="S109" s="17" t="n">
        <f aca="false">S56+S60+S69</f>
        <v>7382.99289144601</v>
      </c>
      <c r="T109" s="17" t="n">
        <f aca="false">T56+T60+T69</f>
        <v>7690.90446597807</v>
      </c>
      <c r="U109" s="17" t="n">
        <f aca="false">U56+U60+U69</f>
        <v>8001.38614652574</v>
      </c>
      <c r="V109" s="17" t="n">
        <f aca="false">V56+V60+V69</f>
        <v>8313.63529320061</v>
      </c>
      <c r="W109" s="17" t="n">
        <f aca="false">W56+W60+W69</f>
        <v>8626.80934242332</v>
      </c>
      <c r="X109" s="17" t="n">
        <f aca="false">X56+X60+X69</f>
        <v>8940.02894298376</v>
      </c>
      <c r="Y109" s="17" t="n">
        <f aca="false">Y56+Y60+Y69</f>
        <v>9252.38147402309</v>
      </c>
      <c r="Z109" s="17" t="n">
        <f aca="false">Z56+Z60+Z69</f>
        <v>9561.41037203918</v>
      </c>
      <c r="AA109" s="17" t="n">
        <f aca="false">AA56+AA60+AA69</f>
        <v>9866.19285533866</v>
      </c>
      <c r="AB109" s="17" t="n">
        <f aca="false">AB56+AB60+AB69</f>
        <v>10165.7906629146</v>
      </c>
      <c r="AC109" s="17" t="n">
        <f aca="false">AC56+AC60+AC69</f>
        <v>10459.2547346556</v>
      </c>
      <c r="AD109" s="17" t="n">
        <f aca="false">AD56+AD60+AD69</f>
        <v>10745.6301376982</v>
      </c>
      <c r="AE109" s="17" t="n">
        <f aca="false">AE56+AE60+AE69</f>
        <v>11038.943478367</v>
      </c>
      <c r="AF109" s="17" t="n">
        <f aca="false">AF56+AF60+AF69</f>
        <v>11339.426452952</v>
      </c>
      <c r="AG109" s="17" t="n">
        <f aca="false">AG56+AG60+AG69</f>
        <v>11647.3136865752</v>
      </c>
      <c r="AH109" s="17" t="n">
        <f aca="false">AH56+AH60+AH69</f>
        <v>11962.8430377829</v>
      </c>
      <c r="AI109" s="17" t="n">
        <f aca="false">AI56+AI60+AI69</f>
        <v>12286.2558955246</v>
      </c>
      <c r="AJ109" s="17" t="n">
        <f aca="false">AJ56+AJ60+AJ69</f>
        <v>12617.7974694118</v>
      </c>
      <c r="AK109" s="17" t="n">
        <f aca="false">AK56+AK60+AK69</f>
        <v>12957.7170740962</v>
      </c>
      <c r="AL109" s="17" t="n">
        <f aca="false">AL56+AL60+AL69</f>
        <v>13306.2684085617</v>
      </c>
      <c r="AM109" s="17" t="n">
        <f aca="false">AM56+AM60+AM69</f>
        <v>13663.7098310755</v>
      </c>
      <c r="AN109" s="17" t="n">
        <f aca="false">AN56+AN60+AN69</f>
        <v>14030.3046305054</v>
      </c>
    </row>
    <row r="110" customFormat="false" ht="15" hidden="false" customHeight="false" outlineLevel="0" collapsed="false">
      <c r="A110" s="9" t="n">
        <v>7</v>
      </c>
      <c r="B110" s="9" t="s">
        <v>448</v>
      </c>
      <c r="C110" s="9" t="s">
        <v>521</v>
      </c>
      <c r="D110" s="9" t="s">
        <v>530</v>
      </c>
      <c r="E110" s="9" t="s">
        <v>352</v>
      </c>
      <c r="F110" s="9" t="s">
        <v>425</v>
      </c>
      <c r="G110" s="18"/>
      <c r="H110" s="18" t="s">
        <v>531</v>
      </c>
      <c r="I110" s="9"/>
      <c r="J110" s="9"/>
      <c r="K110" s="17"/>
      <c r="L110" s="17"/>
      <c r="M110" s="17"/>
      <c r="N110" s="19" t="n">
        <f aca="false">$J$20*N109/3.6</f>
        <v>2085.90586282925</v>
      </c>
      <c r="O110" s="17" t="n">
        <f aca="false">$J$20*O109/3.6</f>
        <v>2202.17369246784</v>
      </c>
      <c r="P110" s="17" t="n">
        <f aca="false">$J$20*P109/3.6</f>
        <v>2305.49360638354</v>
      </c>
      <c r="Q110" s="17" t="n">
        <f aca="false">$J$20*Q109/3.6</f>
        <v>2410.71014876656</v>
      </c>
      <c r="R110" s="17" t="n">
        <f aca="false">$J$20*R109/3.6</f>
        <v>2517.60298898979</v>
      </c>
      <c r="S110" s="17" t="n">
        <f aca="false">$J$20*S109/3.6</f>
        <v>2625.9345402591</v>
      </c>
      <c r="T110" s="17" t="n">
        <f aca="false">$J$20*T109/3.6</f>
        <v>2735.45051173539</v>
      </c>
      <c r="U110" s="17" t="n">
        <f aca="false">$J$20*U109/3.6</f>
        <v>2845.88060168068</v>
      </c>
      <c r="V110" s="17" t="n">
        <f aca="false">$J$20*V109/3.6</f>
        <v>2956.93933239813</v>
      </c>
      <c r="W110" s="17" t="n">
        <f aca="false">$J$20*W109/3.6</f>
        <v>3068.32702639409</v>
      </c>
      <c r="X110" s="17" t="n">
        <f aca="false">$J$20*X109/3.6</f>
        <v>3179.73092179141</v>
      </c>
      <c r="Y110" s="17" t="n">
        <f aca="false">$J$20*Y109/3.6</f>
        <v>3290.82642358227</v>
      </c>
      <c r="Z110" s="17" t="n">
        <f aca="false">$J$20*Z109/3.6</f>
        <v>3400.73979735497</v>
      </c>
      <c r="AA110" s="17" t="n">
        <f aca="false">$J$20*AA109/3.6</f>
        <v>3509.14283416262</v>
      </c>
      <c r="AB110" s="17" t="n">
        <f aca="false">$J$20*AB109/3.6</f>
        <v>3615.70181947751</v>
      </c>
      <c r="AC110" s="17" t="n">
        <f aca="false">$J$20*AC109/3.6</f>
        <v>3720.0791978172</v>
      </c>
      <c r="AD110" s="17" t="n">
        <f aca="false">$J$20*AD109/3.6</f>
        <v>3821.9353249173</v>
      </c>
      <c r="AE110" s="17" t="n">
        <f aca="false">$J$20*AE109/3.6</f>
        <v>3926.25909221679</v>
      </c>
      <c r="AF110" s="17" t="n">
        <f aca="false">$J$20*AF109/3.6</f>
        <v>4033.1329079341</v>
      </c>
      <c r="AG110" s="17" t="n">
        <f aca="false">$J$20*AG109/3.6</f>
        <v>4142.64022199539</v>
      </c>
      <c r="AH110" s="17" t="n">
        <f aca="false">$J$20*AH109/3.6</f>
        <v>4254.86563437006</v>
      </c>
      <c r="AI110" s="17" t="n">
        <f aca="false">$J$20*AI109/3.6</f>
        <v>4369.89500069817</v>
      </c>
      <c r="AJ110" s="17" t="n">
        <f aca="false">$J$20*AJ109/3.6</f>
        <v>4487.81553552774</v>
      </c>
      <c r="AK110" s="17" t="n">
        <f aca="false">$J$20*AK109/3.6</f>
        <v>4608.71591346067</v>
      </c>
      <c r="AL110" s="17" t="n">
        <f aca="false">$J$20*AL109/3.6</f>
        <v>4732.68636848938</v>
      </c>
      <c r="AM110" s="17" t="n">
        <f aca="false">$J$20*AM109/3.6</f>
        <v>4859.81879178967</v>
      </c>
      <c r="AN110" s="17" t="n">
        <f aca="false">$J$20*AN109/3.6</f>
        <v>4990.20682822103</v>
      </c>
    </row>
    <row r="111" customFormat="false" ht="15" hidden="false" customHeight="false" outlineLevel="0" collapsed="false">
      <c r="A111" s="9" t="n">
        <v>7</v>
      </c>
      <c r="B111" s="9"/>
      <c r="C111" s="9" t="s">
        <v>521</v>
      </c>
      <c r="D111" s="9" t="s">
        <v>532</v>
      </c>
      <c r="E111" s="9" t="s">
        <v>97</v>
      </c>
      <c r="F111" s="9" t="s">
        <v>425</v>
      </c>
      <c r="G111" s="18"/>
      <c r="H111" s="18" t="s">
        <v>533</v>
      </c>
      <c r="I111" s="9"/>
      <c r="J111" s="9"/>
      <c r="K111" s="17"/>
      <c r="L111" s="17"/>
      <c r="M111" s="17"/>
      <c r="N111" s="19" t="n">
        <f aca="false">$J$21</f>
        <v>0.733469446579554</v>
      </c>
      <c r="O111" s="17" t="n">
        <f aca="false">MAX(0,N111-$J$22)</f>
        <v>0.720457641257246</v>
      </c>
      <c r="P111" s="17" t="n">
        <f aca="false">MAX(0,O111-$J$22)</f>
        <v>0.707445835934938</v>
      </c>
      <c r="Q111" s="17" t="n">
        <f aca="false">MAX(0,P111-$J$22)</f>
        <v>0.69443403061263</v>
      </c>
      <c r="R111" s="17" t="n">
        <f aca="false">MAX(0,Q111-$J$22)</f>
        <v>0.681422225290322</v>
      </c>
      <c r="S111" s="17" t="n">
        <f aca="false">MAX(0,R111-$J$22)</f>
        <v>0.668410419968014</v>
      </c>
      <c r="T111" s="17" t="n">
        <f aca="false">MAX(0,S111-$J$22)</f>
        <v>0.655398614645706</v>
      </c>
      <c r="U111" s="17" t="n">
        <f aca="false">MAX(0,T111-$J$22)</f>
        <v>0.642386809323398</v>
      </c>
      <c r="V111" s="17" t="n">
        <f aca="false">MAX(0,U111-$J$22)</f>
        <v>0.62937500400109</v>
      </c>
      <c r="W111" s="17" t="n">
        <f aca="false">MAX(0,V111-$J$22)</f>
        <v>0.616363198678782</v>
      </c>
      <c r="X111" s="17" t="n">
        <f aca="false">MAX(0,W111-$J$22)</f>
        <v>0.603351393356474</v>
      </c>
      <c r="Y111" s="17" t="n">
        <f aca="false">MAX(0,X111-$J$22)</f>
        <v>0.590339588034166</v>
      </c>
      <c r="Z111" s="17" t="n">
        <f aca="false">MAX(0,Y111-$J$22)</f>
        <v>0.577327782711858</v>
      </c>
      <c r="AA111" s="17" t="n">
        <f aca="false">MAX(0,Z111-$J$22)</f>
        <v>0.564315977389549</v>
      </c>
      <c r="AB111" s="17" t="n">
        <f aca="false">MAX(0,AA111-$J$22)</f>
        <v>0.551304172067241</v>
      </c>
      <c r="AC111" s="17" t="n">
        <f aca="false">MAX(0,AB111-$J$22)</f>
        <v>0.538292366744933</v>
      </c>
      <c r="AD111" s="17" t="n">
        <f aca="false">MAX(0,AC111-$J$22)</f>
        <v>0.525280561422625</v>
      </c>
      <c r="AE111" s="17" t="n">
        <f aca="false">MAX(0,AD111-$J$22)</f>
        <v>0.512268756100317</v>
      </c>
      <c r="AF111" s="17" t="n">
        <f aca="false">MAX(0,AE111-$J$22)</f>
        <v>0.499256950778009</v>
      </c>
      <c r="AG111" s="17" t="n">
        <f aca="false">MAX(0,AF111-$J$22)</f>
        <v>0.486245145455701</v>
      </c>
      <c r="AH111" s="17" t="n">
        <f aca="false">MAX(0,AG111-$J$22)</f>
        <v>0.473233340133393</v>
      </c>
      <c r="AI111" s="17" t="n">
        <f aca="false">MAX(0,AH111-$J$22)</f>
        <v>0.460221534811085</v>
      </c>
      <c r="AJ111" s="17" t="n">
        <f aca="false">MAX(0,AI111-$J$22)</f>
        <v>0.447209729488777</v>
      </c>
      <c r="AK111" s="17" t="n">
        <f aca="false">MAX(0,AJ111-$J$22)</f>
        <v>0.434197924166469</v>
      </c>
      <c r="AL111" s="17" t="n">
        <f aca="false">MAX(0,AK111-$J$22)</f>
        <v>0.421186118844161</v>
      </c>
      <c r="AM111" s="17" t="n">
        <f aca="false">MAX(0,AL111-$J$22)</f>
        <v>0.408174313521853</v>
      </c>
      <c r="AN111" s="17" t="n">
        <f aca="false">MAX(0,AM111-$J$22)</f>
        <v>0.395162508199545</v>
      </c>
    </row>
    <row r="112" customFormat="false" ht="15" hidden="false" customHeight="false" outlineLevel="0" collapsed="false">
      <c r="A112" s="9" t="n">
        <v>7</v>
      </c>
      <c r="B112" s="9"/>
      <c r="C112" s="9" t="s">
        <v>521</v>
      </c>
      <c r="D112" s="9" t="s">
        <v>534</v>
      </c>
      <c r="E112" s="9" t="s">
        <v>352</v>
      </c>
      <c r="F112" s="9" t="s">
        <v>425</v>
      </c>
      <c r="G112" s="18"/>
      <c r="H112" s="18" t="s">
        <v>535</v>
      </c>
      <c r="I112" s="9"/>
      <c r="J112" s="9"/>
      <c r="K112" s="17"/>
      <c r="L112" s="17"/>
      <c r="M112" s="17"/>
      <c r="N112" s="19" t="n">
        <f aca="false">MIN(N110*N111,MAX(0,N110-$J$23))</f>
        <v>1529.94821882642</v>
      </c>
      <c r="O112" s="17" t="n">
        <f aca="false">MIN(O110*O111,MAX(0,O110-$J$23))</f>
        <v>1586.57286411414</v>
      </c>
      <c r="P112" s="17" t="n">
        <f aca="false">MIN(P110*P111,MAX(0,P110-$J$23))</f>
        <v>1631.01185161066</v>
      </c>
      <c r="Q112" s="17" t="n">
        <f aca="false">MIN(Q110*Q111,MAX(0,Q110-$J$23))</f>
        <v>1674.07916524674</v>
      </c>
      <c r="R112" s="17" t="n">
        <f aca="false">MIN(R110*R111,MAX(0,R110-$J$23))</f>
        <v>1715.55063115499</v>
      </c>
      <c r="S112" s="17" t="n">
        <f aca="false">MIN(S110*S111,MAX(0,S110-$J$23))</f>
        <v>1755.2020088631</v>
      </c>
      <c r="T112" s="17" t="n">
        <f aca="false">MIN(T110*T111,MAX(0,T110-$J$23))</f>
        <v>1792.81047582326</v>
      </c>
      <c r="U112" s="17" t="n">
        <f aca="false">MIN(U110*U111,MAX(0,U110-$J$23))</f>
        <v>1828.15615942901</v>
      </c>
      <c r="V112" s="17" t="n">
        <f aca="false">MIN(V110*V111,MAX(0,V110-$J$23))</f>
        <v>1861.02370415906</v>
      </c>
      <c r="W112" s="17" t="n">
        <f aca="false">MIN(W110*W111,MAX(0,W110-$J$23))</f>
        <v>1891.20386058082</v>
      </c>
      <c r="X112" s="17" t="n">
        <f aca="false">MIN(X110*X111,MAX(0,X110-$J$23))</f>
        <v>1918.49508216151</v>
      </c>
      <c r="Y112" s="17" t="n">
        <f aca="false">MIN(Y110*Y111,MAX(0,Y110-$J$23))</f>
        <v>1942.7051151895</v>
      </c>
      <c r="Z112" s="17" t="n">
        <f aca="false">MIN(Z110*Z111,MAX(0,Z110-$J$23))</f>
        <v>1963.34156678691</v>
      </c>
      <c r="AA112" s="17" t="n">
        <f aca="false">MIN(AA110*AA111,MAX(0,AA110-$J$23))</f>
        <v>1980.26536826001</v>
      </c>
      <c r="AB112" s="17" t="n">
        <f aca="false">MIN(AB110*AB111,MAX(0,AB110-$J$23))</f>
        <v>1993.35149802907</v>
      </c>
      <c r="AC112" s="17" t="n">
        <f aca="false">MIN(AC110*AC111,MAX(0,AC110-$J$23))</f>
        <v>2002.49023587161</v>
      </c>
      <c r="AD112" s="17" t="n">
        <f aca="false">MIN(AD110*AD111,MAX(0,AD110-$J$23))</f>
        <v>2007.58833319353</v>
      </c>
      <c r="AE112" s="17" t="n">
        <f aca="false">MIN(AE110*AE111,MAX(0,AE110-$J$23))</f>
        <v>2011.29986129745</v>
      </c>
      <c r="AF112" s="17" t="n">
        <f aca="false">MIN(AF110*AF111,MAX(0,AF110-$J$23))</f>
        <v>2013.56963769762</v>
      </c>
      <c r="AG112" s="17" t="n">
        <f aca="false">MIN(AG110*AG111,MAX(0,AG110-$J$23))</f>
        <v>2014.33869731479</v>
      </c>
      <c r="AH112" s="17" t="n">
        <f aca="false">MIN(AH110*AH111,MAX(0,AH110-$J$23))</f>
        <v>2013.54427597173</v>
      </c>
      <c r="AI112" s="17" t="n">
        <f aca="false">MIN(AI110*AI111,MAX(0,AI110-$J$23))</f>
        <v>2011.1197841846</v>
      </c>
      <c r="AJ112" s="17" t="n">
        <f aca="false">MIN(AJ110*AJ111,MAX(0,AJ110-$J$23))</f>
        <v>2006.99477163889</v>
      </c>
      <c r="AK112" s="17" t="n">
        <f aca="false">MIN(AK110*AK111,MAX(0,AK110-$J$23))</f>
        <v>2001.09488269759</v>
      </c>
      <c r="AL112" s="17" t="n">
        <f aca="false">MIN(AL110*AL111,MAX(0,AL110-$J$23))</f>
        <v>1993.34180325071</v>
      </c>
      <c r="AM112" s="17" t="n">
        <f aca="false">MIN(AM110*AM111,MAX(0,AM110-$J$23))</f>
        <v>1983.65319917935</v>
      </c>
      <c r="AN112" s="17" t="n">
        <f aca="false">MIN(AN110*AN111,MAX(0,AN110-$J$23))</f>
        <v>1971.94264667432</v>
      </c>
    </row>
    <row r="113" customFormat="false" ht="15" hidden="false" customHeight="false" outlineLevel="0" collapsed="false">
      <c r="A113" s="9" t="n">
        <v>7</v>
      </c>
      <c r="B113" s="9"/>
      <c r="C113" s="9" t="s">
        <v>521</v>
      </c>
      <c r="D113" s="9" t="s">
        <v>536</v>
      </c>
      <c r="E113" s="9" t="s">
        <v>352</v>
      </c>
      <c r="F113" s="9" t="s">
        <v>425</v>
      </c>
      <c r="G113" s="18"/>
      <c r="H113" s="18" t="s">
        <v>537</v>
      </c>
      <c r="I113" s="9"/>
      <c r="J113" s="9"/>
      <c r="K113" s="17"/>
      <c r="L113" s="17"/>
      <c r="M113" s="17"/>
      <c r="N113" s="19" t="n">
        <f aca="false">MAX(0,N110-$J$23-N112)</f>
        <v>301.117644002833</v>
      </c>
      <c r="O113" s="17" t="n">
        <f aca="false">MAX(0,O110-$J$23-O112)</f>
        <v>360.760828353701</v>
      </c>
      <c r="P113" s="17" t="n">
        <f aca="false">MAX(0,P110-$J$23-P112)</f>
        <v>419.64175477288</v>
      </c>
      <c r="Q113" s="17" t="n">
        <f aca="false">MAX(0,Q110-$J$23-Q112)</f>
        <v>481.790983519825</v>
      </c>
      <c r="R113" s="17" t="n">
        <f aca="false">MAX(0,R110-$J$23-R112)</f>
        <v>547.2123578348</v>
      </c>
      <c r="S113" s="17" t="n">
        <f aca="false">MAX(0,S110-$J$23-S112)</f>
        <v>615.892531396</v>
      </c>
      <c r="T113" s="17" t="n">
        <f aca="false">MAX(0,T110-$J$23-T112)</f>
        <v>687.800035912128</v>
      </c>
      <c r="U113" s="17" t="n">
        <f aca="false">MAX(0,U110-$J$23-U112)</f>
        <v>762.884442251677</v>
      </c>
      <c r="V113" s="17" t="n">
        <f aca="false">MAX(0,V110-$J$23-V112)</f>
        <v>841.075628239079</v>
      </c>
      <c r="W113" s="17" t="n">
        <f aca="false">MAX(0,W110-$J$23-W112)</f>
        <v>922.283165813275</v>
      </c>
      <c r="X113" s="17" t="n">
        <f aca="false">MAX(0,X110-$J$23-X112)</f>
        <v>1006.3958396299</v>
      </c>
      <c r="Y113" s="17" t="n">
        <f aca="false">MAX(0,Y110-$J$23-Y112)</f>
        <v>1093.28130839277</v>
      </c>
      <c r="Z113" s="17" t="n">
        <f aca="false">MAX(0,Z110-$J$23-Z112)</f>
        <v>1182.55823056805</v>
      </c>
      <c r="AA113" s="17" t="n">
        <f aca="false">MAX(0,AA110-$J$23-AA112)</f>
        <v>1274.03746590261</v>
      </c>
      <c r="AB113" s="17" t="n">
        <f aca="false">MAX(0,AB110-$J$23-AB112)</f>
        <v>1367.51032144844</v>
      </c>
      <c r="AC113" s="17" t="n">
        <f aca="false">MAX(0,AC110-$J$23-AC112)</f>
        <v>1462.74896194558</v>
      </c>
      <c r="AD113" s="17" t="n">
        <f aca="false">MAX(0,AD110-$J$23-AD112)</f>
        <v>1559.50699172378</v>
      </c>
      <c r="AE113" s="17" t="n">
        <f aca="false">MAX(0,AE110-$J$23-AE112)</f>
        <v>1660.11923091933</v>
      </c>
      <c r="AF113" s="17" t="n">
        <f aca="false">MAX(0,AF110-$J$23-AF112)</f>
        <v>1764.72327023647</v>
      </c>
      <c r="AG113" s="17" t="n">
        <f aca="false">MAX(0,AG110-$J$23-AG112)</f>
        <v>1873.46152468061</v>
      </c>
      <c r="AH113" s="17" t="n">
        <f aca="false">MAX(0,AH110-$J$23-AH112)</f>
        <v>1986.48135839833</v>
      </c>
      <c r="AI113" s="17" t="n">
        <f aca="false">MAX(0,AI110-$J$23-AI112)</f>
        <v>2103.93521651357</v>
      </c>
      <c r="AJ113" s="17" t="n">
        <f aca="false">MAX(0,AJ110-$J$23-AJ112)</f>
        <v>2225.98076388885</v>
      </c>
      <c r="AK113" s="17" t="n">
        <f aca="false">MAX(0,AK110-$J$23-AK112)</f>
        <v>2352.78103076307</v>
      </c>
      <c r="AL113" s="17" t="n">
        <f aca="false">MAX(0,AL110-$J$23-AL112)</f>
        <v>2484.50456523867</v>
      </c>
      <c r="AM113" s="17" t="n">
        <f aca="false">MAX(0,AM110-$J$23-AM112)</f>
        <v>2621.32559261032</v>
      </c>
      <c r="AN113" s="17" t="n">
        <f aca="false">MAX(0,AN110-$J$23-AN112)</f>
        <v>2763.42418154671</v>
      </c>
    </row>
    <row r="114" customFormat="false" ht="15" hidden="false" customHeight="false" outlineLevel="0" collapsed="false">
      <c r="A114" s="9" t="n">
        <v>7</v>
      </c>
      <c r="B114" s="9"/>
      <c r="C114" s="9" t="s">
        <v>521</v>
      </c>
      <c r="D114" s="9" t="s">
        <v>538</v>
      </c>
      <c r="E114" s="9" t="s">
        <v>352</v>
      </c>
      <c r="F114" s="9" t="s">
        <v>425</v>
      </c>
      <c r="G114" s="18"/>
      <c r="H114" s="18" t="s">
        <v>539</v>
      </c>
      <c r="I114" s="9"/>
      <c r="J114" s="9"/>
      <c r="K114" s="17"/>
      <c r="L114" s="17"/>
      <c r="M114" s="17"/>
      <c r="N114" s="19" t="n">
        <f aca="false">INDEX(Data!$CJ:$CJ,$J$4)</f>
        <v>195.99</v>
      </c>
      <c r="O114" s="17" t="n">
        <f aca="false">N114+p_sh_sol*MAX(0,O113-N113)</f>
        <v>231.775910610521</v>
      </c>
      <c r="P114" s="17" t="n">
        <f aca="false">O114+p_sh_sol*MAX(0,P113-O113)</f>
        <v>267.104466462029</v>
      </c>
      <c r="Q114" s="17" t="n">
        <f aca="false">P114+p_sh_sol*MAX(0,Q113-P113)</f>
        <v>304.394003710196</v>
      </c>
      <c r="R114" s="17" t="n">
        <f aca="false">Q114+p_sh_sol*MAX(0,R113-Q113)</f>
        <v>343.646828299181</v>
      </c>
      <c r="S114" s="17" t="n">
        <f aca="false">R114+p_sh_sol*MAX(0,S113-R113)</f>
        <v>384.854932435901</v>
      </c>
      <c r="T114" s="17" t="n">
        <f aca="false">S114+p_sh_sol*MAX(0,T113-S113)</f>
        <v>427.999435145578</v>
      </c>
      <c r="U114" s="17" t="n">
        <f aca="false">T114+p_sh_sol*MAX(0,U113-T113)</f>
        <v>473.050078949307</v>
      </c>
      <c r="V114" s="17" t="n">
        <f aca="false">U114+p_sh_sol*MAX(0,V113-U113)</f>
        <v>519.964790541748</v>
      </c>
      <c r="W114" s="17" t="n">
        <f aca="false">V114+p_sh_sol*MAX(0,W113-V113)</f>
        <v>568.689313086265</v>
      </c>
      <c r="X114" s="17" t="n">
        <f aca="false">W114+p_sh_sol*MAX(0,X113-W113)</f>
        <v>619.156917376241</v>
      </c>
      <c r="Y114" s="17" t="n">
        <f aca="false">X114+p_sh_sol*MAX(0,Y113-X113)</f>
        <v>671.288198633961</v>
      </c>
      <c r="Z114" s="17" t="n">
        <f aca="false">Y114+p_sh_sol*MAX(0,Z113-Y113)</f>
        <v>724.854351939131</v>
      </c>
      <c r="AA114" s="17" t="n">
        <f aca="false">Z114+p_sh_sol*MAX(0,AA113-Z113)</f>
        <v>779.741893139864</v>
      </c>
      <c r="AB114" s="17" t="n">
        <f aca="false">AA114+p_sh_sol*MAX(0,AB113-AA113)</f>
        <v>835.825606467367</v>
      </c>
      <c r="AC114" s="17" t="n">
        <f aca="false">AB114+p_sh_sol*MAX(0,AC113-AB113)</f>
        <v>892.968790765651</v>
      </c>
      <c r="AD114" s="17" t="n">
        <f aca="false">AC114+p_sh_sol*MAX(0,AD113-AC113)</f>
        <v>951.023608632568</v>
      </c>
      <c r="AE114" s="17" t="n">
        <f aca="false">AD114+p_sh_sol*MAX(0,AE113-AD113)</f>
        <v>1011.3909521499</v>
      </c>
      <c r="AF114" s="17" t="n">
        <f aca="false">AE114+p_sh_sol*MAX(0,AF113-AE113)</f>
        <v>1074.15337574019</v>
      </c>
      <c r="AG114" s="17" t="n">
        <f aca="false">AF114+p_sh_sol*MAX(0,AG113-AF113)</f>
        <v>1139.39632840666</v>
      </c>
      <c r="AH114" s="17" t="n">
        <f aca="false">AG114+p_sh_sol*MAX(0,AH113-AG113)</f>
        <v>1207.2082286373</v>
      </c>
      <c r="AI114" s="17" t="n">
        <f aca="false">AH114+p_sh_sol*MAX(0,AI113-AH113)</f>
        <v>1277.68054350644</v>
      </c>
      <c r="AJ114" s="17" t="n">
        <f aca="false">AI114+p_sh_sol*MAX(0,AJ113-AI113)</f>
        <v>1350.90787193161</v>
      </c>
      <c r="AK114" s="17" t="n">
        <f aca="false">AJ114+p_sh_sol*MAX(0,AK113-AJ113)</f>
        <v>1426.98803205614</v>
      </c>
      <c r="AL114" s="17" t="n">
        <f aca="false">AK114+p_sh_sol*MAX(0,AL113-AK113)</f>
        <v>1506.0221527415</v>
      </c>
      <c r="AM114" s="17" t="n">
        <f aca="false">AL114+p_sh_sol*MAX(0,AM113-AL113)</f>
        <v>1588.11476916449</v>
      </c>
      <c r="AN114" s="17" t="n">
        <f aca="false">AM114+p_sh_sol*MAX(0,AN113-AM113)</f>
        <v>1673.37392252633</v>
      </c>
    </row>
    <row r="115" customFormat="false" ht="15" hidden="false" customHeight="false" outlineLevel="0" collapsed="false">
      <c r="A115" s="9" t="n">
        <v>7</v>
      </c>
      <c r="B115" s="9"/>
      <c r="C115" s="9" t="s">
        <v>521</v>
      </c>
      <c r="D115" s="9" t="s">
        <v>540</v>
      </c>
      <c r="E115" s="9" t="s">
        <v>352</v>
      </c>
      <c r="F115" s="9" t="s">
        <v>425</v>
      </c>
      <c r="G115" s="18"/>
      <c r="H115" s="18" t="s">
        <v>541</v>
      </c>
      <c r="I115" s="9"/>
      <c r="J115" s="9"/>
      <c r="K115" s="17"/>
      <c r="L115" s="17"/>
      <c r="M115" s="17"/>
      <c r="N115" s="19" t="n">
        <f aca="false">INDEX(Data!$CL:$CL,$J$4)</f>
        <v>103.98</v>
      </c>
      <c r="O115" s="17" t="n">
        <f aca="false">N115+(1-p_sh_sol)*MAX(0,O113-N113)</f>
        <v>127.837273740347</v>
      </c>
      <c r="P115" s="17" t="n">
        <f aca="false">O115+(1-p_sh_sol)*MAX(0,P113-O113)</f>
        <v>151.389644308019</v>
      </c>
      <c r="Q115" s="17" t="n">
        <f aca="false">P115+(1-p_sh_sol)*MAX(0,Q113-P113)</f>
        <v>176.249335806797</v>
      </c>
      <c r="R115" s="17" t="n">
        <f aca="false">Q115+(1-p_sh_sol)*MAX(0,R113-Q113)</f>
        <v>202.417885532787</v>
      </c>
      <c r="S115" s="17" t="n">
        <f aca="false">R115+(1-p_sh_sol)*MAX(0,S113-R113)</f>
        <v>229.889954957267</v>
      </c>
      <c r="T115" s="17" t="n">
        <f aca="false">S115+(1-p_sh_sol)*MAX(0,T113-S113)</f>
        <v>258.652956763718</v>
      </c>
      <c r="U115" s="17" t="n">
        <f aca="false">T115+(1-p_sh_sol)*MAX(0,U113-T113)</f>
        <v>288.686719299538</v>
      </c>
      <c r="V115" s="17" t="n">
        <f aca="false">U115+(1-p_sh_sol)*MAX(0,V113-U113)</f>
        <v>319.963193694499</v>
      </c>
      <c r="W115" s="17" t="n">
        <f aca="false">V115+(1-p_sh_sol)*MAX(0,W113-V113)</f>
        <v>352.446208724177</v>
      </c>
      <c r="X115" s="17" t="n">
        <f aca="false">W115+(1-p_sh_sol)*MAX(0,X113-W113)</f>
        <v>386.091278250827</v>
      </c>
      <c r="Y115" s="17" t="n">
        <f aca="false">X115+(1-p_sh_sol)*MAX(0,Y113-X113)</f>
        <v>420.845465755974</v>
      </c>
      <c r="Z115" s="17" t="n">
        <f aca="false">Y115+(1-p_sh_sol)*MAX(0,Z113-Y113)</f>
        <v>456.556234626088</v>
      </c>
      <c r="AA115" s="17" t="n">
        <f aca="false">Z115+(1-p_sh_sol)*MAX(0,AA113-Z113)</f>
        <v>493.147928759909</v>
      </c>
      <c r="AB115" s="17" t="n">
        <f aca="false">AA115+(1-p_sh_sol)*MAX(0,AB113-AA113)</f>
        <v>530.537070978244</v>
      </c>
      <c r="AC115" s="17" t="n">
        <f aca="false">AB115+(1-p_sh_sol)*MAX(0,AC113-AB113)</f>
        <v>568.632527177101</v>
      </c>
      <c r="AD115" s="17" t="n">
        <f aca="false">AC115+(1-p_sh_sol)*MAX(0,AD113-AC113)</f>
        <v>607.335739088379</v>
      </c>
      <c r="AE115" s="17" t="n">
        <f aca="false">AD115+(1-p_sh_sol)*MAX(0,AE113-AD113)</f>
        <v>647.5806347666</v>
      </c>
      <c r="AF115" s="17" t="n">
        <f aca="false">AE115+(1-p_sh_sol)*MAX(0,AF113-AE113)</f>
        <v>689.422250493457</v>
      </c>
      <c r="AG115" s="17" t="n">
        <f aca="false">AF115+(1-p_sh_sol)*MAX(0,AG113-AF113)</f>
        <v>732.91755227111</v>
      </c>
      <c r="AH115" s="17" t="n">
        <f aca="false">AG115+(1-p_sh_sol)*MAX(0,AH113-AG113)</f>
        <v>778.125485758199</v>
      </c>
      <c r="AI115" s="17" t="n">
        <f aca="false">AH115+(1-p_sh_sol)*MAX(0,AI113-AH113)</f>
        <v>825.107029004297</v>
      </c>
      <c r="AJ115" s="17" t="n">
        <f aca="false">AI115+(1-p_sh_sol)*MAX(0,AJ113-AI113)</f>
        <v>873.925247954406</v>
      </c>
      <c r="AK115" s="17" t="n">
        <f aca="false">AJ115+(1-p_sh_sol)*MAX(0,AK113-AJ113)</f>
        <v>924.645354704097</v>
      </c>
      <c r="AL115" s="17" t="n">
        <f aca="false">AK115+(1-p_sh_sol)*MAX(0,AL113-AK113)</f>
        <v>977.334768494335</v>
      </c>
      <c r="AM115" s="17" t="n">
        <f aca="false">AL115+(1-p_sh_sol)*MAX(0,AM113-AL113)</f>
        <v>1032.063179443</v>
      </c>
      <c r="AN115" s="17" t="n">
        <f aca="false">AM115+(1-p_sh_sol)*MAX(0,AN113-AM113)</f>
        <v>1088.90261501755</v>
      </c>
    </row>
    <row r="116" customFormat="false" ht="15" hidden="false" customHeight="false" outlineLevel="0" collapsed="false">
      <c r="A116" s="9" t="n">
        <v>7</v>
      </c>
      <c r="B116" s="9"/>
      <c r="C116" s="9" t="s">
        <v>521</v>
      </c>
      <c r="D116" s="9" t="s">
        <v>542</v>
      </c>
      <c r="E116" s="9" t="s">
        <v>543</v>
      </c>
      <c r="F116" s="9" t="s">
        <v>425</v>
      </c>
      <c r="G116" s="18"/>
      <c r="H116" s="18" t="s">
        <v>544</v>
      </c>
      <c r="I116" s="9"/>
      <c r="J116" s="9"/>
      <c r="K116" s="17"/>
      <c r="L116" s="17"/>
      <c r="M116" s="17"/>
      <c r="N116" s="19" t="n">
        <f aca="false">N114/($J$29*8.76)</f>
        <v>135.5</v>
      </c>
      <c r="O116" s="17" t="n">
        <f aca="false">O114/($J$29*8.76)</f>
        <v>160.241011723688</v>
      </c>
      <c r="P116" s="17" t="n">
        <f aca="false">P114/($J$29*8.76)</f>
        <v>184.665825836037</v>
      </c>
      <c r="Q116" s="17" t="n">
        <f aca="false">Q114/($J$29*8.76)</f>
        <v>210.446387584731</v>
      </c>
      <c r="R116" s="17" t="n">
        <f aca="false">R114/($J$29*8.76)</f>
        <v>237.584291211485</v>
      </c>
      <c r="S116" s="17" t="n">
        <f aca="false">S114/($J$29*8.76)</f>
        <v>266.074000434025</v>
      </c>
      <c r="T116" s="17" t="n">
        <f aca="false">T114/($J$29*8.76)</f>
        <v>295.902461667563</v>
      </c>
      <c r="U116" s="17" t="n">
        <f aca="false">U114/($J$29*8.76)</f>
        <v>327.048756046896</v>
      </c>
      <c r="V116" s="17" t="n">
        <f aca="false">V114/($J$29*8.76)</f>
        <v>359.483795695734</v>
      </c>
      <c r="W116" s="17" t="n">
        <f aca="false">W114/($J$29*8.76)</f>
        <v>393.170069509612</v>
      </c>
      <c r="X116" s="17" t="n">
        <f aca="false">X114/($J$29*8.76)</f>
        <v>428.061443463853</v>
      </c>
      <c r="Y116" s="17" t="n">
        <f aca="false">Y114/($J$29*8.76)</f>
        <v>464.103020128076</v>
      </c>
      <c r="Z116" s="17" t="n">
        <f aca="false">Z114/($J$29*8.76)</f>
        <v>501.136612519783</v>
      </c>
      <c r="AA116" s="17" t="n">
        <f aca="false">AA114/($J$29*8.76)</f>
        <v>539.083762030979</v>
      </c>
      <c r="AB116" s="17" t="n">
        <f aca="false">AB114/($J$29*8.76)</f>
        <v>577.857899261841</v>
      </c>
      <c r="AC116" s="17" t="n">
        <f aca="false">AC114/($J$29*8.76)</f>
        <v>617.364514254532</v>
      </c>
      <c r="AD116" s="17" t="n">
        <f aca="false">AD114/($J$29*8.76)</f>
        <v>657.501397875978</v>
      </c>
      <c r="AE116" s="17" t="n">
        <f aca="false">AE114/($J$29*8.76)</f>
        <v>699.237073403293</v>
      </c>
      <c r="AF116" s="17" t="n">
        <f aca="false">AF114/($J$29*8.76)</f>
        <v>742.628615810986</v>
      </c>
      <c r="AG116" s="17" t="n">
        <f aca="false">AG114/($J$29*8.76)</f>
        <v>787.735101276101</v>
      </c>
      <c r="AH116" s="17" t="n">
        <f aca="false">AH114/($J$29*8.76)</f>
        <v>834.617658963997</v>
      </c>
      <c r="AI116" s="17" t="n">
        <f aca="false">AI114/($J$29*8.76)</f>
        <v>883.339525716227</v>
      </c>
      <c r="AJ116" s="17" t="n">
        <f aca="false">AJ114/($J$29*8.76)</f>
        <v>933.966103611067</v>
      </c>
      <c r="AK116" s="17" t="n">
        <f aca="false">AK114/($J$29*8.76)</f>
        <v>986.565020376589</v>
      </c>
      <c r="AL116" s="17" t="n">
        <f aca="false">AL114/($J$29*8.76)</f>
        <v>1041.2061926449</v>
      </c>
      <c r="AM116" s="17" t="n">
        <f aca="false">AM114/($J$29*8.76)</f>
        <v>1097.96189204444</v>
      </c>
      <c r="AN116" s="17" t="n">
        <f aca="false">AN114/($J$29*8.76)</f>
        <v>1156.90681413499</v>
      </c>
    </row>
    <row r="117" customFormat="false" ht="15" hidden="false" customHeight="false" outlineLevel="0" collapsed="false">
      <c r="A117" s="9" t="n">
        <v>7</v>
      </c>
      <c r="B117" s="9"/>
      <c r="C117" s="9" t="s">
        <v>521</v>
      </c>
      <c r="D117" s="9" t="s">
        <v>545</v>
      </c>
      <c r="E117" s="9" t="s">
        <v>543</v>
      </c>
      <c r="F117" s="9" t="s">
        <v>425</v>
      </c>
      <c r="G117" s="18"/>
      <c r="H117" s="18" t="s">
        <v>546</v>
      </c>
      <c r="I117" s="9"/>
      <c r="J117" s="9"/>
      <c r="K117" s="17"/>
      <c r="L117" s="17"/>
      <c r="M117" s="17"/>
      <c r="N117" s="19" t="n">
        <f aca="false">0</f>
        <v>0</v>
      </c>
      <c r="O117" s="17" t="n">
        <f aca="false">MAX(0,O116-N116)+N116/p_life_vre</f>
        <v>30.161011723688</v>
      </c>
      <c r="P117" s="17" t="n">
        <f aca="false">MAX(0,P116-O116)+O116/p_life_vre</f>
        <v>30.8344545812964</v>
      </c>
      <c r="Q117" s="17" t="n">
        <f aca="false">MAX(0,Q116-P116)+P116/p_life_vre</f>
        <v>33.1671947821359</v>
      </c>
      <c r="R117" s="17" t="n">
        <f aca="false">MAX(0,R116-Q116)+Q116/p_life_vre</f>
        <v>35.555759130143</v>
      </c>
      <c r="S117" s="17" t="n">
        <f aca="false">MAX(0,S116-R116)+R116/p_life_vre</f>
        <v>37.9930808709993</v>
      </c>
      <c r="T117" s="17" t="n">
        <f aca="false">MAX(0,T116-S116)+S116/p_life_vre</f>
        <v>40.4714212508995</v>
      </c>
      <c r="U117" s="17" t="n">
        <f aca="false">MAX(0,U116-T116)+T116/p_life_vre</f>
        <v>42.9823928460348</v>
      </c>
      <c r="V117" s="17" t="n">
        <f aca="false">MAX(0,V116-U116)+U116/p_life_vre</f>
        <v>45.5169898907139</v>
      </c>
      <c r="W117" s="17" t="n">
        <f aca="false">MAX(0,W116-V116)+V116/p_life_vre</f>
        <v>48.0656256417082</v>
      </c>
      <c r="X117" s="17" t="n">
        <f aca="false">MAX(0,X116-W116)+W116/p_life_vre</f>
        <v>50.6181767346254</v>
      </c>
      <c r="Y117" s="17" t="n">
        <f aca="false">MAX(0,Y116-X116)+X116/p_life_vre</f>
        <v>53.164034402777</v>
      </c>
      <c r="Z117" s="17" t="n">
        <f aca="false">MAX(0,Z116-Y116)+Y116/p_life_vre</f>
        <v>55.5977131968301</v>
      </c>
      <c r="AA117" s="17" t="n">
        <f aca="false">MAX(0,AA116-Z116)+Z116/p_life_vre</f>
        <v>57.9926140119871</v>
      </c>
      <c r="AB117" s="17" t="n">
        <f aca="false">MAX(0,AB116-AA116)+AA116/p_life_vre</f>
        <v>60.3374877121009</v>
      </c>
      <c r="AC117" s="17" t="n">
        <f aca="false">MAX(0,AC116-AB116)+AB116/p_life_vre</f>
        <v>62.6209309631651</v>
      </c>
      <c r="AD117" s="17" t="n">
        <f aca="false">MAX(0,AD116-AC116)+AC116/p_life_vre</f>
        <v>64.8314641916274</v>
      </c>
      <c r="AE117" s="17" t="n">
        <f aca="false">MAX(0,AE116-AD116)+AD116/p_life_vre</f>
        <v>68.0357314423543</v>
      </c>
      <c r="AF117" s="17" t="n">
        <f aca="false">MAX(0,AF116-AE116)+AE116/p_life_vre</f>
        <v>71.3610253438241</v>
      </c>
      <c r="AG117" s="17" t="n">
        <f aca="false">MAX(0,AG116-AF116)+AF116/p_life_vre</f>
        <v>74.8116300975545</v>
      </c>
      <c r="AH117" s="17" t="n">
        <f aca="false">MAX(0,AH116-AG116)+AG116/p_life_vre</f>
        <v>78.3919617389406</v>
      </c>
      <c r="AI117" s="17" t="n">
        <f aca="false">MAX(0,AI116-AH116)+AH116/p_life_vre</f>
        <v>82.1065731107891</v>
      </c>
      <c r="AJ117" s="17" t="n">
        <f aca="false">MAX(0,AJ116-AI116)+AI116/p_life_vre</f>
        <v>85.9601589234892</v>
      </c>
      <c r="AK117" s="17" t="n">
        <f aca="false">MAX(0,AK116-AJ116)+AJ116/p_life_vre</f>
        <v>89.9575609099646</v>
      </c>
      <c r="AL117" s="17" t="n">
        <f aca="false">MAX(0,AL116-AK116)+AK116/p_life_vre</f>
        <v>94.103773083373</v>
      </c>
      <c r="AM117" s="17" t="n">
        <f aca="false">MAX(0,AM116-AL116)+AL116/p_life_vre</f>
        <v>98.403947105334</v>
      </c>
      <c r="AN117" s="17" t="n">
        <f aca="false">MAX(0,AN116-AM116)+AM116/p_life_vre</f>
        <v>102.863397772335</v>
      </c>
    </row>
    <row r="118" customFormat="false" ht="15" hidden="false" customHeight="false" outlineLevel="0" collapsed="false">
      <c r="A118" s="9" t="n">
        <v>7</v>
      </c>
      <c r="B118" s="9"/>
      <c r="C118" s="9" t="s">
        <v>521</v>
      </c>
      <c r="D118" s="9" t="s">
        <v>547</v>
      </c>
      <c r="E118" s="9" t="s">
        <v>543</v>
      </c>
      <c r="F118" s="9" t="s">
        <v>425</v>
      </c>
      <c r="G118" s="18"/>
      <c r="H118" s="18" t="s">
        <v>548</v>
      </c>
      <c r="I118" s="9"/>
      <c r="J118" s="9"/>
      <c r="K118" s="17"/>
      <c r="L118" s="17"/>
      <c r="M118" s="17"/>
      <c r="N118" s="19" t="n">
        <f aca="false">N115/($J$30*8.76)</f>
        <v>54.51</v>
      </c>
      <c r="O118" s="17" t="n">
        <f aca="false">O115/($J$30*8.76)</f>
        <v>67.0168281552831</v>
      </c>
      <c r="P118" s="17" t="n">
        <f aca="false">P115/($J$30*8.76)</f>
        <v>79.3638152647636</v>
      </c>
      <c r="Q118" s="17" t="n">
        <f aca="false">Q115/($J$30*8.76)</f>
        <v>92.3961463245673</v>
      </c>
      <c r="R118" s="17" t="n">
        <f aca="false">R115/($J$30*8.76)</f>
        <v>106.114627239779</v>
      </c>
      <c r="S118" s="17" t="n">
        <f aca="false">S115/($J$30*8.76)</f>
        <v>120.516459364499</v>
      </c>
      <c r="T118" s="17" t="n">
        <f aca="false">T115/($J$30*8.76)</f>
        <v>135.595043981441</v>
      </c>
      <c r="U118" s="17" t="n">
        <f aca="false">U115/($J$30*8.76)</f>
        <v>151.339806395632</v>
      </c>
      <c r="V118" s="17" t="n">
        <f aca="false">V115/($J$30*8.76)</f>
        <v>167.736042395529</v>
      </c>
      <c r="W118" s="17" t="n">
        <f aca="false">W115/($J$30*8.76)</f>
        <v>184.764789743748</v>
      </c>
      <c r="X118" s="17" t="n">
        <f aca="false">X115/($J$30*8.76)</f>
        <v>202.402727230742</v>
      </c>
      <c r="Y118" s="17" t="n">
        <f aca="false">Y115/($J$30*8.76)</f>
        <v>220.622103657993</v>
      </c>
      <c r="Z118" s="17" t="n">
        <f aca="false">Z115/($J$30*8.76)</f>
        <v>239.342953928333</v>
      </c>
      <c r="AA118" s="17" t="n">
        <f aca="false">AA115/($J$30*8.76)</f>
        <v>258.525616432993</v>
      </c>
      <c r="AB118" s="17" t="n">
        <f aca="false">AB115/($J$30*8.76)</f>
        <v>278.126329477054</v>
      </c>
      <c r="AC118" s="17" t="n">
        <f aca="false">AC115/($J$30*8.76)</f>
        <v>298.097317334331</v>
      </c>
      <c r="AD118" s="17" t="n">
        <f aca="false">AD115/($J$30*8.76)</f>
        <v>318.386912268778</v>
      </c>
      <c r="AE118" s="17" t="n">
        <f aca="false">AE115/($J$30*8.76)</f>
        <v>339.484712455543</v>
      </c>
      <c r="AF118" s="17" t="n">
        <f aca="false">AF115/($J$30*8.76)</f>
        <v>361.419569863419</v>
      </c>
      <c r="AG118" s="17" t="n">
        <f aca="false">AG115/($J$30*8.76)</f>
        <v>384.221348089038</v>
      </c>
      <c r="AH118" s="17" t="n">
        <f aca="false">AH115/($J$30*8.76)</f>
        <v>407.920948535097</v>
      </c>
      <c r="AI118" s="17" t="n">
        <f aca="false">AI115/($J$30*8.76)</f>
        <v>432.550338055628</v>
      </c>
      <c r="AJ118" s="17" t="n">
        <f aca="false">AJ115/($J$30*8.76)</f>
        <v>458.14257805342</v>
      </c>
      <c r="AK118" s="17" t="n">
        <f aca="false">AK115/($J$30*8.76)</f>
        <v>484.73185501943</v>
      </c>
      <c r="AL118" s="17" t="n">
        <f aca="false">AL115/($J$30*8.76)</f>
        <v>512.353512508427</v>
      </c>
      <c r="AM118" s="17" t="n">
        <f aca="false">AM115/($J$30*8.76)</f>
        <v>541.044084549315</v>
      </c>
      <c r="AN118" s="17" t="n">
        <f aca="false">AN115/($J$30*8.76)</f>
        <v>570.841330492467</v>
      </c>
    </row>
    <row r="119" customFormat="false" ht="15" hidden="false" customHeight="false" outlineLevel="0" collapsed="false">
      <c r="A119" s="9" t="n">
        <v>7</v>
      </c>
      <c r="B119" s="9"/>
      <c r="C119" s="9" t="s">
        <v>521</v>
      </c>
      <c r="D119" s="9" t="s">
        <v>549</v>
      </c>
      <c r="E119" s="9" t="s">
        <v>543</v>
      </c>
      <c r="F119" s="9" t="s">
        <v>425</v>
      </c>
      <c r="G119" s="18"/>
      <c r="H119" s="18" t="s">
        <v>550</v>
      </c>
      <c r="I119" s="9"/>
      <c r="J119" s="9"/>
      <c r="K119" s="17"/>
      <c r="L119" s="17"/>
      <c r="M119" s="17"/>
      <c r="N119" s="19" t="n">
        <f aca="false">0</f>
        <v>0</v>
      </c>
      <c r="O119" s="17" t="n">
        <f aca="false">MAX(0,O118-N118)+N118/p_life_vre</f>
        <v>14.6872281552831</v>
      </c>
      <c r="P119" s="17" t="n">
        <f aca="false">MAX(0,P118-O118)+O118/p_life_vre</f>
        <v>15.0276602356918</v>
      </c>
      <c r="Q119" s="17" t="n">
        <f aca="false">MAX(0,Q118-P118)+P118/p_life_vre</f>
        <v>16.2068836703942</v>
      </c>
      <c r="R119" s="17" t="n">
        <f aca="false">MAX(0,R118-Q118)+Q118/p_life_vre</f>
        <v>17.4143267681944</v>
      </c>
      <c r="S119" s="17" t="n">
        <f aca="false">MAX(0,S118-R118)+R118/p_life_vre</f>
        <v>18.6464172143114</v>
      </c>
      <c r="T119" s="17" t="n">
        <f aca="false">MAX(0,T118-S118)+S118/p_life_vre</f>
        <v>19.8992429915222</v>
      </c>
      <c r="U119" s="17" t="n">
        <f aca="false">MAX(0,U118-T118)+T118/p_life_vre</f>
        <v>21.1685641734481</v>
      </c>
      <c r="V119" s="17" t="n">
        <f aca="false">MAX(0,V118-U118)+U118/p_life_vre</f>
        <v>22.4498282557224</v>
      </c>
      <c r="W119" s="17" t="n">
        <f aca="false">MAX(0,W118-V118)+V118/p_life_vre</f>
        <v>23.7381890440397</v>
      </c>
      <c r="X119" s="17" t="n">
        <f aca="false">MAX(0,X118-W118)+W118/p_life_vre</f>
        <v>25.0285290767446</v>
      </c>
      <c r="Y119" s="17" t="n">
        <f aca="false">MAX(0,Y118-X118)+X118/p_life_vre</f>
        <v>26.3154855164805</v>
      </c>
      <c r="Z119" s="17" t="n">
        <f aca="false">MAX(0,Z118-Y118)+Y118/p_life_vre</f>
        <v>27.5457344166593</v>
      </c>
      <c r="AA119" s="17" t="n">
        <f aca="false">MAX(0,AA118-Z118)+Z118/p_life_vre</f>
        <v>28.756380661794</v>
      </c>
      <c r="AB119" s="17" t="n">
        <f aca="false">MAX(0,AB118-AA118)+AA118/p_life_vre</f>
        <v>29.9417377013805</v>
      </c>
      <c r="AC119" s="17" t="n">
        <f aca="false">MAX(0,AC118-AB118)+AB118/p_life_vre</f>
        <v>31.0960410363592</v>
      </c>
      <c r="AD119" s="17" t="n">
        <f aca="false">MAX(0,AD118-AC118)+AC118/p_life_vre</f>
        <v>32.2134876278198</v>
      </c>
      <c r="AE119" s="17" t="n">
        <f aca="false">MAX(0,AE118-AD118)+AD118/p_life_vre</f>
        <v>33.8332766775163</v>
      </c>
      <c r="AF119" s="17" t="n">
        <f aca="false">MAX(0,AF118-AE118)+AE118/p_life_vre</f>
        <v>35.5142459060979</v>
      </c>
      <c r="AG119" s="17" t="n">
        <f aca="false">MAX(0,AG118-AF118)+AF118/p_life_vre</f>
        <v>37.2585610201556</v>
      </c>
      <c r="AH119" s="17" t="n">
        <f aca="false">MAX(0,AH118-AG118)+AG118/p_life_vre</f>
        <v>39.0684543696206</v>
      </c>
      <c r="AI119" s="17" t="n">
        <f aca="false">MAX(0,AI118-AH118)+AH118/p_life_vre</f>
        <v>40.9462274619348</v>
      </c>
      <c r="AJ119" s="17" t="n">
        <f aca="false">MAX(0,AJ118-AI118)+AI118/p_life_vre</f>
        <v>42.8942535200175</v>
      </c>
      <c r="AK119" s="17" t="n">
        <f aca="false">MAX(0,AK118-AJ118)+AJ118/p_life_vre</f>
        <v>44.9149800881461</v>
      </c>
      <c r="AL119" s="17" t="n">
        <f aca="false">MAX(0,AL118-AK118)+AK118/p_life_vre</f>
        <v>47.0109316897741</v>
      </c>
      <c r="AM119" s="17" t="n">
        <f aca="false">MAX(0,AM118-AL118)+AL118/p_life_vre</f>
        <v>49.1847125412252</v>
      </c>
      <c r="AN119" s="17" t="n">
        <f aca="false">MAX(0,AN118-AM118)+AM118/p_life_vre</f>
        <v>51.4390093251253</v>
      </c>
    </row>
    <row r="120" customFormat="false" ht="15" hidden="false" customHeight="false" outlineLevel="0" collapsed="false">
      <c r="A120" s="9" t="n">
        <v>7</v>
      </c>
      <c r="B120" s="9"/>
      <c r="C120" s="9" t="s">
        <v>521</v>
      </c>
      <c r="D120" s="9" t="s">
        <v>551</v>
      </c>
      <c r="E120" s="9" t="s">
        <v>543</v>
      </c>
      <c r="F120" s="9" t="s">
        <v>425</v>
      </c>
      <c r="G120" s="18"/>
      <c r="H120" s="18" t="s">
        <v>552</v>
      </c>
      <c r="I120" s="9"/>
      <c r="J120" s="9"/>
      <c r="K120" s="17"/>
      <c r="L120" s="17"/>
      <c r="M120" s="17"/>
      <c r="N120" s="19" t="n">
        <f aca="false">N112/($J$31*8.76)</f>
        <v>297.203506848831</v>
      </c>
      <c r="O120" s="17" t="n">
        <f aca="false">O112/($J$31*8.76)</f>
        <v>308.203253733397</v>
      </c>
      <c r="P120" s="17" t="n">
        <f aca="false">P112/($J$31*8.76)</f>
        <v>316.835848459319</v>
      </c>
      <c r="Q120" s="17" t="n">
        <f aca="false">Q112/($J$31*8.76)</f>
        <v>325.201985617229</v>
      </c>
      <c r="R120" s="17" t="n">
        <f aca="false">R112/($J$31*8.76)</f>
        <v>333.258117812048</v>
      </c>
      <c r="S120" s="17" t="n">
        <f aca="false">S112/($J$31*8.76)</f>
        <v>340.960684710213</v>
      </c>
      <c r="T120" s="17" t="n">
        <f aca="false">T112/($J$31*8.76)</f>
        <v>348.266401420249</v>
      </c>
      <c r="U120" s="17" t="n">
        <f aca="false">U112/($J$31*8.76)</f>
        <v>355.13255609812</v>
      </c>
      <c r="V120" s="17" t="n">
        <f aca="false">V112/($J$31*8.76)</f>
        <v>361.517314376263</v>
      </c>
      <c r="W120" s="17" t="n">
        <f aca="false">W112/($J$31*8.76)</f>
        <v>367.380028039</v>
      </c>
      <c r="X120" s="17" t="n">
        <f aca="false">X112/($J$31*8.76)</f>
        <v>372.681545214655</v>
      </c>
      <c r="Y120" s="17" t="n">
        <f aca="false">Y112/($J$31*8.76)</f>
        <v>377.384519229269</v>
      </c>
      <c r="Z120" s="17" t="n">
        <f aca="false">Z112/($J$31*8.76)</f>
        <v>381.393299205084</v>
      </c>
      <c r="AA120" s="17" t="n">
        <f aca="false">AA112/($J$31*8.76)</f>
        <v>384.680870042531</v>
      </c>
      <c r="AB120" s="17" t="n">
        <f aca="false">AB112/($J$31*8.76)</f>
        <v>387.22294539553</v>
      </c>
      <c r="AC120" s="17" t="n">
        <f aca="false">AC112/($J$31*8.76)</f>
        <v>388.998211317314</v>
      </c>
      <c r="AD120" s="17" t="n">
        <f aca="false">AD112/($J$31*8.76)</f>
        <v>389.988553594055</v>
      </c>
      <c r="AE120" s="17" t="n">
        <f aca="false">AE112/($J$31*8.76)</f>
        <v>390.709544771849</v>
      </c>
      <c r="AF120" s="17" t="n">
        <f aca="false">AF112/($J$31*8.76)</f>
        <v>391.150465253727</v>
      </c>
      <c r="AG120" s="17" t="n">
        <f aca="false">AG112/($J$31*8.76)</f>
        <v>391.299860646581</v>
      </c>
      <c r="AH120" s="17" t="n">
        <f aca="false">AH112/($J$31*8.76)</f>
        <v>391.145538555044</v>
      </c>
      <c r="AI120" s="17" t="n">
        <f aca="false">AI112/($J$31*8.76)</f>
        <v>390.674563490271</v>
      </c>
      <c r="AJ120" s="17" t="n">
        <f aca="false">AJ112/($J$31*8.76)</f>
        <v>389.873249969137</v>
      </c>
      <c r="AK120" s="17" t="n">
        <f aca="false">AK112/($J$31*8.76)</f>
        <v>388.727153871377</v>
      </c>
      <c r="AL120" s="17" t="n">
        <f aca="false">AL112/($J$31*8.76)</f>
        <v>387.221062114716</v>
      </c>
      <c r="AM120" s="17" t="n">
        <f aca="false">AM112/($J$31*8.76)</f>
        <v>385.338980701081</v>
      </c>
      <c r="AN120" s="17" t="n">
        <f aca="false">AN112/($J$31*8.76)</f>
        <v>383.064121180474</v>
      </c>
    </row>
    <row r="121" customFormat="false" ht="15" hidden="false" customHeight="false" outlineLevel="0" collapsed="false">
      <c r="A121" s="9" t="n">
        <v>7</v>
      </c>
      <c r="B121" s="9"/>
      <c r="C121" s="9" t="s">
        <v>521</v>
      </c>
      <c r="D121" s="9" t="s">
        <v>553</v>
      </c>
      <c r="E121" s="9" t="s">
        <v>543</v>
      </c>
      <c r="F121" s="9" t="s">
        <v>425</v>
      </c>
      <c r="G121" s="18"/>
      <c r="H121" s="18" t="s">
        <v>554</v>
      </c>
      <c r="I121" s="9"/>
      <c r="J121" s="9"/>
      <c r="K121" s="17"/>
      <c r="L121" s="17"/>
      <c r="M121" s="17"/>
      <c r="N121" s="19" t="n">
        <f aca="false">0</f>
        <v>0</v>
      </c>
      <c r="O121" s="17" t="n">
        <f aca="false">MAX(0,O120-N122*(1-1/p_life_fos))</f>
        <v>20.9065304461939</v>
      </c>
      <c r="P121" s="17" t="n">
        <f aca="false">MAX(0,P120-O122*(1-1/p_life_fos))</f>
        <v>18.9060365170354</v>
      </c>
      <c r="Q121" s="17" t="n">
        <f aca="false">MAX(0,Q120-P122*(1-1/p_life_fos))</f>
        <v>18.9273321065538</v>
      </c>
      <c r="R121" s="17" t="n">
        <f aca="false">MAX(0,R120-Q122*(1-1/p_life_fos))</f>
        <v>18.8961983820599</v>
      </c>
      <c r="S121" s="17" t="n">
        <f aca="false">MAX(0,S120-R122*(1-1/p_life_fos))</f>
        <v>18.8111708252328</v>
      </c>
      <c r="T121" s="17" t="n">
        <f aca="false">MAX(0,T120-S122*(1-1/p_life_fos))</f>
        <v>18.6710728670428</v>
      </c>
      <c r="U121" s="17" t="n">
        <f aca="false">MAX(0,U120-T122*(1-1/p_life_fos))</f>
        <v>18.4750347252131</v>
      </c>
      <c r="V121" s="17" t="n">
        <f aca="false">MAX(0,V120-U122*(1-1/p_life_fos))</f>
        <v>18.2225101480801</v>
      </c>
      <c r="W121" s="17" t="n">
        <f aca="false">MAX(0,W120-V122*(1-1/p_life_fos))</f>
        <v>17.9132908086124</v>
      </c>
      <c r="X121" s="17" t="n">
        <f aca="false">MAX(0,X120-W122*(1-1/p_life_fos))</f>
        <v>17.5475181102888</v>
      </c>
      <c r="Y121" s="17" t="n">
        <f aca="false">MAX(0,Y120-X122*(1-1/p_life_fos))</f>
        <v>17.1256921884353</v>
      </c>
      <c r="Z121" s="17" t="n">
        <f aca="false">MAX(0,Z120-Y122*(1-1/p_life_fos))</f>
        <v>16.5882639501247</v>
      </c>
      <c r="AA121" s="17" t="n">
        <f aca="false">MAX(0,AA120-Z122*(1-1/p_life_fos))</f>
        <v>16.0006808109499</v>
      </c>
      <c r="AB121" s="17" t="n">
        <f aca="false">MAX(0,AB120-AA122*(1-1/p_life_fos))</f>
        <v>15.3647710210827</v>
      </c>
      <c r="AC121" s="17" t="n">
        <f aca="false">MAX(0,AC120-AB122*(1-1/p_life_fos))</f>
        <v>14.6826974349681</v>
      </c>
      <c r="AD121" s="17" t="n">
        <f aca="false">MAX(0,AD120-AC122*(1-1/p_life_fos))</f>
        <v>13.9569493206523</v>
      </c>
      <c r="AE121" s="17" t="n">
        <f aca="false">MAX(0,AE120-AD122*(1-1/p_life_fos))</f>
        <v>13.7206096309292</v>
      </c>
      <c r="AF121" s="17" t="n">
        <f aca="false">MAX(0,AF120-AE122*(1-1/p_life_fos))</f>
        <v>13.4645719742725</v>
      </c>
      <c r="AG121" s="17" t="n">
        <f aca="false">MAX(0,AG120-AF122*(1-1/p_life_fos))</f>
        <v>13.1877442346448</v>
      </c>
      <c r="AH121" s="17" t="n">
        <f aca="false">MAX(0,AH120-AG122*(1-1/p_life_fos))</f>
        <v>12.8890065966827</v>
      </c>
      <c r="AI121" s="17" t="n">
        <f aca="false">MAX(0,AI120-AH122*(1-1/p_life_fos))</f>
        <v>12.5672095537282</v>
      </c>
      <c r="AJ121" s="17" t="n">
        <f aca="false">MAX(0,AJ120-AI122*(1-1/p_life_fos))</f>
        <v>12.2211719285414</v>
      </c>
      <c r="AK121" s="17" t="n">
        <f aca="false">MAX(0,AK120-AJ122*(1-1/p_life_fos))</f>
        <v>11.8496789012111</v>
      </c>
      <c r="AL121" s="17" t="n">
        <f aca="false">MAX(0,AL120-AK122*(1-1/p_life_fos))</f>
        <v>11.4514800390518</v>
      </c>
      <c r="AM121" s="17" t="n">
        <f aca="false">MAX(0,AM120-AL122*(1-1/p_life_fos))</f>
        <v>11.0252873235224</v>
      </c>
      <c r="AN121" s="17" t="n">
        <f aca="false">MAX(0,AN120-AM122*(1-1/p_life_fos))</f>
        <v>10.5697731694287</v>
      </c>
    </row>
    <row r="122" customFormat="false" ht="15" hidden="false" customHeight="false" outlineLevel="0" collapsed="false">
      <c r="A122" s="9" t="n">
        <v>7</v>
      </c>
      <c r="B122" s="9"/>
      <c r="C122" s="9" t="s">
        <v>521</v>
      </c>
      <c r="D122" s="9" t="s">
        <v>555</v>
      </c>
      <c r="E122" s="9" t="s">
        <v>543</v>
      </c>
      <c r="F122" s="9" t="s">
        <v>425</v>
      </c>
      <c r="G122" s="18"/>
      <c r="H122" s="18" t="s">
        <v>556</v>
      </c>
      <c r="I122" s="9"/>
      <c r="J122" s="9"/>
      <c r="K122" s="17"/>
      <c r="L122" s="17"/>
      <c r="M122" s="17"/>
      <c r="N122" s="19" t="n">
        <f aca="false">N120</f>
        <v>297.203506848831</v>
      </c>
      <c r="O122" s="17" t="n">
        <f aca="false">N122*(1-1/p_life_fos)+O121</f>
        <v>308.203253733397</v>
      </c>
      <c r="P122" s="17" t="n">
        <f aca="false">O122*(1-1/p_life_fos)+P121</f>
        <v>316.835848459319</v>
      </c>
      <c r="Q122" s="17" t="n">
        <f aca="false">P122*(1-1/p_life_fos)+Q121</f>
        <v>325.201985617229</v>
      </c>
      <c r="R122" s="17" t="n">
        <f aca="false">Q122*(1-1/p_life_fos)+R121</f>
        <v>333.258117812048</v>
      </c>
      <c r="S122" s="17" t="n">
        <f aca="false">R122*(1-1/p_life_fos)+S121</f>
        <v>340.960684710213</v>
      </c>
      <c r="T122" s="17" t="n">
        <f aca="false">S122*(1-1/p_life_fos)+T121</f>
        <v>348.266401420249</v>
      </c>
      <c r="U122" s="17" t="n">
        <f aca="false">T122*(1-1/p_life_fos)+U121</f>
        <v>355.13255609812</v>
      </c>
      <c r="V122" s="17" t="n">
        <f aca="false">U122*(1-1/p_life_fos)+V121</f>
        <v>361.517314376263</v>
      </c>
      <c r="W122" s="17" t="n">
        <f aca="false">V122*(1-1/p_life_fos)+W121</f>
        <v>367.380028039</v>
      </c>
      <c r="X122" s="17" t="n">
        <f aca="false">W122*(1-1/p_life_fos)+X121</f>
        <v>372.681545214655</v>
      </c>
      <c r="Y122" s="17" t="n">
        <f aca="false">X122*(1-1/p_life_fos)+Y121</f>
        <v>377.384519229269</v>
      </c>
      <c r="Z122" s="17" t="n">
        <f aca="false">Y122*(1-1/p_life_fos)+Z121</f>
        <v>381.393299205084</v>
      </c>
      <c r="AA122" s="17" t="n">
        <f aca="false">Z122*(1-1/p_life_fos)+AA121</f>
        <v>384.680870042531</v>
      </c>
      <c r="AB122" s="17" t="n">
        <f aca="false">AA122*(1-1/p_life_fos)+AB121</f>
        <v>387.22294539553</v>
      </c>
      <c r="AC122" s="17" t="n">
        <f aca="false">AB122*(1-1/p_life_fos)+AC121</f>
        <v>388.998211317314</v>
      </c>
      <c r="AD122" s="17" t="n">
        <f aca="false">AC122*(1-1/p_life_fos)+AD121</f>
        <v>389.988553594055</v>
      </c>
      <c r="AE122" s="17" t="n">
        <f aca="false">AD122*(1-1/p_life_fos)+AE121</f>
        <v>390.709544771849</v>
      </c>
      <c r="AF122" s="17" t="n">
        <f aca="false">AE122*(1-1/p_life_fos)+AF121</f>
        <v>391.150465253727</v>
      </c>
      <c r="AG122" s="17" t="n">
        <f aca="false">AF122*(1-1/p_life_fos)+AG121</f>
        <v>391.299860646581</v>
      </c>
      <c r="AH122" s="17" t="n">
        <f aca="false">AG122*(1-1/p_life_fos)+AH121</f>
        <v>391.145538555044</v>
      </c>
      <c r="AI122" s="17" t="n">
        <f aca="false">AH122*(1-1/p_life_fos)+AI121</f>
        <v>390.674563490271</v>
      </c>
      <c r="AJ122" s="17" t="n">
        <f aca="false">AI122*(1-1/p_life_fos)+AJ121</f>
        <v>389.873249969137</v>
      </c>
      <c r="AK122" s="17" t="n">
        <f aca="false">AJ122*(1-1/p_life_fos)+AK121</f>
        <v>388.727153871377</v>
      </c>
      <c r="AL122" s="17" t="n">
        <f aca="false">AK122*(1-1/p_life_fos)+AL121</f>
        <v>387.221062114716</v>
      </c>
      <c r="AM122" s="17" t="n">
        <f aca="false">AL122*(1-1/p_life_fos)+AM121</f>
        <v>385.338980701081</v>
      </c>
      <c r="AN122" s="17" t="n">
        <f aca="false">AM122*(1-1/p_life_fos)+AN121</f>
        <v>383.064121180474</v>
      </c>
    </row>
    <row r="123" customFormat="false" ht="15" hidden="false" customHeight="false" outlineLevel="0" collapsed="false">
      <c r="A123" s="9" t="n">
        <v>7</v>
      </c>
      <c r="B123" s="9"/>
      <c r="C123" s="9" t="s">
        <v>521</v>
      </c>
      <c r="D123" s="9" t="s">
        <v>557</v>
      </c>
      <c r="E123" s="9" t="s">
        <v>301</v>
      </c>
      <c r="F123" s="9" t="s">
        <v>425</v>
      </c>
      <c r="G123" s="18"/>
      <c r="H123" s="18" t="s">
        <v>558</v>
      </c>
      <c r="I123" s="9"/>
      <c r="J123" s="9"/>
      <c r="K123" s="17"/>
      <c r="L123" s="17"/>
      <c r="M123" s="17"/>
      <c r="N123" s="19" t="n">
        <f aca="false">0</f>
        <v>0</v>
      </c>
      <c r="O123" s="17" t="n">
        <f aca="false">(O117*O106+O119*O107+O121*p_capex_gas)*$J$11/1000</f>
        <v>32.5489537545273</v>
      </c>
      <c r="P123" s="17" t="n">
        <f aca="false">(P117*P106+P119*P107+P121*p_capex_gas)*$J$11/1000</f>
        <v>31.241318279678</v>
      </c>
      <c r="Q123" s="17" t="n">
        <f aca="false">(Q117*Q106+Q119*Q107+Q121*p_capex_gas)*$J$11/1000</f>
        <v>32.2421295810273</v>
      </c>
      <c r="R123" s="17" t="n">
        <f aca="false">(R117*R106+R119*R107+R121*p_capex_gas)*$J$11/1000</f>
        <v>33.1876213538609</v>
      </c>
      <c r="S123" s="17" t="n">
        <f aca="false">(S117*S106+S119*S107+S121*p_capex_gas)*$J$11/1000</f>
        <v>34.072621241864</v>
      </c>
      <c r="T123" s="17" t="n">
        <f aca="false">(T117*T106+T119*T107+T121*p_capex_gas)*$J$11/1000</f>
        <v>34.8921753751329</v>
      </c>
      <c r="U123" s="17" t="n">
        <f aca="false">(U117*U106+U119*U107+U121*p_capex_gas)*$J$11/1000</f>
        <v>35.6415910963086</v>
      </c>
      <c r="V123" s="17" t="n">
        <f aca="false">(V117*V106+V119*V107+V121*p_capex_gas)*$J$11/1000</f>
        <v>36.3164784271485</v>
      </c>
      <c r="W123" s="17" t="n">
        <f aca="false">(W117*W106+W119*W107+W121*p_capex_gas)*$J$11/1000</f>
        <v>36.9127898206094</v>
      </c>
      <c r="X123" s="17" t="n">
        <f aca="false">(X117*X106+X119*X107+X121*p_capex_gas)*$J$11/1000</f>
        <v>37.4268577505542</v>
      </c>
      <c r="Y123" s="17" t="n">
        <f aca="false">(Y117*Y106+Y119*Y107+Y121*p_capex_gas)*$J$11/1000</f>
        <v>37.8554297043016</v>
      </c>
      <c r="Z123" s="17" t="n">
        <f aca="false">(Z117*Z106+Z119*Z107+Z121*p_capex_gas)*$J$11/1000</f>
        <v>38.1098655156171</v>
      </c>
      <c r="AA123" s="17" t="n">
        <f aca="false">(AA117*AA106+AA119*AA107+AA121*p_capex_gas)*$J$11/1000</f>
        <v>38.273545553809</v>
      </c>
      <c r="AB123" s="17" t="n">
        <f aca="false">(AB117*AB106+AB119*AB107+AB121*p_capex_gas)*$J$11/1000</f>
        <v>38.3452376940675</v>
      </c>
      <c r="AC123" s="17" t="n">
        <f aca="false">(AC117*AC106+AC119*AC107+AC121*p_capex_gas)*$J$11/1000</f>
        <v>38.3242096557369</v>
      </c>
      <c r="AD123" s="17" t="n">
        <f aca="false">(AD117*AD106+AD119*AD107+AD121*p_capex_gas)*$J$11/1000</f>
        <v>38.2102420971254</v>
      </c>
      <c r="AE123" s="17" t="n">
        <f aca="false">(AE117*AE106+AE119*AE107+AE121*p_capex_gas)*$J$11/1000</f>
        <v>38.8230974153448</v>
      </c>
      <c r="AF123" s="17" t="n">
        <f aca="false">(AF117*AF106+AF119*AF107+AF121*p_capex_gas)*$J$11/1000</f>
        <v>39.4284510744434</v>
      </c>
      <c r="AG123" s="17" t="n">
        <f aca="false">(AG117*AG106+AG119*AG107+AG121*p_capex_gas)*$J$11/1000</f>
        <v>40.0258372242954</v>
      </c>
      <c r="AH123" s="17" t="n">
        <f aca="false">(AH117*AH106+AH119*AH107+AH121*p_capex_gas)*$J$11/1000</f>
        <v>40.6147669739176</v>
      </c>
      <c r="AI123" s="17" t="n">
        <f aca="false">(AI117*AI106+AI119*AI107+AI121*p_capex_gas)*$J$11/1000</f>
        <v>41.1947279199141</v>
      </c>
      <c r="AJ123" s="17" t="n">
        <f aca="false">(AJ117*AJ106+AJ119*AJ107+AJ121*p_capex_gas)*$J$11/1000</f>
        <v>41.7651835979691</v>
      </c>
      <c r="AK123" s="17" t="n">
        <f aca="false">(AK117*AK106+AK119*AK107+AK121*p_capex_gas)*$J$11/1000</f>
        <v>42.3255728631928</v>
      </c>
      <c r="AL123" s="17" t="n">
        <f aca="false">(AL117*AL106+AL119*AL107+AL121*p_capex_gas)*$J$11/1000</f>
        <v>42.8753092043097</v>
      </c>
      <c r="AM123" s="17" t="n">
        <f aca="false">(AM117*AM106+AM119*AM107+AM121*p_capex_gas)*$J$11/1000</f>
        <v>43.413779995933</v>
      </c>
      <c r="AN123" s="17" t="n">
        <f aca="false">(AN117*AN106+AN119*AN107+AN121*p_capex_gas)*$J$11/1000</f>
        <v>43.9403456925179</v>
      </c>
    </row>
    <row r="124" customFormat="false" ht="15" hidden="false" customHeight="false" outlineLevel="0" collapsed="false">
      <c r="A124" s="9" t="n">
        <v>7</v>
      </c>
      <c r="B124" s="9"/>
      <c r="C124" s="9" t="s">
        <v>521</v>
      </c>
      <c r="D124" s="9" t="s">
        <v>559</v>
      </c>
      <c r="E124" s="9" t="s">
        <v>97</v>
      </c>
      <c r="F124" s="9" t="s">
        <v>425</v>
      </c>
      <c r="G124" s="18"/>
      <c r="H124" s="18" t="s">
        <v>560</v>
      </c>
      <c r="I124" s="9"/>
      <c r="J124" s="9"/>
      <c r="K124" s="17"/>
      <c r="L124" s="17"/>
      <c r="M124" s="17"/>
      <c r="N124" s="19" t="n">
        <f aca="false">IF(N110&gt;0,(N114+N115)/N110,0)</f>
        <v>0.143808023816152</v>
      </c>
      <c r="O124" s="17" t="n">
        <f aca="false">IF(O110&gt;0,(O114+O115)/O110,0)</f>
        <v>0.163299191876128</v>
      </c>
      <c r="P124" s="17" t="n">
        <f aca="false">IF(P110&gt;0,(P114+P115)/P110,0)</f>
        <v>0.181520395290321</v>
      </c>
      <c r="Q124" s="17" t="n">
        <f aca="false">IF(Q110&gt;0,(Q114+Q115)/Q110,0)</f>
        <v>0.199378320020312</v>
      </c>
      <c r="R124" s="17" t="n">
        <f aca="false">IF(R110&gt;0,(R114+R115)/R110,0)</f>
        <v>0.21689865964573</v>
      </c>
      <c r="S124" s="17" t="n">
        <f aca="false">IF(S110&gt;0,(S114+S115)/S110,0)</f>
        <v>0.234105183494982</v>
      </c>
      <c r="T124" s="17" t="n">
        <f aca="false">IF(T110&gt;0,(T114+T115)/T110,0)</f>
        <v>0.251019855399862</v>
      </c>
      <c r="U124" s="17" t="n">
        <f aca="false">IF(U110&gt;0,(U114+U115)/U110,0)</f>
        <v>0.267662950370788</v>
      </c>
      <c r="V124" s="17" t="n">
        <f aca="false">IF(V110&gt;0,(V114+V115)/V110,0)</f>
        <v>0.284053167758112</v>
      </c>
      <c r="W124" s="17" t="n">
        <f aca="false">IF(W110&gt;0,(W114+W115)/W110,0)</f>
        <v>0.300207739881288</v>
      </c>
      <c r="X124" s="17" t="n">
        <f aca="false">IF(X110&gt;0,(X114+X115)/X110,0)</f>
        <v>0.316142535438416</v>
      </c>
      <c r="Y124" s="17" t="n">
        <f aca="false">IF(Y110&gt;0,(Y114+Y115)/Y110,0)</f>
        <v>0.331872157268349</v>
      </c>
      <c r="Z124" s="17" t="n">
        <f aca="false">IF(Z110&gt;0,(Z114+Z115)/Z110,0)</f>
        <v>0.347398112458971</v>
      </c>
      <c r="AA124" s="17" t="n">
        <f aca="false">IF(AA110&gt;0,(AA114+AA115)/AA110,0)</f>
        <v>0.362735255318703</v>
      </c>
      <c r="AB124" s="17" t="n">
        <f aca="false">IF(AB110&gt;0,(AB114+AB115)/AB110,0)</f>
        <v>0.377896946613551</v>
      </c>
      <c r="AC124" s="17" t="n">
        <f aca="false">IF(AC110&gt;0,(AC114+AC115)/AC110,0)</f>
        <v>0.392895215456801</v>
      </c>
      <c r="AD124" s="17" t="n">
        <f aca="false">IF(AD110&gt;0,(AD114+AD115)/AD110,0)</f>
        <v>0.407740899633006</v>
      </c>
      <c r="AE124" s="17" t="n">
        <f aca="false">IF(AE110&gt;0,(AE114+AE115)/AE110,0)</f>
        <v>0.422532376990902</v>
      </c>
      <c r="AF124" s="17" t="n">
        <f aca="false">IF(AF110&gt;0,(AF114+AF115)/AF110,0)</f>
        <v>0.437271884287345</v>
      </c>
      <c r="AG124" s="17" t="n">
        <f aca="false">IF(AG110&gt;0,(AG114+AG115)/AG110,0)</f>
        <v>0.451961498065099</v>
      </c>
      <c r="AH124" s="17" t="n">
        <f aca="false">IF(AH110&gt;0,(AH114+AH115)/AH110,0)</f>
        <v>0.466603151544509</v>
      </c>
      <c r="AI124" s="17" t="n">
        <f aca="false">IF(AI110&gt;0,(AI114+AI115)/AI110,0)</f>
        <v>0.481198649435463</v>
      </c>
      <c r="AJ124" s="17" t="n">
        <f aca="false">IF(AJ110&gt;0,(AJ114+AJ115)/AJ110,0)</f>
        <v>0.49574968094681</v>
      </c>
      <c r="AK124" s="17" t="n">
        <f aca="false">IF(AK110&gt;0,(AK114+AK115)/AK110,0)</f>
        <v>0.510257831230567</v>
      </c>
      <c r="AL124" s="17" t="n">
        <f aca="false">IF(AL110&gt;0,(AL114+AL115)/AL110,0)</f>
        <v>0.524724591464636</v>
      </c>
      <c r="AM124" s="17" t="n">
        <f aca="false">IF(AM110&gt;0,(AM114+AM115)/AM110,0)</f>
        <v>0.53915136774937</v>
      </c>
      <c r="AN124" s="17" t="n">
        <f aca="false">IF(AN110&gt;0,(AN114+AN115)/AN110,0)</f>
        <v>0.55353948896916</v>
      </c>
    </row>
    <row r="125" customFormat="false" ht="15" hidden="false" customHeight="false" outlineLevel="0" collapsed="false">
      <c r="A125" s="9" t="n">
        <v>7</v>
      </c>
      <c r="B125" s="9"/>
      <c r="C125" s="9" t="s">
        <v>521</v>
      </c>
      <c r="D125" s="9" t="s">
        <v>561</v>
      </c>
      <c r="E125" s="9" t="s">
        <v>301</v>
      </c>
      <c r="F125" s="9" t="s">
        <v>425</v>
      </c>
      <c r="G125" s="18"/>
      <c r="H125" s="18" t="s">
        <v>562</v>
      </c>
      <c r="I125" s="9"/>
      <c r="J125" s="9"/>
      <c r="K125" s="17"/>
      <c r="L125" s="17"/>
      <c r="M125" s="17"/>
      <c r="N125" s="19" t="n">
        <f aca="false">0</f>
        <v>0</v>
      </c>
      <c r="O125" s="17" t="n">
        <f aca="false">p_grid_ratio*O123+(O117+O119)*p_st_h*MIN(1,MAX(0,(O124-0.2)/0.6))*O108*$J$11/1000</f>
        <v>19.5293722527164</v>
      </c>
      <c r="P125" s="17" t="n">
        <f aca="false">p_grid_ratio*P123+(P117+P119)*p_st_h*MIN(1,MAX(0,(P124-0.2)/0.6))*P108*$J$11/1000</f>
        <v>18.7447909678068</v>
      </c>
      <c r="Q125" s="17" t="n">
        <f aca="false">p_grid_ratio*Q123+(Q117+Q119)*p_st_h*MIN(1,MAX(0,(Q124-0.2)/0.6))*Q108*$J$11/1000</f>
        <v>19.3452777486164</v>
      </c>
      <c r="R125" s="17" t="n">
        <f aca="false">p_grid_ratio*R123+(R117+R119)*p_st_h*MIN(1,MAX(0,(R124-0.2)/0.6))*R108*$J$11/1000</f>
        <v>20.2368776146258</v>
      </c>
      <c r="S125" s="17" t="n">
        <f aca="false">p_grid_ratio*S123+(S117+S119)*p_st_h*MIN(1,MAX(0,(S124-0.2)/0.6))*S108*$J$11/1000</f>
        <v>21.1224354723669</v>
      </c>
      <c r="T125" s="17" t="n">
        <f aca="false">p_grid_ratio*T123+(T117+T119)*p_st_h*MIN(1,MAX(0,(T124-0.2)/0.6))*T108*$J$11/1000</f>
        <v>21.9852805423531</v>
      </c>
      <c r="U125" s="17" t="n">
        <f aca="false">p_grid_ratio*U123+(U117+U119)*p_st_h*MIN(1,MAX(0,(U124-0.2)/0.6))*U108*$J$11/1000</f>
        <v>22.8202448489465</v>
      </c>
      <c r="V125" s="17" t="n">
        <f aca="false">p_grid_ratio*V123+(V117+V119)*p_st_h*MIN(1,MAX(0,(V124-0.2)/0.6))*V108*$J$11/1000</f>
        <v>23.6222369411442</v>
      </c>
      <c r="W125" s="17" t="n">
        <f aca="false">p_grid_ratio*W123+(W117+W119)*p_st_h*MIN(1,MAX(0,(W124-0.2)/0.6))*W108*$J$11/1000</f>
        <v>24.386281108374</v>
      </c>
      <c r="X125" s="17" t="n">
        <f aca="false">p_grid_ratio*X123+(X117+X119)*p_st_h*MIN(1,MAX(0,(X124-0.2)/0.6))*X108*$J$11/1000</f>
        <v>25.1075569002849</v>
      </c>
      <c r="Y125" s="17" t="n">
        <f aca="false">p_grid_ratio*Y123+(Y117+Y119)*p_st_h*MIN(1,MAX(0,(Y124-0.2)/0.6))*Y108*$J$11/1000</f>
        <v>25.7814384920233</v>
      </c>
      <c r="Z125" s="17" t="n">
        <f aca="false">p_grid_ratio*Z123+(Z117+Z119)*p_st_h*MIN(1,MAX(0,(Z124-0.2)/0.6))*Z108*$J$11/1000</f>
        <v>26.3457993152838</v>
      </c>
      <c r="AA125" s="17" t="n">
        <f aca="false">p_grid_ratio*AA123+(AA117+AA119)*p_st_h*MIN(1,MAX(0,(AA124-0.2)/0.6))*AA108*$J$11/1000</f>
        <v>26.8524487014588</v>
      </c>
      <c r="AB125" s="17" t="n">
        <f aca="false">p_grid_ratio*AB123+(AB117+AB119)*p_st_h*MIN(1,MAX(0,(AB124-0.2)/0.6))*AB108*$J$11/1000</f>
        <v>27.298000241849</v>
      </c>
      <c r="AC125" s="17" t="n">
        <f aca="false">p_grid_ratio*AC123+(AC117+AC119)*p_st_h*MIN(1,MAX(0,(AC124-0.2)/0.6))*AC108*$J$11/1000</f>
        <v>27.6794139162</v>
      </c>
      <c r="AD125" s="17" t="n">
        <f aca="false">p_grid_ratio*AD123+(AD117+AD119)*p_st_h*MIN(1,MAX(0,(AD124-0.2)/0.6))*AD108*$J$11/1000</f>
        <v>27.99402395937</v>
      </c>
      <c r="AE125" s="17" t="n">
        <f aca="false">p_grid_ratio*AE123+(AE117+AE119)*p_st_h*MIN(1,MAX(0,(AE124-0.2)/0.6))*AE108*$J$11/1000</f>
        <v>28.8214796450689</v>
      </c>
      <c r="AF125" s="17" t="n">
        <f aca="false">p_grid_ratio*AF123+(AF117+AF119)*p_st_h*MIN(1,MAX(0,(AF124-0.2)/0.6))*AF108*$J$11/1000</f>
        <v>29.6549569970047</v>
      </c>
      <c r="AG125" s="17" t="n">
        <f aca="false">p_grid_ratio*AG123+(AG117+AG119)*p_st_h*MIN(1,MAX(0,(AG124-0.2)/0.6))*AG108*$J$11/1000</f>
        <v>30.4939469747726</v>
      </c>
      <c r="AH125" s="17" t="n">
        <f aca="false">p_grid_ratio*AH123+(AH117+AH119)*p_st_h*MIN(1,MAX(0,(AH124-0.2)/0.6))*AH108*$J$11/1000</f>
        <v>31.3379330576793</v>
      </c>
      <c r="AI125" s="17" t="n">
        <f aca="false">p_grid_ratio*AI123+(AI117+AI119)*p_st_h*MIN(1,MAX(0,(AI124-0.2)/0.6))*AI108*$J$11/1000</f>
        <v>32.1863905393352</v>
      </c>
      <c r="AJ125" s="17" t="n">
        <f aca="false">p_grid_ratio*AJ123+(AJ117+AJ119)*p_st_h*MIN(1,MAX(0,(AJ124-0.2)/0.6))*AJ108*$J$11/1000</f>
        <v>33.0387858308299</v>
      </c>
      <c r="AK125" s="17" t="n">
        <f aca="false">p_grid_ratio*AK123+(AK117+AK119)*p_st_h*MIN(1,MAX(0,(AK124-0.2)/0.6))*AK108*$J$11/1000</f>
        <v>33.8945757675457</v>
      </c>
      <c r="AL125" s="17" t="n">
        <f aca="false">p_grid_ratio*AL123+(AL117+AL119)*p_st_h*MIN(1,MAX(0,(AL124-0.2)/0.6))*AL108*$J$11/1000</f>
        <v>34.7532069154578</v>
      </c>
      <c r="AM125" s="17" t="n">
        <f aca="false">p_grid_ratio*AM123+(AM117+AM119)*p_st_h*MIN(1,MAX(0,(AM124-0.2)/0.6))*AM108*$J$11/1000</f>
        <v>35.6141148734216</v>
      </c>
      <c r="AN125" s="17" t="n">
        <f aca="false">p_grid_ratio*AN123+(AN117+AN119)*p_st_h*MIN(1,MAX(0,(AN124-0.2)/0.6))*AN108*$J$11/1000</f>
        <v>36.4767235684885</v>
      </c>
    </row>
    <row r="126" customFormat="false" ht="15" hidden="false" customHeight="false" outlineLevel="0" collapsed="false">
      <c r="A126" s="9" t="n">
        <v>7</v>
      </c>
      <c r="B126" s="9" t="s">
        <v>438</v>
      </c>
      <c r="C126" s="9" t="s">
        <v>521</v>
      </c>
      <c r="D126" s="9" t="s">
        <v>563</v>
      </c>
      <c r="E126" s="9" t="s">
        <v>433</v>
      </c>
      <c r="F126" s="9" t="s">
        <v>425</v>
      </c>
      <c r="G126" s="18"/>
      <c r="H126" s="18" t="s">
        <v>564</v>
      </c>
      <c r="I126" s="9"/>
      <c r="J126" s="9"/>
      <c r="K126" s="17"/>
      <c r="L126" s="17"/>
      <c r="M126" s="17"/>
      <c r="N126" s="19" t="n">
        <f aca="false">N112*$J$24*$J$27</f>
        <v>10554.7927718771</v>
      </c>
      <c r="O126" s="17" t="n">
        <f aca="false">O112*$J$24*$J$27</f>
        <v>10945.4343566305</v>
      </c>
      <c r="P126" s="17" t="n">
        <f aca="false">P112*$J$24*$J$27</f>
        <v>11252.0096369217</v>
      </c>
      <c r="Q126" s="17" t="n">
        <f aca="false">Q112*$J$24*$J$27</f>
        <v>11549.1220261364</v>
      </c>
      <c r="R126" s="17" t="n">
        <f aca="false">R112*$J$24*$J$27</f>
        <v>11835.2249956495</v>
      </c>
      <c r="S126" s="17" t="n">
        <f aca="false">S112*$J$24*$J$27</f>
        <v>12108.7715573427</v>
      </c>
      <c r="T126" s="17" t="n">
        <f aca="false">T112*$J$24*$J$27</f>
        <v>12368.2245050621</v>
      </c>
      <c r="U126" s="17" t="n">
        <f aca="false">U112*$J$24*$J$27</f>
        <v>12612.0669836821</v>
      </c>
      <c r="V126" s="17" t="n">
        <f aca="false">V112*$J$24*$J$27</f>
        <v>12838.8133005033</v>
      </c>
      <c r="W126" s="17" t="n">
        <f aca="false">W112*$J$24*$J$27</f>
        <v>13047.0198874549</v>
      </c>
      <c r="X126" s="17" t="n">
        <f aca="false">X112*$J$24*$J$27</f>
        <v>13235.2963171609</v>
      </c>
      <c r="Y126" s="17" t="n">
        <f aca="false">Y112*$J$24*$J$27</f>
        <v>13402.3162714746</v>
      </c>
      <c r="Z126" s="17" t="n">
        <f aca="false">Z112*$J$24*$J$27</f>
        <v>13544.6828349159</v>
      </c>
      <c r="AA126" s="17" t="n">
        <f aca="false">AA112*$J$24*$J$27</f>
        <v>13661.4366016532</v>
      </c>
      <c r="AB126" s="17" t="n">
        <f aca="false">AB112*$J$24*$J$27</f>
        <v>13751.7150739561</v>
      </c>
      <c r="AC126" s="17" t="n">
        <f aca="false">AC112*$J$24*$J$27</f>
        <v>13814.7613149581</v>
      </c>
      <c r="AD126" s="17" t="n">
        <f aca="false">AD112*$J$24*$J$27</f>
        <v>13849.9320221111</v>
      </c>
      <c r="AE126" s="17" t="n">
        <f aca="false">AE112*$J$24*$J$27</f>
        <v>13875.5370782312</v>
      </c>
      <c r="AF126" s="17" t="n">
        <f aca="false">AF112*$J$24*$J$27</f>
        <v>13891.1957908906</v>
      </c>
      <c r="AG126" s="17" t="n">
        <f aca="false">AG112*$J$24*$J$27</f>
        <v>13896.50137234</v>
      </c>
      <c r="AH126" s="17" t="n">
        <f aca="false">AH112*$J$24*$J$27</f>
        <v>13891.0208256481</v>
      </c>
      <c r="AI126" s="17" t="n">
        <f aca="false">AI112*$J$24*$J$27</f>
        <v>13874.2947638929</v>
      </c>
      <c r="AJ126" s="17" t="n">
        <f aca="false">AJ112*$J$24*$J$27</f>
        <v>13845.8371650895</v>
      </c>
      <c r="AK126" s="17" t="n">
        <f aca="false">AK112*$J$24*$J$27</f>
        <v>13805.1350652497</v>
      </c>
      <c r="AL126" s="17" t="n">
        <f aca="false">AL112*$J$24*$J$27</f>
        <v>13751.6481917079</v>
      </c>
      <c r="AM126" s="17" t="n">
        <f aca="false">AM112*$J$24*$J$27</f>
        <v>13684.8085385984</v>
      </c>
      <c r="AN126" s="17" t="n">
        <f aca="false">AN112*$J$24*$J$27</f>
        <v>13604.0198861369</v>
      </c>
    </row>
    <row r="127" customFormat="false" ht="15" hidden="false" customHeight="false" outlineLevel="0" collapsed="false">
      <c r="A127" s="9" t="n">
        <v>7</v>
      </c>
      <c r="B127" s="9" t="s">
        <v>442</v>
      </c>
      <c r="C127" s="9" t="s">
        <v>521</v>
      </c>
      <c r="D127" s="9" t="s">
        <v>563</v>
      </c>
      <c r="E127" s="9" t="s">
        <v>433</v>
      </c>
      <c r="F127" s="9" t="s">
        <v>425</v>
      </c>
      <c r="G127" s="18"/>
      <c r="H127" s="18" t="s">
        <v>565</v>
      </c>
      <c r="I127" s="9"/>
      <c r="J127" s="9"/>
      <c r="K127" s="17"/>
      <c r="L127" s="17"/>
      <c r="M127" s="17"/>
      <c r="N127" s="19" t="n">
        <f aca="false">N112*$J$25*$J$28</f>
        <v>583.684880371244</v>
      </c>
      <c r="O127" s="17" t="n">
        <f aca="false">O112*$J$25*$J$28</f>
        <v>605.287539143698</v>
      </c>
      <c r="P127" s="17" t="n">
        <f aca="false">P112*$J$25*$J$28</f>
        <v>622.241292729304</v>
      </c>
      <c r="Q127" s="17" t="n">
        <f aca="false">Q112*$J$25*$J$28</f>
        <v>638.671744099005</v>
      </c>
      <c r="R127" s="17" t="n">
        <f aca="false">R112*$J$25*$J$28</f>
        <v>654.493369510644</v>
      </c>
      <c r="S127" s="17" t="n">
        <f aca="false">S112*$J$25*$J$28</f>
        <v>669.620619811878</v>
      </c>
      <c r="T127" s="17" t="n">
        <f aca="false">T112*$J$25*$J$28</f>
        <v>683.968486797486</v>
      </c>
      <c r="U127" s="17" t="n">
        <f aca="false">U112*$J$25*$J$28</f>
        <v>697.453087683445</v>
      </c>
      <c r="V127" s="17" t="n">
        <f aca="false">V112*$J$25*$J$28</f>
        <v>709.992262982183</v>
      </c>
      <c r="W127" s="17" t="n">
        <f aca="false">W112*$J$25*$J$28</f>
        <v>721.50618271741</v>
      </c>
      <c r="X127" s="17" t="n">
        <f aca="false">X112*$J$25*$J$28</f>
        <v>731.917955617628</v>
      </c>
      <c r="Y127" s="17" t="n">
        <f aca="false">Y112*$J$25*$J$28</f>
        <v>741.154235681123</v>
      </c>
      <c r="Z127" s="17" t="n">
        <f aca="false">Z112*$J$25*$J$28</f>
        <v>749.027171924129</v>
      </c>
      <c r="AA127" s="17" t="n">
        <f aca="false">AA112*$J$25*$J$28</f>
        <v>755.483708764199</v>
      </c>
      <c r="AB127" s="17" t="n">
        <f aca="false">AB112*$J$25*$J$28</f>
        <v>760.476149681339</v>
      </c>
      <c r="AC127" s="17" t="n">
        <f aca="false">AC112*$J$25*$J$28</f>
        <v>763.96263571971</v>
      </c>
      <c r="AD127" s="17" t="n">
        <f aca="false">AD112*$J$25*$J$28</f>
        <v>765.907591953422</v>
      </c>
      <c r="AE127" s="17" t="n">
        <f aca="false">AE112*$J$25*$J$28</f>
        <v>767.323563298516</v>
      </c>
      <c r="AF127" s="17" t="n">
        <f aca="false">AF112*$J$25*$J$28</f>
        <v>768.189497289156</v>
      </c>
      <c r="AG127" s="17" t="n">
        <f aca="false">AG112*$J$25*$J$28</f>
        <v>768.482898376278</v>
      </c>
      <c r="AH127" s="17" t="n">
        <f aca="false">AH112*$J$25*$J$28</f>
        <v>768.179821631013</v>
      </c>
      <c r="AI127" s="17" t="n">
        <f aca="false">AI112*$J$25*$J$28</f>
        <v>767.254862745922</v>
      </c>
      <c r="AJ127" s="17" t="n">
        <f aca="false">AJ112*$J$25*$J$28</f>
        <v>765.681144482359</v>
      </c>
      <c r="AK127" s="17" t="n">
        <f aca="false">AK112*$J$25*$J$28</f>
        <v>763.430299696549</v>
      </c>
      <c r="AL127" s="17" t="n">
        <f aca="false">AL112*$J$25*$J$28</f>
        <v>760.472451062341</v>
      </c>
      <c r="AM127" s="17" t="n">
        <f aca="false">AM112*$J$25*$J$28</f>
        <v>756.776187594881</v>
      </c>
      <c r="AN127" s="17" t="n">
        <f aca="false">AN112*$J$25*$J$28</f>
        <v>752.308538066699</v>
      </c>
    </row>
    <row r="128" customFormat="false" ht="15" hidden="false" customHeight="false" outlineLevel="0" collapsed="false">
      <c r="A128" s="9" t="n">
        <v>7</v>
      </c>
      <c r="B128" s="9" t="s">
        <v>453</v>
      </c>
      <c r="C128" s="9" t="s">
        <v>521</v>
      </c>
      <c r="D128" s="9" t="s">
        <v>563</v>
      </c>
      <c r="E128" s="9" t="s">
        <v>433</v>
      </c>
      <c r="F128" s="9" t="s">
        <v>425</v>
      </c>
      <c r="G128" s="18"/>
      <c r="H128" s="18" t="s">
        <v>566</v>
      </c>
      <c r="I128" s="9"/>
      <c r="J128" s="9"/>
      <c r="K128" s="17"/>
      <c r="L128" s="17"/>
      <c r="M128" s="17"/>
      <c r="N128" s="19" t="n">
        <f aca="false">N112*$J$26*p_hr_oil</f>
        <v>43.1390504394692</v>
      </c>
      <c r="O128" s="17" t="n">
        <f aca="false">O112*$J$26*p_hr_oil</f>
        <v>44.7356622718998</v>
      </c>
      <c r="P128" s="17" t="n">
        <f aca="false">P112*$J$26*p_hr_oil</f>
        <v>45.9886822757804</v>
      </c>
      <c r="Q128" s="17" t="n">
        <f aca="false">Q112*$J$26*p_hr_oil</f>
        <v>47.2030259982525</v>
      </c>
      <c r="R128" s="17" t="n">
        <f aca="false">R112*$J$26*p_hr_oil</f>
        <v>48.3723725405734</v>
      </c>
      <c r="S128" s="17" t="n">
        <f aca="false">S112*$J$26*p_hr_oil</f>
        <v>49.4903991259809</v>
      </c>
      <c r="T128" s="17" t="n">
        <f aca="false">T112*$J$26*p_hr_oil</f>
        <v>50.550822958096</v>
      </c>
      <c r="U128" s="17" t="n">
        <f aca="false">U112*$J$26*p_hr_oil</f>
        <v>51.5474444183016</v>
      </c>
      <c r="V128" s="17" t="n">
        <f aca="false">V112*$J$26*p_hr_oil</f>
        <v>52.474191253576</v>
      </c>
      <c r="W128" s="17" t="n">
        <f aca="false">W112*$J$26*p_hr_oil</f>
        <v>53.3251633806903</v>
      </c>
      <c r="X128" s="17" t="n">
        <f aca="false">X112*$J$26*p_hr_oil</f>
        <v>54.094677910553</v>
      </c>
      <c r="Y128" s="17" t="n">
        <f aca="false">Y112*$J$26*p_hr_oil</f>
        <v>54.7773139782866</v>
      </c>
      <c r="Z128" s="17" t="n">
        <f aca="false">Z112*$J$26*p_hr_oil</f>
        <v>55.3591878714012</v>
      </c>
      <c r="AA128" s="17" t="n">
        <f aca="false">AA112*$J$26*p_hr_oil</f>
        <v>55.8363783517009</v>
      </c>
      <c r="AB128" s="17" t="n">
        <f aca="false">AB112*$J$26*p_hr_oil</f>
        <v>56.2053602592048</v>
      </c>
      <c r="AC128" s="17" t="n">
        <f aca="false">AC112*$J$26*p_hr_oil</f>
        <v>56.4630398773065</v>
      </c>
      <c r="AD128" s="17" t="n">
        <f aca="false">AD112*$J$26*p_hr_oil</f>
        <v>56.6067879302204</v>
      </c>
      <c r="AE128" s="17" t="n">
        <f aca="false">AE112*$J$26*p_hr_oil</f>
        <v>56.7114397060862</v>
      </c>
      <c r="AF128" s="17" t="n">
        <f aca="false">AF112*$J$26*p_hr_oil</f>
        <v>56.7754392567954</v>
      </c>
      <c r="AG128" s="17" t="n">
        <f aca="false">AG112*$J$26*p_hr_oil</f>
        <v>56.7971239786753</v>
      </c>
      <c r="AH128" s="17" t="n">
        <f aca="false">AH112*$J$26*p_hr_oil</f>
        <v>56.7747241471211</v>
      </c>
      <c r="AI128" s="17" t="n">
        <f aca="false">AI112*$J$26*p_hr_oil</f>
        <v>56.706362177606</v>
      </c>
      <c r="AJ128" s="17" t="n">
        <f aca="false">AJ112*$J$26*p_hr_oil</f>
        <v>56.5900516240309</v>
      </c>
      <c r="AK128" s="17" t="n">
        <f aca="false">AK112*$J$26*p_hr_oil</f>
        <v>56.4236959242144</v>
      </c>
      <c r="AL128" s="17" t="n">
        <f aca="false">AL112*$J$26*p_hr_oil</f>
        <v>56.2050869012391</v>
      </c>
      <c r="AM128" s="17" t="n">
        <f aca="false">AM112*$J$26*p_hr_oil</f>
        <v>55.9319030283608</v>
      </c>
      <c r="AN128" s="17" t="n">
        <f aca="false">AN112*$J$26*p_hr_oil</f>
        <v>55.6017074642415</v>
      </c>
    </row>
    <row r="129" customFormat="false" ht="15" hidden="false" customHeight="false" outlineLevel="0" collapsed="false">
      <c r="A129" s="9" t="n">
        <v>7</v>
      </c>
      <c r="B129" s="9"/>
      <c r="C129" s="9" t="s">
        <v>521</v>
      </c>
      <c r="D129" s="9" t="s">
        <v>567</v>
      </c>
      <c r="E129" s="9" t="s">
        <v>301</v>
      </c>
      <c r="F129" s="9" t="s">
        <v>425</v>
      </c>
      <c r="G129" s="18"/>
      <c r="H129" s="18" t="s">
        <v>568</v>
      </c>
      <c r="I129" s="9"/>
      <c r="J129" s="9"/>
      <c r="K129" s="17"/>
      <c r="L129" s="17"/>
      <c r="M129" s="17"/>
      <c r="N129" s="19" t="n">
        <f aca="false">p_om_vre*(N116*p_capex_sol24+N118*p_capex_wnd24)/1000+N112*p_om_fos</f>
        <v>18.5576302976774</v>
      </c>
      <c r="O129" s="17" t="n">
        <f aca="false">p_om_vre*(O116*p_capex_sol24+O118*p_capex_wnd24)/1000+O112*p_om_fos</f>
        <v>19.6518554167505</v>
      </c>
      <c r="P129" s="17" t="n">
        <f aca="false">p_om_vre*(P116*p_capex_sol24+P118*p_capex_wnd24)/1000+P112*p_om_fos</f>
        <v>20.6117452420496</v>
      </c>
      <c r="Q129" s="17" t="n">
        <f aca="false">p_om_vre*(Q116*p_capex_sol24+Q118*p_capex_wnd24)/1000+Q112*p_om_fos</f>
        <v>21.5846129996041</v>
      </c>
      <c r="R129" s="17" t="n">
        <f aca="false">p_om_vre*(R116*p_capex_sol24+R118*p_capex_wnd24)/1000+R112*p_om_fos</f>
        <v>22.5681370609104</v>
      </c>
      <c r="S129" s="17" t="n">
        <f aca="false">p_om_vre*(S116*p_capex_sol24+S118*p_capex_wnd24)/1000+S112*p_om_fos</f>
        <v>23.5598510909527</v>
      </c>
      <c r="T129" s="17" t="n">
        <f aca="false">p_om_vre*(T116*p_capex_sol24+T118*p_capex_wnd24)/1000+T112*p_om_fos</f>
        <v>24.5571518244316</v>
      </c>
      <c r="U129" s="17" t="n">
        <f aca="false">p_om_vre*(U116*p_capex_sol24+U118*p_capex_wnd24)/1000+U112*p_om_fos</f>
        <v>25.5573081242232</v>
      </c>
      <c r="V129" s="17" t="n">
        <f aca="false">p_om_vre*(V116*p_capex_sol24+V118*p_capex_wnd24)/1000+V112*p_om_fos</f>
        <v>26.5574713022837</v>
      </c>
      <c r="W129" s="17" t="n">
        <f aca="false">p_om_vre*(W116*p_capex_sol24+W118*p_capex_wnd24)/1000+W112*p_om_fos</f>
        <v>27.5546866700494</v>
      </c>
      <c r="X129" s="17" t="n">
        <f aca="false">p_om_vre*(X116*p_capex_sol24+X118*p_capex_wnd24)/1000+X112*p_om_fos</f>
        <v>28.5459062719987</v>
      </c>
      <c r="Y129" s="17" t="n">
        <f aca="false">p_om_vre*(Y116*p_capex_sol24+Y118*p_capex_wnd24)/1000+Y112*p_om_fos</f>
        <v>29.5280027425989</v>
      </c>
      <c r="Z129" s="17" t="n">
        <f aca="false">p_om_vre*(Z116*p_capex_sol24+Z118*p_capex_wnd24)/1000+Z112*p_om_fos</f>
        <v>30.4926112323411</v>
      </c>
      <c r="AA129" s="17" t="n">
        <f aca="false">p_om_vre*(AA116*p_capex_sol24+AA118*p_capex_wnd24)/1000+AA112*p_om_fos</f>
        <v>31.4366869798174</v>
      </c>
      <c r="AB129" s="17" t="n">
        <f aca="false">p_om_vre*(AB116*p_capex_sol24+AB118*p_capex_wnd24)/1000+AB112*p_om_fos</f>
        <v>32.3571689137909</v>
      </c>
      <c r="AC129" s="17" t="n">
        <f aca="false">p_om_vre*(AC116*p_capex_sol24+AC118*p_capex_wnd24)/1000+AC112*p_om_fos</f>
        <v>33.250996260771</v>
      </c>
      <c r="AD129" s="17" t="n">
        <f aca="false">p_om_vre*(AD116*p_capex_sol24+AD118*p_capex_wnd24)/1000+AD112*p_om_fos</f>
        <v>34.1151257077949</v>
      </c>
      <c r="AE129" s="17" t="n">
        <f aca="false">p_om_vre*(AE116*p_capex_sol24+AE118*p_capex_wnd24)/1000+AE112*p_om_fos</f>
        <v>34.9969851771473</v>
      </c>
      <c r="AF129" s="17" t="n">
        <f aca="false">p_om_vre*(AF116*p_capex_sol24+AF118*p_capex_wnd24)/1000+AF112*p_om_fos</f>
        <v>35.8971479316938</v>
      </c>
      <c r="AG129" s="17" t="n">
        <f aca="false">p_om_vre*(AG116*p_capex_sol24+AG118*p_capex_wnd24)/1000+AG112*p_om_fos</f>
        <v>36.8161879331021</v>
      </c>
      <c r="AH129" s="17" t="n">
        <f aca="false">p_om_vre*(AH116*p_capex_sol24+AH118*p_capex_wnd24)/1000+AH112*p_om_fos</f>
        <v>37.7546807144035</v>
      </c>
      <c r="AI129" s="17" t="n">
        <f aca="false">p_om_vre*(AI116*p_capex_sol24+AI118*p_capex_wnd24)/1000+AI112*p_om_fos</f>
        <v>38.7132042092712</v>
      </c>
      <c r="AJ129" s="17" t="n">
        <f aca="false">p_om_vre*(AJ116*p_capex_sol24+AJ118*p_capex_wnd24)/1000+AJ112*p_om_fos</f>
        <v>39.692339541504</v>
      </c>
      <c r="AK129" s="17" t="n">
        <f aca="false">p_om_vre*(AK116*p_capex_sol24+AK118*p_capex_wnd24)/1000+AK112*p_om_fos</f>
        <v>40.6926717779559</v>
      </c>
      <c r="AL129" s="17" t="n">
        <f aca="false">p_om_vre*(AL116*p_capex_sol24+AL118*p_capex_wnd24)/1000+AL112*p_om_fos</f>
        <v>41.7147906479309</v>
      </c>
      <c r="AM129" s="17" t="n">
        <f aca="false">p_om_vre*(AM116*p_capex_sol24+AM118*p_capex_wnd24)/1000+AM112*p_om_fos</f>
        <v>42.7592912318478</v>
      </c>
      <c r="AN129" s="17" t="n">
        <f aca="false">p_om_vre*(AN116*p_capex_sol24+AN118*p_capex_wnd24)/1000+AN112*p_om_fos</f>
        <v>43.8267746217882</v>
      </c>
    </row>
    <row r="130" customFormat="false" ht="15" hidden="false" customHeight="false" outlineLevel="0" collapsed="false">
      <c r="A130" s="9" t="n">
        <v>7</v>
      </c>
      <c r="B130" s="9" t="s">
        <v>448</v>
      </c>
      <c r="C130" s="9" t="s">
        <v>521</v>
      </c>
      <c r="D130" s="9" t="s">
        <v>528</v>
      </c>
      <c r="E130" s="9" t="s">
        <v>433</v>
      </c>
      <c r="F130" s="9" t="s">
        <v>425</v>
      </c>
      <c r="G130" s="18"/>
      <c r="H130" s="18" t="s">
        <v>569</v>
      </c>
      <c r="I130" s="9"/>
      <c r="J130" s="9"/>
      <c r="K130" s="17"/>
      <c r="L130" s="17"/>
      <c r="M130" s="17"/>
      <c r="N130" s="19" t="n">
        <f aca="false">N56+N60+N76</f>
        <v>5864.66567288246</v>
      </c>
      <c r="O130" s="17" t="n">
        <f aca="false">O56+O60+O76+O90+O101</f>
        <v>6388.31913322454</v>
      </c>
      <c r="P130" s="17" t="n">
        <f aca="false">P56+P60+P76+P90+P101</f>
        <v>6894.19791241174</v>
      </c>
      <c r="Q130" s="17" t="n">
        <f aca="false">Q56+Q60+Q76+Q90+Q101</f>
        <v>7424.17229869922</v>
      </c>
      <c r="R130" s="17" t="n">
        <f aca="false">R56+R60+R76+R90+R101</f>
        <v>7977.68025632506</v>
      </c>
      <c r="S130" s="17" t="n">
        <f aca="false">S56+S60+S76+S90+S101</f>
        <v>8554.03064095882</v>
      </c>
      <c r="T130" s="17" t="n">
        <f aca="false">T56+T60+T76+T90+T101</f>
        <v>9152.40090110789</v>
      </c>
      <c r="U130" s="17" t="n">
        <f aca="false">U56+U60+U76+U90+U101</f>
        <v>9771.83556335095</v>
      </c>
      <c r="V130" s="17" t="n">
        <f aca="false">V56+V60+V76+V90+V101</f>
        <v>10411.2455570674</v>
      </c>
      <c r="W130" s="17" t="n">
        <f aca="false">W56+W60+W76+W90+W101</f>
        <v>11069.4084290955</v>
      </c>
      <c r="X130" s="17" t="n">
        <f aca="false">X56+X60+X76+X90+X101</f>
        <v>11744.9694926072</v>
      </c>
      <c r="Y130" s="17" t="n">
        <f aca="false">Y56+Y60+Y76+Y90+Y101</f>
        <v>12436.4439474662</v>
      </c>
      <c r="Z130" s="17" t="n">
        <f aca="false">Z56+Z60+Z76+Z90+Z101</f>
        <v>13142.2200014742</v>
      </c>
      <c r="AA130" s="17" t="n">
        <f aca="false">AA56+AA60+AA76+AA90+AA101</f>
        <v>13860.5630132789</v>
      </c>
      <c r="AB130" s="17" t="n">
        <f aca="false">AB56+AB60+AB76+AB90+AB101</f>
        <v>14589.6206683744</v>
      </c>
      <c r="AC130" s="17" t="n">
        <f aca="false">AC56+AC60+AC76+AC90+AC101</f>
        <v>15327.4291896783</v>
      </c>
      <c r="AD130" s="17" t="n">
        <f aca="false">AD56+AD60+AD76+AD90+AD101</f>
        <v>16071.920573705</v>
      </c>
      <c r="AE130" s="17" t="n">
        <f aca="false">AE56+AE60+AE76+AE90+AE101</f>
        <v>16833.2889932646</v>
      </c>
      <c r="AF130" s="17" t="n">
        <f aca="false">AF56+AF60+AF76+AF90+AF101</f>
        <v>17612.514637683</v>
      </c>
      <c r="AG130" s="17" t="n">
        <f aca="false">AG56+AG60+AG76+AG90+AG101</f>
        <v>18410.5751024649</v>
      </c>
      <c r="AH130" s="17" t="n">
        <f aca="false">AH56+AH60+AH76+AH90+AH101</f>
        <v>19228.4475645504</v>
      </c>
      <c r="AI130" s="17" t="n">
        <f aca="false">AI56+AI60+AI76+AI90+AI101</f>
        <v>20067.1108671936</v>
      </c>
      <c r="AJ130" s="17" t="n">
        <f aca="false">AJ56+AJ60+AJ76+AJ90+AJ101</f>
        <v>20927.5475226284</v>
      </c>
      <c r="AK130" s="17" t="n">
        <f aca="false">AK56+AK60+AK76+AK90+AK101</f>
        <v>21810.7456401745</v>
      </c>
      <c r="AL130" s="17" t="n">
        <f aca="false">AL56+AL60+AL76+AL90+AL101</f>
        <v>22717.7007869633</v>
      </c>
      <c r="AM130" s="17" t="n">
        <f aca="false">AM56+AM60+AM76+AM90+AM101</f>
        <v>23649.4177880225</v>
      </c>
      <c r="AN130" s="17" t="n">
        <f aca="false">AN56+AN60+AN76+AN90+AN101</f>
        <v>24606.9124720542</v>
      </c>
    </row>
    <row r="131" customFormat="false" ht="15" hidden="false" customHeight="false" outlineLevel="0" collapsed="false">
      <c r="A131" s="9" t="n">
        <v>7</v>
      </c>
      <c r="B131" s="9" t="s">
        <v>448</v>
      </c>
      <c r="C131" s="9" t="s">
        <v>521</v>
      </c>
      <c r="D131" s="9" t="s">
        <v>530</v>
      </c>
      <c r="E131" s="9" t="s">
        <v>352</v>
      </c>
      <c r="F131" s="9" t="s">
        <v>425</v>
      </c>
      <c r="G131" s="18"/>
      <c r="H131" s="18" t="s">
        <v>570</v>
      </c>
      <c r="I131" s="9"/>
      <c r="J131" s="9"/>
      <c r="K131" s="17"/>
      <c r="L131" s="17"/>
      <c r="M131" s="17"/>
      <c r="N131" s="19" t="n">
        <f aca="false">$J$20*N130/3.6</f>
        <v>2085.90586282925</v>
      </c>
      <c r="O131" s="17" t="n">
        <f aca="false">$J$20*O130/3.6</f>
        <v>2272.15549476803</v>
      </c>
      <c r="P131" s="17" t="n">
        <f aca="false">$J$20*P130/3.6</f>
        <v>2452.08314456854</v>
      </c>
      <c r="Q131" s="17" t="n">
        <f aca="false">$J$20*Q130/3.6</f>
        <v>2640.58096203459</v>
      </c>
      <c r="R131" s="17" t="n">
        <f aca="false">$J$20*R130/3.6</f>
        <v>2837.44904596868</v>
      </c>
      <c r="S131" s="17" t="n">
        <f aca="false">$J$20*S130/3.6</f>
        <v>3042.44157468354</v>
      </c>
      <c r="T131" s="17" t="n">
        <f aca="false">$J$20*T130/3.6</f>
        <v>3255.26598845343</v>
      </c>
      <c r="U131" s="17" t="n">
        <f aca="false">$J$20*U130/3.6</f>
        <v>3475.58245075186</v>
      </c>
      <c r="V131" s="17" t="n">
        <f aca="false">$J$20*V130/3.6</f>
        <v>3703.00360807578</v>
      </c>
      <c r="W131" s="17" t="n">
        <f aca="false">$J$20*W130/3.6</f>
        <v>3937.09466629379</v>
      </c>
      <c r="X131" s="17" t="n">
        <f aca="false">$J$20*X130/3.6</f>
        <v>4177.37379927047</v>
      </c>
      <c r="Y131" s="17" t="n">
        <f aca="false">$J$20*Y130/3.6</f>
        <v>4423.3129030213</v>
      </c>
      <c r="Z131" s="17" t="n">
        <f aca="false">$J$20*Z130/3.6</f>
        <v>4674.33870585727</v>
      </c>
      <c r="AA131" s="17" t="n">
        <f aca="false">$J$20*AA130/3.6</f>
        <v>4929.83424190704</v>
      </c>
      <c r="AB131" s="17" t="n">
        <f aca="false">$J$20*AB130/3.6</f>
        <v>5189.14069208304</v>
      </c>
      <c r="AC131" s="17" t="n">
        <f aca="false">$J$20*AC130/3.6</f>
        <v>5451.55959301875</v>
      </c>
      <c r="AD131" s="17" t="n">
        <f aca="false">$J$20*AD130/3.6</f>
        <v>5716.35541078341</v>
      </c>
      <c r="AE131" s="17" t="n">
        <f aca="false">$J$20*AE130/3.6</f>
        <v>5987.15394197263</v>
      </c>
      <c r="AF131" s="17" t="n">
        <f aca="false">$J$20*AF130/3.6</f>
        <v>6264.3038139039</v>
      </c>
      <c r="AG131" s="17" t="n">
        <f aca="false">$J$20*AG130/3.6</f>
        <v>6548.15273134145</v>
      </c>
      <c r="AH131" s="17" t="n">
        <f aca="false">$J$20*AH130/3.6</f>
        <v>6839.04825017709</v>
      </c>
      <c r="AI131" s="17" t="n">
        <f aca="false">$J$20*AI130/3.6</f>
        <v>7137.33851896634</v>
      </c>
      <c r="AJ131" s="17" t="n">
        <f aca="false">$J$20*AJ130/3.6</f>
        <v>7443.37299122338</v>
      </c>
      <c r="AK131" s="17" t="n">
        <f aca="false">$J$20*AK130/3.6</f>
        <v>7757.50311119726</v>
      </c>
      <c r="AL131" s="17" t="n">
        <f aca="false">$J$20*AL130/3.6</f>
        <v>8080.08297568254</v>
      </c>
      <c r="AM131" s="17" t="n">
        <f aca="false">$J$20*AM130/3.6</f>
        <v>8411.46997426177</v>
      </c>
      <c r="AN131" s="17" t="n">
        <f aca="false">$J$20*AN130/3.6</f>
        <v>8752.02541023223</v>
      </c>
    </row>
    <row r="132" customFormat="false" ht="15" hidden="false" customHeight="false" outlineLevel="0" collapsed="false">
      <c r="A132" s="9" t="n">
        <v>7</v>
      </c>
      <c r="B132" s="9"/>
      <c r="C132" s="9" t="s">
        <v>521</v>
      </c>
      <c r="D132" s="9" t="s">
        <v>532</v>
      </c>
      <c r="E132" s="9" t="s">
        <v>97</v>
      </c>
      <c r="F132" s="9" t="s">
        <v>425</v>
      </c>
      <c r="G132" s="18"/>
      <c r="H132" s="18" t="s">
        <v>571</v>
      </c>
      <c r="I132" s="9"/>
      <c r="J132" s="9"/>
      <c r="K132" s="17"/>
      <c r="L132" s="17"/>
      <c r="M132" s="17"/>
      <c r="N132" s="19" t="n">
        <f aca="false">$J$21</f>
        <v>0.733469446579554</v>
      </c>
      <c r="O132" s="17" t="n">
        <f aca="false">MIN(O111,$J$21*MAX(0,1-(O$1-2024)/($J$13-2024)))</f>
        <v>0.698542330075766</v>
      </c>
      <c r="P132" s="17" t="n">
        <f aca="false">MIN(P111,$J$21*MAX(0,1-(P$1-2024)/($J$13-2024)))</f>
        <v>0.663615213571978</v>
      </c>
      <c r="Q132" s="17" t="n">
        <f aca="false">MIN(Q111,$J$21*MAX(0,1-(Q$1-2024)/($J$13-2024)))</f>
        <v>0.628688097068189</v>
      </c>
      <c r="R132" s="17" t="n">
        <f aca="false">MIN(R111,$J$21*MAX(0,1-(R$1-2024)/($J$13-2024)))</f>
        <v>0.593760980564401</v>
      </c>
      <c r="S132" s="17" t="n">
        <f aca="false">MIN(S111,$J$21*MAX(0,1-(S$1-2024)/($J$13-2024)))</f>
        <v>0.558833864060613</v>
      </c>
      <c r="T132" s="17" t="n">
        <f aca="false">MIN(T111,$J$21*MAX(0,1-(T$1-2024)/($J$13-2024)))</f>
        <v>0.523906747556824</v>
      </c>
      <c r="U132" s="17" t="n">
        <f aca="false">MIN(U111,$J$21*MAX(0,1-(U$1-2024)/($J$13-2024)))</f>
        <v>0.488979631053036</v>
      </c>
      <c r="V132" s="17" t="n">
        <f aca="false">MIN(V111,$J$21*MAX(0,1-(V$1-2024)/($J$13-2024)))</f>
        <v>0.454052514549248</v>
      </c>
      <c r="W132" s="17" t="n">
        <f aca="false">MIN(W111,$J$21*MAX(0,1-(W$1-2024)/($J$13-2024)))</f>
        <v>0.41912539804546</v>
      </c>
      <c r="X132" s="17" t="n">
        <f aca="false">MIN(X111,$J$21*MAX(0,1-(X$1-2024)/($J$13-2024)))</f>
        <v>0.384198281541671</v>
      </c>
      <c r="Y132" s="17" t="n">
        <f aca="false">MIN(Y111,$J$21*MAX(0,1-(Y$1-2024)/($J$13-2024)))</f>
        <v>0.349271165037883</v>
      </c>
      <c r="Z132" s="17" t="n">
        <f aca="false">MIN(Z111,$J$21*MAX(0,1-(Z$1-2024)/($J$13-2024)))</f>
        <v>0.314344048534095</v>
      </c>
      <c r="AA132" s="17" t="n">
        <f aca="false">MIN(AA111,$J$21*MAX(0,1-(AA$1-2024)/($J$13-2024)))</f>
        <v>0.279416932030306</v>
      </c>
      <c r="AB132" s="17" t="n">
        <f aca="false">MIN(AB111,$J$21*MAX(0,1-(AB$1-2024)/($J$13-2024)))</f>
        <v>0.244489815526518</v>
      </c>
      <c r="AC132" s="17" t="n">
        <f aca="false">MIN(AC111,$J$21*MAX(0,1-(AC$1-2024)/($J$13-2024)))</f>
        <v>0.20956269902273</v>
      </c>
      <c r="AD132" s="17" t="n">
        <f aca="false">MIN(AD111,$J$21*MAX(0,1-(AD$1-2024)/($J$13-2024)))</f>
        <v>0.174635582518941</v>
      </c>
      <c r="AE132" s="17" t="n">
        <f aca="false">MIN(AE111,$J$21*MAX(0,1-(AE$1-2024)/($J$13-2024)))</f>
        <v>0.139708466015153</v>
      </c>
      <c r="AF132" s="17" t="n">
        <f aca="false">MIN(AF111,$J$21*MAX(0,1-(AF$1-2024)/($J$13-2024)))</f>
        <v>0.104781349511365</v>
      </c>
      <c r="AG132" s="17" t="n">
        <f aca="false">MIN(AG111,$J$21*MAX(0,1-(AG$1-2024)/($J$13-2024)))</f>
        <v>0.0698542330075766</v>
      </c>
      <c r="AH132" s="17" t="n">
        <f aca="false">MIN(AH111,$J$21*MAX(0,1-(AH$1-2024)/($J$13-2024)))</f>
        <v>0.0349271165037883</v>
      </c>
      <c r="AI132" s="17" t="n">
        <f aca="false">MIN(AI111,$J$21*MAX(0,1-(AI$1-2024)/($J$13-2024)))</f>
        <v>0</v>
      </c>
      <c r="AJ132" s="17" t="n">
        <f aca="false">MIN(AJ111,$J$21*MAX(0,1-(AJ$1-2024)/($J$13-2024)))</f>
        <v>0</v>
      </c>
      <c r="AK132" s="17" t="n">
        <f aca="false">MIN(AK111,$J$21*MAX(0,1-(AK$1-2024)/($J$13-2024)))</f>
        <v>0</v>
      </c>
      <c r="AL132" s="17" t="n">
        <f aca="false">MIN(AL111,$J$21*MAX(0,1-(AL$1-2024)/($J$13-2024)))</f>
        <v>0</v>
      </c>
      <c r="AM132" s="17" t="n">
        <f aca="false">MIN(AM111,$J$21*MAX(0,1-(AM$1-2024)/($J$13-2024)))</f>
        <v>0</v>
      </c>
      <c r="AN132" s="17" t="n">
        <f aca="false">MIN(AN111,$J$21*MAX(0,1-(AN$1-2024)/($J$13-2024)))</f>
        <v>0</v>
      </c>
    </row>
    <row r="133" customFormat="false" ht="15" hidden="false" customHeight="false" outlineLevel="0" collapsed="false">
      <c r="A133" s="9" t="n">
        <v>7</v>
      </c>
      <c r="B133" s="9"/>
      <c r="C133" s="9" t="s">
        <v>521</v>
      </c>
      <c r="D133" s="9" t="s">
        <v>534</v>
      </c>
      <c r="E133" s="9" t="s">
        <v>352</v>
      </c>
      <c r="F133" s="9" t="s">
        <v>425</v>
      </c>
      <c r="G133" s="18"/>
      <c r="H133" s="18" t="s">
        <v>572</v>
      </c>
      <c r="I133" s="9"/>
      <c r="J133" s="9"/>
      <c r="K133" s="17"/>
      <c r="L133" s="17"/>
      <c r="M133" s="17"/>
      <c r="N133" s="19" t="n">
        <f aca="false">MIN(N131*N132,MAX(0,N131-$J$23))</f>
        <v>1529.94821882642</v>
      </c>
      <c r="O133" s="17" t="n">
        <f aca="false">MIN(O131*O132,MAX(0,O131-$J$23))</f>
        <v>1587.19679360971</v>
      </c>
      <c r="P133" s="17" t="n">
        <f aca="false">MIN(P131*P132,MAX(0,P131-$J$23))</f>
        <v>1627.2396796791</v>
      </c>
      <c r="Q133" s="17" t="n">
        <f aca="false">MIN(Q131*Q132,MAX(0,Q131-$J$23))</f>
        <v>1660.10182017601</v>
      </c>
      <c r="R133" s="17" t="n">
        <f aca="false">MIN(R131*R132,MAX(0,R131-$J$23))</f>
        <v>1684.76652783589</v>
      </c>
      <c r="S133" s="17" t="n">
        <f aca="false">MIN(S131*S132,MAX(0,S131-$J$23))</f>
        <v>1700.21938135906</v>
      </c>
      <c r="T133" s="17" t="n">
        <f aca="false">MIN(T131*T132,MAX(0,T131-$J$23))</f>
        <v>1705.45581644299</v>
      </c>
      <c r="U133" s="17" t="n">
        <f aca="false">MIN(U131*U132,MAX(0,U131-$J$23))</f>
        <v>1699.48902446305</v>
      </c>
      <c r="V133" s="17" t="n">
        <f aca="false">MIN(V131*V132,MAX(0,V131-$J$23))</f>
        <v>1681.35809963174</v>
      </c>
      <c r="W133" s="17" t="n">
        <f aca="false">MIN(W131*W132,MAX(0,W131-$J$23))</f>
        <v>1650.13636915304</v>
      </c>
      <c r="X133" s="17" t="n">
        <f aca="false">MIN(X131*X132,MAX(0,X131-$J$23))</f>
        <v>1604.93983503692</v>
      </c>
      <c r="Y133" s="17" t="n">
        <f aca="false">MIN(Y131*Y132,MAX(0,Y131-$J$23))</f>
        <v>1544.93565096535</v>
      </c>
      <c r="Z133" s="17" t="n">
        <f aca="false">MIN(Z131*Z132,MAX(0,Z131-$J$23))</f>
        <v>1469.3505530188</v>
      </c>
      <c r="AA133" s="17" t="n">
        <f aca="false">MIN(AA131*AA132,MAX(0,AA131-$J$23))</f>
        <v>1377.47915929162</v>
      </c>
      <c r="AB133" s="17" t="n">
        <f aca="false">MIN(AB131*AB132,MAX(0,AB131-$J$23))</f>
        <v>1268.69205054853</v>
      </c>
      <c r="AC133" s="17" t="n">
        <f aca="false">MIN(AC131*AC132,MAX(0,AC131-$J$23))</f>
        <v>1142.44354219626</v>
      </c>
      <c r="AD133" s="17" t="n">
        <f aca="false">MIN(AD131*AD132,MAX(0,AD131-$J$23))</f>
        <v>998.279057047464</v>
      </c>
      <c r="AE133" s="17" t="n">
        <f aca="false">MIN(AE131*AE132,MAX(0,AE131-$J$23))</f>
        <v>836.456093029573</v>
      </c>
      <c r="AF133" s="17" t="n">
        <f aca="false">MIN(AF131*AF132,MAX(0,AF131-$J$23))</f>
        <v>656.382207370041</v>
      </c>
      <c r="AG133" s="17" t="n">
        <f aca="false">MIN(AG131*AG132,MAX(0,AG131-$J$23))</f>
        <v>457.416186664324</v>
      </c>
      <c r="AH133" s="17" t="n">
        <f aca="false">MIN(AH131*AH132,MAX(0,AH131-$J$23))</f>
        <v>238.868235008965</v>
      </c>
      <c r="AI133" s="17" t="n">
        <f aca="false">MIN(AI131*AI132,MAX(0,AI131-$J$23))</f>
        <v>0</v>
      </c>
      <c r="AJ133" s="17" t="n">
        <f aca="false">MIN(AJ131*AJ132,MAX(0,AJ131-$J$23))</f>
        <v>0</v>
      </c>
      <c r="AK133" s="17" t="n">
        <f aca="false">MIN(AK131*AK132,MAX(0,AK131-$J$23))</f>
        <v>0</v>
      </c>
      <c r="AL133" s="17" t="n">
        <f aca="false">MIN(AL131*AL132,MAX(0,AL131-$J$23))</f>
        <v>0</v>
      </c>
      <c r="AM133" s="17" t="n">
        <f aca="false">MIN(AM131*AM132,MAX(0,AM131-$J$23))</f>
        <v>0</v>
      </c>
      <c r="AN133" s="17" t="n">
        <f aca="false">MIN(AN131*AN132,MAX(0,AN131-$J$23))</f>
        <v>0</v>
      </c>
    </row>
    <row r="134" customFormat="false" ht="15" hidden="false" customHeight="false" outlineLevel="0" collapsed="false">
      <c r="A134" s="9" t="n">
        <v>7</v>
      </c>
      <c r="B134" s="9"/>
      <c r="C134" s="9" t="s">
        <v>521</v>
      </c>
      <c r="D134" s="9" t="s">
        <v>536</v>
      </c>
      <c r="E134" s="9" t="s">
        <v>352</v>
      </c>
      <c r="F134" s="9" t="s">
        <v>425</v>
      </c>
      <c r="G134" s="18"/>
      <c r="H134" s="18" t="s">
        <v>573</v>
      </c>
      <c r="I134" s="9"/>
      <c r="J134" s="9"/>
      <c r="K134" s="17"/>
      <c r="L134" s="17"/>
      <c r="M134" s="17"/>
      <c r="N134" s="19" t="n">
        <f aca="false">MAX(0,N131-$J$23-N133)</f>
        <v>301.117644002833</v>
      </c>
      <c r="O134" s="17" t="n">
        <f aca="false">MAX(0,O131-$J$23-O133)</f>
        <v>430.118701158316</v>
      </c>
      <c r="P134" s="17" t="n">
        <f aca="false">MAX(0,P131-$J$23-P133)</f>
        <v>570.003464889443</v>
      </c>
      <c r="Q134" s="17" t="n">
        <f aca="false">MAX(0,Q131-$J$23-Q133)</f>
        <v>725.639141858575</v>
      </c>
      <c r="R134" s="17" t="n">
        <f aca="false">MAX(0,R131-$J$23-R133)</f>
        <v>897.842518132792</v>
      </c>
      <c r="S134" s="17" t="n">
        <f aca="false">MAX(0,S131-$J$23-S133)</f>
        <v>1087.38219332448</v>
      </c>
      <c r="T134" s="17" t="n">
        <f aca="false">MAX(0,T131-$J$23-T133)</f>
        <v>1294.97017201044</v>
      </c>
      <c r="U134" s="17" t="n">
        <f aca="false">MAX(0,U131-$J$23-U133)</f>
        <v>1521.25342628881</v>
      </c>
      <c r="V134" s="17" t="n">
        <f aca="false">MAX(0,V131-$J$23-V133)</f>
        <v>1766.80550844403</v>
      </c>
      <c r="W134" s="17" t="n">
        <f aca="false">MAX(0,W131-$J$23-W133)</f>
        <v>2032.11829714075</v>
      </c>
      <c r="X134" s="17" t="n">
        <f aca="false">MAX(0,X131-$J$23-X133)</f>
        <v>2317.59396423355</v>
      </c>
      <c r="Y134" s="17" t="n">
        <f aca="false">MAX(0,Y131-$J$23-Y133)</f>
        <v>2623.53725205595</v>
      </c>
      <c r="Z134" s="17" t="n">
        <f aca="false">MAX(0,Z131-$J$23-Z133)</f>
        <v>2950.14815283848</v>
      </c>
      <c r="AA134" s="17" t="n">
        <f aca="false">MAX(0,AA131-$J$23-AA133)</f>
        <v>3297.51508261542</v>
      </c>
      <c r="AB134" s="17" t="n">
        <f aca="false">MAX(0,AB131-$J$23-AB133)</f>
        <v>3665.60864153451</v>
      </c>
      <c r="AC134" s="17" t="n">
        <f aca="false">MAX(0,AC131-$J$23-AC133)</f>
        <v>4054.27605082248</v>
      </c>
      <c r="AD134" s="17" t="n">
        <f aca="false">MAX(0,AD131-$J$23-AD133)</f>
        <v>4463.23635373595</v>
      </c>
      <c r="AE134" s="17" t="n">
        <f aca="false">MAX(0,AE131-$J$23-AE133)</f>
        <v>4895.85784894305</v>
      </c>
      <c r="AF134" s="17" t="n">
        <f aca="false">MAX(0,AF131-$J$23-AF133)</f>
        <v>5353.08160653386</v>
      </c>
      <c r="AG134" s="17" t="n">
        <f aca="false">MAX(0,AG131-$J$23-AG133)</f>
        <v>5835.89654467712</v>
      </c>
      <c r="AH134" s="17" t="n">
        <f aca="false">MAX(0,AH131-$J$23-AH133)</f>
        <v>6345.34001516813</v>
      </c>
      <c r="AI134" s="17" t="n">
        <f aca="false">MAX(0,AI131-$J$23-AI133)</f>
        <v>6882.49851896634</v>
      </c>
      <c r="AJ134" s="17" t="n">
        <f aca="false">MAX(0,AJ131-$J$23-AJ133)</f>
        <v>7188.53299122338</v>
      </c>
      <c r="AK134" s="17" t="n">
        <f aca="false">MAX(0,AK131-$J$23-AK133)</f>
        <v>7502.66311119726</v>
      </c>
      <c r="AL134" s="17" t="n">
        <f aca="false">MAX(0,AL131-$J$23-AL133)</f>
        <v>7825.24297568254</v>
      </c>
      <c r="AM134" s="17" t="n">
        <f aca="false">MAX(0,AM131-$J$23-AM133)</f>
        <v>8156.62997426177</v>
      </c>
      <c r="AN134" s="17" t="n">
        <f aca="false">MAX(0,AN131-$J$23-AN133)</f>
        <v>8497.18541023223</v>
      </c>
    </row>
    <row r="135" customFormat="false" ht="15" hidden="false" customHeight="false" outlineLevel="0" collapsed="false">
      <c r="A135" s="9" t="n">
        <v>7</v>
      </c>
      <c r="B135" s="9"/>
      <c r="C135" s="9" t="s">
        <v>521</v>
      </c>
      <c r="D135" s="9" t="s">
        <v>538</v>
      </c>
      <c r="E135" s="9" t="s">
        <v>352</v>
      </c>
      <c r="F135" s="9" t="s">
        <v>425</v>
      </c>
      <c r="G135" s="18"/>
      <c r="H135" s="18" t="s">
        <v>574</v>
      </c>
      <c r="I135" s="9"/>
      <c r="J135" s="9"/>
      <c r="K135" s="17"/>
      <c r="L135" s="17"/>
      <c r="M135" s="17"/>
      <c r="N135" s="19" t="n">
        <f aca="false">INDEX(Data!$CJ:$CJ,$J$4)</f>
        <v>195.99</v>
      </c>
      <c r="O135" s="17" t="n">
        <f aca="false">N135+p_sh_sol*MAX(0,O134-N134)</f>
        <v>273.39063429329</v>
      </c>
      <c r="P135" s="17" t="n">
        <f aca="false">O135+p_sh_sol*MAX(0,P134-O134)</f>
        <v>357.321492531966</v>
      </c>
      <c r="Q135" s="17" t="n">
        <f aca="false">P135+p_sh_sol*MAX(0,Q134-P134)</f>
        <v>450.702898713445</v>
      </c>
      <c r="R135" s="17" t="n">
        <f aca="false">Q135+p_sh_sol*MAX(0,R134-Q134)</f>
        <v>554.024924477976</v>
      </c>
      <c r="S135" s="17" t="n">
        <f aca="false">R135+p_sh_sol*MAX(0,S134-R134)</f>
        <v>667.748729592991</v>
      </c>
      <c r="T135" s="17" t="n">
        <f aca="false">S135+p_sh_sol*MAX(0,T134-S134)</f>
        <v>792.301516804567</v>
      </c>
      <c r="U135" s="17" t="n">
        <f aca="false">T135+p_sh_sol*MAX(0,U134-T134)</f>
        <v>928.071469371584</v>
      </c>
      <c r="V135" s="17" t="n">
        <f aca="false">U135+p_sh_sol*MAX(0,V134-U134)</f>
        <v>1075.40271866472</v>
      </c>
      <c r="W135" s="17" t="n">
        <f aca="false">V135+p_sh_sol*MAX(0,W134-V134)</f>
        <v>1234.59039188275</v>
      </c>
      <c r="X135" s="17" t="n">
        <f aca="false">W135+p_sh_sol*MAX(0,X134-W134)</f>
        <v>1405.87579213843</v>
      </c>
      <c r="Y135" s="17" t="n">
        <f aca="false">X135+p_sh_sol*MAX(0,Y134-X134)</f>
        <v>1589.44176483187</v>
      </c>
      <c r="Z135" s="17" t="n">
        <f aca="false">Y135+p_sh_sol*MAX(0,Z134-Y134)</f>
        <v>1785.40830530139</v>
      </c>
      <c r="AA135" s="17" t="n">
        <f aca="false">Z135+p_sh_sol*MAX(0,AA134-Z134)</f>
        <v>1993.82846316755</v>
      </c>
      <c r="AB135" s="17" t="n">
        <f aca="false">AA135+p_sh_sol*MAX(0,AB134-AA134)</f>
        <v>2214.68459851901</v>
      </c>
      <c r="AC135" s="17" t="n">
        <f aca="false">AB135+p_sh_sol*MAX(0,AC134-AB134)</f>
        <v>2447.88504409179</v>
      </c>
      <c r="AD135" s="17" t="n">
        <f aca="false">AC135+p_sh_sol*MAX(0,AD134-AC134)</f>
        <v>2693.26122583987</v>
      </c>
      <c r="AE135" s="17" t="n">
        <f aca="false">AD135+p_sh_sol*MAX(0,AE134-AD134)</f>
        <v>2952.83412296413</v>
      </c>
      <c r="AF135" s="17" t="n">
        <f aca="false">AE135+p_sh_sol*MAX(0,AF134-AE134)</f>
        <v>3227.16837751862</v>
      </c>
      <c r="AG135" s="17" t="n">
        <f aca="false">AF135+p_sh_sol*MAX(0,AG134-AF134)</f>
        <v>3516.85734040457</v>
      </c>
      <c r="AH135" s="17" t="n">
        <f aca="false">AG135+p_sh_sol*MAX(0,AH134-AG134)</f>
        <v>3822.52342269918</v>
      </c>
      <c r="AI135" s="17" t="n">
        <f aca="false">AH135+p_sh_sol*MAX(0,AI134-AH134)</f>
        <v>4144.81852497811</v>
      </c>
      <c r="AJ135" s="17" t="n">
        <f aca="false">AI135+p_sh_sol*MAX(0,AJ134-AI134)</f>
        <v>4328.43920833233</v>
      </c>
      <c r="AK135" s="17" t="n">
        <f aca="false">AJ135+p_sh_sol*MAX(0,AK134-AJ134)</f>
        <v>4516.91728031666</v>
      </c>
      <c r="AL135" s="17" t="n">
        <f aca="false">AK135+p_sh_sol*MAX(0,AL134-AK134)</f>
        <v>4710.46519900783</v>
      </c>
      <c r="AM135" s="17" t="n">
        <f aca="false">AL135+p_sh_sol*MAX(0,AM134-AL134)</f>
        <v>4909.29739815536</v>
      </c>
      <c r="AN135" s="17" t="n">
        <f aca="false">AM135+p_sh_sol*MAX(0,AN134-AM134)</f>
        <v>5113.63065973764</v>
      </c>
    </row>
    <row r="136" customFormat="false" ht="15" hidden="false" customHeight="false" outlineLevel="0" collapsed="false">
      <c r="A136" s="9" t="n">
        <v>7</v>
      </c>
      <c r="B136" s="9"/>
      <c r="C136" s="9" t="s">
        <v>521</v>
      </c>
      <c r="D136" s="9" t="s">
        <v>540</v>
      </c>
      <c r="E136" s="9" t="s">
        <v>352</v>
      </c>
      <c r="F136" s="9" t="s">
        <v>425</v>
      </c>
      <c r="G136" s="18"/>
      <c r="H136" s="18" t="s">
        <v>575</v>
      </c>
      <c r="I136" s="9"/>
      <c r="J136" s="9"/>
      <c r="K136" s="17"/>
      <c r="L136" s="17"/>
      <c r="M136" s="17"/>
      <c r="N136" s="19" t="n">
        <f aca="false">INDEX(Data!$CL:$CL,$J$4)</f>
        <v>103.98</v>
      </c>
      <c r="O136" s="17" t="n">
        <f aca="false">N136+(1-p_sh_sol)*MAX(0,O134-N134)</f>
        <v>155.580422862193</v>
      </c>
      <c r="P136" s="17" t="n">
        <f aca="false">O136+(1-p_sh_sol)*MAX(0,P134-O134)</f>
        <v>211.534328354644</v>
      </c>
      <c r="Q136" s="17" t="n">
        <f aca="false">P136+(1-p_sh_sol)*MAX(0,Q134-P134)</f>
        <v>273.788599142297</v>
      </c>
      <c r="R136" s="17" t="n">
        <f aca="false">Q136+(1-p_sh_sol)*MAX(0,R134-Q134)</f>
        <v>342.669949651984</v>
      </c>
      <c r="S136" s="17" t="n">
        <f aca="false">R136+(1-p_sh_sol)*MAX(0,S134-R134)</f>
        <v>418.485819728661</v>
      </c>
      <c r="T136" s="17" t="n">
        <f aca="false">S136+(1-p_sh_sol)*MAX(0,T134-S134)</f>
        <v>501.521011203045</v>
      </c>
      <c r="U136" s="17" t="n">
        <f aca="false">T136+(1-p_sh_sol)*MAX(0,U134-T134)</f>
        <v>592.03431291439</v>
      </c>
      <c r="V136" s="17" t="n">
        <f aca="false">U136+(1-p_sh_sol)*MAX(0,V134-U134)</f>
        <v>690.25514577648</v>
      </c>
      <c r="W136" s="17" t="n">
        <f aca="false">V136+(1-p_sh_sol)*MAX(0,W134-V134)</f>
        <v>796.380261255167</v>
      </c>
      <c r="X136" s="17" t="n">
        <f aca="false">W136+(1-p_sh_sol)*MAX(0,X134-W134)</f>
        <v>910.570528092288</v>
      </c>
      <c r="Y136" s="17" t="n">
        <f aca="false">X136+(1-p_sh_sol)*MAX(0,Y134-X134)</f>
        <v>1032.94784322125</v>
      </c>
      <c r="Z136" s="17" t="n">
        <f aca="false">Y136+(1-p_sh_sol)*MAX(0,Z134-Y134)</f>
        <v>1163.59220353426</v>
      </c>
      <c r="AA136" s="17" t="n">
        <f aca="false">Z136+(1-p_sh_sol)*MAX(0,AA134-Z134)</f>
        <v>1302.53897544504</v>
      </c>
      <c r="AB136" s="17" t="n">
        <f aca="false">AA136+(1-p_sh_sol)*MAX(0,AB134-AA134)</f>
        <v>1449.77639901267</v>
      </c>
      <c r="AC136" s="17" t="n">
        <f aca="false">AB136+(1-p_sh_sol)*MAX(0,AC134-AB134)</f>
        <v>1605.24336272786</v>
      </c>
      <c r="AD136" s="17" t="n">
        <f aca="false">AC136+(1-p_sh_sol)*MAX(0,AD134-AC134)</f>
        <v>1768.82748389325</v>
      </c>
      <c r="AE136" s="17" t="n">
        <f aca="false">AD136+(1-p_sh_sol)*MAX(0,AE134-AD134)</f>
        <v>1941.87608197609</v>
      </c>
      <c r="AF136" s="17" t="n">
        <f aca="false">AE136+(1-p_sh_sol)*MAX(0,AF134-AE134)</f>
        <v>2124.76558501241</v>
      </c>
      <c r="AG136" s="17" t="n">
        <f aca="false">AF136+(1-p_sh_sol)*MAX(0,AG134-AF134)</f>
        <v>2317.89156026972</v>
      </c>
      <c r="AH136" s="17" t="n">
        <f aca="false">AG136+(1-p_sh_sol)*MAX(0,AH134-AG134)</f>
        <v>2521.66894846612</v>
      </c>
      <c r="AI136" s="17" t="n">
        <f aca="false">AH136+(1-p_sh_sol)*MAX(0,AI134-AH134)</f>
        <v>2736.5323499854</v>
      </c>
      <c r="AJ136" s="17" t="n">
        <f aca="false">AI136+(1-p_sh_sol)*MAX(0,AJ134-AI134)</f>
        <v>2858.94613888822</v>
      </c>
      <c r="AK136" s="17" t="n">
        <f aca="false">AJ136+(1-p_sh_sol)*MAX(0,AK134-AJ134)</f>
        <v>2984.59818687777</v>
      </c>
      <c r="AL136" s="17" t="n">
        <f aca="false">AK136+(1-p_sh_sol)*MAX(0,AL134-AK134)</f>
        <v>3113.63013267188</v>
      </c>
      <c r="AM136" s="17" t="n">
        <f aca="false">AL136+(1-p_sh_sol)*MAX(0,AM134-AL134)</f>
        <v>3246.18493210357</v>
      </c>
      <c r="AN136" s="17" t="n">
        <f aca="false">AM136+(1-p_sh_sol)*MAX(0,AN134-AM134)</f>
        <v>3382.40710649176</v>
      </c>
    </row>
    <row r="137" customFormat="false" ht="15" hidden="false" customHeight="false" outlineLevel="0" collapsed="false">
      <c r="A137" s="9" t="n">
        <v>7</v>
      </c>
      <c r="B137" s="9"/>
      <c r="C137" s="9" t="s">
        <v>521</v>
      </c>
      <c r="D137" s="9" t="s">
        <v>542</v>
      </c>
      <c r="E137" s="9" t="s">
        <v>543</v>
      </c>
      <c r="F137" s="9" t="s">
        <v>425</v>
      </c>
      <c r="G137" s="18"/>
      <c r="H137" s="18" t="s">
        <v>576</v>
      </c>
      <c r="I137" s="9"/>
      <c r="J137" s="9"/>
      <c r="K137" s="17"/>
      <c r="L137" s="17"/>
      <c r="M137" s="17"/>
      <c r="N137" s="19" t="n">
        <f aca="false">N135/($J$29*8.76)</f>
        <v>135.5</v>
      </c>
      <c r="O137" s="17" t="n">
        <f aca="false">O135/($J$29*8.76)</f>
        <v>189.011842169196</v>
      </c>
      <c r="P137" s="17" t="n">
        <f aca="false">P135/($J$29*8.76)</f>
        <v>247.038431746933</v>
      </c>
      <c r="Q137" s="17" t="n">
        <f aca="false">Q135/($J$29*8.76)</f>
        <v>311.598769200836</v>
      </c>
      <c r="R137" s="17" t="n">
        <f aca="false">R135/($J$29*8.76)</f>
        <v>383.031671344281</v>
      </c>
      <c r="S137" s="17" t="n">
        <f aca="false">S135/($J$29*8.76)</f>
        <v>461.655966426094</v>
      </c>
      <c r="T137" s="17" t="n">
        <f aca="false">T135/($J$29*8.76)</f>
        <v>547.767006107551</v>
      </c>
      <c r="U137" s="17" t="n">
        <f aca="false">U135/($J$29*8.76)</f>
        <v>641.633165466859</v>
      </c>
      <c r="V137" s="17" t="n">
        <f aca="false">V135/($J$29*8.76)</f>
        <v>743.492363789324</v>
      </c>
      <c r="W137" s="17" t="n">
        <f aca="false">W135/($J$29*8.76)</f>
        <v>853.548640747551</v>
      </c>
      <c r="X137" s="17" t="n">
        <f aca="false">X135/($J$29*8.76)</f>
        <v>971.968824096931</v>
      </c>
      <c r="Y137" s="17" t="n">
        <f aca="false">Y135/($J$29*8.76)</f>
        <v>1098.87932616316</v>
      </c>
      <c r="Z137" s="17" t="n">
        <f aca="false">Z135/($J$29*8.76)</f>
        <v>1234.36310713984</v>
      </c>
      <c r="AA137" s="17" t="n">
        <f aca="false">AA135/($J$29*8.76)</f>
        <v>1378.45684350836</v>
      </c>
      <c r="AB137" s="17" t="n">
        <f aca="false">AB135/($J$29*8.76)</f>
        <v>1531.14833970777</v>
      </c>
      <c r="AC137" s="17" t="n">
        <f aca="false">AC135/($J$29*8.76)</f>
        <v>1692.37422049308</v>
      </c>
      <c r="AD137" s="17" t="n">
        <f aca="false">AD135/($J$29*8.76)</f>
        <v>1862.01794020767</v>
      </c>
      <c r="AE137" s="17" t="n">
        <f aca="false">AE135/($J$29*8.76)</f>
        <v>2041.4767266781</v>
      </c>
      <c r="AF137" s="17" t="n">
        <f aca="false">AF135/($J$29*8.76)</f>
        <v>2231.14095185353</v>
      </c>
      <c r="AG137" s="17" t="n">
        <f aca="false">AG135/($J$29*8.76)</f>
        <v>2431.42083588356</v>
      </c>
      <c r="AH137" s="17" t="n">
        <f aca="false">AH135/($J$29*8.76)</f>
        <v>2642.74669001346</v>
      </c>
      <c r="AI137" s="17" t="n">
        <f aca="false">AI135/($J$29*8.76)</f>
        <v>2865.56921340136</v>
      </c>
      <c r="AJ137" s="17" t="n">
        <f aca="false">AJ135/($J$29*8.76)</f>
        <v>2992.51754032875</v>
      </c>
      <c r="AK137" s="17" t="n">
        <f aca="false">AK135/($J$29*8.76)</f>
        <v>3122.82408022301</v>
      </c>
      <c r="AL137" s="17" t="n">
        <f aca="false">AL135/($J$29*8.76)</f>
        <v>3256.63571848339</v>
      </c>
      <c r="AM137" s="17" t="n">
        <f aca="false">AM135/($J$29*8.76)</f>
        <v>3394.10070641385</v>
      </c>
      <c r="AN137" s="17" t="n">
        <f aca="false">AN135/($J$29*8.76)</f>
        <v>3535.36891879407</v>
      </c>
    </row>
    <row r="138" customFormat="false" ht="15" hidden="false" customHeight="false" outlineLevel="0" collapsed="false">
      <c r="A138" s="9" t="n">
        <v>7</v>
      </c>
      <c r="B138" s="9"/>
      <c r="C138" s="9" t="s">
        <v>521</v>
      </c>
      <c r="D138" s="9" t="s">
        <v>545</v>
      </c>
      <c r="E138" s="9" t="s">
        <v>543</v>
      </c>
      <c r="F138" s="9" t="s">
        <v>425</v>
      </c>
      <c r="G138" s="18"/>
      <c r="H138" s="18" t="s">
        <v>577</v>
      </c>
      <c r="I138" s="9"/>
      <c r="J138" s="9"/>
      <c r="K138" s="17"/>
      <c r="L138" s="17"/>
      <c r="M138" s="17"/>
      <c r="N138" s="19" t="n">
        <f aca="false">0</f>
        <v>0</v>
      </c>
      <c r="O138" s="17" t="n">
        <f aca="false">MAX(0,O137-N137)+N137/p_life_vre</f>
        <v>58.9318421691963</v>
      </c>
      <c r="P138" s="17" t="n">
        <f aca="false">MAX(0,P137-O137)+O137/p_life_vre</f>
        <v>65.5870632645046</v>
      </c>
      <c r="Q138" s="17" t="n">
        <f aca="false">MAX(0,Q137-P137)+P137/p_life_vre</f>
        <v>74.4418747237802</v>
      </c>
      <c r="R138" s="17" t="n">
        <f aca="false">MAX(0,R137-Q137)+Q137/p_life_vre</f>
        <v>83.8968529114789</v>
      </c>
      <c r="S138" s="17" t="n">
        <f aca="false">MAX(0,S137-R137)+R137/p_life_vre</f>
        <v>93.9455619355844</v>
      </c>
      <c r="T138" s="17" t="n">
        <f aca="false">MAX(0,T137-S137)+S137/p_life_vre</f>
        <v>104.5772783385</v>
      </c>
      <c r="U138" s="17" t="n">
        <f aca="false">MAX(0,U137-T137)+T137/p_life_vre</f>
        <v>115.77683960361</v>
      </c>
      <c r="V138" s="17" t="n">
        <f aca="false">MAX(0,V137-U137)+U137/p_life_vre</f>
        <v>127.524524941139</v>
      </c>
      <c r="W138" s="17" t="n">
        <f aca="false">MAX(0,W137-V137)+V137/p_life_vre</f>
        <v>139.7959715098</v>
      </c>
      <c r="X138" s="17" t="n">
        <f aca="false">MAX(0,X137-W137)+W137/p_life_vre</f>
        <v>152.562128979282</v>
      </c>
      <c r="Y138" s="17" t="n">
        <f aca="false">MAX(0,Y137-X137)+X137/p_life_vre</f>
        <v>165.789255030109</v>
      </c>
      <c r="Z138" s="17" t="n">
        <f aca="false">MAX(0,Z137-Y137)+Y137/p_life_vre</f>
        <v>179.438954023206</v>
      </c>
      <c r="AA138" s="17" t="n">
        <f aca="false">MAX(0,AA137-Z137)+Z137/p_life_vre</f>
        <v>193.468260654111</v>
      </c>
      <c r="AB138" s="17" t="n">
        <f aca="false">MAX(0,AB137-AA137)+AA137/p_life_vre</f>
        <v>207.82976993974</v>
      </c>
      <c r="AC138" s="17" t="n">
        <f aca="false">MAX(0,AC137-AB137)+AB137/p_life_vre</f>
        <v>222.471814373619</v>
      </c>
      <c r="AD138" s="17" t="n">
        <f aca="false">MAX(0,AD137-AC137)+AC137/p_life_vre</f>
        <v>237.338688534322</v>
      </c>
      <c r="AE138" s="17" t="n">
        <f aca="false">MAX(0,AE137-AD137)+AD137/p_life_vre</f>
        <v>253.939504078728</v>
      </c>
      <c r="AF138" s="17" t="n">
        <f aca="false">MAX(0,AF137-AE137)+AE137/p_life_vre</f>
        <v>271.323294242555</v>
      </c>
      <c r="AG138" s="17" t="n">
        <f aca="false">MAX(0,AG137-AF137)+AF137/p_life_vre</f>
        <v>289.525522104179</v>
      </c>
      <c r="AH138" s="17" t="n">
        <f aca="false">MAX(0,AH137-AG137)+AG137/p_life_vre</f>
        <v>308.582687565241</v>
      </c>
      <c r="AI138" s="17" t="n">
        <f aca="false">MAX(0,AI137-AH137)+AH137/p_life_vre</f>
        <v>328.532390988439</v>
      </c>
      <c r="AJ138" s="17" t="n">
        <f aca="false">MAX(0,AJ137-AI137)+AI137/p_life_vre</f>
        <v>241.571095463436</v>
      </c>
      <c r="AK138" s="17" t="n">
        <f aca="false">MAX(0,AK137-AJ137)+AJ137/p_life_vre</f>
        <v>250.007241507411</v>
      </c>
      <c r="AL138" s="17" t="n">
        <f aca="false">MAX(0,AL137-AK137)+AK137/p_life_vre</f>
        <v>258.724601469306</v>
      </c>
      <c r="AM138" s="17" t="n">
        <f aca="false">MAX(0,AM137-AL137)+AL137/p_life_vre</f>
        <v>267.730416669797</v>
      </c>
      <c r="AN138" s="17" t="n">
        <f aca="false">MAX(0,AN137-AM137)+AM137/p_life_vre</f>
        <v>277.03224063677</v>
      </c>
    </row>
    <row r="139" customFormat="false" ht="15" hidden="false" customHeight="false" outlineLevel="0" collapsed="false">
      <c r="A139" s="9" t="n">
        <v>7</v>
      </c>
      <c r="B139" s="9"/>
      <c r="C139" s="9" t="s">
        <v>521</v>
      </c>
      <c r="D139" s="9" t="s">
        <v>547</v>
      </c>
      <c r="E139" s="9" t="s">
        <v>543</v>
      </c>
      <c r="F139" s="9" t="s">
        <v>425</v>
      </c>
      <c r="G139" s="18"/>
      <c r="H139" s="18" t="s">
        <v>578</v>
      </c>
      <c r="I139" s="9"/>
      <c r="J139" s="9"/>
      <c r="K139" s="17"/>
      <c r="L139" s="17"/>
      <c r="M139" s="17"/>
      <c r="N139" s="19" t="n">
        <f aca="false">N136/($J$30*8.76)</f>
        <v>54.51</v>
      </c>
      <c r="O139" s="17" t="n">
        <f aca="false">O136/($J$30*8.76)</f>
        <v>81.5607698616865</v>
      </c>
      <c r="P139" s="17" t="n">
        <f aca="false">P136/($J$30*8.76)</f>
        <v>110.893789561566</v>
      </c>
      <c r="Q139" s="17" t="n">
        <f aca="false">Q136/($J$30*8.76)</f>
        <v>143.529683970442</v>
      </c>
      <c r="R139" s="17" t="n">
        <f aca="false">R136/($J$30*8.76)</f>
        <v>179.639728366317</v>
      </c>
      <c r="S139" s="17" t="n">
        <f aca="false">S136/($J$30*8.76)</f>
        <v>219.385093608476</v>
      </c>
      <c r="T139" s="17" t="n">
        <f aca="false">T136/($J$30*8.76)</f>
        <v>262.915082907078</v>
      </c>
      <c r="U139" s="17" t="n">
        <f aca="false">U136/($J$30*8.76)</f>
        <v>310.365362540521</v>
      </c>
      <c r="V139" s="17" t="n">
        <f aca="false">V136/($J$30*8.76)</f>
        <v>361.856203080169</v>
      </c>
      <c r="W139" s="17" t="n">
        <f aca="false">W136/($J$30*8.76)</f>
        <v>417.490748615302</v>
      </c>
      <c r="X139" s="17" t="n">
        <f aca="false">X136/($J$30*8.76)</f>
        <v>477.353332239956</v>
      </c>
      <c r="Y139" s="17" t="n">
        <f aca="false">Y136/($J$30*8.76)</f>
        <v>541.507856645414</v>
      </c>
      <c r="Z139" s="17" t="n">
        <f aca="false">Z136/($J$30*8.76)</f>
        <v>609.996259036857</v>
      </c>
      <c r="AA139" s="17" t="n">
        <f aca="false">AA136/($J$30*8.76)</f>
        <v>682.837079741382</v>
      </c>
      <c r="AB139" s="17" t="n">
        <f aca="false">AB136/($J$30*8.76)</f>
        <v>760.02415378131</v>
      </c>
      <c r="AC139" s="17" t="n">
        <f aca="false">AC136/($J$30*8.76)</f>
        <v>841.525444338293</v>
      </c>
      <c r="AD139" s="17" t="n">
        <f aca="false">AD136/($J$30*8.76)</f>
        <v>927.282036420665</v>
      </c>
      <c r="AE139" s="17" t="n">
        <f aca="false">AE136/($J$30*8.76)</f>
        <v>1018.00024262855</v>
      </c>
      <c r="AF139" s="17" t="n">
        <f aca="false">AF136/($J$30*8.76)</f>
        <v>1113.87739987523</v>
      </c>
      <c r="AG139" s="17" t="n">
        <f aca="false">AG136/($J$30*8.76)</f>
        <v>1215.12087853724</v>
      </c>
      <c r="AH139" s="17" t="n">
        <f aca="false">AH136/($J$30*8.76)</f>
        <v>1321.94820524032</v>
      </c>
      <c r="AI139" s="17" t="n">
        <f aca="false">AI136/($J$30*8.76)</f>
        <v>1434.58721290348</v>
      </c>
      <c r="AJ139" s="17" t="n">
        <f aca="false">AJ136/($J$30*8.76)</f>
        <v>1498.76085815346</v>
      </c>
      <c r="AK139" s="17" t="n">
        <f aca="false">AK136/($J$30*8.76)</f>
        <v>1564.63211354787</v>
      </c>
      <c r="AL139" s="17" t="n">
        <f aca="false">AL136/($J$30*8.76)</f>
        <v>1632.27523112083</v>
      </c>
      <c r="AM139" s="17" t="n">
        <f aca="false">AM136/($J$30*8.76)</f>
        <v>1701.76515338494</v>
      </c>
      <c r="AN139" s="17" t="n">
        <f aca="false">AN136/($J$30*8.76)</f>
        <v>1773.17764353593</v>
      </c>
    </row>
    <row r="140" customFormat="false" ht="15" hidden="false" customHeight="false" outlineLevel="0" collapsed="false">
      <c r="A140" s="9" t="n">
        <v>7</v>
      </c>
      <c r="B140" s="9"/>
      <c r="C140" s="9" t="s">
        <v>521</v>
      </c>
      <c r="D140" s="9" t="s">
        <v>549</v>
      </c>
      <c r="E140" s="9" t="s">
        <v>543</v>
      </c>
      <c r="F140" s="9" t="s">
        <v>425</v>
      </c>
      <c r="G140" s="18"/>
      <c r="H140" s="18" t="s">
        <v>579</v>
      </c>
      <c r="I140" s="9"/>
      <c r="J140" s="9"/>
      <c r="K140" s="17"/>
      <c r="L140" s="17"/>
      <c r="M140" s="17"/>
      <c r="N140" s="19" t="n">
        <f aca="false">0</f>
        <v>0</v>
      </c>
      <c r="O140" s="17" t="n">
        <f aca="false">MAX(0,O139-N139)+N139/p_life_vre</f>
        <v>29.2311698616865</v>
      </c>
      <c r="P140" s="17" t="n">
        <f aca="false">MAX(0,P139-O139)+O139/p_life_vre</f>
        <v>32.5954504943472</v>
      </c>
      <c r="Q140" s="17" t="n">
        <f aca="false">MAX(0,Q139-P139)+P139/p_life_vre</f>
        <v>37.0716459913389</v>
      </c>
      <c r="R140" s="17" t="n">
        <f aca="false">MAX(0,R139-Q139)+Q139/p_life_vre</f>
        <v>41.8512317546923</v>
      </c>
      <c r="S140" s="17" t="n">
        <f aca="false">MAX(0,S139-R139)+R139/p_life_vre</f>
        <v>46.9309543768113</v>
      </c>
      <c r="T140" s="17" t="n">
        <f aca="false">MAX(0,T139-S139)+S139/p_life_vre</f>
        <v>52.3053930429415</v>
      </c>
      <c r="U140" s="17" t="n">
        <f aca="false">MAX(0,U139-T139)+T139/p_life_vre</f>
        <v>57.9668829497261</v>
      </c>
      <c r="V140" s="17" t="n">
        <f aca="false">MAX(0,V139-U139)+U139/p_life_vre</f>
        <v>63.9054550412685</v>
      </c>
      <c r="W140" s="17" t="n">
        <f aca="false">MAX(0,W139-V139)+V139/p_life_vre</f>
        <v>70.1087936583403</v>
      </c>
      <c r="X140" s="17" t="n">
        <f aca="false">MAX(0,X139-W139)+W139/p_life_vre</f>
        <v>76.5622135692659</v>
      </c>
      <c r="Y140" s="17" t="n">
        <f aca="false">MAX(0,Y139-X139)+X139/p_life_vre</f>
        <v>83.2486576950564</v>
      </c>
      <c r="Z140" s="17" t="n">
        <f aca="false">MAX(0,Z139-Y139)+Y139/p_life_vre</f>
        <v>90.1487166572592</v>
      </c>
      <c r="AA140" s="17" t="n">
        <f aca="false">MAX(0,AA139-Z139)+Z139/p_life_vre</f>
        <v>97.2406710659997</v>
      </c>
      <c r="AB140" s="17" t="n">
        <f aca="false">MAX(0,AB139-AA139)+AA139/p_life_vre</f>
        <v>104.500557229583</v>
      </c>
      <c r="AC140" s="17" t="n">
        <f aca="false">MAX(0,AC139-AB139)+AB139/p_life_vre</f>
        <v>111.902256708235</v>
      </c>
      <c r="AD140" s="17" t="n">
        <f aca="false">MAX(0,AD139-AC139)+AC139/p_life_vre</f>
        <v>119.417609855904</v>
      </c>
      <c r="AE140" s="17" t="n">
        <f aca="false">MAX(0,AE139-AD139)+AD139/p_life_vre</f>
        <v>127.809487664711</v>
      </c>
      <c r="AF140" s="17" t="n">
        <f aca="false">MAX(0,AF139-AE139)+AE139/p_life_vre</f>
        <v>136.597166951824</v>
      </c>
      <c r="AG140" s="17" t="n">
        <f aca="false">MAX(0,AG139-AF139)+AF139/p_life_vre</f>
        <v>145.798574657018</v>
      </c>
      <c r="AH140" s="17" t="n">
        <f aca="false">MAX(0,AH139-AG139)+AG139/p_life_vre</f>
        <v>155.432161844566</v>
      </c>
      <c r="AI140" s="17" t="n">
        <f aca="false">MAX(0,AI139-AH139)+AH139/p_life_vre</f>
        <v>165.516935872781</v>
      </c>
      <c r="AJ140" s="17" t="n">
        <f aca="false">MAX(0,AJ139-AI139)+AI139/p_life_vre</f>
        <v>121.557133766116</v>
      </c>
      <c r="AK140" s="17" t="n">
        <f aca="false">MAX(0,AK139-AJ139)+AJ139/p_life_vre</f>
        <v>125.821689720545</v>
      </c>
      <c r="AL140" s="17" t="n">
        <f aca="false">MAX(0,AL139-AK139)+AK139/p_life_vre</f>
        <v>130.228402114881</v>
      </c>
      <c r="AM140" s="17" t="n">
        <f aca="false">MAX(0,AM139-AL139)+AL139/p_life_vre</f>
        <v>134.780931508937</v>
      </c>
      <c r="AN140" s="17" t="n">
        <f aca="false">MAX(0,AN139-AM139)+AM139/p_life_vre</f>
        <v>139.483096286387</v>
      </c>
    </row>
    <row r="141" customFormat="false" ht="15" hidden="false" customHeight="false" outlineLevel="0" collapsed="false">
      <c r="A141" s="9" t="n">
        <v>7</v>
      </c>
      <c r="B141" s="9"/>
      <c r="C141" s="9" t="s">
        <v>521</v>
      </c>
      <c r="D141" s="9" t="s">
        <v>551</v>
      </c>
      <c r="E141" s="9" t="s">
        <v>543</v>
      </c>
      <c r="F141" s="9" t="s">
        <v>425</v>
      </c>
      <c r="G141" s="18"/>
      <c r="H141" s="18" t="s">
        <v>580</v>
      </c>
      <c r="I141" s="9"/>
      <c r="J141" s="9"/>
      <c r="K141" s="17"/>
      <c r="L141" s="17"/>
      <c r="M141" s="17"/>
      <c r="N141" s="19" t="n">
        <f aca="false">N133/($J$31*8.76)</f>
        <v>297.203506848831</v>
      </c>
      <c r="O141" s="17" t="n">
        <f aca="false">O133/($J$31*8.76)</f>
        <v>308.324456550479</v>
      </c>
      <c r="P141" s="17" t="n">
        <f aca="false">P133/($J$31*8.76)</f>
        <v>316.103076779403</v>
      </c>
      <c r="Q141" s="17" t="n">
        <f aca="false">Q133/($J$31*8.76)</f>
        <v>322.486785246173</v>
      </c>
      <c r="R141" s="17" t="n">
        <f aca="false">R133/($J$31*8.76)</f>
        <v>327.278083096461</v>
      </c>
      <c r="S141" s="17" t="n">
        <f aca="false">S133/($J$31*8.76)</f>
        <v>330.279911656013</v>
      </c>
      <c r="T141" s="17" t="n">
        <f aca="false">T133/($J$31*8.76)</f>
        <v>331.297127043553</v>
      </c>
      <c r="U141" s="17" t="n">
        <f aca="false">U133/($J$31*8.76)</f>
        <v>330.138034546661</v>
      </c>
      <c r="V141" s="17" t="n">
        <f aca="false">V133/($J$31*8.76)</f>
        <v>326.615971266369</v>
      </c>
      <c r="W141" s="17" t="n">
        <f aca="false">W133/($J$31*8.76)</f>
        <v>320.550924309892</v>
      </c>
      <c r="X141" s="17" t="n">
        <f aca="false">X133/($J$31*8.76)</f>
        <v>311.771170674159</v>
      </c>
      <c r="Y141" s="17" t="n">
        <f aca="false">Y133/($J$31*8.76)</f>
        <v>300.114923938337</v>
      </c>
      <c r="Z141" s="17" t="n">
        <f aca="false">Z133/($J$31*8.76)</f>
        <v>285.431971993427</v>
      </c>
      <c r="AA141" s="17" t="n">
        <f aca="false">AA133/($J$31*8.76)</f>
        <v>267.585289302589</v>
      </c>
      <c r="AB141" s="17" t="n">
        <f aca="false">AB133/($J$31*8.76)</f>
        <v>246.452606627099</v>
      </c>
      <c r="AC141" s="17" t="n">
        <f aca="false">AC133/($J$31*8.76)</f>
        <v>221.927920788052</v>
      </c>
      <c r="AD141" s="17" t="n">
        <f aca="false">AD133/($J$31*8.76)</f>
        <v>193.922926879078</v>
      </c>
      <c r="AE141" s="17" t="n">
        <f aca="false">AE133/($J$31*8.76)</f>
        <v>162.487645734935</v>
      </c>
      <c r="AF141" s="17" t="n">
        <f aca="false">AF133/($J$31*8.76)</f>
        <v>127.506991062216</v>
      </c>
      <c r="AG141" s="17" t="n">
        <f aca="false">AG133/($J$31*8.76)</f>
        <v>88.8564025195161</v>
      </c>
      <c r="AH141" s="17" t="n">
        <f aca="false">AH133/($J$31*8.76)</f>
        <v>46.401882263644</v>
      </c>
      <c r="AI141" s="17" t="n">
        <f aca="false">AI133/($J$31*8.76)</f>
        <v>0</v>
      </c>
      <c r="AJ141" s="17" t="n">
        <f aca="false">AJ133/($J$31*8.76)</f>
        <v>0</v>
      </c>
      <c r="AK141" s="17" t="n">
        <f aca="false">AK133/($J$31*8.76)</f>
        <v>0</v>
      </c>
      <c r="AL141" s="17" t="n">
        <f aca="false">AL133/($J$31*8.76)</f>
        <v>0</v>
      </c>
      <c r="AM141" s="17" t="n">
        <f aca="false">AM133/($J$31*8.76)</f>
        <v>0</v>
      </c>
      <c r="AN141" s="17" t="n">
        <f aca="false">AN133/($J$31*8.76)</f>
        <v>0</v>
      </c>
    </row>
    <row r="142" customFormat="false" ht="15" hidden="false" customHeight="false" outlineLevel="0" collapsed="false">
      <c r="A142" s="9" t="n">
        <v>7</v>
      </c>
      <c r="B142" s="9"/>
      <c r="C142" s="9" t="s">
        <v>521</v>
      </c>
      <c r="D142" s="9" t="s">
        <v>553</v>
      </c>
      <c r="E142" s="9" t="s">
        <v>543</v>
      </c>
      <c r="F142" s="9" t="s">
        <v>425</v>
      </c>
      <c r="G142" s="18"/>
      <c r="H142" s="18" t="s">
        <v>581</v>
      </c>
      <c r="I142" s="9"/>
      <c r="J142" s="9"/>
      <c r="K142" s="17"/>
      <c r="L142" s="17"/>
      <c r="M142" s="17"/>
      <c r="N142" s="19" t="n">
        <f aca="false">0</f>
        <v>0</v>
      </c>
      <c r="O142" s="17" t="n">
        <f aca="false">MAX(0,O141-N143*(1-1/p_life_fos))</f>
        <v>21.0277332632752</v>
      </c>
      <c r="P142" s="17" t="n">
        <f aca="false">MAX(0,P141-O143*(1-1/p_life_fos))</f>
        <v>18.0561021139403</v>
      </c>
      <c r="Q142" s="17" t="n">
        <f aca="false">MAX(0,Q141-P143*(1-1/p_life_fos))</f>
        <v>16.92047769275</v>
      </c>
      <c r="R142" s="17" t="n">
        <f aca="false">MAX(0,R141-Q143*(1-1/p_life_fos))</f>
        <v>15.540857358494</v>
      </c>
      <c r="S142" s="17" t="n">
        <f aca="false">MAX(0,S141-R143*(1-1/p_life_fos))</f>
        <v>13.9110979961004</v>
      </c>
      <c r="T142" s="17" t="n">
        <f aca="false">MAX(0,T141-S143*(1-1/p_life_fos))</f>
        <v>12.0265457760742</v>
      </c>
      <c r="U142" s="17" t="n">
        <f aca="false">MAX(0,U141-T143*(1-1/p_life_fos))</f>
        <v>9.88414507122599</v>
      </c>
      <c r="V142" s="17" t="n">
        <f aca="false">MAX(0,V141-U143*(1-1/p_life_fos))</f>
        <v>7.48253787126345</v>
      </c>
      <c r="W142" s="17" t="n">
        <f aca="false">MAX(0,W141-V143*(1-1/p_life_fos))</f>
        <v>4.82215208573558</v>
      </c>
      <c r="X142" s="17" t="n">
        <f aca="false">MAX(0,X141-W143*(1-1/p_life_fos))</f>
        <v>1.90527717459673</v>
      </c>
      <c r="Y142" s="17" t="n">
        <f aca="false">MAX(0,Y141-X143*(1-1/p_life_fos))</f>
        <v>0</v>
      </c>
      <c r="Z142" s="17" t="n">
        <f aca="false">MAX(0,Z141-Y143*(1-1/p_life_fos))</f>
        <v>0</v>
      </c>
      <c r="AA142" s="17" t="n">
        <f aca="false">MAX(0,AA141-Z143*(1-1/p_life_fos))</f>
        <v>0</v>
      </c>
      <c r="AB142" s="17" t="n">
        <f aca="false">MAX(0,AB141-AA143*(1-1/p_life_fos))</f>
        <v>0</v>
      </c>
      <c r="AC142" s="17" t="n">
        <f aca="false">MAX(0,AC141-AB143*(1-1/p_life_fos))</f>
        <v>0</v>
      </c>
      <c r="AD142" s="17" t="n">
        <f aca="false">MAX(0,AD141-AC143*(1-1/p_life_fos))</f>
        <v>0</v>
      </c>
      <c r="AE142" s="17" t="n">
        <f aca="false">MAX(0,AE141-AD143*(1-1/p_life_fos))</f>
        <v>0</v>
      </c>
      <c r="AF142" s="17" t="n">
        <f aca="false">MAX(0,AF141-AE143*(1-1/p_life_fos))</f>
        <v>0</v>
      </c>
      <c r="AG142" s="17" t="n">
        <f aca="false">MAX(0,AG141-AF143*(1-1/p_life_fos))</f>
        <v>0</v>
      </c>
      <c r="AH142" s="17" t="n">
        <f aca="false">MAX(0,AH141-AG143*(1-1/p_life_fos))</f>
        <v>0</v>
      </c>
      <c r="AI142" s="17" t="n">
        <f aca="false">MAX(0,AI141-AH143*(1-1/p_life_fos))</f>
        <v>0</v>
      </c>
      <c r="AJ142" s="17" t="n">
        <f aca="false">MAX(0,AJ141-AI143*(1-1/p_life_fos))</f>
        <v>0</v>
      </c>
      <c r="AK142" s="17" t="n">
        <f aca="false">MAX(0,AK141-AJ143*(1-1/p_life_fos))</f>
        <v>0</v>
      </c>
      <c r="AL142" s="17" t="n">
        <f aca="false">MAX(0,AL141-AK143*(1-1/p_life_fos))</f>
        <v>0</v>
      </c>
      <c r="AM142" s="17" t="n">
        <f aca="false">MAX(0,AM141-AL143*(1-1/p_life_fos))</f>
        <v>0</v>
      </c>
      <c r="AN142" s="17" t="n">
        <f aca="false">MAX(0,AN141-AM143*(1-1/p_life_fos))</f>
        <v>0</v>
      </c>
    </row>
    <row r="143" customFormat="false" ht="15" hidden="false" customHeight="false" outlineLevel="0" collapsed="false">
      <c r="A143" s="9" t="n">
        <v>7</v>
      </c>
      <c r="B143" s="9"/>
      <c r="C143" s="9" t="s">
        <v>521</v>
      </c>
      <c r="D143" s="9" t="s">
        <v>555</v>
      </c>
      <c r="E143" s="9" t="s">
        <v>543</v>
      </c>
      <c r="F143" s="9" t="s">
        <v>425</v>
      </c>
      <c r="G143" s="18"/>
      <c r="H143" s="18" t="s">
        <v>582</v>
      </c>
      <c r="I143" s="9"/>
      <c r="J143" s="9"/>
      <c r="K143" s="17"/>
      <c r="L143" s="17"/>
      <c r="M143" s="17"/>
      <c r="N143" s="19" t="n">
        <f aca="false">N141</f>
        <v>297.203506848831</v>
      </c>
      <c r="O143" s="17" t="n">
        <f aca="false">N143*(1-1/p_life_fos)+O142</f>
        <v>308.324456550479</v>
      </c>
      <c r="P143" s="17" t="n">
        <f aca="false">O143*(1-1/p_life_fos)+P142</f>
        <v>316.103076779403</v>
      </c>
      <c r="Q143" s="17" t="n">
        <f aca="false">P143*(1-1/p_life_fos)+Q142</f>
        <v>322.486785246173</v>
      </c>
      <c r="R143" s="17" t="n">
        <f aca="false">Q143*(1-1/p_life_fos)+R142</f>
        <v>327.278083096461</v>
      </c>
      <c r="S143" s="17" t="n">
        <f aca="false">R143*(1-1/p_life_fos)+S142</f>
        <v>330.279911656013</v>
      </c>
      <c r="T143" s="17" t="n">
        <f aca="false">S143*(1-1/p_life_fos)+T142</f>
        <v>331.297127043553</v>
      </c>
      <c r="U143" s="17" t="n">
        <f aca="false">T143*(1-1/p_life_fos)+U142</f>
        <v>330.138034546661</v>
      </c>
      <c r="V143" s="17" t="n">
        <f aca="false">U143*(1-1/p_life_fos)+V142</f>
        <v>326.615971266369</v>
      </c>
      <c r="W143" s="17" t="n">
        <f aca="false">V143*(1-1/p_life_fos)+W142</f>
        <v>320.550924309892</v>
      </c>
      <c r="X143" s="17" t="n">
        <f aca="false">W143*(1-1/p_life_fos)+X142</f>
        <v>311.771170674159</v>
      </c>
      <c r="Y143" s="17" t="n">
        <f aca="false">X143*(1-1/p_life_fos)+Y142</f>
        <v>301.378798318354</v>
      </c>
      <c r="Z143" s="17" t="n">
        <f aca="false">Y143*(1-1/p_life_fos)+Z142</f>
        <v>291.332838374409</v>
      </c>
      <c r="AA143" s="17" t="n">
        <f aca="false">Z143*(1-1/p_life_fos)+AA142</f>
        <v>281.621743761928</v>
      </c>
      <c r="AB143" s="17" t="n">
        <f aca="false">AA143*(1-1/p_life_fos)+AB142</f>
        <v>272.234352303197</v>
      </c>
      <c r="AC143" s="17" t="n">
        <f aca="false">AB143*(1-1/p_life_fos)+AC142</f>
        <v>263.159873893091</v>
      </c>
      <c r="AD143" s="17" t="n">
        <f aca="false">AC143*(1-1/p_life_fos)+AD142</f>
        <v>254.387878096654</v>
      </c>
      <c r="AE143" s="17" t="n">
        <f aca="false">AD143*(1-1/p_life_fos)+AE142</f>
        <v>245.908282160099</v>
      </c>
      <c r="AF143" s="17" t="n">
        <f aca="false">AE143*(1-1/p_life_fos)+AF142</f>
        <v>237.711339421429</v>
      </c>
      <c r="AG143" s="17" t="n">
        <f aca="false">AF143*(1-1/p_life_fos)+AG142</f>
        <v>229.787628107382</v>
      </c>
      <c r="AH143" s="17" t="n">
        <f aca="false">AG143*(1-1/p_life_fos)+AH142</f>
        <v>222.128040503802</v>
      </c>
      <c r="AI143" s="17" t="n">
        <f aca="false">AH143*(1-1/p_life_fos)+AI142</f>
        <v>214.723772487009</v>
      </c>
      <c r="AJ143" s="17" t="n">
        <f aca="false">AI143*(1-1/p_life_fos)+AJ142</f>
        <v>207.566313404109</v>
      </c>
      <c r="AK143" s="17" t="n">
        <f aca="false">AJ143*(1-1/p_life_fos)+AK142</f>
        <v>200.647436290638</v>
      </c>
      <c r="AL143" s="17" t="n">
        <f aca="false">AK143*(1-1/p_life_fos)+AL142</f>
        <v>193.959188414284</v>
      </c>
      <c r="AM143" s="17" t="n">
        <f aca="false">AL143*(1-1/p_life_fos)+AM142</f>
        <v>187.493882133808</v>
      </c>
      <c r="AN143" s="17" t="n">
        <f aca="false">AM143*(1-1/p_life_fos)+AN142</f>
        <v>181.244086062681</v>
      </c>
    </row>
    <row r="144" customFormat="false" ht="15" hidden="false" customHeight="false" outlineLevel="0" collapsed="false">
      <c r="A144" s="9" t="n">
        <v>7</v>
      </c>
      <c r="B144" s="9"/>
      <c r="C144" s="9" t="s">
        <v>521</v>
      </c>
      <c r="D144" s="9" t="s">
        <v>557</v>
      </c>
      <c r="E144" s="9" t="s">
        <v>301</v>
      </c>
      <c r="F144" s="9" t="s">
        <v>425</v>
      </c>
      <c r="G144" s="18"/>
      <c r="H144" s="18" t="s">
        <v>583</v>
      </c>
      <c r="I144" s="9"/>
      <c r="J144" s="9"/>
      <c r="K144" s="17"/>
      <c r="L144" s="17"/>
      <c r="M144" s="17"/>
      <c r="N144" s="19" t="n">
        <f aca="false">0</f>
        <v>0</v>
      </c>
      <c r="O144" s="17" t="n">
        <f aca="false">(O138*O106+O140*O107+O142*p_capex_gas)*$J$11/1000</f>
        <v>51.203563690385</v>
      </c>
      <c r="P144" s="17" t="n">
        <f aca="false">(P138*P106+P140*P107+P142*p_capex_gas)*$J$11/1000</f>
        <v>52.6110749087732</v>
      </c>
      <c r="Q144" s="17" t="n">
        <f aca="false">(Q138*Q106+Q140*Q107+Q142*p_capex_gas)*$J$11/1000</f>
        <v>56.3758305985784</v>
      </c>
      <c r="R144" s="17" t="n">
        <f aca="false">(R138*R106+R140*R107+R142*p_capex_gas)*$J$11/1000</f>
        <v>60.116032283484</v>
      </c>
      <c r="S144" s="17" t="n">
        <f aca="false">(S138*S106+S140*S107+S142*p_capex_gas)*$J$11/1000</f>
        <v>63.8079022062644</v>
      </c>
      <c r="T144" s="17" t="n">
        <f aca="false">(T138*T106+T140*T107+T142*p_capex_gas)*$J$11/1000</f>
        <v>67.427457734821</v>
      </c>
      <c r="U144" s="17" t="n">
        <f aca="false">(U138*U106+U140*U107+U142*p_capex_gas)*$J$11/1000</f>
        <v>70.9507114941106</v>
      </c>
      <c r="V144" s="17" t="n">
        <f aca="false">(V138*V106+V140*V107+V142*p_capex_gas)*$J$11/1000</f>
        <v>74.3538763757675</v>
      </c>
      <c r="W144" s="17" t="n">
        <f aca="false">(W138*W106+W140*W107+W142*p_capex_gas)*$J$11/1000</f>
        <v>77.6135734297142</v>
      </c>
      <c r="X144" s="17" t="n">
        <f aca="false">(X138*X106+X140*X107+X142*p_capex_gas)*$J$11/1000</f>
        <v>80.7070405248829</v>
      </c>
      <c r="Y144" s="17" t="n">
        <f aca="false">(Y138*Y106+Y140*Y107+Y142*p_capex_gas)*$J$11/1000</f>
        <v>84.4217079926783</v>
      </c>
      <c r="Z144" s="17" t="n">
        <f aca="false">(Z138*Z106+Z140*Z107+Z142*p_capex_gas)*$J$11/1000</f>
        <v>89.3050072818015</v>
      </c>
      <c r="AA144" s="17" t="n">
        <f aca="false">(AA138*AA106+AA140*AA107+AA142*p_capex_gas)*$J$11/1000</f>
        <v>94.1119006210624</v>
      </c>
      <c r="AB144" s="17" t="n">
        <f aca="false">(AB138*AB106+AB140*AB107+AB142*p_capex_gas)*$J$11/1000</f>
        <v>98.8175920675528</v>
      </c>
      <c r="AC144" s="17" t="n">
        <f aca="false">(AC138*AC106+AC140*AC107+AC142*p_capex_gas)*$J$11/1000</f>
        <v>103.397596726334</v>
      </c>
      <c r="AD144" s="17" t="n">
        <f aca="false">(AD138*AD106+AD140*AD107+AD142*p_capex_gas)*$J$11/1000</f>
        <v>107.827923984594</v>
      </c>
      <c r="AE144" s="17" t="n">
        <f aca="false">(AE138*AE106+AE140*AE107+AE142*p_capex_gas)*$J$11/1000</f>
        <v>112.783444164406</v>
      </c>
      <c r="AF144" s="17" t="n">
        <f aca="false">(AF138*AF106+AF140*AF107+AF142*p_capex_gas)*$J$11/1000</f>
        <v>117.808196086277</v>
      </c>
      <c r="AG144" s="17" t="n">
        <f aca="false">(AG138*AG106+AG140*AG107+AG142*p_capex_gas)*$J$11/1000</f>
        <v>122.905146967227</v>
      </c>
      <c r="AH144" s="17" t="n">
        <f aca="false">(AH138*AH106+AH140*AH107+AH142*p_capex_gas)*$J$11/1000</f>
        <v>128.077087005436</v>
      </c>
      <c r="AI144" s="17" t="n">
        <f aca="false">(AI138*AI106+AI140*AI107+AI142*p_capex_gas)*$J$11/1000</f>
        <v>133.326654284207</v>
      </c>
      <c r="AJ144" s="17" t="n">
        <f aca="false">(AJ138*AJ106+AJ140*AJ107+AJ142*p_capex_gas)*$J$11/1000</f>
        <v>95.7911756531572</v>
      </c>
      <c r="AK144" s="17" t="n">
        <f aca="false">(AK138*AK106+AK140*AK107+AK142*p_capex_gas)*$J$11/1000</f>
        <v>96.941067176079</v>
      </c>
      <c r="AL144" s="17" t="n">
        <f aca="false">(AL138*AL106+AL140*AL107+AL142*p_capex_gas)*$J$11/1000</f>
        <v>98.1052819626413</v>
      </c>
      <c r="AM144" s="17" t="n">
        <f aca="false">(AM138*AM106+AM140*AM107+AM142*p_capex_gas)*$J$11/1000</f>
        <v>99.2833925604556</v>
      </c>
      <c r="AN144" s="17" t="n">
        <f aca="false">(AN138*AN106+AN140*AN107+AN142*p_capex_gas)*$J$11/1000</f>
        <v>100.47504465722</v>
      </c>
    </row>
    <row r="145" customFormat="false" ht="15" hidden="false" customHeight="false" outlineLevel="0" collapsed="false">
      <c r="A145" s="9" t="n">
        <v>7</v>
      </c>
      <c r="B145" s="9"/>
      <c r="C145" s="9" t="s">
        <v>521</v>
      </c>
      <c r="D145" s="9" t="s">
        <v>559</v>
      </c>
      <c r="E145" s="9" t="s">
        <v>97</v>
      </c>
      <c r="F145" s="9" t="s">
        <v>425</v>
      </c>
      <c r="G145" s="18"/>
      <c r="H145" s="18" t="s">
        <v>584</v>
      </c>
      <c r="I145" s="9"/>
      <c r="J145" s="9"/>
      <c r="K145" s="17"/>
      <c r="L145" s="17"/>
      <c r="M145" s="17"/>
      <c r="N145" s="19" t="n">
        <f aca="false">IF(N131&gt;0,(N135+N136)/N131,0)</f>
        <v>0.143808023816152</v>
      </c>
      <c r="O145" s="17" t="n">
        <f aca="false">IF(O131&gt;0,(O135+O136)/O131,0)</f>
        <v>0.188794762569398</v>
      </c>
      <c r="P145" s="17" t="n">
        <f aca="false">IF(P131&gt;0,(P135+P136)/P131,0)</f>
        <v>0.231988797829571</v>
      </c>
      <c r="Q145" s="17" t="n">
        <f aca="false">IF(Q131&gt;0,(Q135+Q136)/Q131,0)</f>
        <v>0.274368219824442</v>
      </c>
      <c r="R145" s="17" t="n">
        <f aca="false">IF(R131&gt;0,(R135+R136)/R131,0)</f>
        <v>0.316021489585494</v>
      </c>
      <c r="S145" s="17" t="n">
        <f aca="false">IF(S131&gt;0,(S135+S136)/S131,0)</f>
        <v>0.357027250205991</v>
      </c>
      <c r="T145" s="17" t="n">
        <f aca="false">IF(T131&gt;0,(T135+T136)/T131,0)</f>
        <v>0.397455241014668</v>
      </c>
      <c r="U145" s="17" t="n">
        <f aca="false">IF(U131&gt;0,(U135+U136)/U131,0)</f>
        <v>0.437367205015417</v>
      </c>
      <c r="V145" s="17" t="n">
        <f aca="false">IF(V131&gt;0,(V135+V136)/V131,0)</f>
        <v>0.476817754265896</v>
      </c>
      <c r="W145" s="17" t="n">
        <f aca="false">IF(W131&gt;0,(W135+W136)/W131,0)</f>
        <v>0.515855173746631</v>
      </c>
      <c r="X145" s="17" t="n">
        <f aca="false">IF(X131&gt;0,(X135+X136)/X131,0)</f>
        <v>0.55452215471722</v>
      </c>
      <c r="Y145" s="17" t="n">
        <f aca="false">IF(Y131&gt;0,(Y135+Y136)/Y131,0)</f>
        <v>0.592856455228822</v>
      </c>
      <c r="Z145" s="17" t="n">
        <f aca="false">IF(Z131&gt;0,(Z135+Z136)/Z131,0)</f>
        <v>0.63089148955773</v>
      </c>
      <c r="AA145" s="17" t="n">
        <f aca="false">IF(AA131&gt;0,(AA135+AA136)/AA131,0)</f>
        <v>0.668656850689048</v>
      </c>
      <c r="AB145" s="17" t="n">
        <f aca="false">IF(AB131&gt;0,(AB135+AB136)/AB131,0)</f>
        <v>0.70617877120242</v>
      </c>
      <c r="AC145" s="17" t="n">
        <f aca="false">IF(AC131&gt;0,(AC135+AC136)/AC131,0)</f>
        <v>0.743480528399631</v>
      </c>
      <c r="AD145" s="17" t="n">
        <f aca="false">IF(AD131&gt;0,(AD135+AD136)/AD131,0)</f>
        <v>0.780582799543179</v>
      </c>
      <c r="AE145" s="17" t="n">
        <f aca="false">IF(AE131&gt;0,(AE135+AE136)/AE131,0)</f>
        <v>0.817535385323253</v>
      </c>
      <c r="AF145" s="17" t="n">
        <f aca="false">IF(AF131&gt;0,(AF135+AF136)/AF131,0)</f>
        <v>0.854354150360998</v>
      </c>
      <c r="AG145" s="17" t="n">
        <f aca="false">IF(AG131&gt;0,(AG135+AG136)/AG131,0)</f>
        <v>0.891052658675387</v>
      </c>
      <c r="AH145" s="17" t="n">
        <f aca="false">IF(AH131&gt;0,(AH135+AH136)/AH131,0)</f>
        <v>0.927642581115145</v>
      </c>
      <c r="AI145" s="17" t="n">
        <f aca="false">IF(AI131&gt;0,(AI135+AI136)/AI131,0)</f>
        <v>0.964134019519659</v>
      </c>
      <c r="AJ145" s="17" t="n">
        <f aca="false">IF(AJ131&gt;0,(AJ135+AJ136)/AJ131,0)</f>
        <v>0.965608650230927</v>
      </c>
      <c r="AK145" s="17" t="n">
        <f aca="false">IF(AK131&gt;0,(AK135+AK136)/AK131,0)</f>
        <v>0.967001283746398</v>
      </c>
      <c r="AL145" s="17" t="n">
        <f aca="false">IF(AL131&gt;0,(AL135+AL136)/AL131,0)</f>
        <v>0.968318686234629</v>
      </c>
      <c r="AM145" s="17" t="n">
        <f aca="false">IF(AM131&gt;0,(AM135+AM136)/AM131,0)</f>
        <v>0.969566836143251</v>
      </c>
      <c r="AN145" s="17" t="n">
        <f aca="false">IF(AN131&gt;0,(AN135+AN136)/AN131,0)</f>
        <v>0.970751039673222</v>
      </c>
    </row>
    <row r="146" customFormat="false" ht="15" hidden="false" customHeight="false" outlineLevel="0" collapsed="false">
      <c r="A146" s="9" t="n">
        <v>7</v>
      </c>
      <c r="B146" s="9"/>
      <c r="C146" s="9" t="s">
        <v>521</v>
      </c>
      <c r="D146" s="9" t="s">
        <v>561</v>
      </c>
      <c r="E146" s="9" t="s">
        <v>301</v>
      </c>
      <c r="F146" s="9" t="s">
        <v>425</v>
      </c>
      <c r="G146" s="18"/>
      <c r="H146" s="18" t="s">
        <v>585</v>
      </c>
      <c r="I146" s="9"/>
      <c r="J146" s="9"/>
      <c r="K146" s="17"/>
      <c r="L146" s="17"/>
      <c r="M146" s="17"/>
      <c r="N146" s="19" t="n">
        <f aca="false">0</f>
        <v>0</v>
      </c>
      <c r="O146" s="17" t="n">
        <f aca="false">p_grid_ratio*O144+(O138+O140)*p_st_h*MIN(1,MAX(0,(O145-0.2)/0.6))*O108*$J$11/1000</f>
        <v>30.722138214231</v>
      </c>
      <c r="P146" s="17" t="n">
        <f aca="false">p_grid_ratio*P144+(P138+P140)*p_st_h*MIN(1,MAX(0,(P145-0.2)/0.6))*P108*$J$11/1000</f>
        <v>32.776014528087</v>
      </c>
      <c r="Q146" s="17" t="n">
        <f aca="false">p_grid_ratio*Q144+(Q138+Q140)*p_st_h*MIN(1,MAX(0,(Q145-0.2)/0.6))*Q108*$J$11/1000</f>
        <v>36.9230148180444</v>
      </c>
      <c r="R146" s="17" t="n">
        <f aca="false">p_grid_ratio*R144+(R138+R140)*p_st_h*MIN(1,MAX(0,(R145-0.2)/0.6))*R108*$J$11/1000</f>
        <v>41.355413684048</v>
      </c>
      <c r="S146" s="17" t="n">
        <f aca="false">p_grid_ratio*S144+(S138+S140)*p_st_h*MIN(1,MAX(0,(S145-0.2)/0.6))*S108*$J$11/1000</f>
        <v>46.058943075451</v>
      </c>
      <c r="T146" s="17" t="n">
        <f aca="false">p_grid_ratio*T144+(T138+T140)*p_st_h*MIN(1,MAX(0,(T145-0.2)/0.6))*T108*$J$11/1000</f>
        <v>51.0163198845748</v>
      </c>
      <c r="U146" s="17" t="n">
        <f aca="false">p_grid_ratio*U144+(U138+U140)*p_st_h*MIN(1,MAX(0,(U145-0.2)/0.6))*U108*$J$11/1000</f>
        <v>56.2073215233781</v>
      </c>
      <c r="V146" s="17" t="n">
        <f aca="false">p_grid_ratio*V144+(V138+V140)*p_st_h*MIN(1,MAX(0,(V145-0.2)/0.6))*V108*$J$11/1000</f>
        <v>61.6088953707</v>
      </c>
      <c r="W146" s="17" t="n">
        <f aca="false">p_grid_ratio*W144+(W138+W140)*p_st_h*MIN(1,MAX(0,(W145-0.2)/0.6))*W108*$J$11/1000</f>
        <v>67.1953026593168</v>
      </c>
      <c r="X146" s="17" t="n">
        <f aca="false">p_grid_ratio*X144+(X138+X140)*p_st_h*MIN(1,MAX(0,(X145-0.2)/0.6))*X108*$J$11/1000</f>
        <v>72.938296533258</v>
      </c>
      <c r="Y146" s="17" t="n">
        <f aca="false">p_grid_ratio*Y144+(Y138+Y140)*p_st_h*MIN(1,MAX(0,(Y145-0.2)/0.6))*Y108*$J$11/1000</f>
        <v>79.2929543121442</v>
      </c>
      <c r="Z146" s="17" t="n">
        <f aca="false">p_grid_ratio*Z144+(Z138+Z140)*p_st_h*MIN(1,MAX(0,(Z145-0.2)/0.6))*Z108*$J$11/1000</f>
        <v>86.5676832602441</v>
      </c>
      <c r="AA146" s="17" t="n">
        <f aca="false">p_grid_ratio*AA144+(AA138+AA140)*p_st_h*MIN(1,MAX(0,(AA145-0.2)/0.6))*AA108*$J$11/1000</f>
        <v>93.9928917607019</v>
      </c>
      <c r="AB146" s="17" t="n">
        <f aca="false">p_grid_ratio*AB144+(AB138+AB140)*p_st_h*MIN(1,MAX(0,(AB145-0.2)/0.6))*AB108*$J$11/1000</f>
        <v>101.528800688994</v>
      </c>
      <c r="AC146" s="17" t="n">
        <f aca="false">p_grid_ratio*AC144+(AC138+AC140)*p_st_h*MIN(1,MAX(0,(AC145-0.2)/0.6))*AC108*$J$11/1000</f>
        <v>109.133699130298</v>
      </c>
      <c r="AD146" s="17" t="n">
        <f aca="false">p_grid_ratio*AD144+(AD138+AD140)*p_st_h*MIN(1,MAX(0,(AD145-0.2)/0.6))*AD108*$J$11/1000</f>
        <v>116.764295564754</v>
      </c>
      <c r="AE146" s="17" t="n">
        <f aca="false">p_grid_ratio*AE144+(AE138+AE140)*p_st_h*MIN(1,MAX(0,(AE145-0.2)/0.6))*AE108*$J$11/1000</f>
        <v>123.521218848341</v>
      </c>
      <c r="AF146" s="17" t="n">
        <f aca="false">p_grid_ratio*AF144+(AF138+AF140)*p_st_h*MIN(1,MAX(0,(AF145-0.2)/0.6))*AF108*$J$11/1000</f>
        <v>128.574639610316</v>
      </c>
      <c r="AG146" s="17" t="n">
        <f aca="false">p_grid_ratio*AG144+(AG138+AG140)*p_st_h*MIN(1,MAX(0,(AG145-0.2)/0.6))*AG108*$J$11/1000</f>
        <v>133.668415593646</v>
      </c>
      <c r="AH146" s="17" t="n">
        <f aca="false">p_grid_ratio*AH144+(AH138+AH140)*p_st_h*MIN(1,MAX(0,(AH145-0.2)/0.6))*AH108*$J$11/1000</f>
        <v>138.8048130156</v>
      </c>
      <c r="AI146" s="17" t="n">
        <f aca="false">p_grid_ratio*AI144+(AI138+AI140)*p_st_h*MIN(1,MAX(0,(AI145-0.2)/0.6))*AI108*$J$11/1000</f>
        <v>143.985900959261</v>
      </c>
      <c r="AJ146" s="17" t="n">
        <f aca="false">p_grid_ratio*AJ144+(AJ138+AJ140)*p_st_h*MIN(1,MAX(0,(AJ145-0.2)/0.6))*AJ108*$J$11/1000</f>
        <v>103.096558580739</v>
      </c>
      <c r="AK146" s="17" t="n">
        <f aca="false">p_grid_ratio*AK144+(AK138+AK140)*p_st_h*MIN(1,MAX(0,(AK145-0.2)/0.6))*AK108*$J$11/1000</f>
        <v>103.965629091762</v>
      </c>
      <c r="AL146" s="17" t="n">
        <f aca="false">p_grid_ratio*AL144+(AL138+AL140)*p_st_h*MIN(1,MAX(0,(AL145-0.2)/0.6))*AL108*$J$11/1000</f>
        <v>104.841532616399</v>
      </c>
      <c r="AM146" s="17" t="n">
        <f aca="false">p_grid_ratio*AM144+(AM138+AM140)*p_st_h*MIN(1,MAX(0,(AM145-0.2)/0.6))*AM108*$J$11/1000</f>
        <v>105.723705768259</v>
      </c>
      <c r="AN146" s="17" t="n">
        <f aca="false">p_grid_ratio*AN144+(AN138+AN140)*p_st_h*MIN(1,MAX(0,(AN145-0.2)/0.6))*AN108*$J$11/1000</f>
        <v>106.611671362445</v>
      </c>
    </row>
    <row r="147" customFormat="false" ht="15" hidden="false" customHeight="false" outlineLevel="0" collapsed="false">
      <c r="A147" s="9" t="n">
        <v>7</v>
      </c>
      <c r="B147" s="9" t="s">
        <v>438</v>
      </c>
      <c r="C147" s="9" t="s">
        <v>521</v>
      </c>
      <c r="D147" s="9" t="s">
        <v>563</v>
      </c>
      <c r="E147" s="9" t="s">
        <v>433</v>
      </c>
      <c r="F147" s="9" t="s">
        <v>425</v>
      </c>
      <c r="G147" s="18"/>
      <c r="H147" s="18" t="s">
        <v>586</v>
      </c>
      <c r="I147" s="9"/>
      <c r="J147" s="9"/>
      <c r="K147" s="17"/>
      <c r="L147" s="17"/>
      <c r="M147" s="17"/>
      <c r="N147" s="19" t="n">
        <f aca="false">N133*$J$24*$J$27</f>
        <v>10554.7927718771</v>
      </c>
      <c r="O147" s="17" t="n">
        <f aca="false">O133*$J$24*$J$27</f>
        <v>10949.7387157251</v>
      </c>
      <c r="P147" s="17" t="n">
        <f aca="false">P133*$J$24*$J$27</f>
        <v>11225.9862117185</v>
      </c>
      <c r="Q147" s="17" t="n">
        <f aca="false">Q133*$J$24*$J$27</f>
        <v>11452.6952458656</v>
      </c>
      <c r="R147" s="17" t="n">
        <f aca="false">R133*$J$24*$J$27</f>
        <v>11622.8519053691</v>
      </c>
      <c r="S147" s="17" t="n">
        <f aca="false">S133*$J$24*$J$27</f>
        <v>11729.4579098497</v>
      </c>
      <c r="T147" s="17" t="n">
        <f aca="false">T133*$J$24*$J$27</f>
        <v>11765.5829802894</v>
      </c>
      <c r="U147" s="17" t="n">
        <f aca="false">U133*$J$24*$J$27</f>
        <v>11724.4193303788</v>
      </c>
      <c r="V147" s="17" t="n">
        <f aca="false">V133*$J$24*$J$27</f>
        <v>11599.337872064</v>
      </c>
      <c r="W147" s="17" t="n">
        <f aca="false">W133*$J$24*$J$27</f>
        <v>11383.9456835396</v>
      </c>
      <c r="X147" s="17" t="n">
        <f aca="false">X133*$J$24*$J$27</f>
        <v>11072.1442475611</v>
      </c>
      <c r="Y147" s="17" t="n">
        <f aca="false">Y133*$J$24*$J$27</f>
        <v>10658.187931571</v>
      </c>
      <c r="Z147" s="17" t="n">
        <f aca="false">Z133*$J$24*$J$27</f>
        <v>10136.7421495171</v>
      </c>
      <c r="AA147" s="17" t="n">
        <f aca="false">AA133*$J$24*$J$27</f>
        <v>9502.94061916356</v>
      </c>
      <c r="AB147" s="17" t="n">
        <f aca="false">AB133*$J$24*$J$27</f>
        <v>8752.44110884961</v>
      </c>
      <c r="AC147" s="17" t="n">
        <f aca="false">AC133*$J$24*$J$27</f>
        <v>7881.47905469661</v>
      </c>
      <c r="AD147" s="17" t="n">
        <f aca="false">AD133*$J$24*$J$27</f>
        <v>6886.9184237642</v>
      </c>
      <c r="AE147" s="17" t="n">
        <f aca="false">AE133*$J$24*$J$27</f>
        <v>5770.53564039789</v>
      </c>
      <c r="AF147" s="17" t="n">
        <f aca="false">AF133*$J$24*$J$27</f>
        <v>4528.24356581971</v>
      </c>
      <c r="AG147" s="17" t="n">
        <f aca="false">AG133*$J$24*$J$27</f>
        <v>3155.61860286199</v>
      </c>
      <c r="AH147" s="17" t="n">
        <f aca="false">AH133*$J$24*$J$27</f>
        <v>1647.90199385808</v>
      </c>
      <c r="AI147" s="17" t="n">
        <f aca="false">AI133*$J$24*$J$27</f>
        <v>0</v>
      </c>
      <c r="AJ147" s="17" t="n">
        <f aca="false">AJ133*$J$24*$J$27</f>
        <v>0</v>
      </c>
      <c r="AK147" s="17" t="n">
        <f aca="false">AK133*$J$24*$J$27</f>
        <v>0</v>
      </c>
      <c r="AL147" s="17" t="n">
        <f aca="false">AL133*$J$24*$J$27</f>
        <v>0</v>
      </c>
      <c r="AM147" s="17" t="n">
        <f aca="false">AM133*$J$24*$J$27</f>
        <v>0</v>
      </c>
      <c r="AN147" s="17" t="n">
        <f aca="false">AN133*$J$24*$J$27</f>
        <v>0</v>
      </c>
    </row>
    <row r="148" customFormat="false" ht="15" hidden="false" customHeight="false" outlineLevel="0" collapsed="false">
      <c r="A148" s="9" t="n">
        <v>7</v>
      </c>
      <c r="B148" s="9" t="s">
        <v>442</v>
      </c>
      <c r="C148" s="9" t="s">
        <v>521</v>
      </c>
      <c r="D148" s="9" t="s">
        <v>563</v>
      </c>
      <c r="E148" s="9" t="s">
        <v>433</v>
      </c>
      <c r="F148" s="9" t="s">
        <v>425</v>
      </c>
      <c r="G148" s="18"/>
      <c r="H148" s="18" t="s">
        <v>587</v>
      </c>
      <c r="I148" s="9"/>
      <c r="J148" s="9"/>
      <c r="K148" s="17"/>
      <c r="L148" s="17"/>
      <c r="M148" s="17"/>
      <c r="N148" s="19" t="n">
        <f aca="false">N133*$J$25*$J$28</f>
        <v>583.684880371244</v>
      </c>
      <c r="O148" s="17" t="n">
        <f aca="false">O133*$J$25*$J$28</f>
        <v>605.52557217547</v>
      </c>
      <c r="P148" s="17" t="n">
        <f aca="false">P133*$J$25*$J$28</f>
        <v>620.802185382065</v>
      </c>
      <c r="Q148" s="17" t="n">
        <f aca="false">Q133*$J$25*$J$28</f>
        <v>633.339298931828</v>
      </c>
      <c r="R148" s="17" t="n">
        <f aca="false">R133*$J$25*$J$28</f>
        <v>642.749040230711</v>
      </c>
      <c r="S148" s="17" t="n">
        <f aca="false">S133*$J$25*$J$28</f>
        <v>648.644401164551</v>
      </c>
      <c r="T148" s="17" t="n">
        <f aca="false">T133*$J$25*$J$28</f>
        <v>650.642134125658</v>
      </c>
      <c r="U148" s="17" t="n">
        <f aca="false">U133*$J$25*$J$28</f>
        <v>648.365765409282</v>
      </c>
      <c r="V148" s="17" t="n">
        <f aca="false">V133*$J$25*$J$28</f>
        <v>641.448703406165</v>
      </c>
      <c r="W148" s="17" t="n">
        <f aca="false">W133*$J$25*$J$28</f>
        <v>629.537416608874</v>
      </c>
      <c r="X148" s="17" t="n">
        <f aca="false">X133*$J$25*$J$28</f>
        <v>612.294654217216</v>
      </c>
      <c r="Y148" s="17" t="n">
        <f aca="false">Y133*$J$25*$J$28</f>
        <v>589.402680115993</v>
      </c>
      <c r="Z148" s="17" t="n">
        <f aca="false">Z133*$J$25*$J$28</f>
        <v>560.566489250249</v>
      </c>
      <c r="AA148" s="17" t="n">
        <f aca="false">AA133*$J$25*$J$28</f>
        <v>525.516973980823</v>
      </c>
      <c r="AB148" s="17" t="n">
        <f aca="false">AB133*$J$25*$J$28</f>
        <v>484.01400690567</v>
      </c>
      <c r="AC148" s="17" t="n">
        <f aca="false">AC133*$J$25*$J$28</f>
        <v>435.849405915993</v>
      </c>
      <c r="AD148" s="17" t="n">
        <f aca="false">AD133*$J$25*$J$28</f>
        <v>380.849746952107</v>
      </c>
      <c r="AE148" s="17" t="n">
        <f aca="false">AE133*$J$25*$J$28</f>
        <v>319.113267094928</v>
      </c>
      <c r="AF148" s="17" t="n">
        <f aca="false">AF133*$J$25*$J$28</f>
        <v>250.413945695807</v>
      </c>
      <c r="AG148" s="17" t="n">
        <f aca="false">AG133*$J$25*$J$28</f>
        <v>174.507155802852</v>
      </c>
      <c r="AH148" s="17" t="n">
        <f aca="false">AH133*$J$25*$J$28</f>
        <v>91.1297359348843</v>
      </c>
      <c r="AI148" s="17" t="n">
        <f aca="false">AI133*$J$25*$J$28</f>
        <v>0</v>
      </c>
      <c r="AJ148" s="17" t="n">
        <f aca="false">AJ133*$J$25*$J$28</f>
        <v>0</v>
      </c>
      <c r="AK148" s="17" t="n">
        <f aca="false">AK133*$J$25*$J$28</f>
        <v>0</v>
      </c>
      <c r="AL148" s="17" t="n">
        <f aca="false">AL133*$J$25*$J$28</f>
        <v>0</v>
      </c>
      <c r="AM148" s="17" t="n">
        <f aca="false">AM133*$J$25*$J$28</f>
        <v>0</v>
      </c>
      <c r="AN148" s="17" t="n">
        <f aca="false">AN133*$J$25*$J$28</f>
        <v>0</v>
      </c>
    </row>
    <row r="149" customFormat="false" ht="15" hidden="false" customHeight="false" outlineLevel="0" collapsed="false">
      <c r="A149" s="9" t="n">
        <v>7</v>
      </c>
      <c r="B149" s="9" t="s">
        <v>453</v>
      </c>
      <c r="C149" s="9" t="s">
        <v>521</v>
      </c>
      <c r="D149" s="9" t="s">
        <v>563</v>
      </c>
      <c r="E149" s="9" t="s">
        <v>433</v>
      </c>
      <c r="F149" s="9" t="s">
        <v>425</v>
      </c>
      <c r="G149" s="18"/>
      <c r="H149" s="18" t="s">
        <v>588</v>
      </c>
      <c r="I149" s="9"/>
      <c r="J149" s="9"/>
      <c r="K149" s="17"/>
      <c r="L149" s="17"/>
      <c r="M149" s="17"/>
      <c r="N149" s="19" t="n">
        <f aca="false">N133*$J$26*p_hr_oil</f>
        <v>43.1390504394692</v>
      </c>
      <c r="O149" s="17" t="n">
        <f aca="false">O133*$J$26*p_hr_oil</f>
        <v>44.7532548450659</v>
      </c>
      <c r="P149" s="17" t="n">
        <f aca="false">P133*$J$26*p_hr_oil</f>
        <v>45.8823205615607</v>
      </c>
      <c r="Q149" s="17" t="n">
        <f aca="false">Q133*$J$26*p_hr_oil</f>
        <v>46.8089150168507</v>
      </c>
      <c r="R149" s="17" t="n">
        <f aca="false">R133*$J$26*p_hr_oil</f>
        <v>47.5043712778672</v>
      </c>
      <c r="S149" s="17" t="n">
        <f aca="false">S133*$J$26*p_hr_oil</f>
        <v>47.9400863036223</v>
      </c>
      <c r="T149" s="17" t="n">
        <f aca="false">T133*$J$26*p_hr_oil</f>
        <v>48.0877349850803</v>
      </c>
      <c r="U149" s="17" t="n">
        <f aca="false">U133*$J$26*p_hr_oil</f>
        <v>47.9194928596168</v>
      </c>
      <c r="V149" s="17" t="n">
        <f aca="false">V133*$J$26*p_hr_oil</f>
        <v>47.4082658316773</v>
      </c>
      <c r="W149" s="17" t="n">
        <f aca="false">W133*$J$26*p_hr_oil</f>
        <v>46.5279250532413</v>
      </c>
      <c r="X149" s="17" t="n">
        <f aca="false">X133*$J$26*p_hr_oil</f>
        <v>45.2535449527042</v>
      </c>
      <c r="Y149" s="17" t="n">
        <f aca="false">Y133*$J$26*p_hr_oil</f>
        <v>43.5616422520833</v>
      </c>
      <c r="Z149" s="17" t="n">
        <f aca="false">Z133*$J$26*p_hr_oil</f>
        <v>41.4304136832565</v>
      </c>
      <c r="AA149" s="17" t="n">
        <f aca="false">AA133*$J$26*p_hr_oil</f>
        <v>38.8399700073383</v>
      </c>
      <c r="AB149" s="17" t="n">
        <f aca="false">AB133*$J$26*p_hr_oil</f>
        <v>35.7725638601996</v>
      </c>
      <c r="AC149" s="17" t="n">
        <f aca="false">AC133*$J$26*p_hr_oil</f>
        <v>32.2128088941826</v>
      </c>
      <c r="AD149" s="17" t="n">
        <f aca="false">AD133*$J$26*p_hr_oil</f>
        <v>28.1478876635905</v>
      </c>
      <c r="AE149" s="17" t="n">
        <f aca="false">AE133*$J$26*p_hr_oil</f>
        <v>23.5850606860951</v>
      </c>
      <c r="AF149" s="17" t="n">
        <f aca="false">AF133*$J$26*p_hr_oil</f>
        <v>18.5076232011477</v>
      </c>
      <c r="AG149" s="17" t="n">
        <f aca="false">AG133*$J$26*p_hr_oil</f>
        <v>12.8974952913624</v>
      </c>
      <c r="AH149" s="17" t="n">
        <f aca="false">AH133*$J$26*p_hr_oil</f>
        <v>6.73522718719401</v>
      </c>
      <c r="AI149" s="17" t="n">
        <f aca="false">AI133*$J$26*p_hr_oil</f>
        <v>0</v>
      </c>
      <c r="AJ149" s="17" t="n">
        <f aca="false">AJ133*$J$26*p_hr_oil</f>
        <v>0</v>
      </c>
      <c r="AK149" s="17" t="n">
        <f aca="false">AK133*$J$26*p_hr_oil</f>
        <v>0</v>
      </c>
      <c r="AL149" s="17" t="n">
        <f aca="false">AL133*$J$26*p_hr_oil</f>
        <v>0</v>
      </c>
      <c r="AM149" s="17" t="n">
        <f aca="false">AM133*$J$26*p_hr_oil</f>
        <v>0</v>
      </c>
      <c r="AN149" s="17" t="n">
        <f aca="false">AN133*$J$26*p_hr_oil</f>
        <v>0</v>
      </c>
    </row>
    <row r="150" customFormat="false" ht="15" hidden="false" customHeight="false" outlineLevel="0" collapsed="false">
      <c r="A150" s="9" t="n">
        <v>7</v>
      </c>
      <c r="B150" s="9"/>
      <c r="C150" s="9" t="s">
        <v>521</v>
      </c>
      <c r="D150" s="9" t="s">
        <v>567</v>
      </c>
      <c r="E150" s="9" t="s">
        <v>301</v>
      </c>
      <c r="F150" s="9" t="s">
        <v>425</v>
      </c>
      <c r="G150" s="18"/>
      <c r="H150" s="18" t="s">
        <v>589</v>
      </c>
      <c r="I150" s="9"/>
      <c r="J150" s="9"/>
      <c r="K150" s="17"/>
      <c r="L150" s="17"/>
      <c r="M150" s="17"/>
      <c r="N150" s="19" t="n">
        <f aca="false">p_om_vre*(N137*p_capex_sol24+N139*p_capex_wnd24)/1000+N133*p_om_fos</f>
        <v>18.5576302976774</v>
      </c>
      <c r="O150" s="17" t="n">
        <f aca="false">p_om_vre*(O137*p_capex_sol24+O139*p_capex_wnd24)/1000+O133*p_om_fos</f>
        <v>20.2394587292242</v>
      </c>
      <c r="P150" s="17" t="n">
        <f aca="false">p_om_vre*(P137*p_capex_sol24+P139*p_capex_wnd24)/1000+P133*p_om_fos</f>
        <v>21.8318066969169</v>
      </c>
      <c r="Q150" s="17" t="n">
        <f aca="false">p_om_vre*(Q137*p_capex_sol24+Q139*p_capex_wnd24)/1000+Q133*p_om_fos</f>
        <v>23.4807115818234</v>
      </c>
      <c r="R150" s="17" t="n">
        <f aca="false">p_om_vre*(R137*p_capex_sol24+R139*p_capex_wnd24)/1000+R133*p_om_fos</f>
        <v>25.1823408691755</v>
      </c>
      <c r="S150" s="17" t="n">
        <f aca="false">p_om_vre*(S137*p_capex_sol24+S139*p_capex_wnd24)/1000+S133*p_om_fos</f>
        <v>26.9324821503151</v>
      </c>
      <c r="T150" s="17" t="n">
        <f aca="false">p_om_vre*(T137*p_capex_sol24+T139*p_capex_wnd24)/1000+T133*p_om_fos</f>
        <v>28.7265523848606</v>
      </c>
      <c r="U150" s="17" t="n">
        <f aca="false">p_om_vre*(U137*p_capex_sol24+U139*p_capex_wnd24)/1000+U133*p_om_fos</f>
        <v>30.5596101513893</v>
      </c>
      <c r="V150" s="17" t="n">
        <f aca="false">p_om_vre*(V137*p_capex_sol24+V139*p_capex_wnd24)/1000+V133*p_om_fos</f>
        <v>32.4263709269265</v>
      </c>
      <c r="W150" s="17" t="n">
        <f aca="false">p_om_vre*(W137*p_capex_sol24+W139*p_capex_wnd24)/1000+W133*p_om_fos</f>
        <v>34.3212254065353</v>
      </c>
      <c r="X150" s="17" t="n">
        <f aca="false">p_om_vre*(X137*p_capex_sol24+X139*p_capex_wnd24)/1000+X133*p_om_fos</f>
        <v>36.2382608435679</v>
      </c>
      <c r="Y150" s="17" t="n">
        <f aca="false">p_om_vre*(Y137*p_capex_sol24+Y139*p_capex_wnd24)/1000+Y133*p_om_fos</f>
        <v>38.1712853590264</v>
      </c>
      <c r="Z150" s="17" t="n">
        <f aca="false">p_om_vre*(Z137*p_capex_sol24+Z139*p_capex_wnd24)/1000+Z133*p_om_fos</f>
        <v>40.1138551353329</v>
      </c>
      <c r="AA150" s="17" t="n">
        <f aca="false">p_om_vre*(AA137*p_capex_sol24+AA139*p_capex_wnd24)/1000+AA133*p_om_fos</f>
        <v>42.0593043760573</v>
      </c>
      <c r="AB150" s="17" t="n">
        <f aca="false">p_om_vre*(AB137*p_capex_sol24+AB139*p_capex_wnd24)/1000+AB133*p_om_fos</f>
        <v>44.0007778792229</v>
      </c>
      <c r="AC150" s="17" t="n">
        <f aca="false">p_om_vre*(AC137*p_capex_sol24+AC139*p_capex_wnd24)/1000+AC133*p_om_fos</f>
        <v>45.9312660381681</v>
      </c>
      <c r="AD150" s="17" t="n">
        <f aca="false">p_om_vre*(AD137*p_capex_sol24+AD139*p_capex_wnd24)/1000+AD133*p_om_fos</f>
        <v>47.8436420510854</v>
      </c>
      <c r="AE150" s="17" t="n">
        <f aca="false">p_om_vre*(AE137*p_capex_sol24+AE139*p_capex_wnd24)/1000+AE133*p_om_fos</f>
        <v>49.7688278826776</v>
      </c>
      <c r="AF150" s="17" t="n">
        <f aca="false">p_om_vre*(AF137*p_capex_sol24+AF139*p_capex_wnd24)/1000+AF133*p_om_fos</f>
        <v>51.7084867863447</v>
      </c>
      <c r="AG150" s="17" t="n">
        <f aca="false">p_om_vre*(AG137*p_capex_sol24+AG139*p_capex_wnd24)/1000+AG133*p_om_fos</f>
        <v>53.664170775596</v>
      </c>
      <c r="AH150" s="17" t="n">
        <f aca="false">p_om_vre*(AH137*p_capex_sol24+AH139*p_capex_wnd24)/1000+AH133*p_om_fos</f>
        <v>55.6373275049291</v>
      </c>
      <c r="AI150" s="17" t="n">
        <f aca="false">p_om_vre*(AI137*p_capex_sol24+AI139*p_capex_wnd24)/1000+AI133*p_om_fos</f>
        <v>57.6293065372962</v>
      </c>
      <c r="AJ150" s="17" t="n">
        <f aca="false">p_om_vre*(AJ137*p_capex_sol24+AJ139*p_capex_wnd24)/1000+AJ133*p_om_fos</f>
        <v>60.1931388916179</v>
      </c>
      <c r="AK150" s="17" t="n">
        <f aca="false">p_om_vre*(AK137*p_capex_sol24+AK139*p_capex_wnd24)/1000+AK133*p_om_fos</f>
        <v>62.8247932902752</v>
      </c>
      <c r="AL150" s="17" t="n">
        <f aca="false">p_om_vre*(AL137*p_capex_sol24+AL139*p_capex_wnd24)/1000+AL133*p_om_fos</f>
        <v>65.5272362122132</v>
      </c>
      <c r="AM150" s="17" t="n">
        <f aca="false">p_om_vre*(AM137*p_capex_sol24+AM139*p_capex_wnd24)/1000+AM133*p_om_fos</f>
        <v>68.3034617220159</v>
      </c>
      <c r="AN150" s="17" t="n">
        <f aca="false">p_om_vre*(AN137*p_capex_sol24+AN139*p_capex_wnd24)/1000+AN133*p_om_fos</f>
        <v>71.1564966717775</v>
      </c>
    </row>
    <row r="151" customFormat="false" ht="15" hidden="false" customHeight="false" outlineLevel="0" collapsed="false">
      <c r="A151" s="12" t="s">
        <v>590</v>
      </c>
      <c r="B151" s="13"/>
      <c r="C151" s="13"/>
      <c r="D151" s="13"/>
      <c r="E151" s="13"/>
      <c r="F151" s="13"/>
      <c r="G151" s="13"/>
      <c r="H151" s="13"/>
      <c r="I151" s="13"/>
      <c r="J151" s="13"/>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row>
    <row r="152" customFormat="false" ht="15" hidden="false" customHeight="false" outlineLevel="0" collapsed="false">
      <c r="A152" s="9" t="n">
        <v>8</v>
      </c>
      <c r="B152" s="9"/>
      <c r="C152" s="9"/>
      <c r="D152" s="9" t="s">
        <v>591</v>
      </c>
      <c r="E152" s="9" t="s">
        <v>380</v>
      </c>
      <c r="F152" s="9" t="s">
        <v>425</v>
      </c>
      <c r="G152" s="18"/>
      <c r="H152" s="18" t="s">
        <v>592</v>
      </c>
      <c r="I152" s="9"/>
      <c r="J152" s="9"/>
      <c r="K152" s="17"/>
      <c r="L152" s="17"/>
      <c r="M152" s="17"/>
      <c r="N152" s="19" t="n">
        <f aca="false">0</f>
        <v>0</v>
      </c>
      <c r="O152" s="17" t="n">
        <f aca="false">$J$32*IF(O$1&lt;=2030,p_nc_2030*(O$1-2024)/6,p_nc_2030+(p_nc_2050-p_nc_2030)*(O$1-2030)/20)</f>
        <v>54.3010082718431</v>
      </c>
      <c r="P152" s="17" t="n">
        <f aca="false">$J$32*IF(P$1&lt;=2030,p_nc_2030*(P$1-2024)/6,p_nc_2030+(p_nc_2050-p_nc_2030)*(P$1-2030)/20)</f>
        <v>108.602016543686</v>
      </c>
      <c r="Q152" s="17" t="n">
        <f aca="false">$J$32*IF(Q$1&lt;=2030,p_nc_2030*(Q$1-2024)/6,p_nc_2030+(p_nc_2050-p_nc_2030)*(Q$1-2030)/20)</f>
        <v>162.903024815529</v>
      </c>
      <c r="R152" s="17" t="n">
        <f aca="false">$J$32*IF(R$1&lt;=2030,p_nc_2030*(R$1-2024)/6,p_nc_2030+(p_nc_2050-p_nc_2030)*(R$1-2030)/20)</f>
        <v>217.204033087373</v>
      </c>
      <c r="S152" s="17" t="n">
        <f aca="false">$J$32*IF(S$1&lt;=2030,p_nc_2030*(S$1-2024)/6,p_nc_2030+(p_nc_2050-p_nc_2030)*(S$1-2030)/20)</f>
        <v>271.505041359216</v>
      </c>
      <c r="T152" s="17" t="n">
        <f aca="false">$J$32*IF(T$1&lt;=2030,p_nc_2030*(T$1-2024)/6,p_nc_2030+(p_nc_2050-p_nc_2030)*(T$1-2030)/20)</f>
        <v>325.806049631059</v>
      </c>
      <c r="U152" s="17" t="n">
        <f aca="false">$J$32*IF(U$1&lt;=2030,p_nc_2030*(U$1-2024)/6,p_nc_2030+(p_nc_2050-p_nc_2030)*(U$1-2030)/20)</f>
        <v>342.096352112612</v>
      </c>
      <c r="V152" s="17" t="n">
        <f aca="false">$J$32*IF(V$1&lt;=2030,p_nc_2030*(V$1-2024)/6,p_nc_2030+(p_nc_2050-p_nc_2030)*(V$1-2030)/20)</f>
        <v>358.386654594165</v>
      </c>
      <c r="W152" s="17" t="n">
        <f aca="false">$J$32*IF(W$1&lt;=2030,p_nc_2030*(W$1-2024)/6,p_nc_2030+(p_nc_2050-p_nc_2030)*(W$1-2030)/20)</f>
        <v>374.676957075718</v>
      </c>
      <c r="X152" s="17" t="n">
        <f aca="false">$J$32*IF(X$1&lt;=2030,p_nc_2030*(X$1-2024)/6,p_nc_2030+(p_nc_2050-p_nc_2030)*(X$1-2030)/20)</f>
        <v>390.967259557271</v>
      </c>
      <c r="Y152" s="17" t="n">
        <f aca="false">$J$32*IF(Y$1&lt;=2030,p_nc_2030*(Y$1-2024)/6,p_nc_2030+(p_nc_2050-p_nc_2030)*(Y$1-2030)/20)</f>
        <v>407.257562038824</v>
      </c>
      <c r="Z152" s="17" t="n">
        <f aca="false">$J$32*IF(Z$1&lt;=2030,p_nc_2030*(Z$1-2024)/6,p_nc_2030+(p_nc_2050-p_nc_2030)*(Z$1-2030)/20)</f>
        <v>423.547864520377</v>
      </c>
      <c r="AA152" s="17" t="n">
        <f aca="false">$J$32*IF(AA$1&lt;=2030,p_nc_2030*(AA$1-2024)/6,p_nc_2030+(p_nc_2050-p_nc_2030)*(AA$1-2030)/20)</f>
        <v>439.83816700193</v>
      </c>
      <c r="AB152" s="17" t="n">
        <f aca="false">$J$32*IF(AB$1&lt;=2030,p_nc_2030*(AB$1-2024)/6,p_nc_2030+(p_nc_2050-p_nc_2030)*(AB$1-2030)/20)</f>
        <v>456.128469483482</v>
      </c>
      <c r="AC152" s="17" t="n">
        <f aca="false">$J$32*IF(AC$1&lt;=2030,p_nc_2030*(AC$1-2024)/6,p_nc_2030+(p_nc_2050-p_nc_2030)*(AC$1-2030)/20)</f>
        <v>472.418771965035</v>
      </c>
      <c r="AD152" s="17" t="n">
        <f aca="false">$J$32*IF(AD$1&lt;=2030,p_nc_2030*(AD$1-2024)/6,p_nc_2030+(p_nc_2050-p_nc_2030)*(AD$1-2030)/20)</f>
        <v>488.709074446588</v>
      </c>
      <c r="AE152" s="17" t="n">
        <f aca="false">$J$32*IF(AE$1&lt;=2030,p_nc_2030*(AE$1-2024)/6,p_nc_2030+(p_nc_2050-p_nc_2030)*(AE$1-2030)/20)</f>
        <v>504.999376928141</v>
      </c>
      <c r="AF152" s="17" t="n">
        <f aca="false">$J$32*IF(AF$1&lt;=2030,p_nc_2030*(AF$1-2024)/6,p_nc_2030+(p_nc_2050-p_nc_2030)*(AF$1-2030)/20)</f>
        <v>521.289679409694</v>
      </c>
      <c r="AG152" s="17" t="n">
        <f aca="false">$J$32*IF(AG$1&lt;=2030,p_nc_2030*(AG$1-2024)/6,p_nc_2030+(p_nc_2050-p_nc_2030)*(AG$1-2030)/20)</f>
        <v>537.579981891247</v>
      </c>
      <c r="AH152" s="17" t="n">
        <f aca="false">$J$32*IF(AH$1&lt;=2030,p_nc_2030*(AH$1-2024)/6,p_nc_2030+(p_nc_2050-p_nc_2030)*(AH$1-2030)/20)</f>
        <v>553.8702843728</v>
      </c>
      <c r="AI152" s="17" t="n">
        <f aca="false">$J$32*IF(AI$1&lt;=2030,p_nc_2030*(AI$1-2024)/6,p_nc_2030+(p_nc_2050-p_nc_2030)*(AI$1-2030)/20)</f>
        <v>570.160586854353</v>
      </c>
      <c r="AJ152" s="17" t="n">
        <f aca="false">$J$32*IF(AJ$1&lt;=2030,p_nc_2030*(AJ$1-2024)/6,p_nc_2030+(p_nc_2050-p_nc_2030)*(AJ$1-2030)/20)</f>
        <v>586.450889335906</v>
      </c>
      <c r="AK152" s="17" t="n">
        <f aca="false">$J$32*IF(AK$1&lt;=2030,p_nc_2030*(AK$1-2024)/6,p_nc_2030+(p_nc_2050-p_nc_2030)*(AK$1-2030)/20)</f>
        <v>602.741191817459</v>
      </c>
      <c r="AL152" s="17" t="n">
        <f aca="false">$J$32*IF(AL$1&lt;=2030,p_nc_2030*(AL$1-2024)/6,p_nc_2030+(p_nc_2050-p_nc_2030)*(AL$1-2030)/20)</f>
        <v>619.031494299012</v>
      </c>
      <c r="AM152" s="17" t="n">
        <f aca="false">$J$32*IF(AM$1&lt;=2030,p_nc_2030*(AM$1-2024)/6,p_nc_2030+(p_nc_2050-p_nc_2030)*(AM$1-2030)/20)</f>
        <v>635.321796780565</v>
      </c>
      <c r="AN152" s="17" t="n">
        <f aca="false">$J$32*IF(AN$1&lt;=2030,p_nc_2030*(AN$1-2024)/6,p_nc_2030+(p_nc_2050-p_nc_2030)*(AN$1-2030)/20)</f>
        <v>651.612099262118</v>
      </c>
    </row>
    <row r="153" customFormat="false" ht="15" hidden="false" customHeight="false" outlineLevel="0" collapsed="false">
      <c r="A153" s="9" t="n">
        <v>8</v>
      </c>
      <c r="B153" s="9"/>
      <c r="C153" s="9"/>
      <c r="D153" s="9" t="s">
        <v>593</v>
      </c>
      <c r="E153" s="9" t="s">
        <v>380</v>
      </c>
      <c r="F153" s="9" t="s">
        <v>425</v>
      </c>
      <c r="G153" s="18"/>
      <c r="H153" s="18" t="s">
        <v>594</v>
      </c>
      <c r="I153" s="9"/>
      <c r="J153" s="9"/>
      <c r="K153" s="17"/>
      <c r="L153" s="17"/>
      <c r="M153" s="17"/>
      <c r="N153" s="19" t="n">
        <f aca="false">0</f>
        <v>0</v>
      </c>
      <c r="O153" s="17" t="n">
        <f aca="false">$J$33*MIN(1,(O$1-2024)/(p_lu_T-2024))</f>
        <v>0</v>
      </c>
      <c r="P153" s="17" t="n">
        <f aca="false">$J$33*MIN(1,(P$1-2024)/(p_lu_T-2024))</f>
        <v>0</v>
      </c>
      <c r="Q153" s="17" t="n">
        <f aca="false">$J$33*MIN(1,(Q$1-2024)/(p_lu_T-2024))</f>
        <v>0</v>
      </c>
      <c r="R153" s="17" t="n">
        <f aca="false">$J$33*MIN(1,(R$1-2024)/(p_lu_T-2024))</f>
        <v>0</v>
      </c>
      <c r="S153" s="17" t="n">
        <f aca="false">$J$33*MIN(1,(S$1-2024)/(p_lu_T-2024))</f>
        <v>0</v>
      </c>
      <c r="T153" s="17" t="n">
        <f aca="false">$J$33*MIN(1,(T$1-2024)/(p_lu_T-2024))</f>
        <v>0</v>
      </c>
      <c r="U153" s="17" t="n">
        <f aca="false">$J$33*MIN(1,(U$1-2024)/(p_lu_T-2024))</f>
        <v>0</v>
      </c>
      <c r="V153" s="17" t="n">
        <f aca="false">$J$33*MIN(1,(V$1-2024)/(p_lu_T-2024))</f>
        <v>0</v>
      </c>
      <c r="W153" s="17" t="n">
        <f aca="false">$J$33*MIN(1,(W$1-2024)/(p_lu_T-2024))</f>
        <v>0</v>
      </c>
      <c r="X153" s="17" t="n">
        <f aca="false">$J$33*MIN(1,(X$1-2024)/(p_lu_T-2024))</f>
        <v>0</v>
      </c>
      <c r="Y153" s="17" t="n">
        <f aca="false">$J$33*MIN(1,(Y$1-2024)/(p_lu_T-2024))</f>
        <v>0</v>
      </c>
      <c r="Z153" s="17" t="n">
        <f aca="false">$J$33*MIN(1,(Z$1-2024)/(p_lu_T-2024))</f>
        <v>0</v>
      </c>
      <c r="AA153" s="17" t="n">
        <f aca="false">$J$33*MIN(1,(AA$1-2024)/(p_lu_T-2024))</f>
        <v>0</v>
      </c>
      <c r="AB153" s="17" t="n">
        <f aca="false">$J$33*MIN(1,(AB$1-2024)/(p_lu_T-2024))</f>
        <v>0</v>
      </c>
      <c r="AC153" s="17" t="n">
        <f aca="false">$J$33*MIN(1,(AC$1-2024)/(p_lu_T-2024))</f>
        <v>0</v>
      </c>
      <c r="AD153" s="17" t="n">
        <f aca="false">$J$33*MIN(1,(AD$1-2024)/(p_lu_T-2024))</f>
        <v>0</v>
      </c>
      <c r="AE153" s="17" t="n">
        <f aca="false">$J$33*MIN(1,(AE$1-2024)/(p_lu_T-2024))</f>
        <v>0</v>
      </c>
      <c r="AF153" s="17" t="n">
        <f aca="false">$J$33*MIN(1,(AF$1-2024)/(p_lu_T-2024))</f>
        <v>0</v>
      </c>
      <c r="AG153" s="17" t="n">
        <f aca="false">$J$33*MIN(1,(AG$1-2024)/(p_lu_T-2024))</f>
        <v>0</v>
      </c>
      <c r="AH153" s="17" t="n">
        <f aca="false">$J$33*MIN(1,(AH$1-2024)/(p_lu_T-2024))</f>
        <v>0</v>
      </c>
      <c r="AI153" s="17" t="n">
        <f aca="false">$J$33*MIN(1,(AI$1-2024)/(p_lu_T-2024))</f>
        <v>0</v>
      </c>
      <c r="AJ153" s="17" t="n">
        <f aca="false">$J$33*MIN(1,(AJ$1-2024)/(p_lu_T-2024))</f>
        <v>0</v>
      </c>
      <c r="AK153" s="17" t="n">
        <f aca="false">$J$33*MIN(1,(AK$1-2024)/(p_lu_T-2024))</f>
        <v>0</v>
      </c>
      <c r="AL153" s="17" t="n">
        <f aca="false">$J$33*MIN(1,(AL$1-2024)/(p_lu_T-2024))</f>
        <v>0</v>
      </c>
      <c r="AM153" s="17" t="n">
        <f aca="false">$J$33*MIN(1,(AM$1-2024)/(p_lu_T-2024))</f>
        <v>0</v>
      </c>
      <c r="AN153" s="17" t="n">
        <f aca="false">$J$33*MIN(1,(AN$1-2024)/(p_lu_T-2024))</f>
        <v>0</v>
      </c>
    </row>
    <row r="154" customFormat="false" ht="15" hidden="false" customHeight="false" outlineLevel="0" collapsed="false">
      <c r="A154" s="9" t="n">
        <v>8</v>
      </c>
      <c r="B154" s="9"/>
      <c r="C154" s="9"/>
      <c r="D154" s="9" t="s">
        <v>595</v>
      </c>
      <c r="E154" s="9" t="s">
        <v>301</v>
      </c>
      <c r="F154" s="9" t="s">
        <v>425</v>
      </c>
      <c r="G154" s="18"/>
      <c r="H154" s="18" t="s">
        <v>596</v>
      </c>
      <c r="I154" s="9"/>
      <c r="J154" s="9"/>
      <c r="K154" s="17"/>
      <c r="L154" s="17"/>
      <c r="M154" s="17"/>
      <c r="N154" s="19" t="n">
        <f aca="false">0</f>
        <v>0</v>
      </c>
      <c r="O154" s="17" t="n">
        <f aca="false">(O152*p_cpt_nc+O153*p_cpt_afolu)/1000</f>
        <v>2.71505041359216</v>
      </c>
      <c r="P154" s="17" t="n">
        <f aca="false">(P152*p_cpt_nc+P153*p_cpt_afolu)/1000</f>
        <v>5.43010082718432</v>
      </c>
      <c r="Q154" s="17" t="n">
        <f aca="false">(Q152*p_cpt_nc+Q153*p_cpt_afolu)/1000</f>
        <v>8.14515124077647</v>
      </c>
      <c r="R154" s="17" t="n">
        <f aca="false">(R152*p_cpt_nc+R153*p_cpt_afolu)/1000</f>
        <v>10.8602016543686</v>
      </c>
      <c r="S154" s="17" t="n">
        <f aca="false">(S152*p_cpt_nc+S153*p_cpt_afolu)/1000</f>
        <v>13.5752520679608</v>
      </c>
      <c r="T154" s="17" t="n">
        <f aca="false">(T152*p_cpt_nc+T153*p_cpt_afolu)/1000</f>
        <v>16.2903024815529</v>
      </c>
      <c r="U154" s="17" t="n">
        <f aca="false">(U152*p_cpt_nc+U153*p_cpt_afolu)/1000</f>
        <v>17.1048176056306</v>
      </c>
      <c r="V154" s="17" t="n">
        <f aca="false">(V152*p_cpt_nc+V153*p_cpt_afolu)/1000</f>
        <v>17.9193327297082</v>
      </c>
      <c r="W154" s="17" t="n">
        <f aca="false">(W152*p_cpt_nc+W153*p_cpt_afolu)/1000</f>
        <v>18.7338478537859</v>
      </c>
      <c r="X154" s="17" t="n">
        <f aca="false">(X152*p_cpt_nc+X153*p_cpt_afolu)/1000</f>
        <v>19.5483629778635</v>
      </c>
      <c r="Y154" s="17" t="n">
        <f aca="false">(Y152*p_cpt_nc+Y153*p_cpt_afolu)/1000</f>
        <v>20.3628781019412</v>
      </c>
      <c r="Z154" s="17" t="n">
        <f aca="false">(Z152*p_cpt_nc+Z153*p_cpt_afolu)/1000</f>
        <v>21.1773932260188</v>
      </c>
      <c r="AA154" s="17" t="n">
        <f aca="false">(AA152*p_cpt_nc+AA153*p_cpt_afolu)/1000</f>
        <v>21.9919083500965</v>
      </c>
      <c r="AB154" s="17" t="n">
        <f aca="false">(AB152*p_cpt_nc+AB153*p_cpt_afolu)/1000</f>
        <v>22.8064234741741</v>
      </c>
      <c r="AC154" s="17" t="n">
        <f aca="false">(AC152*p_cpt_nc+AC153*p_cpt_afolu)/1000</f>
        <v>23.6209385982518</v>
      </c>
      <c r="AD154" s="17" t="n">
        <f aca="false">(AD152*p_cpt_nc+AD153*p_cpt_afolu)/1000</f>
        <v>24.4354537223294</v>
      </c>
      <c r="AE154" s="17" t="n">
        <f aca="false">(AE152*p_cpt_nc+AE153*p_cpt_afolu)/1000</f>
        <v>25.2499688464071</v>
      </c>
      <c r="AF154" s="17" t="n">
        <f aca="false">(AF152*p_cpt_nc+AF153*p_cpt_afolu)/1000</f>
        <v>26.0644839704847</v>
      </c>
      <c r="AG154" s="17" t="n">
        <f aca="false">(AG152*p_cpt_nc+AG153*p_cpt_afolu)/1000</f>
        <v>26.8789990945624</v>
      </c>
      <c r="AH154" s="17" t="n">
        <f aca="false">(AH152*p_cpt_nc+AH153*p_cpt_afolu)/1000</f>
        <v>27.69351421864</v>
      </c>
      <c r="AI154" s="17" t="n">
        <f aca="false">(AI152*p_cpt_nc+AI153*p_cpt_afolu)/1000</f>
        <v>28.5080293427177</v>
      </c>
      <c r="AJ154" s="17" t="n">
        <f aca="false">(AJ152*p_cpt_nc+AJ153*p_cpt_afolu)/1000</f>
        <v>29.3225444667953</v>
      </c>
      <c r="AK154" s="17" t="n">
        <f aca="false">(AK152*p_cpt_nc+AK153*p_cpt_afolu)/1000</f>
        <v>30.1370595908729</v>
      </c>
      <c r="AL154" s="17" t="n">
        <f aca="false">(AL152*p_cpt_nc+AL153*p_cpt_afolu)/1000</f>
        <v>30.9515747149506</v>
      </c>
      <c r="AM154" s="17" t="n">
        <f aca="false">(AM152*p_cpt_nc+AM153*p_cpt_afolu)/1000</f>
        <v>31.7660898390282</v>
      </c>
      <c r="AN154" s="17" t="n">
        <f aca="false">(AN152*p_cpt_nc+AN153*p_cpt_afolu)/1000</f>
        <v>32.5806049631059</v>
      </c>
    </row>
    <row r="155" customFormat="false" ht="15" hidden="false" customHeight="false" outlineLevel="0" collapsed="false">
      <c r="A155" s="12" t="s">
        <v>597</v>
      </c>
      <c r="B155" s="13"/>
      <c r="C155" s="13"/>
      <c r="D155" s="13"/>
      <c r="E155" s="13"/>
      <c r="F155" s="13"/>
      <c r="G155" s="13"/>
      <c r="H155" s="13"/>
      <c r="I155" s="13"/>
      <c r="J155" s="13"/>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row>
    <row r="156" customFormat="false" ht="15" hidden="false" customHeight="false" outlineLevel="0" collapsed="false">
      <c r="A156" s="9" t="n">
        <v>9</v>
      </c>
      <c r="B156" s="9"/>
      <c r="C156" s="9"/>
      <c r="D156" s="9" t="s">
        <v>598</v>
      </c>
      <c r="E156" s="9" t="s">
        <v>387</v>
      </c>
      <c r="F156" s="9" t="s">
        <v>425</v>
      </c>
      <c r="G156" s="18"/>
      <c r="H156" s="18" t="s">
        <v>599</v>
      </c>
      <c r="I156" s="9"/>
      <c r="J156" s="9"/>
      <c r="K156" s="17"/>
      <c r="L156" s="17"/>
      <c r="M156" s="17"/>
      <c r="N156" s="19" t="n">
        <f aca="false">N67*p_ef_gso+N68*p_ef_die+N81*p_ef_coa+N82*p_ef_nga+N83*p_ef_lpg+N84*p_ef_ker+N94*p_ef_coa+N95*p_ef_nga+N96*p_ef_oil+N126*p_ef_coa+N127*p_ef_nga+N128*p_ef_oil</f>
        <v>2415.93736902291</v>
      </c>
      <c r="O156" s="17" t="n">
        <f aca="false">O67*p_ef_gso+O68*p_ef_die+O81*p_ef_coa+O82*p_ef_nga+O83*p_ef_lpg+O84*p_ef_ker+O94*p_ef_coa+O95*p_ef_nga+O96*p_ef_oil+O126*p_ef_coa+O127*p_ef_nga+O128*p_ef_oil</f>
        <v>2507.62253548358</v>
      </c>
      <c r="P156" s="17" t="n">
        <f aca="false">P67*p_ef_gso+P68*p_ef_die+P81*p_ef_coa+P82*p_ef_nga+P83*p_ef_lpg+P84*p_ef_ker+P94*p_ef_coa+P95*p_ef_nga+P96*p_ef_oil+P126*p_ef_coa+P127*p_ef_nga+P128*p_ef_oil</f>
        <v>2583.29152197086</v>
      </c>
      <c r="Q156" s="17" t="n">
        <f aca="false">Q67*p_ef_gso+Q68*p_ef_die+Q81*p_ef_coa+Q82*p_ef_nga+Q83*p_ef_lpg+Q84*p_ef_ker+Q94*p_ef_coa+Q95*p_ef_nga+Q96*p_ef_oil+Q126*p_ef_coa+Q127*p_ef_nga+Q128*p_ef_oil</f>
        <v>2657.81025158208</v>
      </c>
      <c r="R156" s="17" t="n">
        <f aca="false">R67*p_ef_gso+R68*p_ef_die+R81*p_ef_coa+R82*p_ef_nga+R83*p_ef_lpg+R84*p_ef_ker+R94*p_ef_coa+R95*p_ef_nga+R96*p_ef_oil+R126*p_ef_coa+R127*p_ef_nga+R128*p_ef_oil</f>
        <v>2730.92858665674</v>
      </c>
      <c r="S156" s="17" t="n">
        <f aca="false">S67*p_ef_gso+S68*p_ef_die+S81*p_ef_coa+S82*p_ef_nga+S83*p_ef_lpg+S84*p_ef_ker+S94*p_ef_coa+S95*p_ef_nga+S96*p_ef_oil+S126*p_ef_coa+S127*p_ef_nga+S128*p_ef_oil</f>
        <v>2802.39350602014</v>
      </c>
      <c r="T156" s="17" t="n">
        <f aca="false">T67*p_ef_gso+T68*p_ef_die+T81*p_ef_coa+T82*p_ef_nga+T83*p_ef_lpg+T84*p_ef_ker+T94*p_ef_coa+T95*p_ef_nga+T96*p_ef_oil+T126*p_ef_coa+T127*p_ef_nga+T128*p_ef_oil</f>
        <v>2871.95043842629</v>
      </c>
      <c r="U156" s="17" t="n">
        <f aca="false">U67*p_ef_gso+U68*p_ef_die+U81*p_ef_coa+U82*p_ef_nga+U83*p_ef_lpg+U84*p_ef_ker+U94*p_ef_coa+U95*p_ef_nga+U96*p_ef_oil+U126*p_ef_coa+U127*p_ef_nga+U128*p_ef_oil</f>
        <v>2939.34465970194</v>
      </c>
      <c r="V156" s="17" t="n">
        <f aca="false">V67*p_ef_gso+V68*p_ef_die+V81*p_ef_coa+V82*p_ef_nga+V83*p_ef_lpg+V84*p_ef_ker+V94*p_ef_coa+V95*p_ef_nga+V96*p_ef_oil+V126*p_ef_coa+V127*p_ef_nga+V128*p_ef_oil</f>
        <v>3004.32274410894</v>
      </c>
      <c r="W156" s="17" t="n">
        <f aca="false">W67*p_ef_gso+W68*p_ef_die+W81*p_ef_coa+W82*p_ef_nga+W83*p_ef_lpg+W84*p_ef_ker+W94*p_ef_coa+W95*p_ef_nga+W96*p_ef_oil+W126*p_ef_coa+W127*p_ef_nga+W128*p_ef_oil</f>
        <v>3066.63405948367</v>
      </c>
      <c r="X156" s="17" t="n">
        <f aca="false">X67*p_ef_gso+X68*p_ef_die+X81*p_ef_coa+X82*p_ef_nga+X83*p_ef_lpg+X84*p_ef_ker+X94*p_ef_coa+X95*p_ef_nga+X96*p_ef_oil+X126*p_ef_coa+X127*p_ef_nga+X128*p_ef_oil</f>
        <v>3126.03229483387</v>
      </c>
      <c r="Y156" s="17" t="n">
        <f aca="false">Y67*p_ef_gso+Y68*p_ef_die+Y81*p_ef_coa+Y82*p_ef_nga+Y83*p_ef_lpg+Y84*p_ef_ker+Y94*p_ef_coa+Y95*p_ef_nga+Y96*p_ef_oil+Y126*p_ef_coa+Y127*p_ef_nga+Y128*p_ef_oil</f>
        <v>3182.27700828977</v>
      </c>
      <c r="Z156" s="17" t="n">
        <f aca="false">Z67*p_ef_gso+Z68*p_ef_die+Z81*p_ef_coa+Z82*p_ef_nga+Z83*p_ef_lpg+Z84*p_ef_ker+Z94*p_ef_coa+Z95*p_ef_nga+Z96*p_ef_oil+Z126*p_ef_coa+Z127*p_ef_nga+Z128*p_ef_oil</f>
        <v>3235.36252489336</v>
      </c>
      <c r="AA156" s="17" t="n">
        <f aca="false">AA67*p_ef_gso+AA68*p_ef_die+AA81*p_ef_coa+AA82*p_ef_nga+AA83*p_ef_lpg+AA84*p_ef_ker+AA94*p_ef_coa+AA95*p_ef_nga+AA96*p_ef_oil+AA126*p_ef_coa+AA127*p_ef_nga+AA128*p_ef_oil</f>
        <v>3285.07213132275</v>
      </c>
      <c r="AB156" s="17" t="n">
        <f aca="false">AB67*p_ef_gso+AB68*p_ef_die+AB81*p_ef_coa+AB82*p_ef_nga+AB83*p_ef_lpg+AB84*p_ef_ker+AB94*p_ef_coa+AB95*p_ef_nga+AB96*p_ef_oil+AB126*p_ef_coa+AB127*p_ef_nga+AB128*p_ef_oil</f>
        <v>3331.19827618248</v>
      </c>
      <c r="AC156" s="17" t="n">
        <f aca="false">AC67*p_ef_gso+AC68*p_ef_die+AC81*p_ef_coa+AC82*p_ef_nga+AC83*p_ef_lpg+AC84*p_ef_ker+AC94*p_ef_coa+AC95*p_ef_nga+AC96*p_ef_oil+AC126*p_ef_coa+AC127*p_ef_nga+AC128*p_ef_oil</f>
        <v>3373.54401695068</v>
      </c>
      <c r="AD156" s="17" t="n">
        <f aca="false">AD67*p_ef_gso+AD68*p_ef_die+AD81*p_ef_coa+AD82*p_ef_nga+AD83*p_ef_lpg+AD84*p_ef_ker+AD94*p_ef_coa+AD95*p_ef_nga+AD96*p_ef_oil+AD126*p_ef_coa+AD127*p_ef_nga+AD128*p_ef_oil</f>
        <v>3411.92442698933</v>
      </c>
      <c r="AE156" s="17" t="n">
        <f aca="false">AE67*p_ef_gso+AE68*p_ef_die+AE81*p_ef_coa+AE82*p_ef_nga+AE83*p_ef_lpg+AE84*p_ef_ker+AE94*p_ef_coa+AE95*p_ef_nga+AE96*p_ef_oil+AE126*p_ef_coa+AE127*p_ef_nga+AE128*p_ef_oil</f>
        <v>3450.27538384968</v>
      </c>
      <c r="AF156" s="17" t="n">
        <f aca="false">AF67*p_ef_gso+AF68*p_ef_die+AF81*p_ef_coa+AF82*p_ef_nga+AF83*p_ef_lpg+AF84*p_ef_ker+AF94*p_ef_coa+AF95*p_ef_nga+AF96*p_ef_oil+AF126*p_ef_coa+AF127*p_ef_nga+AF128*p_ef_oil</f>
        <v>3488.56726150093</v>
      </c>
      <c r="AG156" s="17" t="n">
        <f aca="false">AG67*p_ef_gso+AG68*p_ef_die+AG81*p_ef_coa+AG82*p_ef_nga+AG83*p_ef_lpg+AG84*p_ef_ker+AG94*p_ef_coa+AG95*p_ef_nga+AG96*p_ef_oil+AG126*p_ef_coa+AG127*p_ef_nga+AG128*p_ef_oil</f>
        <v>3526.76898617029</v>
      </c>
      <c r="AH156" s="17" t="n">
        <f aca="false">AH67*p_ef_gso+AH68*p_ef_die+AH81*p_ef_coa+AH82*p_ef_nga+AH83*p_ef_lpg+AH84*p_ef_ker+AH94*p_ef_coa+AH95*p_ef_nga+AH96*p_ef_oil+AH126*p_ef_coa+AH127*p_ef_nga+AH128*p_ef_oil</f>
        <v>3564.8479887811</v>
      </c>
      <c r="AI156" s="17" t="n">
        <f aca="false">AI67*p_ef_gso+AI68*p_ef_die+AI81*p_ef_coa+AI82*p_ef_nga+AI83*p_ef_lpg+AI84*p_ef_ker+AI94*p_ef_coa+AI95*p_ef_nga+AI96*p_ef_oil+AI126*p_ef_coa+AI127*p_ef_nga+AI128*p_ef_oil</f>
        <v>3602.77015442717</v>
      </c>
      <c r="AJ156" s="17" t="n">
        <f aca="false">AJ67*p_ef_gso+AJ68*p_ef_die+AJ81*p_ef_coa+AJ82*p_ef_nga+AJ83*p_ef_lpg+AJ84*p_ef_ker+AJ94*p_ef_coa+AJ95*p_ef_nga+AJ96*p_ef_oil+AJ126*p_ef_coa+AJ127*p_ef_nga+AJ128*p_ef_oil</f>
        <v>3640.49976892382</v>
      </c>
      <c r="AK156" s="17" t="n">
        <f aca="false">AK67*p_ef_gso+AK68*p_ef_die+AK81*p_ef_coa+AK82*p_ef_nga+AK83*p_ef_lpg+AK84*p_ef_ker+AK94*p_ef_coa+AK95*p_ef_nga+AK96*p_ef_oil+AK126*p_ef_coa+AK127*p_ef_nga+AK128*p_ef_oil</f>
        <v>3677.99946246469</v>
      </c>
      <c r="AL156" s="17" t="n">
        <f aca="false">AL67*p_ef_gso+AL68*p_ef_die+AL81*p_ef_coa+AL82*p_ef_nga+AL83*p_ef_lpg+AL84*p_ef_ker+AL94*p_ef_coa+AL95*p_ef_nga+AL96*p_ef_oil+AL126*p_ef_coa+AL127*p_ef_nga+AL128*p_ef_oil</f>
        <v>3715.23015040249</v>
      </c>
      <c r="AM156" s="17" t="n">
        <f aca="false">AM67*p_ef_gso+AM68*p_ef_die+AM81*p_ef_coa+AM82*p_ef_nga+AM83*p_ef_lpg+AM84*p_ef_ker+AM94*p_ef_coa+AM95*p_ef_nga+AM96*p_ef_oil+AM126*p_ef_coa+AM127*p_ef_nga+AM128*p_ef_oil</f>
        <v>3752.15097116183</v>
      </c>
      <c r="AN156" s="17" t="n">
        <f aca="false">AN67*p_ef_gso+AN68*p_ef_die+AN81*p_ef_coa+AN82*p_ef_nga+AN83*p_ef_lpg+AN84*p_ef_ker+AN94*p_ef_coa+AN95*p_ef_nga+AN96*p_ef_oil+AN126*p_ef_coa+AN127*p_ef_nga+AN128*p_ef_oil</f>
        <v>3788.71922128267</v>
      </c>
    </row>
    <row r="157" customFormat="false" ht="15" hidden="false" customHeight="false" outlineLevel="0" collapsed="false">
      <c r="A157" s="9" t="n">
        <v>9</v>
      </c>
      <c r="B157" s="9"/>
      <c r="C157" s="9"/>
      <c r="D157" s="9" t="s">
        <v>600</v>
      </c>
      <c r="E157" s="9" t="s">
        <v>387</v>
      </c>
      <c r="F157" s="9" t="s">
        <v>425</v>
      </c>
      <c r="G157" s="18"/>
      <c r="H157" s="18" t="s">
        <v>601</v>
      </c>
      <c r="I157" s="9"/>
      <c r="J157" s="9"/>
      <c r="K157" s="17"/>
      <c r="L157" s="17"/>
      <c r="M157" s="17"/>
      <c r="N157" s="19" t="n">
        <f aca="false">MAX(0,INDEX(Data!$AE:$AE,$J$4)-N156)</f>
        <v>429.070630977089</v>
      </c>
      <c r="O157" s="17" t="n">
        <f aca="false">N157</f>
        <v>429.070630977089</v>
      </c>
      <c r="P157" s="17" t="n">
        <f aca="false">O157</f>
        <v>429.070630977089</v>
      </c>
      <c r="Q157" s="17" t="n">
        <f aca="false">P157</f>
        <v>429.070630977089</v>
      </c>
      <c r="R157" s="17" t="n">
        <f aca="false">Q157</f>
        <v>429.070630977089</v>
      </c>
      <c r="S157" s="17" t="n">
        <f aca="false">R157</f>
        <v>429.070630977089</v>
      </c>
      <c r="T157" s="17" t="n">
        <f aca="false">S157</f>
        <v>429.070630977089</v>
      </c>
      <c r="U157" s="17" t="n">
        <f aca="false">T157</f>
        <v>429.070630977089</v>
      </c>
      <c r="V157" s="17" t="n">
        <f aca="false">U157</f>
        <v>429.070630977089</v>
      </c>
      <c r="W157" s="17" t="n">
        <f aca="false">V157</f>
        <v>429.070630977089</v>
      </c>
      <c r="X157" s="17" t="n">
        <f aca="false">W157</f>
        <v>429.070630977089</v>
      </c>
      <c r="Y157" s="17" t="n">
        <f aca="false">X157</f>
        <v>429.070630977089</v>
      </c>
      <c r="Z157" s="17" t="n">
        <f aca="false">Y157</f>
        <v>429.070630977089</v>
      </c>
      <c r="AA157" s="17" t="n">
        <f aca="false">Z157</f>
        <v>429.070630977089</v>
      </c>
      <c r="AB157" s="17" t="n">
        <f aca="false">AA157</f>
        <v>429.070630977089</v>
      </c>
      <c r="AC157" s="17" t="n">
        <f aca="false">AB157</f>
        <v>429.070630977089</v>
      </c>
      <c r="AD157" s="17" t="n">
        <f aca="false">AC157</f>
        <v>429.070630977089</v>
      </c>
      <c r="AE157" s="17" t="n">
        <f aca="false">AD157</f>
        <v>429.070630977089</v>
      </c>
      <c r="AF157" s="17" t="n">
        <f aca="false">AE157</f>
        <v>429.070630977089</v>
      </c>
      <c r="AG157" s="17" t="n">
        <f aca="false">AF157</f>
        <v>429.070630977089</v>
      </c>
      <c r="AH157" s="17" t="n">
        <f aca="false">AG157</f>
        <v>429.070630977089</v>
      </c>
      <c r="AI157" s="17" t="n">
        <f aca="false">AH157</f>
        <v>429.070630977089</v>
      </c>
      <c r="AJ157" s="17" t="n">
        <f aca="false">AI157</f>
        <v>429.070630977089</v>
      </c>
      <c r="AK157" s="17" t="n">
        <f aca="false">AJ157</f>
        <v>429.070630977089</v>
      </c>
      <c r="AL157" s="17" t="n">
        <f aca="false">AK157</f>
        <v>429.070630977089</v>
      </c>
      <c r="AM157" s="17" t="n">
        <f aca="false">AL157</f>
        <v>429.070630977089</v>
      </c>
      <c r="AN157" s="17" t="n">
        <f aca="false">AM157</f>
        <v>429.070630977089</v>
      </c>
    </row>
    <row r="158" customFormat="false" ht="15" hidden="false" customHeight="false" outlineLevel="0" collapsed="false">
      <c r="A158" s="9" t="n">
        <v>9</v>
      </c>
      <c r="B158" s="9"/>
      <c r="C158" s="9"/>
      <c r="D158" s="9" t="s">
        <v>602</v>
      </c>
      <c r="E158" s="9" t="s">
        <v>380</v>
      </c>
      <c r="F158" s="9" t="s">
        <v>425</v>
      </c>
      <c r="G158" s="18"/>
      <c r="H158" s="18" t="s">
        <v>603</v>
      </c>
      <c r="I158" s="9"/>
      <c r="J158" s="9"/>
      <c r="K158" s="17"/>
      <c r="L158" s="17"/>
      <c r="M158" s="17"/>
      <c r="N158" s="19" t="n">
        <f aca="false">N156+N157+N102+$J$32+$J$33</f>
        <v>4131.845</v>
      </c>
      <c r="O158" s="17" t="n">
        <f aca="false">O156+O157+O102+$J$32+$J$33</f>
        <v>4236.58326070727</v>
      </c>
      <c r="P158" s="17" t="n">
        <f aca="false">P156+P157+P102+$J$32+$J$33</f>
        <v>4326.15379256718</v>
      </c>
      <c r="Q158" s="17" t="n">
        <f aca="false">Q156+Q157+Q102+$J$32+$J$33</f>
        <v>4415.47766800026</v>
      </c>
      <c r="R158" s="17" t="n">
        <f aca="false">R156+R157+R102+$J$32+$J$33</f>
        <v>4504.3634833752</v>
      </c>
      <c r="S158" s="17" t="n">
        <f aca="false">S156+S157+S102+$J$32+$J$33</f>
        <v>4592.62076925839</v>
      </c>
      <c r="T158" s="17" t="n">
        <f aca="false">T156+T157+T102+$J$32+$J$33</f>
        <v>4680.06157200812</v>
      </c>
      <c r="U158" s="17" t="n">
        <f aca="false">U156+U157+U102+$J$32+$J$33</f>
        <v>4747.45579328377</v>
      </c>
      <c r="V158" s="17" t="n">
        <f aca="false">V156+V157+V102+$J$32+$J$33</f>
        <v>4812.43387769077</v>
      </c>
      <c r="W158" s="17" t="n">
        <f aca="false">W156+W157+W102+$J$32+$J$33</f>
        <v>4874.7451930655</v>
      </c>
      <c r="X158" s="17" t="n">
        <f aca="false">X156+X157+X102+$J$32+$J$33</f>
        <v>4934.1434284157</v>
      </c>
      <c r="Y158" s="17" t="n">
        <f aca="false">Y156+Y157+Y102+$J$32+$J$33</f>
        <v>4990.3881418716</v>
      </c>
      <c r="Z158" s="17" t="n">
        <f aca="false">Z156+Z157+Z102+$J$32+$J$33</f>
        <v>5043.47365847519</v>
      </c>
      <c r="AA158" s="17" t="n">
        <f aca="false">AA156+AA157+AA102+$J$32+$J$33</f>
        <v>5093.18326490458</v>
      </c>
      <c r="AB158" s="17" t="n">
        <f aca="false">AB156+AB157+AB102+$J$32+$J$33</f>
        <v>5139.30940976431</v>
      </c>
      <c r="AC158" s="17" t="n">
        <f aca="false">AC156+AC157+AC102+$J$32+$J$33</f>
        <v>5181.65515053251</v>
      </c>
      <c r="AD158" s="17" t="n">
        <f aca="false">AD156+AD157+AD102+$J$32+$J$33</f>
        <v>5220.03556057116</v>
      </c>
      <c r="AE158" s="17" t="n">
        <f aca="false">AE156+AE157+AE102+$J$32+$J$33</f>
        <v>5258.38651743151</v>
      </c>
      <c r="AF158" s="17" t="n">
        <f aca="false">AF156+AF157+AF102+$J$32+$J$33</f>
        <v>5296.67839508276</v>
      </c>
      <c r="AG158" s="17" t="n">
        <f aca="false">AG156+AG157+AG102+$J$32+$J$33</f>
        <v>5334.88011975212</v>
      </c>
      <c r="AH158" s="17" t="n">
        <f aca="false">AH156+AH157+AH102+$J$32+$J$33</f>
        <v>5372.95912236293</v>
      </c>
      <c r="AI158" s="17" t="n">
        <f aca="false">AI156+AI157+AI102+$J$32+$J$33</f>
        <v>5410.881288009</v>
      </c>
      <c r="AJ158" s="17" t="n">
        <f aca="false">AJ156+AJ157+AJ102+$J$32+$J$33</f>
        <v>5448.61090250565</v>
      </c>
      <c r="AK158" s="17" t="n">
        <f aca="false">AK156+AK157+AK102+$J$32+$J$33</f>
        <v>5486.11059604652</v>
      </c>
      <c r="AL158" s="17" t="n">
        <f aca="false">AL156+AL157+AL102+$J$32+$J$33</f>
        <v>5523.34128398431</v>
      </c>
      <c r="AM158" s="17" t="n">
        <f aca="false">AM156+AM157+AM102+$J$32+$J$33</f>
        <v>5560.26210474365</v>
      </c>
      <c r="AN158" s="17" t="n">
        <f aca="false">AN156+AN157+AN102+$J$32+$J$33</f>
        <v>5596.83035486449</v>
      </c>
    </row>
    <row r="159" customFormat="false" ht="15" hidden="false" customHeight="false" outlineLevel="0" collapsed="false">
      <c r="A159" s="9" t="n">
        <v>9</v>
      </c>
      <c r="B159" s="9"/>
      <c r="C159" s="9"/>
      <c r="D159" s="9" t="s">
        <v>604</v>
      </c>
      <c r="E159" s="9" t="s">
        <v>301</v>
      </c>
      <c r="F159" s="9" t="s">
        <v>425</v>
      </c>
      <c r="G159" s="18"/>
      <c r="H159" s="18" t="s">
        <v>605</v>
      </c>
      <c r="I159" s="9"/>
      <c r="J159" s="9"/>
      <c r="K159" s="17"/>
      <c r="L159" s="17"/>
      <c r="M159" s="17"/>
      <c r="N159" s="19" t="n">
        <f aca="false">(N67*INDEX(Data!$DG:$DG,$J$4)+N68*INDEX(Data!$DF:$DF,$J$4)+N81*INDEX(Data!$DE:$DE,$J$4)+N82*INDEX(Data!$DL:$DL,$J$4)+N83*INDEX(Data!$DI:$DI,$J$4)+N84*INDEX(Data!$DH:$DH,$J$4)+N94*INDEX(Data!$DC:$DC,$J$4)+N95*INDEX(Data!$DJ:$DJ,$J$4)+N96*INDEX(Data!$DM:$DM,$J$4)+N126*INDEX(Data!$DD:$DD,$J$4)+N127*INDEX(Data!$DK:$DK,$J$4)+N128*INDEX(Data!$DN:$DN,$J$4))/1000</f>
        <v>228.6621501463</v>
      </c>
      <c r="O159" s="17" t="n">
        <f aca="false">(O67*INDEX(Data!$DG:$DG,$J$4)+O68*INDEX(Data!$DF:$DF,$J$4)+O81*INDEX(Data!$DE:$DE,$J$4)+O82*INDEX(Data!$DL:$DL,$J$4)+O83*INDEX(Data!$DI:$DI,$J$4)+O84*INDEX(Data!$DH:$DH,$J$4)+O94*INDEX(Data!$DC:$DC,$J$4)+O95*INDEX(Data!$DJ:$DJ,$J$4)+O96*INDEX(Data!$DM:$DM,$J$4)+O126*INDEX(Data!$DD:$DD,$J$4)+O127*INDEX(Data!$DK:$DK,$J$4)+O128*INDEX(Data!$DN:$DN,$J$4))/1000</f>
        <v>237.572535875473</v>
      </c>
      <c r="P159" s="17" t="n">
        <f aca="false">(P67*INDEX(Data!$DG:$DG,$J$4)+P68*INDEX(Data!$DF:$DF,$J$4)+P81*INDEX(Data!$DE:$DE,$J$4)+P82*INDEX(Data!$DL:$DL,$J$4)+P83*INDEX(Data!$DI:$DI,$J$4)+P84*INDEX(Data!$DH:$DH,$J$4)+P94*INDEX(Data!$DC:$DC,$J$4)+P95*INDEX(Data!$DJ:$DJ,$J$4)+P96*INDEX(Data!$DM:$DM,$J$4)+P126*INDEX(Data!$DD:$DD,$J$4)+P127*INDEX(Data!$DK:$DK,$J$4)+P128*INDEX(Data!$DN:$DN,$J$4))/1000</f>
        <v>245.039765168545</v>
      </c>
      <c r="Q159" s="17" t="n">
        <f aca="false">(Q67*INDEX(Data!$DG:$DG,$J$4)+Q68*INDEX(Data!$DF:$DF,$J$4)+Q81*INDEX(Data!$DE:$DE,$J$4)+Q82*INDEX(Data!$DL:$DL,$J$4)+Q83*INDEX(Data!$DI:$DI,$J$4)+Q84*INDEX(Data!$DH:$DH,$J$4)+Q94*INDEX(Data!$DC:$DC,$J$4)+Q95*INDEX(Data!$DJ:$DJ,$J$4)+Q96*INDEX(Data!$DM:$DM,$J$4)+Q126*INDEX(Data!$DD:$DD,$J$4)+Q127*INDEX(Data!$DK:$DK,$J$4)+Q128*INDEX(Data!$DN:$DN,$J$4))/1000</f>
        <v>252.415528129931</v>
      </c>
      <c r="R159" s="17" t="n">
        <f aca="false">(R67*INDEX(Data!$DG:$DG,$J$4)+R68*INDEX(Data!$DF:$DF,$J$4)+R81*INDEX(Data!$DE:$DE,$J$4)+R82*INDEX(Data!$DL:$DL,$J$4)+R83*INDEX(Data!$DI:$DI,$J$4)+R84*INDEX(Data!$DH:$DH,$J$4)+R94*INDEX(Data!$DC:$DC,$J$4)+R95*INDEX(Data!$DJ:$DJ,$J$4)+R96*INDEX(Data!$DM:$DM,$J$4)+R126*INDEX(Data!$DD:$DD,$J$4)+R127*INDEX(Data!$DK:$DK,$J$4)+R128*INDEX(Data!$DN:$DN,$J$4))/1000</f>
        <v>259.680072102769</v>
      </c>
      <c r="S159" s="17" t="n">
        <f aca="false">(S67*INDEX(Data!$DG:$DG,$J$4)+S68*INDEX(Data!$DF:$DF,$J$4)+S81*INDEX(Data!$DE:$DE,$J$4)+S82*INDEX(Data!$DL:$DL,$J$4)+S83*INDEX(Data!$DI:$DI,$J$4)+S84*INDEX(Data!$DH:$DH,$J$4)+S94*INDEX(Data!$DC:$DC,$J$4)+S95*INDEX(Data!$DJ:$DJ,$J$4)+S96*INDEX(Data!$DM:$DM,$J$4)+S126*INDEX(Data!$DD:$DD,$J$4)+S127*INDEX(Data!$DK:$DK,$J$4)+S128*INDEX(Data!$DN:$DN,$J$4))/1000</f>
        <v>266.813332805706</v>
      </c>
      <c r="T159" s="17" t="n">
        <f aca="false">(T67*INDEX(Data!$DG:$DG,$J$4)+T68*INDEX(Data!$DF:$DF,$J$4)+T81*INDEX(Data!$DE:$DE,$J$4)+T82*INDEX(Data!$DL:$DL,$J$4)+T83*INDEX(Data!$DI:$DI,$J$4)+T84*INDEX(Data!$DH:$DH,$J$4)+T94*INDEX(Data!$DC:$DC,$J$4)+T95*INDEX(Data!$DJ:$DJ,$J$4)+T96*INDEX(Data!$DM:$DM,$J$4)+T126*INDEX(Data!$DD:$DD,$J$4)+T127*INDEX(Data!$DK:$DK,$J$4)+T128*INDEX(Data!$DN:$DN,$J$4))/1000</f>
        <v>273.795021225317</v>
      </c>
      <c r="U159" s="17" t="n">
        <f aca="false">(U67*INDEX(Data!$DG:$DG,$J$4)+U68*INDEX(Data!$DF:$DF,$J$4)+U81*INDEX(Data!$DE:$DE,$J$4)+U82*INDEX(Data!$DL:$DL,$J$4)+U83*INDEX(Data!$DI:$DI,$J$4)+U84*INDEX(Data!$DH:$DH,$J$4)+U94*INDEX(Data!$DC:$DC,$J$4)+U95*INDEX(Data!$DJ:$DJ,$J$4)+U96*INDEX(Data!$DM:$DM,$J$4)+U126*INDEX(Data!$DD:$DD,$J$4)+U127*INDEX(Data!$DK:$DK,$J$4)+U128*INDEX(Data!$DN:$DN,$J$4))/1000</f>
        <v>280.604715835678</v>
      </c>
      <c r="V159" s="17" t="n">
        <f aca="false">(V67*INDEX(Data!$DG:$DG,$J$4)+V68*INDEX(Data!$DF:$DF,$J$4)+V81*INDEX(Data!$DE:$DE,$J$4)+V82*INDEX(Data!$DL:$DL,$J$4)+V83*INDEX(Data!$DI:$DI,$J$4)+V84*INDEX(Data!$DH:$DH,$J$4)+V94*INDEX(Data!$DC:$DC,$J$4)+V95*INDEX(Data!$DJ:$DJ,$J$4)+V96*INDEX(Data!$DM:$DM,$J$4)+V126*INDEX(Data!$DD:$DD,$J$4)+V127*INDEX(Data!$DK:$DK,$J$4)+V128*INDEX(Data!$DN:$DN,$J$4))/1000</f>
        <v>287.221959645616</v>
      </c>
      <c r="W159" s="17" t="n">
        <f aca="false">(W67*INDEX(Data!$DG:$DG,$J$4)+W68*INDEX(Data!$DF:$DF,$J$4)+W81*INDEX(Data!$DE:$DE,$J$4)+W82*INDEX(Data!$DL:$DL,$J$4)+W83*INDEX(Data!$DI:$DI,$J$4)+W84*INDEX(Data!$DH:$DH,$J$4)+W94*INDEX(Data!$DC:$DC,$J$4)+W95*INDEX(Data!$DJ:$DJ,$J$4)+W96*INDEX(Data!$DM:$DM,$J$4)+W126*INDEX(Data!$DD:$DD,$J$4)+W127*INDEX(Data!$DK:$DK,$J$4)+W128*INDEX(Data!$DN:$DN,$J$4))/1000</f>
        <v>293.626361503384</v>
      </c>
      <c r="X159" s="17" t="n">
        <f aca="false">(X67*INDEX(Data!$DG:$DG,$J$4)+X68*INDEX(Data!$DF:$DF,$J$4)+X81*INDEX(Data!$DE:$DE,$J$4)+X82*INDEX(Data!$DL:$DL,$J$4)+X83*INDEX(Data!$DI:$DI,$J$4)+X84*INDEX(Data!$DH:$DH,$J$4)+X94*INDEX(Data!$DC:$DC,$J$4)+X95*INDEX(Data!$DJ:$DJ,$J$4)+X96*INDEX(Data!$DM:$DM,$J$4)+X126*INDEX(Data!$DD:$DD,$J$4)+X127*INDEX(Data!$DK:$DK,$J$4)+X128*INDEX(Data!$DN:$DN,$J$4))/1000</f>
        <v>299.797701020743</v>
      </c>
      <c r="Y159" s="17" t="n">
        <f aca="false">(Y67*INDEX(Data!$DG:$DG,$J$4)+Y68*INDEX(Data!$DF:$DF,$J$4)+Y81*INDEX(Data!$DE:$DE,$J$4)+Y82*INDEX(Data!$DL:$DL,$J$4)+Y83*INDEX(Data!$DI:$DI,$J$4)+Y84*INDEX(Data!$DH:$DH,$J$4)+Y94*INDEX(Data!$DC:$DC,$J$4)+Y95*INDEX(Data!$DJ:$DJ,$J$4)+Y96*INDEX(Data!$DM:$DM,$J$4)+Y126*INDEX(Data!$DD:$DD,$J$4)+Y127*INDEX(Data!$DK:$DK,$J$4)+Y128*INDEX(Data!$DN:$DN,$J$4))/1000</f>
        <v>305.716036414553</v>
      </c>
      <c r="Z159" s="17" t="n">
        <f aca="false">(Z67*INDEX(Data!$DG:$DG,$J$4)+Z68*INDEX(Data!$DF:$DF,$J$4)+Z81*INDEX(Data!$DE:$DE,$J$4)+Z82*INDEX(Data!$DL:$DL,$J$4)+Z83*INDEX(Data!$DI:$DI,$J$4)+Z84*INDEX(Data!$DH:$DH,$J$4)+Z94*INDEX(Data!$DC:$DC,$J$4)+Z95*INDEX(Data!$DJ:$DJ,$J$4)+Z96*INDEX(Data!$DM:$DM,$J$4)+Z126*INDEX(Data!$DD:$DD,$J$4)+Z127*INDEX(Data!$DK:$DK,$J$4)+Z128*INDEX(Data!$DN:$DN,$J$4))/1000</f>
        <v>311.459036144426</v>
      </c>
      <c r="AA159" s="17" t="n">
        <f aca="false">(AA67*INDEX(Data!$DG:$DG,$J$4)+AA68*INDEX(Data!$DF:$DF,$J$4)+AA81*INDEX(Data!$DE:$DE,$J$4)+AA82*INDEX(Data!$DL:$DL,$J$4)+AA83*INDEX(Data!$DI:$DI,$J$4)+AA84*INDEX(Data!$DH:$DH,$J$4)+AA94*INDEX(Data!$DC:$DC,$J$4)+AA95*INDEX(Data!$DJ:$DJ,$J$4)+AA96*INDEX(Data!$DM:$DM,$J$4)+AA126*INDEX(Data!$DD:$DD,$J$4)+AA127*INDEX(Data!$DK:$DK,$J$4)+AA128*INDEX(Data!$DN:$DN,$J$4))/1000</f>
        <v>317.005345527789</v>
      </c>
      <c r="AB159" s="17" t="n">
        <f aca="false">(AB67*INDEX(Data!$DG:$DG,$J$4)+AB68*INDEX(Data!$DF:$DF,$J$4)+AB81*INDEX(Data!$DE:$DE,$J$4)+AB82*INDEX(Data!$DL:$DL,$J$4)+AB83*INDEX(Data!$DI:$DI,$J$4)+AB84*INDEX(Data!$DH:$DH,$J$4)+AB94*INDEX(Data!$DC:$DC,$J$4)+AB95*INDEX(Data!$DJ:$DJ,$J$4)+AB96*INDEX(Data!$DM:$DM,$J$4)+AB126*INDEX(Data!$DD:$DD,$J$4)+AB127*INDEX(Data!$DK:$DK,$J$4)+AB128*INDEX(Data!$DN:$DN,$J$4))/1000</f>
        <v>322.333864412743</v>
      </c>
      <c r="AC159" s="17" t="n">
        <f aca="false">(AC67*INDEX(Data!$DG:$DG,$J$4)+AC68*INDEX(Data!$DF:$DF,$J$4)+AC81*INDEX(Data!$DE:$DE,$J$4)+AC82*INDEX(Data!$DL:$DL,$J$4)+AC83*INDEX(Data!$DI:$DI,$J$4)+AC84*INDEX(Data!$DH:$DH,$J$4)+AC94*INDEX(Data!$DC:$DC,$J$4)+AC95*INDEX(Data!$DJ:$DJ,$J$4)+AC96*INDEX(Data!$DM:$DM,$J$4)+AC126*INDEX(Data!$DD:$DD,$J$4)+AC127*INDEX(Data!$DK:$DK,$J$4)+AC128*INDEX(Data!$DN:$DN,$J$4))/1000</f>
        <v>327.423867884572</v>
      </c>
      <c r="AD159" s="17" t="n">
        <f aca="false">(AD67*INDEX(Data!$DG:$DG,$J$4)+AD68*INDEX(Data!$DF:$DF,$J$4)+AD81*INDEX(Data!$DE:$DE,$J$4)+AD82*INDEX(Data!$DL:$DL,$J$4)+AD83*INDEX(Data!$DI:$DI,$J$4)+AD84*INDEX(Data!$DH:$DH,$J$4)+AD94*INDEX(Data!$DC:$DC,$J$4)+AD95*INDEX(Data!$DJ:$DJ,$J$4)+AD96*INDEX(Data!$DM:$DM,$J$4)+AD126*INDEX(Data!$DD:$DD,$J$4)+AD127*INDEX(Data!$DK:$DK,$J$4)+AD128*INDEX(Data!$DN:$DN,$J$4))/1000</f>
        <v>332.255127524708</v>
      </c>
      <c r="AE159" s="17" t="n">
        <f aca="false">(AE67*INDEX(Data!$DG:$DG,$J$4)+AE68*INDEX(Data!$DF:$DF,$J$4)+AE81*INDEX(Data!$DE:$DE,$J$4)+AE82*INDEX(Data!$DL:$DL,$J$4)+AE83*INDEX(Data!$DI:$DI,$J$4)+AE84*INDEX(Data!$DH:$DH,$J$4)+AE94*INDEX(Data!$DC:$DC,$J$4)+AE95*INDEX(Data!$DJ:$DJ,$J$4)+AE96*INDEX(Data!$DM:$DM,$J$4)+AE126*INDEX(Data!$DD:$DD,$J$4)+AE127*INDEX(Data!$DK:$DK,$J$4)+AE128*INDEX(Data!$DN:$DN,$J$4))/1000</f>
        <v>337.198918414824</v>
      </c>
      <c r="AF159" s="17" t="n">
        <f aca="false">(AF67*INDEX(Data!$DG:$DG,$J$4)+AF68*INDEX(Data!$DF:$DF,$J$4)+AF81*INDEX(Data!$DE:$DE,$J$4)+AF82*INDEX(Data!$DL:$DL,$J$4)+AF83*INDEX(Data!$DI:$DI,$J$4)+AF84*INDEX(Data!$DH:$DH,$J$4)+AF94*INDEX(Data!$DC:$DC,$J$4)+AF95*INDEX(Data!$DJ:$DJ,$J$4)+AF96*INDEX(Data!$DM:$DM,$J$4)+AF126*INDEX(Data!$DD:$DD,$J$4)+AF127*INDEX(Data!$DK:$DK,$J$4)+AF128*INDEX(Data!$DN:$DN,$J$4))/1000</f>
        <v>342.25426016023</v>
      </c>
      <c r="AG159" s="17" t="n">
        <f aca="false">(AG67*INDEX(Data!$DG:$DG,$J$4)+AG68*INDEX(Data!$DF:$DF,$J$4)+AG81*INDEX(Data!$DE:$DE,$J$4)+AG82*INDEX(Data!$DL:$DL,$J$4)+AG83*INDEX(Data!$DI:$DI,$J$4)+AG84*INDEX(Data!$DH:$DH,$J$4)+AG94*INDEX(Data!$DC:$DC,$J$4)+AG95*INDEX(Data!$DJ:$DJ,$J$4)+AG96*INDEX(Data!$DM:$DM,$J$4)+AG126*INDEX(Data!$DD:$DD,$J$4)+AG127*INDEX(Data!$DK:$DK,$J$4)+AG128*INDEX(Data!$DN:$DN,$J$4))/1000</f>
        <v>347.420311567397</v>
      </c>
      <c r="AH159" s="17" t="n">
        <f aca="false">(AH67*INDEX(Data!$DG:$DG,$J$4)+AH68*INDEX(Data!$DF:$DF,$J$4)+AH81*INDEX(Data!$DE:$DE,$J$4)+AH82*INDEX(Data!$DL:$DL,$J$4)+AH83*INDEX(Data!$DI:$DI,$J$4)+AH84*INDEX(Data!$DH:$DH,$J$4)+AH94*INDEX(Data!$DC:$DC,$J$4)+AH95*INDEX(Data!$DJ:$DJ,$J$4)+AH96*INDEX(Data!$DM:$DM,$J$4)+AH126*INDEX(Data!$DD:$DD,$J$4)+AH127*INDEX(Data!$DK:$DK,$J$4)+AH128*INDEX(Data!$DN:$DN,$J$4))/1000</f>
        <v>352.696360853644</v>
      </c>
      <c r="AI159" s="17" t="n">
        <f aca="false">(AI67*INDEX(Data!$DG:$DG,$J$4)+AI68*INDEX(Data!$DF:$DF,$J$4)+AI81*INDEX(Data!$DE:$DE,$J$4)+AI82*INDEX(Data!$DL:$DL,$J$4)+AI83*INDEX(Data!$DI:$DI,$J$4)+AI84*INDEX(Data!$DH:$DH,$J$4)+AI94*INDEX(Data!$DC:$DC,$J$4)+AI95*INDEX(Data!$DJ:$DJ,$J$4)+AI96*INDEX(Data!$DM:$DM,$J$4)+AI126*INDEX(Data!$DD:$DD,$J$4)+AI127*INDEX(Data!$DK:$DK,$J$4)+AI128*INDEX(Data!$DN:$DN,$J$4))/1000</f>
        <v>358.081816454665</v>
      </c>
      <c r="AJ159" s="17" t="n">
        <f aca="false">(AJ67*INDEX(Data!$DG:$DG,$J$4)+AJ68*INDEX(Data!$DF:$DF,$J$4)+AJ81*INDEX(Data!$DE:$DE,$J$4)+AJ82*INDEX(Data!$DL:$DL,$J$4)+AJ83*INDEX(Data!$DI:$DI,$J$4)+AJ84*INDEX(Data!$DH:$DH,$J$4)+AJ94*INDEX(Data!$DC:$DC,$J$4)+AJ95*INDEX(Data!$DJ:$DJ,$J$4)+AJ96*INDEX(Data!$DM:$DM,$J$4)+AJ126*INDEX(Data!$DD:$DD,$J$4)+AJ127*INDEX(Data!$DK:$DK,$J$4)+AJ128*INDEX(Data!$DN:$DN,$J$4))/1000</f>
        <v>363.576198386362</v>
      </c>
      <c r="AK159" s="17" t="n">
        <f aca="false">(AK67*INDEX(Data!$DG:$DG,$J$4)+AK68*INDEX(Data!$DF:$DF,$J$4)+AK81*INDEX(Data!$DE:$DE,$J$4)+AK82*INDEX(Data!$DL:$DL,$J$4)+AK83*INDEX(Data!$DI:$DI,$J$4)+AK84*INDEX(Data!$DH:$DH,$J$4)+AK94*INDEX(Data!$DC:$DC,$J$4)+AK95*INDEX(Data!$DJ:$DJ,$J$4)+AK96*INDEX(Data!$DM:$DM,$J$4)+AK126*INDEX(Data!$DD:$DD,$J$4)+AK127*INDEX(Data!$DK:$DK,$J$4)+AK128*INDEX(Data!$DN:$DN,$J$4))/1000</f>
        <v>369.179130120296</v>
      </c>
      <c r="AL159" s="17" t="n">
        <f aca="false">(AL67*INDEX(Data!$DG:$DG,$J$4)+AL68*INDEX(Data!$DF:$DF,$J$4)+AL81*INDEX(Data!$DE:$DE,$J$4)+AL82*INDEX(Data!$DL:$DL,$J$4)+AL83*INDEX(Data!$DI:$DI,$J$4)+AL84*INDEX(Data!$DH:$DH,$J$4)+AL94*INDEX(Data!$DC:$DC,$J$4)+AL95*INDEX(Data!$DJ:$DJ,$J$4)+AL96*INDEX(Data!$DM:$DM,$J$4)+AL126*INDEX(Data!$DD:$DD,$J$4)+AL127*INDEX(Data!$DK:$DK,$J$4)+AL128*INDEX(Data!$DN:$DN,$J$4))/1000</f>
        <v>374.890330934714</v>
      </c>
      <c r="AM159" s="17" t="n">
        <f aca="false">(AM67*INDEX(Data!$DG:$DG,$J$4)+AM68*INDEX(Data!$DF:$DF,$J$4)+AM81*INDEX(Data!$DE:$DE,$J$4)+AM82*INDEX(Data!$DL:$DL,$J$4)+AM83*INDEX(Data!$DI:$DI,$J$4)+AM84*INDEX(Data!$DH:$DH,$J$4)+AM94*INDEX(Data!$DC:$DC,$J$4)+AM95*INDEX(Data!$DJ:$DJ,$J$4)+AM96*INDEX(Data!$DM:$DM,$J$4)+AM126*INDEX(Data!$DD:$DD,$J$4)+AM127*INDEX(Data!$DK:$DK,$J$4)+AM128*INDEX(Data!$DN:$DN,$J$4))/1000</f>
        <v>380.709608705521</v>
      </c>
      <c r="AN159" s="17" t="n">
        <f aca="false">(AN67*INDEX(Data!$DG:$DG,$J$4)+AN68*INDEX(Data!$DF:$DF,$J$4)+AN81*INDEX(Data!$DE:$DE,$J$4)+AN82*INDEX(Data!$DL:$DL,$J$4)+AN83*INDEX(Data!$DI:$DI,$J$4)+AN84*INDEX(Data!$DH:$DH,$J$4)+AN94*INDEX(Data!$DC:$DC,$J$4)+AN95*INDEX(Data!$DJ:$DJ,$J$4)+AN96*INDEX(Data!$DM:$DM,$J$4)+AN126*INDEX(Data!$DD:$DD,$J$4)+AN127*INDEX(Data!$DK:$DK,$J$4)+AN128*INDEX(Data!$DN:$DN,$J$4))/1000</f>
        <v>386.6368531039</v>
      </c>
    </row>
    <row r="160" customFormat="false" ht="15" hidden="false" customHeight="false" outlineLevel="0" collapsed="false">
      <c r="A160" s="9" t="n">
        <v>9</v>
      </c>
      <c r="B160" s="9"/>
      <c r="C160" s="9"/>
      <c r="D160" s="9" t="s">
        <v>606</v>
      </c>
      <c r="E160" s="9" t="s">
        <v>301</v>
      </c>
      <c r="F160" s="9" t="s">
        <v>425</v>
      </c>
      <c r="G160" s="18"/>
      <c r="H160" s="18" t="s">
        <v>607</v>
      </c>
      <c r="I160" s="9"/>
      <c r="J160" s="9"/>
      <c r="K160" s="17"/>
      <c r="L160" s="17"/>
      <c r="M160" s="17"/>
      <c r="N160" s="19" t="n">
        <f aca="false">(N67*INDEX(Data!$R:$R,$J$4)+N68*INDEX(Data!$Q:$Q,$J$4)+N81*INDEX(Data!$P:$P,$J$4)+N82*INDEX(Data!$W:$W,$J$4)+N83*INDEX(Data!$T:$T,$J$4)+N84*INDEX(Data!$S:$S,$J$4)+N94*INDEX(Data!$N:$N,$J$4)+N95*INDEX(Data!$U:$U,$J$4)+N96*INDEX(Data!$X:$X,$J$4)+N126*INDEX(Data!$O:$O,$J$4)+N127*INDEX(Data!$V:$V,$J$4)+N128*INDEX(Data!$Y:$Y,$J$4))/1000</f>
        <v>194.532668852521</v>
      </c>
      <c r="O160" s="17" t="n">
        <f aca="false">(O67*INDEX(Data!$R:$R,$J$4)+O68*INDEX(Data!$Q:$Q,$J$4)+O81*INDEX(Data!$P:$P,$J$4)+O82*INDEX(Data!$W:$W,$J$4)+O83*INDEX(Data!$T:$T,$J$4)+O84*INDEX(Data!$S:$S,$J$4)+O94*INDEX(Data!$N:$N,$J$4)+O95*INDEX(Data!$U:$U,$J$4)+O96*INDEX(Data!$X:$X,$J$4)+O126*INDEX(Data!$O:$O,$J$4)+O127*INDEX(Data!$V:$V,$J$4)+O128*INDEX(Data!$Y:$Y,$J$4))/1000</f>
        <v>201.870500722966</v>
      </c>
      <c r="P160" s="17" t="n">
        <f aca="false">(P67*INDEX(Data!$R:$R,$J$4)+P68*INDEX(Data!$Q:$Q,$J$4)+P81*INDEX(Data!$P:$P,$J$4)+P82*INDEX(Data!$W:$W,$J$4)+P83*INDEX(Data!$T:$T,$J$4)+P84*INDEX(Data!$S:$S,$J$4)+P94*INDEX(Data!$N:$N,$J$4)+P95*INDEX(Data!$U:$U,$J$4)+P96*INDEX(Data!$X:$X,$J$4)+P126*INDEX(Data!$O:$O,$J$4)+P127*INDEX(Data!$V:$V,$J$4)+P128*INDEX(Data!$Y:$Y,$J$4))/1000</f>
        <v>208.042224668509</v>
      </c>
      <c r="Q160" s="17" t="n">
        <f aca="false">(Q67*INDEX(Data!$R:$R,$J$4)+Q68*INDEX(Data!$Q:$Q,$J$4)+Q81*INDEX(Data!$P:$P,$J$4)+Q82*INDEX(Data!$W:$W,$J$4)+Q83*INDEX(Data!$T:$T,$J$4)+Q84*INDEX(Data!$S:$S,$J$4)+Q94*INDEX(Data!$N:$N,$J$4)+Q95*INDEX(Data!$U:$U,$J$4)+Q96*INDEX(Data!$X:$X,$J$4)+Q126*INDEX(Data!$O:$O,$J$4)+Q127*INDEX(Data!$V:$V,$J$4)+Q128*INDEX(Data!$Y:$Y,$J$4))/1000</f>
        <v>214.148017425896</v>
      </c>
      <c r="R160" s="17" t="n">
        <f aca="false">(R67*INDEX(Data!$R:$R,$J$4)+R68*INDEX(Data!$Q:$Q,$J$4)+R81*INDEX(Data!$P:$P,$J$4)+R82*INDEX(Data!$W:$W,$J$4)+R83*INDEX(Data!$T:$T,$J$4)+R84*INDEX(Data!$S:$S,$J$4)+R94*INDEX(Data!$N:$N,$J$4)+R95*INDEX(Data!$U:$U,$J$4)+R96*INDEX(Data!$X:$X,$J$4)+R126*INDEX(Data!$O:$O,$J$4)+R127*INDEX(Data!$V:$V,$J$4)+R128*INDEX(Data!$Y:$Y,$J$4))/1000</f>
        <v>220.172279800075</v>
      </c>
      <c r="S160" s="17" t="n">
        <f aca="false">(S67*INDEX(Data!$R:$R,$J$4)+S68*INDEX(Data!$Q:$Q,$J$4)+S81*INDEX(Data!$P:$P,$J$4)+S82*INDEX(Data!$W:$W,$J$4)+S83*INDEX(Data!$T:$T,$J$4)+S84*INDEX(Data!$S:$S,$J$4)+S94*INDEX(Data!$N:$N,$J$4)+S95*INDEX(Data!$U:$U,$J$4)+S96*INDEX(Data!$X:$X,$J$4)+S126*INDEX(Data!$O:$O,$J$4)+S127*INDEX(Data!$V:$V,$J$4)+S128*INDEX(Data!$Y:$Y,$J$4))/1000</f>
        <v>226.099137661714</v>
      </c>
      <c r="T160" s="17" t="n">
        <f aca="false">(T67*INDEX(Data!$R:$R,$J$4)+T68*INDEX(Data!$Q:$Q,$J$4)+T81*INDEX(Data!$P:$P,$J$4)+T82*INDEX(Data!$W:$W,$J$4)+T83*INDEX(Data!$T:$T,$J$4)+T84*INDEX(Data!$S:$S,$J$4)+T94*INDEX(Data!$N:$N,$J$4)+T95*INDEX(Data!$U:$U,$J$4)+T96*INDEX(Data!$X:$X,$J$4)+T126*INDEX(Data!$O:$O,$J$4)+T127*INDEX(Data!$V:$V,$J$4)+T128*INDEX(Data!$Y:$Y,$J$4))/1000</f>
        <v>231.912508555544</v>
      </c>
      <c r="U160" s="17" t="n">
        <f aca="false">(U67*INDEX(Data!$R:$R,$J$4)+U68*INDEX(Data!$Q:$Q,$J$4)+U81*INDEX(Data!$P:$P,$J$4)+U82*INDEX(Data!$W:$W,$J$4)+U83*INDEX(Data!$T:$T,$J$4)+U84*INDEX(Data!$S:$S,$J$4)+U94*INDEX(Data!$N:$N,$J$4)+U95*INDEX(Data!$U:$U,$J$4)+U96*INDEX(Data!$X:$X,$J$4)+U126*INDEX(Data!$O:$O,$J$4)+U127*INDEX(Data!$V:$V,$J$4)+U128*INDEX(Data!$Y:$Y,$J$4))/1000</f>
        <v>237.596172431984</v>
      </c>
      <c r="V160" s="17" t="n">
        <f aca="false">(V67*INDEX(Data!$R:$R,$J$4)+V68*INDEX(Data!$Q:$Q,$J$4)+V81*INDEX(Data!$P:$P,$J$4)+V82*INDEX(Data!$W:$W,$J$4)+V83*INDEX(Data!$T:$T,$J$4)+V84*INDEX(Data!$S:$S,$J$4)+V94*INDEX(Data!$N:$N,$J$4)+V95*INDEX(Data!$U:$U,$J$4)+V96*INDEX(Data!$X:$X,$J$4)+V126*INDEX(Data!$O:$O,$J$4)+V127*INDEX(Data!$V:$V,$J$4)+V128*INDEX(Data!$Y:$Y,$J$4))/1000</f>
        <v>243.133846119489</v>
      </c>
      <c r="W160" s="17" t="n">
        <f aca="false">(W67*INDEX(Data!$R:$R,$J$4)+W68*INDEX(Data!$Q:$Q,$J$4)+W81*INDEX(Data!$P:$P,$J$4)+W82*INDEX(Data!$W:$W,$J$4)+W83*INDEX(Data!$T:$T,$J$4)+W84*INDEX(Data!$S:$S,$J$4)+W94*INDEX(Data!$N:$N,$J$4)+W95*INDEX(Data!$U:$U,$J$4)+W96*INDEX(Data!$X:$X,$J$4)+W126*INDEX(Data!$O:$O,$J$4)+W127*INDEX(Data!$V:$V,$J$4)+W128*INDEX(Data!$Y:$Y,$J$4))/1000</f>
        <v>248.509261103433</v>
      </c>
      <c r="X160" s="17" t="n">
        <f aca="false">(X67*INDEX(Data!$R:$R,$J$4)+X68*INDEX(Data!$Q:$Q,$J$4)+X81*INDEX(Data!$P:$P,$J$4)+X82*INDEX(Data!$W:$W,$J$4)+X83*INDEX(Data!$T:$T,$J$4)+X84*INDEX(Data!$S:$S,$J$4)+X94*INDEX(Data!$N:$N,$J$4)+X95*INDEX(Data!$U:$U,$J$4)+X96*INDEX(Data!$X:$X,$J$4)+X126*INDEX(Data!$O:$O,$J$4)+X127*INDEX(Data!$V:$V,$J$4)+X128*INDEX(Data!$Y:$Y,$J$4))/1000</f>
        <v>253.706244128217</v>
      </c>
      <c r="Y160" s="17" t="n">
        <f aca="false">(Y67*INDEX(Data!$R:$R,$J$4)+Y68*INDEX(Data!$Q:$Q,$J$4)+Y81*INDEX(Data!$P:$P,$J$4)+Y82*INDEX(Data!$W:$W,$J$4)+Y83*INDEX(Data!$T:$T,$J$4)+Y84*INDEX(Data!$S:$S,$J$4)+Y94*INDEX(Data!$N:$N,$J$4)+Y95*INDEX(Data!$U:$U,$J$4)+Y96*INDEX(Data!$X:$X,$J$4)+Y126*INDEX(Data!$O:$O,$J$4)+Y127*INDEX(Data!$V:$V,$J$4)+Y128*INDEX(Data!$Y:$Y,$J$4))/1000</f>
        <v>258.70880009331</v>
      </c>
      <c r="Z160" s="17" t="n">
        <f aca="false">(Z67*INDEX(Data!$R:$R,$J$4)+Z68*INDEX(Data!$Q:$Q,$J$4)+Z81*INDEX(Data!$P:$P,$J$4)+Z82*INDEX(Data!$W:$W,$J$4)+Z83*INDEX(Data!$T:$T,$J$4)+Z84*INDEX(Data!$S:$S,$J$4)+Z94*INDEX(Data!$N:$N,$J$4)+Z95*INDEX(Data!$U:$U,$J$4)+Z96*INDEX(Data!$X:$X,$J$4)+Z126*INDEX(Data!$O:$O,$J$4)+Z127*INDEX(Data!$V:$V,$J$4)+Z128*INDEX(Data!$Y:$Y,$J$4))/1000</f>
        <v>263.559992325056</v>
      </c>
      <c r="AA160" s="17" t="n">
        <f aca="false">(AA67*INDEX(Data!$R:$R,$J$4)+AA68*INDEX(Data!$Q:$Q,$J$4)+AA81*INDEX(Data!$P:$P,$J$4)+AA82*INDEX(Data!$W:$W,$J$4)+AA83*INDEX(Data!$T:$T,$J$4)+AA84*INDEX(Data!$S:$S,$J$4)+AA94*INDEX(Data!$N:$N,$J$4)+AA95*INDEX(Data!$U:$U,$J$4)+AA96*INDEX(Data!$X:$X,$J$4)+AA126*INDEX(Data!$O:$O,$J$4)+AA127*INDEX(Data!$V:$V,$J$4)+AA128*INDEX(Data!$Y:$Y,$J$4))/1000</f>
        <v>268.242887974937</v>
      </c>
      <c r="AB160" s="17" t="n">
        <f aca="false">(AB67*INDEX(Data!$R:$R,$J$4)+AB68*INDEX(Data!$Q:$Q,$J$4)+AB81*INDEX(Data!$P:$P,$J$4)+AB82*INDEX(Data!$W:$W,$J$4)+AB83*INDEX(Data!$T:$T,$J$4)+AB84*INDEX(Data!$S:$S,$J$4)+AB94*INDEX(Data!$N:$N,$J$4)+AB95*INDEX(Data!$U:$U,$J$4)+AB96*INDEX(Data!$X:$X,$J$4)+AB126*INDEX(Data!$O:$O,$J$4)+AB127*INDEX(Data!$V:$V,$J$4)+AB128*INDEX(Data!$Y:$Y,$J$4))/1000</f>
        <v>272.740800735174</v>
      </c>
      <c r="AC160" s="17" t="n">
        <f aca="false">(AC67*INDEX(Data!$R:$R,$J$4)+AC68*INDEX(Data!$Q:$Q,$J$4)+AC81*INDEX(Data!$P:$P,$J$4)+AC82*INDEX(Data!$W:$W,$J$4)+AC83*INDEX(Data!$T:$T,$J$4)+AC84*INDEX(Data!$S:$S,$J$4)+AC94*INDEX(Data!$N:$N,$J$4)+AC95*INDEX(Data!$U:$U,$J$4)+AC96*INDEX(Data!$X:$X,$J$4)+AC126*INDEX(Data!$O:$O,$J$4)+AC127*INDEX(Data!$V:$V,$J$4)+AC128*INDEX(Data!$Y:$Y,$J$4))/1000</f>
        <v>277.037382329115</v>
      </c>
      <c r="AD160" s="17" t="n">
        <f aca="false">(AD67*INDEX(Data!$R:$R,$J$4)+AD68*INDEX(Data!$Q:$Q,$J$4)+AD81*INDEX(Data!$P:$P,$J$4)+AD82*INDEX(Data!$W:$W,$J$4)+AD83*INDEX(Data!$T:$T,$J$4)+AD84*INDEX(Data!$S:$S,$J$4)+AD94*INDEX(Data!$N:$N,$J$4)+AD95*INDEX(Data!$U:$U,$J$4)+AD96*INDEX(Data!$X:$X,$J$4)+AD126*INDEX(Data!$O:$O,$J$4)+AD127*INDEX(Data!$V:$V,$J$4)+AD128*INDEX(Data!$Y:$Y,$J$4))/1000</f>
        <v>281.116714026277</v>
      </c>
      <c r="AE160" s="17" t="n">
        <f aca="false">(AE67*INDEX(Data!$R:$R,$J$4)+AE68*INDEX(Data!$Q:$Q,$J$4)+AE81*INDEX(Data!$P:$P,$J$4)+AE82*INDEX(Data!$W:$W,$J$4)+AE83*INDEX(Data!$T:$T,$J$4)+AE84*INDEX(Data!$S:$S,$J$4)+AE94*INDEX(Data!$N:$N,$J$4)+AE95*INDEX(Data!$U:$U,$J$4)+AE96*INDEX(Data!$X:$X,$J$4)+AE126*INDEX(Data!$O:$O,$J$4)+AE127*INDEX(Data!$V:$V,$J$4)+AE128*INDEX(Data!$Y:$Y,$J$4))/1000</f>
        <v>285.279023324804</v>
      </c>
      <c r="AF160" s="17" t="n">
        <f aca="false">(AF67*INDEX(Data!$R:$R,$J$4)+AF68*INDEX(Data!$Q:$Q,$J$4)+AF81*INDEX(Data!$P:$P,$J$4)+AF82*INDEX(Data!$W:$W,$J$4)+AF83*INDEX(Data!$T:$T,$J$4)+AF84*INDEX(Data!$S:$S,$J$4)+AF94*INDEX(Data!$N:$N,$J$4)+AF95*INDEX(Data!$U:$U,$J$4)+AF96*INDEX(Data!$X:$X,$J$4)+AF126*INDEX(Data!$O:$O,$J$4)+AF127*INDEX(Data!$V:$V,$J$4)+AF128*INDEX(Data!$Y:$Y,$J$4))/1000</f>
        <v>289.523742039921</v>
      </c>
      <c r="AG160" s="17" t="n">
        <f aca="false">(AG67*INDEX(Data!$R:$R,$J$4)+AG68*INDEX(Data!$Q:$Q,$J$4)+AG81*INDEX(Data!$P:$P,$J$4)+AG82*INDEX(Data!$W:$W,$J$4)+AG83*INDEX(Data!$T:$T,$J$4)+AG84*INDEX(Data!$S:$S,$J$4)+AG94*INDEX(Data!$N:$N,$J$4)+AG95*INDEX(Data!$U:$U,$J$4)+AG96*INDEX(Data!$X:$X,$J$4)+AG126*INDEX(Data!$O:$O,$J$4)+AG127*INDEX(Data!$V:$V,$J$4)+AG128*INDEX(Data!$Y:$Y,$J$4))/1000</f>
        <v>293.850383078075</v>
      </c>
      <c r="AH160" s="17" t="n">
        <f aca="false">(AH67*INDEX(Data!$R:$R,$J$4)+AH68*INDEX(Data!$Q:$Q,$J$4)+AH81*INDEX(Data!$P:$P,$J$4)+AH82*INDEX(Data!$W:$W,$J$4)+AH83*INDEX(Data!$T:$T,$J$4)+AH84*INDEX(Data!$S:$S,$J$4)+AH94*INDEX(Data!$N:$N,$J$4)+AH95*INDEX(Data!$U:$U,$J$4)+AH96*INDEX(Data!$X:$X,$J$4)+AH126*INDEX(Data!$O:$O,$J$4)+AH127*INDEX(Data!$V:$V,$J$4)+AH128*INDEX(Data!$Y:$Y,$J$4))/1000</f>
        <v>298.258533880485</v>
      </c>
      <c r="AI160" s="17" t="n">
        <f aca="false">(AI67*INDEX(Data!$R:$R,$J$4)+AI68*INDEX(Data!$Q:$Q,$J$4)+AI81*INDEX(Data!$P:$P,$J$4)+AI82*INDEX(Data!$W:$W,$J$4)+AI83*INDEX(Data!$T:$T,$J$4)+AI84*INDEX(Data!$S:$S,$J$4)+AI94*INDEX(Data!$N:$N,$J$4)+AI95*INDEX(Data!$U:$U,$J$4)+AI96*INDEX(Data!$X:$X,$J$4)+AI126*INDEX(Data!$O:$O,$J$4)+AI127*INDEX(Data!$V:$V,$J$4)+AI128*INDEX(Data!$Y:$Y,$J$4))/1000</f>
        <v>302.747850235765</v>
      </c>
      <c r="AJ160" s="17" t="n">
        <f aca="false">(AJ67*INDEX(Data!$R:$R,$J$4)+AJ68*INDEX(Data!$Q:$Q,$J$4)+AJ81*INDEX(Data!$P:$P,$J$4)+AJ82*INDEX(Data!$W:$W,$J$4)+AJ83*INDEX(Data!$T:$T,$J$4)+AJ84*INDEX(Data!$S:$S,$J$4)+AJ94*INDEX(Data!$N:$N,$J$4)+AJ95*INDEX(Data!$U:$U,$J$4)+AJ96*INDEX(Data!$X:$X,$J$4)+AJ126*INDEX(Data!$O:$O,$J$4)+AJ127*INDEX(Data!$V:$V,$J$4)+AJ128*INDEX(Data!$Y:$Y,$J$4))/1000</f>
        <v>307.318050433004</v>
      </c>
      <c r="AK160" s="17" t="n">
        <f aca="false">(AK67*INDEX(Data!$R:$R,$J$4)+AK68*INDEX(Data!$Q:$Q,$J$4)+AK81*INDEX(Data!$P:$P,$J$4)+AK82*INDEX(Data!$W:$W,$J$4)+AK83*INDEX(Data!$T:$T,$J$4)+AK84*INDEX(Data!$S:$S,$J$4)+AK94*INDEX(Data!$N:$N,$J$4)+AK95*INDEX(Data!$U:$U,$J$4)+AK96*INDEX(Data!$X:$X,$J$4)+AK126*INDEX(Data!$O:$O,$J$4)+AK127*INDEX(Data!$V:$V,$J$4)+AK128*INDEX(Data!$Y:$Y,$J$4))/1000</f>
        <v>311.968909728425</v>
      </c>
      <c r="AL160" s="17" t="n">
        <f aca="false">(AL67*INDEX(Data!$R:$R,$J$4)+AL68*INDEX(Data!$Q:$Q,$J$4)+AL81*INDEX(Data!$P:$P,$J$4)+AL82*INDEX(Data!$W:$W,$J$4)+AL83*INDEX(Data!$T:$T,$J$4)+AL84*INDEX(Data!$S:$S,$J$4)+AL94*INDEX(Data!$N:$N,$J$4)+AL95*INDEX(Data!$U:$U,$J$4)+AL96*INDEX(Data!$X:$X,$J$4)+AL126*INDEX(Data!$O:$O,$J$4)+AL127*INDEX(Data!$V:$V,$J$4)+AL128*INDEX(Data!$Y:$Y,$J$4))/1000</f>
        <v>316.700255100522</v>
      </c>
      <c r="AM160" s="17" t="n">
        <f aca="false">(AM67*INDEX(Data!$R:$R,$J$4)+AM68*INDEX(Data!$Q:$Q,$J$4)+AM81*INDEX(Data!$P:$P,$J$4)+AM82*INDEX(Data!$W:$W,$J$4)+AM83*INDEX(Data!$T:$T,$J$4)+AM84*INDEX(Data!$S:$S,$J$4)+AM94*INDEX(Data!$N:$N,$J$4)+AM95*INDEX(Data!$U:$U,$J$4)+AM96*INDEX(Data!$X:$X,$J$4)+AM126*INDEX(Data!$O:$O,$J$4)+AM127*INDEX(Data!$V:$V,$J$4)+AM128*INDEX(Data!$Y:$Y,$J$4))/1000</f>
        <v>321.511960270103</v>
      </c>
      <c r="AN160" s="17" t="n">
        <f aca="false">(AN67*INDEX(Data!$R:$R,$J$4)+AN68*INDEX(Data!$Q:$Q,$J$4)+AN81*INDEX(Data!$P:$P,$J$4)+AN82*INDEX(Data!$W:$W,$J$4)+AN83*INDEX(Data!$T:$T,$J$4)+AN84*INDEX(Data!$S:$S,$J$4)+AN94*INDEX(Data!$N:$N,$J$4)+AN95*INDEX(Data!$U:$U,$J$4)+AN96*INDEX(Data!$X:$X,$J$4)+AN126*INDEX(Data!$O:$O,$J$4)+AN127*INDEX(Data!$V:$V,$J$4)+AN128*INDEX(Data!$Y:$Y,$J$4))/1000</f>
        <v>326.403940963184</v>
      </c>
    </row>
    <row r="161" customFormat="false" ht="15" hidden="false" customHeight="false" outlineLevel="0" collapsed="false">
      <c r="A161" s="9" t="n">
        <v>9</v>
      </c>
      <c r="B161" s="9"/>
      <c r="C161" s="9"/>
      <c r="D161" s="9" t="s">
        <v>598</v>
      </c>
      <c r="E161" s="9" t="s">
        <v>387</v>
      </c>
      <c r="F161" s="9" t="s">
        <v>425</v>
      </c>
      <c r="G161" s="18"/>
      <c r="H161" s="18" t="s">
        <v>608</v>
      </c>
      <c r="I161" s="9"/>
      <c r="J161" s="9"/>
      <c r="K161" s="17"/>
      <c r="L161" s="17"/>
      <c r="M161" s="17"/>
      <c r="N161" s="19" t="n">
        <f aca="false">N74*p_ef_gso+N75*p_ef_die+N85*p_ef_coa+N86*p_ef_nga+N87*p_ef_lpg+N88*p_ef_ker+N97*p_ef_coa+N98*p_ef_nga+N99*p_ef_oil+N147*p_ef_coa+N148*p_ef_nga+N149*p_ef_oil</f>
        <v>2415.93736902291</v>
      </c>
      <c r="O161" s="17" t="n">
        <f aca="false">O74*p_ef_gso+O75*p_ef_die+O85*p_ef_coa+O86*p_ef_nga+O87*p_ef_lpg+O88*p_ef_ker+O97*p_ef_coa+O98*p_ef_nga+O99*p_ef_oil+O147*p_ef_coa+O148*p_ef_nga+O149*p_ef_oil</f>
        <v>2472.14056615532</v>
      </c>
      <c r="P161" s="17" t="n">
        <f aca="false">P74*p_ef_gso+P75*p_ef_die+P85*p_ef_coa+P86*p_ef_nga+P87*p_ef_lpg+P88*p_ef_ker+P97*p_ef_coa+P98*p_ef_nga+P99*p_ef_oil+P147*p_ef_coa+P148*p_ef_nga+P149*p_ef_oil</f>
        <v>2505.13692261406</v>
      </c>
      <c r="Q161" s="17" t="n">
        <f aca="false">Q74*p_ef_gso+Q75*p_ef_die+Q85*p_ef_coa+Q86*p_ef_nga+Q87*p_ef_lpg+Q88*p_ef_ker+Q97*p_ef_coa+Q98*p_ef_nga+Q99*p_ef_oil+Q147*p_ef_coa+Q148*p_ef_nga+Q149*p_ef_oil</f>
        <v>2529.24207107487</v>
      </c>
      <c r="R161" s="17" t="n">
        <f aca="false">R74*p_ef_gso+R75*p_ef_die+R85*p_ef_coa+R86*p_ef_nga+R87*p_ef_lpg+R88*p_ef_ker+R97*p_ef_coa+R98*p_ef_nga+R99*p_ef_oil+R147*p_ef_coa+R148*p_ef_nga+R149*p_ef_oil</f>
        <v>2543.66848532044</v>
      </c>
      <c r="S161" s="17" t="n">
        <f aca="false">S74*p_ef_gso+S75*p_ef_die+S85*p_ef_coa+S86*p_ef_nga+S87*p_ef_lpg+S88*p_ef_ker+S97*p_ef_coa+S98*p_ef_nga+S99*p_ef_oil+S147*p_ef_coa+S148*p_ef_nga+S149*p_ef_oil</f>
        <v>2547.64326668402</v>
      </c>
      <c r="T161" s="17" t="n">
        <f aca="false">T74*p_ef_gso+T75*p_ef_die+T85*p_ef_coa+T86*p_ef_nga+T87*p_ef_lpg+T88*p_ef_ker+T97*p_ef_coa+T98*p_ef_nga+T99*p_ef_oil+T147*p_ef_coa+T148*p_ef_nga+T149*p_ef_oil</f>
        <v>2540.41422260881</v>
      </c>
      <c r="U161" s="17" t="n">
        <f aca="false">U74*p_ef_gso+U75*p_ef_die+U85*p_ef_coa+U86*p_ef_nga+U87*p_ef_lpg+U88*p_ef_ker+U97*p_ef_coa+U98*p_ef_nga+U99*p_ef_oil+U147*p_ef_coa+U148*p_ef_nga+U149*p_ef_oil</f>
        <v>2521.25610808016</v>
      </c>
      <c r="V161" s="17" t="n">
        <f aca="false">V74*p_ef_gso+V75*p_ef_die+V85*p_ef_coa+V86*p_ef_nga+V87*p_ef_lpg+V88*p_ef_ker+V97*p_ef_coa+V98*p_ef_nga+V99*p_ef_oil+V147*p_ef_coa+V148*p_ef_nga+V149*p_ef_oil</f>
        <v>2489.47698010785</v>
      </c>
      <c r="W161" s="17" t="n">
        <f aca="false">W74*p_ef_gso+W75*p_ef_die+W85*p_ef_coa+W86*p_ef_nga+W87*p_ef_lpg+W88*p_ef_ker+W97*p_ef_coa+W98*p_ef_nga+W99*p_ef_oil+W147*p_ef_coa+W148*p_ef_nga+W149*p_ef_oil</f>
        <v>2444.42461116119</v>
      </c>
      <c r="X161" s="17" t="n">
        <f aca="false">X74*p_ef_gso+X75*p_ef_die+X85*p_ef_coa+X86*p_ef_nga+X87*p_ef_lpg+X88*p_ef_ker+X97*p_ef_coa+X98*p_ef_nga+X99*p_ef_oil+X147*p_ef_coa+X148*p_ef_nga+X149*p_ef_oil</f>
        <v>2385.49290361332</v>
      </c>
      <c r="Y161" s="17" t="n">
        <f aca="false">Y74*p_ef_gso+Y75*p_ef_die+Y85*p_ef_coa+Y86*p_ef_nga+Y87*p_ef_lpg+Y88*p_ef_ker+Y97*p_ef_coa+Y98*p_ef_nga+Y99*p_ef_oil+Y147*p_ef_coa+Y148*p_ef_nga+Y149*p_ef_oil</f>
        <v>2312.12824391859</v>
      </c>
      <c r="Z161" s="17" t="n">
        <f aca="false">Z74*p_ef_gso+Z75*p_ef_die+Z85*p_ef_coa+Z86*p_ef_nga+Z87*p_ef_lpg+Z88*p_ef_ker+Z97*p_ef_coa+Z98*p_ef_nga+Z99*p_ef_oil+Z147*p_ef_coa+Z148*p_ef_nga+Z149*p_ef_oil</f>
        <v>2223.83573250622</v>
      </c>
      <c r="AA161" s="17" t="n">
        <f aca="false">AA74*p_ef_gso+AA75*p_ef_die+AA85*p_ef_coa+AA86*p_ef_nga+AA87*p_ef_lpg+AA88*p_ef_ker+AA97*p_ef_coa+AA98*p_ef_nga+AA99*p_ef_oil+AA147*p_ef_coa+AA148*p_ef_nga+AA149*p_ef_oil</f>
        <v>2120.18522330303</v>
      </c>
      <c r="AB161" s="17" t="n">
        <f aca="false">AB74*p_ef_gso+AB75*p_ef_die+AB85*p_ef_coa+AB86*p_ef_nga+AB87*p_ef_lpg+AB88*p_ef_ker+AB97*p_ef_coa+AB98*p_ef_nga+AB99*p_ef_oil+AB147*p_ef_coa+AB148*p_ef_nga+AB149*p_ef_oil</f>
        <v>2000.81710546609</v>
      </c>
      <c r="AC161" s="17" t="n">
        <f aca="false">AC74*p_ef_gso+AC75*p_ef_die+AC85*p_ef_coa+AC86*p_ef_nga+AC87*p_ef_lpg+AC88*p_ef_ker+AC97*p_ef_coa+AC98*p_ef_nga+AC99*p_ef_oil+AC147*p_ef_coa+AC148*p_ef_nga+AC149*p_ef_oil</f>
        <v>1865.44775937442</v>
      </c>
      <c r="AD161" s="17" t="n">
        <f aca="false">AD74*p_ef_gso+AD75*p_ef_die+AD85*p_ef_coa+AD86*p_ef_nga+AD87*p_ef_lpg+AD88*p_ef_ker+AD97*p_ef_coa+AD98*p_ef_nga+AD99*p_ef_oil+AD147*p_ef_coa+AD148*p_ef_nga+AD149*p_ef_oil</f>
        <v>1713.87461924965</v>
      </c>
      <c r="AE161" s="17" t="n">
        <f aca="false">AE74*p_ef_gso+AE75*p_ef_die+AE85*p_ef_coa+AE86*p_ef_nga+AE87*p_ef_lpg+AE88*p_ef_ker+AE97*p_ef_coa+AE98*p_ef_nga+AE99*p_ef_oil+AE147*p_ef_coa+AE148*p_ef_nga+AE149*p_ef_oil</f>
        <v>1550.10764742052</v>
      </c>
      <c r="AF161" s="17" t="n">
        <f aca="false">AF74*p_ef_gso+AF75*p_ef_die+AF85*p_ef_coa+AF86*p_ef_nga+AF87*p_ef_lpg+AF88*p_ef_ker+AF97*p_ef_coa+AF98*p_ef_nga+AF99*p_ef_oil+AF147*p_ef_coa+AF148*p_ef_nga+AF149*p_ef_oil</f>
        <v>1373.59697981301</v>
      </c>
      <c r="AG161" s="17" t="n">
        <f aca="false">AG74*p_ef_gso+AG75*p_ef_die+AG85*p_ef_coa+AG86*p_ef_nga+AG87*p_ef_lpg+AG88*p_ef_ker+AG97*p_ef_coa+AG98*p_ef_nga+AG99*p_ef_oil+AG147*p_ef_coa+AG148*p_ef_nga+AG149*p_ef_oil</f>
        <v>1183.76449331038</v>
      </c>
      <c r="AH161" s="17" t="n">
        <f aca="false">AH74*p_ef_gso+AH75*p_ef_die+AH85*p_ef_coa+AH86*p_ef_nga+AH87*p_ef_lpg+AH88*p_ef_ker+AH97*p_ef_coa+AH98*p_ef_nga+AH99*p_ef_oil+AH147*p_ef_coa+AH148*p_ef_nga+AH149*p_ef_oil</f>
        <v>980.003420238369</v>
      </c>
      <c r="AI161" s="17" t="n">
        <f aca="false">AI74*p_ef_gso+AI75*p_ef_die+AI85*p_ef_coa+AI86*p_ef_nga+AI87*p_ef_lpg+AI88*p_ef_ker+AI97*p_ef_coa+AI98*p_ef_nga+AI99*p_ef_oil+AI147*p_ef_coa+AI148*p_ef_nga+AI149*p_ef_oil</f>
        <v>761.677882996254</v>
      </c>
      <c r="AJ161" s="17" t="n">
        <f aca="false">AJ74*p_ef_gso+AJ75*p_ef_die+AJ85*p_ef_coa+AJ86*p_ef_nga+AJ87*p_ef_lpg+AJ88*p_ef_ker+AJ97*p_ef_coa+AJ98*p_ef_nga+AJ99*p_ef_oil+AJ147*p_ef_coa+AJ148*p_ef_nga+AJ149*p_ef_oil</f>
        <v>703.920557465855</v>
      </c>
      <c r="AK161" s="17" t="n">
        <f aca="false">AK74*p_ef_gso+AK75*p_ef_die+AK85*p_ef_coa+AK86*p_ef_nga+AK87*p_ef_lpg+AK88*p_ef_ker+AK97*p_ef_coa+AK98*p_ef_nga+AK99*p_ef_oil+AK147*p_ef_coa+AK148*p_ef_nga+AK149*p_ef_oil</f>
        <v>645.075742411333</v>
      </c>
      <c r="AL161" s="17" t="n">
        <f aca="false">AL74*p_ef_gso+AL75*p_ef_die+AL85*p_ef_coa+AL86*p_ef_nga+AL87*p_ef_lpg+AL88*p_ef_ker+AL97*p_ef_coa+AL98*p_ef_nga+AL99*p_ef_oil+AL147*p_ef_coa+AL148*p_ef_nga+AL149*p_ef_oil</f>
        <v>585.015382424765</v>
      </c>
      <c r="AM161" s="17" t="n">
        <f aca="false">AM74*p_ef_gso+AM75*p_ef_die+AM85*p_ef_coa+AM86*p_ef_nga+AM87*p_ef_lpg+AM88*p_ef_ker+AM97*p_ef_coa+AM98*p_ef_nga+AM99*p_ef_oil+AM147*p_ef_coa+AM148*p_ef_nga+AM149*p_ef_oil</f>
        <v>523.61346953511</v>
      </c>
      <c r="AN161" s="17" t="n">
        <f aca="false">AN74*p_ef_gso+AN75*p_ef_die+AN85*p_ef_coa+AN86*p_ef_nga+AN87*p_ef_lpg+AN88*p_ef_ker+AN97*p_ef_coa+AN98*p_ef_nga+AN99*p_ef_oil+AN147*p_ef_coa+AN148*p_ef_nga+AN149*p_ef_oil</f>
        <v>460.745678078987</v>
      </c>
    </row>
    <row r="162" customFormat="false" ht="15" hidden="false" customHeight="false" outlineLevel="0" collapsed="false">
      <c r="A162" s="9" t="n">
        <v>9</v>
      </c>
      <c r="B162" s="9"/>
      <c r="C162" s="9"/>
      <c r="D162" s="9" t="s">
        <v>609</v>
      </c>
      <c r="E162" s="9" t="s">
        <v>387</v>
      </c>
      <c r="F162" s="9" t="s">
        <v>425</v>
      </c>
      <c r="G162" s="18"/>
      <c r="H162" s="18" t="s">
        <v>610</v>
      </c>
      <c r="I162" s="9"/>
      <c r="J162" s="9"/>
      <c r="K162" s="17"/>
      <c r="L162" s="17"/>
      <c r="M162" s="17"/>
      <c r="N162" s="19" t="n">
        <f aca="false">N157</f>
        <v>429.070630977089</v>
      </c>
      <c r="O162" s="17" t="n">
        <f aca="false">O157*(1-O93)</f>
        <v>415.868457716256</v>
      </c>
      <c r="P162" s="17" t="n">
        <f aca="false">P157*(1-P93)</f>
        <v>402.666284455422</v>
      </c>
      <c r="Q162" s="17" t="n">
        <f aca="false">Q157*(1-Q93)</f>
        <v>389.464111194589</v>
      </c>
      <c r="R162" s="17" t="n">
        <f aca="false">R157*(1-R93)</f>
        <v>376.261937933755</v>
      </c>
      <c r="S162" s="17" t="n">
        <f aca="false">S157*(1-S93)</f>
        <v>363.059764672922</v>
      </c>
      <c r="T162" s="17" t="n">
        <f aca="false">T157*(1-T93)</f>
        <v>349.857591412088</v>
      </c>
      <c r="U162" s="17" t="n">
        <f aca="false">U157*(1-U93)</f>
        <v>336.655418151255</v>
      </c>
      <c r="V162" s="17" t="n">
        <f aca="false">V157*(1-V93)</f>
        <v>323.453244890421</v>
      </c>
      <c r="W162" s="17" t="n">
        <f aca="false">W157*(1-W93)</f>
        <v>310.251071629588</v>
      </c>
      <c r="X162" s="17" t="n">
        <f aca="false">X157*(1-X93)</f>
        <v>297.048898368754</v>
      </c>
      <c r="Y162" s="17" t="n">
        <f aca="false">Y157*(1-Y93)</f>
        <v>283.846725107921</v>
      </c>
      <c r="Z162" s="17" t="n">
        <f aca="false">Z157*(1-Z93)</f>
        <v>270.644551847087</v>
      </c>
      <c r="AA162" s="17" t="n">
        <f aca="false">AA157*(1-AA93)</f>
        <v>257.442378586254</v>
      </c>
      <c r="AB162" s="17" t="n">
        <f aca="false">AB157*(1-AB93)</f>
        <v>244.24020532542</v>
      </c>
      <c r="AC162" s="17" t="n">
        <f aca="false">AC157*(1-AC93)</f>
        <v>231.038032064587</v>
      </c>
      <c r="AD162" s="17" t="n">
        <f aca="false">AD157*(1-AD93)</f>
        <v>217.835858803753</v>
      </c>
      <c r="AE162" s="17" t="n">
        <f aca="false">AE157*(1-AE93)</f>
        <v>204.63368554292</v>
      </c>
      <c r="AF162" s="17" t="n">
        <f aca="false">AF157*(1-AF93)</f>
        <v>191.431512282086</v>
      </c>
      <c r="AG162" s="17" t="n">
        <f aca="false">AG157*(1-AG93)</f>
        <v>178.229339021253</v>
      </c>
      <c r="AH162" s="17" t="n">
        <f aca="false">AH157*(1-AH93)</f>
        <v>165.027165760419</v>
      </c>
      <c r="AI162" s="17" t="n">
        <f aca="false">AI157*(1-AI93)</f>
        <v>151.824992499585</v>
      </c>
      <c r="AJ162" s="17" t="n">
        <f aca="false">AJ157*(1-AJ93)</f>
        <v>138.622819238752</v>
      </c>
      <c r="AK162" s="17" t="n">
        <f aca="false">AK157*(1-AK93)</f>
        <v>125.420645977918</v>
      </c>
      <c r="AL162" s="17" t="n">
        <f aca="false">AL157*(1-AL93)</f>
        <v>112.218472717085</v>
      </c>
      <c r="AM162" s="17" t="n">
        <f aca="false">AM157*(1-AM93)</f>
        <v>99.0162994562514</v>
      </c>
      <c r="AN162" s="17" t="n">
        <f aca="false">AN157*(1-AN93)</f>
        <v>85.8141261954179</v>
      </c>
    </row>
    <row r="163" customFormat="false" ht="15" hidden="false" customHeight="false" outlineLevel="0" collapsed="false">
      <c r="A163" s="9" t="n">
        <v>9</v>
      </c>
      <c r="B163" s="9"/>
      <c r="C163" s="9"/>
      <c r="D163" s="9" t="s">
        <v>611</v>
      </c>
      <c r="E163" s="9" t="s">
        <v>301</v>
      </c>
      <c r="F163" s="9" t="s">
        <v>425</v>
      </c>
      <c r="G163" s="18"/>
      <c r="H163" s="18" t="s">
        <v>612</v>
      </c>
      <c r="I163" s="9"/>
      <c r="J163" s="9"/>
      <c r="K163" s="17"/>
      <c r="L163" s="17"/>
      <c r="M163" s="17"/>
      <c r="N163" s="19" t="n">
        <f aca="false">0</f>
        <v>0</v>
      </c>
      <c r="O163" s="17" t="n">
        <f aca="false">(O157-O162)*p_cpt_res/1000</f>
        <v>1.32021732608335</v>
      </c>
      <c r="P163" s="17" t="n">
        <f aca="false">(P157-P162)*p_cpt_res/1000</f>
        <v>2.6404346521667</v>
      </c>
      <c r="Q163" s="17" t="n">
        <f aca="false">(Q157-Q162)*p_cpt_res/1000</f>
        <v>3.96065197825006</v>
      </c>
      <c r="R163" s="17" t="n">
        <f aca="false">(R157-R162)*p_cpt_res/1000</f>
        <v>5.28086930433341</v>
      </c>
      <c r="S163" s="17" t="n">
        <f aca="false">(S157-S162)*p_cpt_res/1000</f>
        <v>6.60108663041676</v>
      </c>
      <c r="T163" s="17" t="n">
        <f aca="false">(T157-T162)*p_cpt_res/1000</f>
        <v>7.92130395650011</v>
      </c>
      <c r="U163" s="17" t="n">
        <f aca="false">(U157-U162)*p_cpt_res/1000</f>
        <v>9.24152128258347</v>
      </c>
      <c r="V163" s="17" t="n">
        <f aca="false">(V157-V162)*p_cpt_res/1000</f>
        <v>10.5617386086668</v>
      </c>
      <c r="W163" s="17" t="n">
        <f aca="false">(W157-W162)*p_cpt_res/1000</f>
        <v>11.8819559347502</v>
      </c>
      <c r="X163" s="17" t="n">
        <f aca="false">(X157-X162)*p_cpt_res/1000</f>
        <v>13.2021732608335</v>
      </c>
      <c r="Y163" s="17" t="n">
        <f aca="false">(Y157-Y162)*p_cpt_res/1000</f>
        <v>14.5223905869169</v>
      </c>
      <c r="Z163" s="17" t="n">
        <f aca="false">(Z157-Z162)*p_cpt_res/1000</f>
        <v>15.8426079130002</v>
      </c>
      <c r="AA163" s="17" t="n">
        <f aca="false">(AA157-AA162)*p_cpt_res/1000</f>
        <v>17.1628252390836</v>
      </c>
      <c r="AB163" s="17" t="n">
        <f aca="false">(AB157-AB162)*p_cpt_res/1000</f>
        <v>18.4830425651669</v>
      </c>
      <c r="AC163" s="17" t="n">
        <f aca="false">(AC157-AC162)*p_cpt_res/1000</f>
        <v>19.8032598912503</v>
      </c>
      <c r="AD163" s="17" t="n">
        <f aca="false">(AD157-AD162)*p_cpt_res/1000</f>
        <v>21.1234772173336</v>
      </c>
      <c r="AE163" s="17" t="n">
        <f aca="false">(AE157-AE162)*p_cpt_res/1000</f>
        <v>22.443694543417</v>
      </c>
      <c r="AF163" s="17" t="n">
        <f aca="false">(AF157-AF162)*p_cpt_res/1000</f>
        <v>23.7639118695003</v>
      </c>
      <c r="AG163" s="17" t="n">
        <f aca="false">(AG157-AG162)*p_cpt_res/1000</f>
        <v>25.0841291955837</v>
      </c>
      <c r="AH163" s="17" t="n">
        <f aca="false">(AH157-AH162)*p_cpt_res/1000</f>
        <v>26.404346521667</v>
      </c>
      <c r="AI163" s="17" t="n">
        <f aca="false">(AI157-AI162)*p_cpt_res/1000</f>
        <v>27.7245638477504</v>
      </c>
      <c r="AJ163" s="17" t="n">
        <f aca="false">(AJ157-AJ162)*p_cpt_res/1000</f>
        <v>29.0447811738337</v>
      </c>
      <c r="AK163" s="17" t="n">
        <f aca="false">(AK157-AK162)*p_cpt_res/1000</f>
        <v>30.3649984999171</v>
      </c>
      <c r="AL163" s="17" t="n">
        <f aca="false">(AL157-AL162)*p_cpt_res/1000</f>
        <v>31.6852158260005</v>
      </c>
      <c r="AM163" s="17" t="n">
        <f aca="false">(AM157-AM162)*p_cpt_res/1000</f>
        <v>33.0054331520838</v>
      </c>
      <c r="AN163" s="17" t="n">
        <f aca="false">(AN157-AN162)*p_cpt_res/1000</f>
        <v>34.3256504781672</v>
      </c>
    </row>
    <row r="164" customFormat="false" ht="15" hidden="false" customHeight="false" outlineLevel="0" collapsed="false">
      <c r="A164" s="9" t="n">
        <v>9</v>
      </c>
      <c r="B164" s="9"/>
      <c r="C164" s="9"/>
      <c r="D164" s="9" t="s">
        <v>602</v>
      </c>
      <c r="E164" s="9" t="s">
        <v>380</v>
      </c>
      <c r="F164" s="9" t="s">
        <v>425</v>
      </c>
      <c r="G164" s="18"/>
      <c r="H164" s="18" t="s">
        <v>613</v>
      </c>
      <c r="I164" s="9"/>
      <c r="J164" s="9"/>
      <c r="K164" s="17"/>
      <c r="L164" s="17"/>
      <c r="M164" s="17"/>
      <c r="N164" s="19" t="n">
        <f aca="false">N161+N162+N102-N103+$J$32+$J$33-N152-N153</f>
        <v>4131.845</v>
      </c>
      <c r="O164" s="17" t="n">
        <f aca="false">O161+O162+O102-O103+$J$32+$J$33-O152-O153</f>
        <v>4126.19492000292</v>
      </c>
      <c r="P164" s="17" t="n">
        <f aca="false">P161+P162+P102-P103+$J$32+$J$33-P152-P153</f>
        <v>4097.22403577856</v>
      </c>
      <c r="Q164" s="17" t="n">
        <f aca="false">Q161+Q162+Q102-Q103+$J$32+$J$33-Q152-Q153</f>
        <v>4059.20929389458</v>
      </c>
      <c r="R164" s="17" t="n">
        <f aca="false">R161+R162+R102-R103+$J$32+$J$33-R152-R153</f>
        <v>4011.31993432756</v>
      </c>
      <c r="S164" s="17" t="n">
        <f aca="false">S161+S162+S102-S103+$J$32+$J$33-S152-S153</f>
        <v>3952.73484915468</v>
      </c>
      <c r="T164" s="17" t="n">
        <f aca="false">T161+T162+T102-T103+$J$32+$J$33-T152-T153</f>
        <v>3882.64819696741</v>
      </c>
      <c r="U164" s="17" t="n">
        <f aca="false">U161+U162+U102-U103+$J$32+$J$33-U152-U153</f>
        <v>3823.85459502517</v>
      </c>
      <c r="V164" s="17" t="n">
        <f aca="false">V161+V162+V102-V103+$J$32+$J$33-V152-V153</f>
        <v>3752.43997963928</v>
      </c>
      <c r="W164" s="17" t="n">
        <f aca="false">W161+W162+W102-W103+$J$32+$J$33-W152-W153</f>
        <v>3667.75212327904</v>
      </c>
      <c r="X164" s="17" t="n">
        <f aca="false">X161+X162+X102-X103+$J$32+$J$33-X152-X153</f>
        <v>3569.18492831758</v>
      </c>
      <c r="Y164" s="17" t="n">
        <f aca="false">Y161+Y162+Y102-Y103+$J$32+$J$33-Y152-Y153</f>
        <v>3456.18478120927</v>
      </c>
      <c r="Z164" s="17" t="n">
        <f aca="false">Z161+Z162+Z102-Z103+$J$32+$J$33-Z152-Z153</f>
        <v>3328.25678238332</v>
      </c>
      <c r="AA164" s="17" t="n">
        <f aca="false">AA161+AA162+AA102-AA103+$J$32+$J$33-AA152-AA153</f>
        <v>3184.97078576655</v>
      </c>
      <c r="AB164" s="17" t="n">
        <f aca="false">AB161+AB162+AB102-AB103+$J$32+$J$33-AB152-AB153</f>
        <v>3025.96718051602</v>
      </c>
      <c r="AC164" s="17" t="n">
        <f aca="false">AC161+AC162+AC102-AC103+$J$32+$J$33-AC152-AC153</f>
        <v>2850.96234701078</v>
      </c>
      <c r="AD164" s="17" t="n">
        <f aca="false">AD161+AD162+AD102-AD103+$J$32+$J$33-AD152-AD153</f>
        <v>2659.75371947242</v>
      </c>
      <c r="AE164" s="17" t="n">
        <f aca="false">AE161+AE162+AE102-AE103+$J$32+$J$33-AE152-AE153</f>
        <v>2456.35126022971</v>
      </c>
      <c r="AF164" s="17" t="n">
        <f aca="false">AF161+AF162+AF102-AF103+$J$32+$J$33-AF152-AF153</f>
        <v>2240.20510520861</v>
      </c>
      <c r="AG164" s="17" t="n">
        <f aca="false">AG161+AG162+AG102-AG103+$J$32+$J$33-AG152-AG153</f>
        <v>2010.73713129241</v>
      </c>
      <c r="AH164" s="17" t="n">
        <f aca="false">AH161+AH162+AH102-AH103+$J$32+$J$33-AH152-AH153</f>
        <v>1767.34057080681</v>
      </c>
      <c r="AI164" s="17" t="n">
        <f aca="false">AI161+AI162+AI102-AI103+$J$32+$J$33-AI152-AI153</f>
        <v>1509.37954615112</v>
      </c>
      <c r="AJ164" s="17" t="n">
        <f aca="false">AJ161+AJ162+AJ102-AJ103+$J$32+$J$33-AJ152-AJ153</f>
        <v>1411.98673320713</v>
      </c>
      <c r="AK164" s="17" t="n">
        <f aca="false">AK161+AK162+AK102-AK103+$J$32+$J$33-AK152-AK153</f>
        <v>1313.50643073903</v>
      </c>
      <c r="AL164" s="17" t="n">
        <f aca="false">AL161+AL162+AL102-AL103+$J$32+$J$33-AL152-AL153</f>
        <v>1213.81058333888</v>
      </c>
      <c r="AM164" s="17" t="n">
        <f aca="false">AM161+AM162+AM102-AM103+$J$32+$J$33-AM152-AM153</f>
        <v>1112.77318303564</v>
      </c>
      <c r="AN164" s="17" t="n">
        <f aca="false">AN161+AN162+AN102-AN103+$J$32+$J$33-AN152-AN153</f>
        <v>1010.26990416594</v>
      </c>
    </row>
    <row r="165" customFormat="false" ht="15" hidden="false" customHeight="false" outlineLevel="0" collapsed="false">
      <c r="A165" s="9" t="n">
        <v>9</v>
      </c>
      <c r="B165" s="9"/>
      <c r="C165" s="9"/>
      <c r="D165" s="9" t="s">
        <v>604</v>
      </c>
      <c r="E165" s="9" t="s">
        <v>301</v>
      </c>
      <c r="F165" s="9" t="s">
        <v>425</v>
      </c>
      <c r="G165" s="18"/>
      <c r="H165" s="18" t="s">
        <v>614</v>
      </c>
      <c r="I165" s="9"/>
      <c r="J165" s="9"/>
      <c r="K165" s="17"/>
      <c r="L165" s="17"/>
      <c r="M165" s="17"/>
      <c r="N165" s="19" t="n">
        <f aca="false">(N74*INDEX(Data!$DG:$DG,$J$4)+N75*INDEX(Data!$DF:$DF,$J$4)+N85*INDEX(Data!$DE:$DE,$J$4)+N86*INDEX(Data!$DL:$DL,$J$4)+N87*INDEX(Data!$DI:$DI,$J$4)+N88*INDEX(Data!$DH:$DH,$J$4)+N97*INDEX(Data!$DC:$DC,$J$4)+N98*INDEX(Data!$DJ:$DJ,$J$4)+N99*INDEX(Data!$DM:$DM,$J$4)+N147*INDEX(Data!$DD:$DD,$J$4)+N148*INDEX(Data!$DK:$DK,$J$4)+N149*INDEX(Data!$DN:$DN,$J$4))/1000</f>
        <v>228.6621501463</v>
      </c>
      <c r="O165" s="17" t="n">
        <f aca="false">(O74*INDEX(Data!$DG:$DG,$J$4)+O75*INDEX(Data!$DF:$DF,$J$4)+O85*INDEX(Data!$DE:$DE,$J$4)+O86*INDEX(Data!$DL:$DL,$J$4)+O87*INDEX(Data!$DI:$DI,$J$4)+O88*INDEX(Data!$DH:$DH,$J$4)+O97*INDEX(Data!$DC:$DC,$J$4)+O98*INDEX(Data!$DJ:$DJ,$J$4)+O99*INDEX(Data!$DM:$DM,$J$4)+O147*INDEX(Data!$DD:$DD,$J$4)+O148*INDEX(Data!$DK:$DK,$J$4)+O149*INDEX(Data!$DN:$DN,$J$4))/1000</f>
        <v>233.298941182338</v>
      </c>
      <c r="P165" s="17" t="n">
        <f aca="false">(P74*INDEX(Data!$DG:$DG,$J$4)+P75*INDEX(Data!$DF:$DF,$J$4)+P85*INDEX(Data!$DE:$DE,$J$4)+P86*INDEX(Data!$DL:$DL,$J$4)+P87*INDEX(Data!$DI:$DI,$J$4)+P88*INDEX(Data!$DH:$DH,$J$4)+P97*INDEX(Data!$DC:$DC,$J$4)+P98*INDEX(Data!$DJ:$DJ,$J$4)+P99*INDEX(Data!$DM:$DM,$J$4)+P147*INDEX(Data!$DD:$DD,$J$4)+P148*INDEX(Data!$DK:$DK,$J$4)+P149*INDEX(Data!$DN:$DN,$J$4))/1000</f>
        <v>235.751431333161</v>
      </c>
      <c r="Q165" s="17" t="n">
        <f aca="false">(Q74*INDEX(Data!$DG:$DG,$J$4)+Q75*INDEX(Data!$DF:$DF,$J$4)+Q85*INDEX(Data!$DE:$DE,$J$4)+Q86*INDEX(Data!$DL:$DL,$J$4)+Q87*INDEX(Data!$DI:$DI,$J$4)+Q88*INDEX(Data!$DH:$DH,$J$4)+Q97*INDEX(Data!$DC:$DC,$J$4)+Q98*INDEX(Data!$DJ:$DJ,$J$4)+Q99*INDEX(Data!$DM:$DM,$J$4)+Q147*INDEX(Data!$DD:$DD,$J$4)+Q148*INDEX(Data!$DK:$DK,$J$4)+Q149*INDEX(Data!$DN:$DN,$J$4))/1000</f>
        <v>237.350542197588</v>
      </c>
      <c r="R165" s="17" t="n">
        <f aca="false">(R74*INDEX(Data!$DG:$DG,$J$4)+R75*INDEX(Data!$DF:$DF,$J$4)+R85*INDEX(Data!$DE:$DE,$J$4)+R86*INDEX(Data!$DL:$DL,$J$4)+R87*INDEX(Data!$DI:$DI,$J$4)+R88*INDEX(Data!$DH:$DH,$J$4)+R97*INDEX(Data!$DC:$DC,$J$4)+R98*INDEX(Data!$DJ:$DJ,$J$4)+R99*INDEX(Data!$DM:$DM,$J$4)+R147*INDEX(Data!$DD:$DD,$J$4)+R148*INDEX(Data!$DK:$DK,$J$4)+R149*INDEX(Data!$DN:$DN,$J$4))/1000</f>
        <v>238.058246947677</v>
      </c>
      <c r="S165" s="17" t="n">
        <f aca="false">(S74*INDEX(Data!$DG:$DG,$J$4)+S75*INDEX(Data!$DF:$DF,$J$4)+S85*INDEX(Data!$DE:$DE,$J$4)+S86*INDEX(Data!$DL:$DL,$J$4)+S87*INDEX(Data!$DI:$DI,$J$4)+S88*INDEX(Data!$DH:$DH,$J$4)+S97*INDEX(Data!$DC:$DC,$J$4)+S98*INDEX(Data!$DJ:$DJ,$J$4)+S99*INDEX(Data!$DM:$DM,$J$4)+S147*INDEX(Data!$DD:$DD,$J$4)+S148*INDEX(Data!$DK:$DK,$J$4)+S149*INDEX(Data!$DN:$DN,$J$4))/1000</f>
        <v>237.838937366542</v>
      </c>
      <c r="T165" s="17" t="n">
        <f aca="false">(T74*INDEX(Data!$DG:$DG,$J$4)+T75*INDEX(Data!$DF:$DF,$J$4)+T85*INDEX(Data!$DE:$DE,$J$4)+T86*INDEX(Data!$DL:$DL,$J$4)+T87*INDEX(Data!$DI:$DI,$J$4)+T88*INDEX(Data!$DH:$DH,$J$4)+T97*INDEX(Data!$DC:$DC,$J$4)+T98*INDEX(Data!$DJ:$DJ,$J$4)+T99*INDEX(Data!$DM:$DM,$J$4)+T147*INDEX(Data!$DD:$DD,$J$4)+T148*INDEX(Data!$DK:$DK,$J$4)+T149*INDEX(Data!$DN:$DN,$J$4))/1000</f>
        <v>236.659741492849</v>
      </c>
      <c r="U165" s="17" t="n">
        <f aca="false">(U74*INDEX(Data!$DG:$DG,$J$4)+U75*INDEX(Data!$DF:$DF,$J$4)+U85*INDEX(Data!$DE:$DE,$J$4)+U86*INDEX(Data!$DL:$DL,$J$4)+U87*INDEX(Data!$DI:$DI,$J$4)+U88*INDEX(Data!$DH:$DH,$J$4)+U97*INDEX(Data!$DC:$DC,$J$4)+U98*INDEX(Data!$DJ:$DJ,$J$4)+U99*INDEX(Data!$DM:$DM,$J$4)+U147*INDEX(Data!$DD:$DD,$J$4)+U148*INDEX(Data!$DK:$DK,$J$4)+U149*INDEX(Data!$DN:$DN,$J$4))/1000</f>
        <v>234.490839098342</v>
      </c>
      <c r="V165" s="17" t="n">
        <f aca="false">(V74*INDEX(Data!$DG:$DG,$J$4)+V75*INDEX(Data!$DF:$DF,$J$4)+V85*INDEX(Data!$DE:$DE,$J$4)+V86*INDEX(Data!$DL:$DL,$J$4)+V87*INDEX(Data!$DI:$DI,$J$4)+V88*INDEX(Data!$DH:$DH,$J$4)+V97*INDEX(Data!$DC:$DC,$J$4)+V98*INDEX(Data!$DJ:$DJ,$J$4)+V99*INDEX(Data!$DM:$DM,$J$4)+V147*INDEX(Data!$DD:$DD,$J$4)+V148*INDEX(Data!$DK:$DK,$J$4)+V149*INDEX(Data!$DN:$DN,$J$4))/1000</f>
        <v>231.305772073284</v>
      </c>
      <c r="W165" s="17" t="n">
        <f aca="false">(W74*INDEX(Data!$DG:$DG,$J$4)+W75*INDEX(Data!$DF:$DF,$J$4)+W85*INDEX(Data!$DE:$DE,$J$4)+W86*INDEX(Data!$DL:$DL,$J$4)+W87*INDEX(Data!$DI:$DI,$J$4)+W88*INDEX(Data!$DH:$DH,$J$4)+W97*INDEX(Data!$DC:$DC,$J$4)+W98*INDEX(Data!$DJ:$DJ,$J$4)+W99*INDEX(Data!$DM:$DM,$J$4)+W147*INDEX(Data!$DD:$DD,$J$4)+W148*INDEX(Data!$DK:$DK,$J$4)+W149*INDEX(Data!$DN:$DN,$J$4))/1000</f>
        <v>227.081746668176</v>
      </c>
      <c r="X165" s="17" t="n">
        <f aca="false">(X74*INDEX(Data!$DG:$DG,$J$4)+X75*INDEX(Data!$DF:$DF,$J$4)+X85*INDEX(Data!$DE:$DE,$J$4)+X86*INDEX(Data!$DL:$DL,$J$4)+X87*INDEX(Data!$DI:$DI,$J$4)+X88*INDEX(Data!$DH:$DH,$J$4)+X97*INDEX(Data!$DC:$DC,$J$4)+X98*INDEX(Data!$DJ:$DJ,$J$4)+X99*INDEX(Data!$DM:$DM,$J$4)+X147*INDEX(Data!$DD:$DD,$J$4)+X148*INDEX(Data!$DK:$DK,$J$4)+X149*INDEX(Data!$DN:$DN,$J$4))/1000</f>
        <v>221.79992444377</v>
      </c>
      <c r="Y165" s="17" t="n">
        <f aca="false">(Y74*INDEX(Data!$DG:$DG,$J$4)+Y75*INDEX(Data!$DF:$DF,$J$4)+Y85*INDEX(Data!$DE:$DE,$J$4)+Y86*INDEX(Data!$DL:$DL,$J$4)+Y87*INDEX(Data!$DI:$DI,$J$4)+Y88*INDEX(Data!$DH:$DH,$J$4)+Y97*INDEX(Data!$DC:$DC,$J$4)+Y98*INDEX(Data!$DJ:$DJ,$J$4)+Y99*INDEX(Data!$DM:$DM,$J$4)+Y147*INDEX(Data!$DD:$DD,$J$4)+Y148*INDEX(Data!$DK:$DK,$J$4)+Y149*INDEX(Data!$DN:$DN,$J$4))/1000</f>
        <v>215.445698718358</v>
      </c>
      <c r="Z165" s="17" t="n">
        <f aca="false">(Z74*INDEX(Data!$DG:$DG,$J$4)+Z75*INDEX(Data!$DF:$DF,$J$4)+Z85*INDEX(Data!$DE:$DE,$J$4)+Z86*INDEX(Data!$DL:$DL,$J$4)+Z87*INDEX(Data!$DI:$DI,$J$4)+Z88*INDEX(Data!$DH:$DH,$J$4)+Z97*INDEX(Data!$DC:$DC,$J$4)+Z98*INDEX(Data!$DJ:$DJ,$J$4)+Z99*INDEX(Data!$DM:$DM,$J$4)+Z147*INDEX(Data!$DD:$DD,$J$4)+Z148*INDEX(Data!$DK:$DK,$J$4)+Z149*INDEX(Data!$DN:$DN,$J$4))/1000</f>
        <v>208.008953274614</v>
      </c>
      <c r="AA165" s="17" t="n">
        <f aca="false">(AA74*INDEX(Data!$DG:$DG,$J$4)+AA75*INDEX(Data!$DF:$DF,$J$4)+AA85*INDEX(Data!$DE:$DE,$J$4)+AA86*INDEX(Data!$DL:$DL,$J$4)+AA87*INDEX(Data!$DI:$DI,$J$4)+AA88*INDEX(Data!$DH:$DH,$J$4)+AA97*INDEX(Data!$DC:$DC,$J$4)+AA98*INDEX(Data!$DJ:$DJ,$J$4)+AA99*INDEX(Data!$DM:$DM,$J$4)+AA147*INDEX(Data!$DD:$DD,$J$4)+AA148*INDEX(Data!$DK:$DK,$J$4)+AA149*INDEX(Data!$DN:$DN,$J$4))/1000</f>
        <v>199.484300100431</v>
      </c>
      <c r="AB165" s="17" t="n">
        <f aca="false">(AB74*INDEX(Data!$DG:$DG,$J$4)+AB75*INDEX(Data!$DF:$DF,$J$4)+AB85*INDEX(Data!$DE:$DE,$J$4)+AB86*INDEX(Data!$DL:$DL,$J$4)+AB87*INDEX(Data!$DI:$DI,$J$4)+AB88*INDEX(Data!$DH:$DH,$J$4)+AB97*INDEX(Data!$DC:$DC,$J$4)+AB98*INDEX(Data!$DJ:$DJ,$J$4)+AB99*INDEX(Data!$DM:$DM,$J$4)+AB147*INDEX(Data!$DD:$DD,$J$4)+AB148*INDEX(Data!$DK:$DK,$J$4)+AB149*INDEX(Data!$DN:$DN,$J$4))/1000</f>
        <v>189.871292991185</v>
      </c>
      <c r="AC165" s="17" t="n">
        <f aca="false">(AC74*INDEX(Data!$DG:$DG,$J$4)+AC75*INDEX(Data!$DF:$DF,$J$4)+AC85*INDEX(Data!$DE:$DE,$J$4)+AC86*INDEX(Data!$DL:$DL,$J$4)+AC87*INDEX(Data!$DI:$DI,$J$4)+AC88*INDEX(Data!$DH:$DH,$J$4)+AC97*INDEX(Data!$DC:$DC,$J$4)+AC98*INDEX(Data!$DJ:$DJ,$J$4)+AC99*INDEX(Data!$DM:$DM,$J$4)+AC147*INDEX(Data!$DD:$DD,$J$4)+AC148*INDEX(Data!$DK:$DK,$J$4)+AC149*INDEX(Data!$DN:$DN,$J$4))/1000</f>
        <v>179.174613936368</v>
      </c>
      <c r="AD165" s="17" t="n">
        <f aca="false">(AD74*INDEX(Data!$DG:$DG,$J$4)+AD75*INDEX(Data!$DF:$DF,$J$4)+AD85*INDEX(Data!$DE:$DE,$J$4)+AD86*INDEX(Data!$DL:$DL,$J$4)+AD87*INDEX(Data!$DI:$DI,$J$4)+AD88*INDEX(Data!$DH:$DH,$J$4)+AD97*INDEX(Data!$DC:$DC,$J$4)+AD98*INDEX(Data!$DJ:$DJ,$J$4)+AD99*INDEX(Data!$DM:$DM,$J$4)+AD147*INDEX(Data!$DD:$DD,$J$4)+AD148*INDEX(Data!$DK:$DK,$J$4)+AD149*INDEX(Data!$DN:$DN,$J$4))/1000</f>
        <v>167.404229352336</v>
      </c>
      <c r="AE165" s="17" t="n">
        <f aca="false">(AE74*INDEX(Data!$DG:$DG,$J$4)+AE75*INDEX(Data!$DF:$DF,$J$4)+AE85*INDEX(Data!$DE:$DE,$J$4)+AE86*INDEX(Data!$DL:$DL,$J$4)+AE87*INDEX(Data!$DI:$DI,$J$4)+AE88*INDEX(Data!$DH:$DH,$J$4)+AE97*INDEX(Data!$DC:$DC,$J$4)+AE98*INDEX(Data!$DJ:$DJ,$J$4)+AE99*INDEX(Data!$DM:$DM,$J$4)+AE147*INDEX(Data!$DD:$DD,$J$4)+AE148*INDEX(Data!$DK:$DK,$J$4)+AE149*INDEX(Data!$DN:$DN,$J$4))/1000</f>
        <v>155.373652319292</v>
      </c>
      <c r="AF165" s="17" t="n">
        <f aca="false">(AF74*INDEX(Data!$DG:$DG,$J$4)+AF75*INDEX(Data!$DF:$DF,$J$4)+AF85*INDEX(Data!$DE:$DE,$J$4)+AF86*INDEX(Data!$DL:$DL,$J$4)+AF87*INDEX(Data!$DI:$DI,$J$4)+AF88*INDEX(Data!$DH:$DH,$J$4)+AF97*INDEX(Data!$DC:$DC,$J$4)+AF98*INDEX(Data!$DJ:$DJ,$J$4)+AF99*INDEX(Data!$DM:$DM,$J$4)+AF147*INDEX(Data!$DD:$DD,$J$4)+AF148*INDEX(Data!$DK:$DK,$J$4)+AF149*INDEX(Data!$DN:$DN,$J$4))/1000</f>
        <v>143.04084678563</v>
      </c>
      <c r="AG165" s="17" t="n">
        <f aca="false">(AG74*INDEX(Data!$DG:$DG,$J$4)+AG75*INDEX(Data!$DF:$DF,$J$4)+AG85*INDEX(Data!$DE:$DE,$J$4)+AG86*INDEX(Data!$DL:$DL,$J$4)+AG87*INDEX(Data!$DI:$DI,$J$4)+AG88*INDEX(Data!$DH:$DH,$J$4)+AG97*INDEX(Data!$DC:$DC,$J$4)+AG98*INDEX(Data!$DJ:$DJ,$J$4)+AG99*INDEX(Data!$DM:$DM,$J$4)+AG147*INDEX(Data!$DD:$DD,$J$4)+AG148*INDEX(Data!$DK:$DK,$J$4)+AG149*INDEX(Data!$DN:$DN,$J$4))/1000</f>
        <v>130.363998093183</v>
      </c>
      <c r="AH165" s="17" t="n">
        <f aca="false">(AH74*INDEX(Data!$DG:$DG,$J$4)+AH75*INDEX(Data!$DF:$DF,$J$4)+AH85*INDEX(Data!$DE:$DE,$J$4)+AH86*INDEX(Data!$DL:$DL,$J$4)+AH87*INDEX(Data!$DI:$DI,$J$4)+AH88*INDEX(Data!$DH:$DH,$J$4)+AH97*INDEX(Data!$DC:$DC,$J$4)+AH98*INDEX(Data!$DJ:$DJ,$J$4)+AH99*INDEX(Data!$DM:$DM,$J$4)+AH147*INDEX(Data!$DD:$DD,$J$4)+AH148*INDEX(Data!$DK:$DK,$J$4)+AH149*INDEX(Data!$DN:$DN,$J$4))/1000</f>
        <v>117.301403204694</v>
      </c>
      <c r="AI165" s="17" t="n">
        <f aca="false">(AI74*INDEX(Data!$DG:$DG,$J$4)+AI75*INDEX(Data!$DF:$DF,$J$4)+AI85*INDEX(Data!$DE:$DE,$J$4)+AI86*INDEX(Data!$DL:$DL,$J$4)+AI87*INDEX(Data!$DI:$DI,$J$4)+AI88*INDEX(Data!$DH:$DH,$J$4)+AI97*INDEX(Data!$DC:$DC,$J$4)+AI98*INDEX(Data!$DJ:$DJ,$J$4)+AI99*INDEX(Data!$DM:$DM,$J$4)+AI147*INDEX(Data!$DD:$DD,$J$4)+AI148*INDEX(Data!$DK:$DK,$J$4)+AI149*INDEX(Data!$DN:$DN,$J$4))/1000</f>
        <v>103.811364472478</v>
      </c>
      <c r="AJ165" s="17" t="n">
        <f aca="false">(AJ74*INDEX(Data!$DG:$DG,$J$4)+AJ75*INDEX(Data!$DF:$DF,$J$4)+AJ85*INDEX(Data!$DE:$DE,$J$4)+AJ86*INDEX(Data!$DL:$DL,$J$4)+AJ87*INDEX(Data!$DI:$DI,$J$4)+AJ88*INDEX(Data!$DH:$DH,$J$4)+AJ97*INDEX(Data!$DC:$DC,$J$4)+AJ98*INDEX(Data!$DJ:$DJ,$J$4)+AJ99*INDEX(Data!$DM:$DM,$J$4)+AJ147*INDEX(Data!$DD:$DD,$J$4)+AJ148*INDEX(Data!$DK:$DK,$J$4)+AJ149*INDEX(Data!$DN:$DN,$J$4))/1000</f>
        <v>95.5143871104129</v>
      </c>
      <c r="AK165" s="17" t="n">
        <f aca="false">(AK74*INDEX(Data!$DG:$DG,$J$4)+AK75*INDEX(Data!$DF:$DF,$J$4)+AK85*INDEX(Data!$DE:$DE,$J$4)+AK86*INDEX(Data!$DL:$DL,$J$4)+AK87*INDEX(Data!$DI:$DI,$J$4)+AK88*INDEX(Data!$DH:$DH,$J$4)+AK97*INDEX(Data!$DC:$DC,$J$4)+AK98*INDEX(Data!$DJ:$DJ,$J$4)+AK99*INDEX(Data!$DM:$DM,$J$4)+AK147*INDEX(Data!$DD:$DD,$J$4)+AK148*INDEX(Data!$DK:$DK,$J$4)+AK149*INDEX(Data!$DN:$DN,$J$4))/1000</f>
        <v>87.1841057397794</v>
      </c>
      <c r="AL165" s="17" t="n">
        <f aca="false">(AL74*INDEX(Data!$DG:$DG,$J$4)+AL75*INDEX(Data!$DF:$DF,$J$4)+AL85*INDEX(Data!$DE:$DE,$J$4)+AL86*INDEX(Data!$DL:$DL,$J$4)+AL87*INDEX(Data!$DI:$DI,$J$4)+AL88*INDEX(Data!$DH:$DH,$J$4)+AL97*INDEX(Data!$DC:$DC,$J$4)+AL98*INDEX(Data!$DJ:$DJ,$J$4)+AL99*INDEX(Data!$DM:$DM,$J$4)+AL147*INDEX(Data!$DD:$DD,$J$4)+AL148*INDEX(Data!$DK:$DK,$J$4)+AL149*INDEX(Data!$DN:$DN,$J$4))/1000</f>
        <v>78.7975153708507</v>
      </c>
      <c r="AM165" s="17" t="n">
        <f aca="false">(AM74*INDEX(Data!$DG:$DG,$J$4)+AM75*INDEX(Data!$DF:$DF,$J$4)+AM85*INDEX(Data!$DE:$DE,$J$4)+AM86*INDEX(Data!$DL:$DL,$J$4)+AM87*INDEX(Data!$DI:$DI,$J$4)+AM88*INDEX(Data!$DH:$DH,$J$4)+AM97*INDEX(Data!$DC:$DC,$J$4)+AM98*INDEX(Data!$DJ:$DJ,$J$4)+AM99*INDEX(Data!$DM:$DM,$J$4)+AM147*INDEX(Data!$DD:$DD,$J$4)+AM148*INDEX(Data!$DK:$DK,$J$4)+AM149*INDEX(Data!$DN:$DN,$J$4))/1000</f>
        <v>70.3323076602079</v>
      </c>
      <c r="AN165" s="17" t="n">
        <f aca="false">(AN74*INDEX(Data!$DG:$DG,$J$4)+AN75*INDEX(Data!$DF:$DF,$J$4)+AN85*INDEX(Data!$DE:$DE,$J$4)+AN86*INDEX(Data!$DL:$DL,$J$4)+AN87*INDEX(Data!$DI:$DI,$J$4)+AN88*INDEX(Data!$DH:$DH,$J$4)+AN97*INDEX(Data!$DC:$DC,$J$4)+AN98*INDEX(Data!$DJ:$DJ,$J$4)+AN99*INDEX(Data!$DM:$DM,$J$4)+AN147*INDEX(Data!$DD:$DD,$J$4)+AN148*INDEX(Data!$DK:$DK,$J$4)+AN149*INDEX(Data!$DN:$DN,$J$4))/1000</f>
        <v>61.7667923742379</v>
      </c>
    </row>
    <row r="166" customFormat="false" ht="15" hidden="false" customHeight="false" outlineLevel="0" collapsed="false">
      <c r="A166" s="9" t="n">
        <v>9</v>
      </c>
      <c r="B166" s="9"/>
      <c r="C166" s="9"/>
      <c r="D166" s="9" t="s">
        <v>606</v>
      </c>
      <c r="E166" s="9" t="s">
        <v>301</v>
      </c>
      <c r="F166" s="9" t="s">
        <v>425</v>
      </c>
      <c r="G166" s="18"/>
      <c r="H166" s="18" t="s">
        <v>615</v>
      </c>
      <c r="I166" s="9"/>
      <c r="J166" s="9"/>
      <c r="K166" s="17"/>
      <c r="L166" s="17"/>
      <c r="M166" s="17"/>
      <c r="N166" s="19" t="n">
        <f aca="false">(N74*INDEX(Data!$R:$R,$J$4)+N75*INDEX(Data!$Q:$Q,$J$4)+N85*INDEX(Data!$P:$P,$J$4)+N86*INDEX(Data!$W:$W,$J$4)+N87*INDEX(Data!$T:$T,$J$4)+N88*INDEX(Data!$S:$S,$J$4)+N97*INDEX(Data!$N:$N,$J$4)+N98*INDEX(Data!$U:$U,$J$4)+N99*INDEX(Data!$X:$X,$J$4)+N147*INDEX(Data!$O:$O,$J$4)+N148*INDEX(Data!$V:$V,$J$4)+N149*INDEX(Data!$Y:$Y,$J$4))/1000</f>
        <v>194.532668852521</v>
      </c>
      <c r="O166" s="17" t="n">
        <f aca="false">(O74*INDEX(Data!$R:$R,$J$4)+O75*INDEX(Data!$Q:$Q,$J$4)+O85*INDEX(Data!$P:$P,$J$4)+O86*INDEX(Data!$W:$W,$J$4)+O87*INDEX(Data!$T:$T,$J$4)+O88*INDEX(Data!$S:$S,$J$4)+O97*INDEX(Data!$N:$N,$J$4)+O98*INDEX(Data!$U:$U,$J$4)+O99*INDEX(Data!$X:$X,$J$4)+O147*INDEX(Data!$O:$O,$J$4)+O148*INDEX(Data!$V:$V,$J$4)+O149*INDEX(Data!$Y:$Y,$J$4))/1000</f>
        <v>197.839455990186</v>
      </c>
      <c r="P166" s="17" t="n">
        <f aca="false">(P74*INDEX(Data!$R:$R,$J$4)+P75*INDEX(Data!$Q:$Q,$J$4)+P85*INDEX(Data!$P:$P,$J$4)+P86*INDEX(Data!$W:$W,$J$4)+P87*INDEX(Data!$T:$T,$J$4)+P88*INDEX(Data!$S:$S,$J$4)+P97*INDEX(Data!$N:$N,$J$4)+P98*INDEX(Data!$U:$U,$J$4)+P99*INDEX(Data!$X:$X,$J$4)+P147*INDEX(Data!$O:$O,$J$4)+P148*INDEX(Data!$V:$V,$J$4)+P149*INDEX(Data!$Y:$Y,$J$4))/1000</f>
        <v>199.402297559357</v>
      </c>
      <c r="Q166" s="17" t="n">
        <f aca="false">(Q74*INDEX(Data!$R:$R,$J$4)+Q75*INDEX(Data!$Q:$Q,$J$4)+Q85*INDEX(Data!$P:$P,$J$4)+Q86*INDEX(Data!$W:$W,$J$4)+Q87*INDEX(Data!$T:$T,$J$4)+Q88*INDEX(Data!$S:$S,$J$4)+Q97*INDEX(Data!$N:$N,$J$4)+Q98*INDEX(Data!$U:$U,$J$4)+Q99*INDEX(Data!$X:$X,$J$4)+Q147*INDEX(Data!$O:$O,$J$4)+Q148*INDEX(Data!$V:$V,$J$4)+Q149*INDEX(Data!$Y:$Y,$J$4))/1000</f>
        <v>200.304850164947</v>
      </c>
      <c r="R166" s="17" t="n">
        <f aca="false">(R74*INDEX(Data!$R:$R,$J$4)+R75*INDEX(Data!$Q:$Q,$J$4)+R85*INDEX(Data!$P:$P,$J$4)+R86*INDEX(Data!$W:$W,$J$4)+R87*INDEX(Data!$T:$T,$J$4)+R88*INDEX(Data!$S:$S,$J$4)+R97*INDEX(Data!$N:$N,$J$4)+R98*INDEX(Data!$U:$U,$J$4)+R99*INDEX(Data!$X:$X,$J$4)+R147*INDEX(Data!$O:$O,$J$4)+R148*INDEX(Data!$V:$V,$J$4)+R149*INDEX(Data!$Y:$Y,$J$4))/1000</f>
        <v>200.516780295655</v>
      </c>
      <c r="S166" s="17" t="n">
        <f aca="false">(S74*INDEX(Data!$R:$R,$J$4)+S75*INDEX(Data!$Q:$Q,$J$4)+S85*INDEX(Data!$P:$P,$J$4)+S86*INDEX(Data!$W:$W,$J$4)+S87*INDEX(Data!$T:$T,$J$4)+S88*INDEX(Data!$S:$S,$J$4)+S97*INDEX(Data!$N:$N,$J$4)+S98*INDEX(Data!$U:$U,$J$4)+S99*INDEX(Data!$X:$X,$J$4)+S147*INDEX(Data!$O:$O,$J$4)+S148*INDEX(Data!$V:$V,$J$4)+S149*INDEX(Data!$Y:$Y,$J$4))/1000</f>
        <v>200.009451518952</v>
      </c>
      <c r="T166" s="17" t="n">
        <f aca="false">(T74*INDEX(Data!$R:$R,$J$4)+T75*INDEX(Data!$Q:$Q,$J$4)+T85*INDEX(Data!$P:$P,$J$4)+T86*INDEX(Data!$W:$W,$J$4)+T87*INDEX(Data!$T:$T,$J$4)+T88*INDEX(Data!$S:$S,$J$4)+T97*INDEX(Data!$N:$N,$J$4)+T98*INDEX(Data!$U:$U,$J$4)+T99*INDEX(Data!$X:$X,$J$4)+T147*INDEX(Data!$O:$O,$J$4)+T148*INDEX(Data!$V:$V,$J$4)+T149*INDEX(Data!$Y:$Y,$J$4))/1000</f>
        <v>198.756175093571</v>
      </c>
      <c r="U166" s="17" t="n">
        <f aca="false">(U74*INDEX(Data!$R:$R,$J$4)+U75*INDEX(Data!$Q:$Q,$J$4)+U85*INDEX(Data!$P:$P,$J$4)+U86*INDEX(Data!$W:$W,$J$4)+U87*INDEX(Data!$T:$T,$J$4)+U88*INDEX(Data!$S:$S,$J$4)+U97*INDEX(Data!$N:$N,$J$4)+U98*INDEX(Data!$U:$U,$J$4)+U99*INDEX(Data!$X:$X,$J$4)+U147*INDEX(Data!$O:$O,$J$4)+U148*INDEX(Data!$V:$V,$J$4)+U149*INDEX(Data!$Y:$Y,$J$4))/1000</f>
        <v>196.732460752389</v>
      </c>
      <c r="V166" s="17" t="n">
        <f aca="false">(V74*INDEX(Data!$R:$R,$J$4)+V75*INDEX(Data!$Q:$Q,$J$4)+V85*INDEX(Data!$P:$P,$J$4)+V86*INDEX(Data!$W:$W,$J$4)+V87*INDEX(Data!$T:$T,$J$4)+V88*INDEX(Data!$S:$S,$J$4)+V97*INDEX(Data!$N:$N,$J$4)+V98*INDEX(Data!$U:$U,$J$4)+V99*INDEX(Data!$X:$X,$J$4)+V147*INDEX(Data!$O:$O,$J$4)+V148*INDEX(Data!$V:$V,$J$4)+V149*INDEX(Data!$Y:$Y,$J$4))/1000</f>
        <v>193.916265432824</v>
      </c>
      <c r="W166" s="17" t="n">
        <f aca="false">(W74*INDEX(Data!$R:$R,$J$4)+W75*INDEX(Data!$Q:$Q,$J$4)+W85*INDEX(Data!$P:$P,$J$4)+W86*INDEX(Data!$W:$W,$J$4)+W87*INDEX(Data!$T:$T,$J$4)+W88*INDEX(Data!$S:$S,$J$4)+W97*INDEX(Data!$N:$N,$J$4)+W98*INDEX(Data!$U:$U,$J$4)+W99*INDEX(Data!$X:$X,$J$4)+W147*INDEX(Data!$O:$O,$J$4)+W148*INDEX(Data!$V:$V,$J$4)+W149*INDEX(Data!$Y:$Y,$J$4))/1000</f>
        <v>190.288237616438</v>
      </c>
      <c r="X166" s="17" t="n">
        <f aca="false">(X74*INDEX(Data!$R:$R,$J$4)+X75*INDEX(Data!$Q:$Q,$J$4)+X85*INDEX(Data!$P:$P,$J$4)+X86*INDEX(Data!$W:$W,$J$4)+X87*INDEX(Data!$T:$T,$J$4)+X88*INDEX(Data!$S:$S,$J$4)+X97*INDEX(Data!$N:$N,$J$4)+X98*INDEX(Data!$U:$U,$J$4)+X99*INDEX(Data!$X:$X,$J$4)+X147*INDEX(Data!$O:$O,$J$4)+X148*INDEX(Data!$V:$V,$J$4)+X149*INDEX(Data!$Y:$Y,$J$4))/1000</f>
        <v>185.831954845372</v>
      </c>
      <c r="Y166" s="17" t="n">
        <f aca="false">(Y74*INDEX(Data!$R:$R,$J$4)+Y75*INDEX(Data!$Q:$Q,$J$4)+Y85*INDEX(Data!$P:$P,$J$4)+Y86*INDEX(Data!$W:$W,$J$4)+Y87*INDEX(Data!$T:$T,$J$4)+Y88*INDEX(Data!$S:$S,$J$4)+Y97*INDEX(Data!$N:$N,$J$4)+Y98*INDEX(Data!$U:$U,$J$4)+Y99*INDEX(Data!$X:$X,$J$4)+Y147*INDEX(Data!$O:$O,$J$4)+Y148*INDEX(Data!$V:$V,$J$4)+Y149*INDEX(Data!$Y:$Y,$J$4))/1000</f>
        <v>180.534151913348</v>
      </c>
      <c r="Z166" s="17" t="n">
        <f aca="false">(Z74*INDEX(Data!$R:$R,$J$4)+Z75*INDEX(Data!$Q:$Q,$J$4)+Z85*INDEX(Data!$P:$P,$J$4)+Z86*INDEX(Data!$W:$W,$J$4)+Z87*INDEX(Data!$T:$T,$J$4)+Z88*INDEX(Data!$S:$S,$J$4)+Z97*INDEX(Data!$N:$N,$J$4)+Z98*INDEX(Data!$U:$U,$J$4)+Z99*INDEX(Data!$X:$X,$J$4)+Z147*INDEX(Data!$O:$O,$J$4)+Z148*INDEX(Data!$V:$V,$J$4)+Z149*INDEX(Data!$Y:$Y,$J$4))/1000</f>
        <v>174.384937185556</v>
      </c>
      <c r="AA166" s="17" t="n">
        <f aca="false">(AA74*INDEX(Data!$R:$R,$J$4)+AA75*INDEX(Data!$Q:$Q,$J$4)+AA85*INDEX(Data!$P:$P,$J$4)+AA86*INDEX(Data!$W:$W,$J$4)+AA87*INDEX(Data!$T:$T,$J$4)+AA88*INDEX(Data!$S:$S,$J$4)+AA97*INDEX(Data!$N:$N,$J$4)+AA98*INDEX(Data!$U:$U,$J$4)+AA99*INDEX(Data!$X:$X,$J$4)+AA147*INDEX(Data!$O:$O,$J$4)+AA148*INDEX(Data!$V:$V,$J$4)+AA149*INDEX(Data!$Y:$Y,$J$4))/1000</f>
        <v>167.377994487128</v>
      </c>
      <c r="AB166" s="17" t="n">
        <f aca="false">(AB74*INDEX(Data!$R:$R,$J$4)+AB75*INDEX(Data!$Q:$Q,$J$4)+AB85*INDEX(Data!$P:$P,$J$4)+AB86*INDEX(Data!$W:$W,$J$4)+AB87*INDEX(Data!$T:$T,$J$4)+AB88*INDEX(Data!$S:$S,$J$4)+AB97*INDEX(Data!$N:$N,$J$4)+AB98*INDEX(Data!$U:$U,$J$4)+AB99*INDEX(Data!$X:$X,$J$4)+AB147*INDEX(Data!$O:$O,$J$4)+AB148*INDEX(Data!$V:$V,$J$4)+AB149*INDEX(Data!$Y:$Y,$J$4))/1000</f>
        <v>159.510768015865</v>
      </c>
      <c r="AC166" s="17" t="n">
        <f aca="false">(AC74*INDEX(Data!$R:$R,$J$4)+AC75*INDEX(Data!$Q:$Q,$J$4)+AC85*INDEX(Data!$P:$P,$J$4)+AC86*INDEX(Data!$W:$W,$J$4)+AC87*INDEX(Data!$T:$T,$J$4)+AC88*INDEX(Data!$S:$S,$J$4)+AC97*INDEX(Data!$N:$N,$J$4)+AC98*INDEX(Data!$U:$U,$J$4)+AC99*INDEX(Data!$X:$X,$J$4)+AC147*INDEX(Data!$O:$O,$J$4)+AC148*INDEX(Data!$V:$V,$J$4)+AC149*INDEX(Data!$Y:$Y,$J$4))/1000</f>
        <v>150.784627783003</v>
      </c>
      <c r="AD166" s="17" t="n">
        <f aca="false">(AD74*INDEX(Data!$R:$R,$J$4)+AD75*INDEX(Data!$Q:$Q,$J$4)+AD85*INDEX(Data!$P:$P,$J$4)+AD86*INDEX(Data!$W:$W,$J$4)+AD87*INDEX(Data!$T:$T,$J$4)+AD88*INDEX(Data!$S:$S,$J$4)+AD97*INDEX(Data!$N:$N,$J$4)+AD98*INDEX(Data!$U:$U,$J$4)+AD99*INDEX(Data!$X:$X,$J$4)+AD147*INDEX(Data!$O:$O,$J$4)+AD148*INDEX(Data!$V:$V,$J$4)+AD149*INDEX(Data!$Y:$Y,$J$4))/1000</f>
        <v>141.205013167169</v>
      </c>
      <c r="AE166" s="17" t="n">
        <f aca="false">(AE74*INDEX(Data!$R:$R,$J$4)+AE75*INDEX(Data!$Q:$Q,$J$4)+AE85*INDEX(Data!$P:$P,$J$4)+AE86*INDEX(Data!$W:$W,$J$4)+AE87*INDEX(Data!$T:$T,$J$4)+AE88*INDEX(Data!$S:$S,$J$4)+AE97*INDEX(Data!$N:$N,$J$4)+AE98*INDEX(Data!$U:$U,$J$4)+AE99*INDEX(Data!$X:$X,$J$4)+AE147*INDEX(Data!$O:$O,$J$4)+AE148*INDEX(Data!$V:$V,$J$4)+AE149*INDEX(Data!$Y:$Y,$J$4))/1000</f>
        <v>131.30651766214</v>
      </c>
      <c r="AF166" s="17" t="n">
        <f aca="false">(AF74*INDEX(Data!$R:$R,$J$4)+AF75*INDEX(Data!$Q:$Q,$J$4)+AF85*INDEX(Data!$P:$P,$J$4)+AF86*INDEX(Data!$W:$W,$J$4)+AF87*INDEX(Data!$T:$T,$J$4)+AF88*INDEX(Data!$S:$S,$J$4)+AF97*INDEX(Data!$N:$N,$J$4)+AF98*INDEX(Data!$U:$U,$J$4)+AF99*INDEX(Data!$X:$X,$J$4)+AF147*INDEX(Data!$O:$O,$J$4)+AF148*INDEX(Data!$V:$V,$J$4)+AF149*INDEX(Data!$Y:$Y,$J$4))/1000</f>
        <v>121.056857443306</v>
      </c>
      <c r="AG166" s="17" t="n">
        <f aca="false">(AG74*INDEX(Data!$R:$R,$J$4)+AG75*INDEX(Data!$Q:$Q,$J$4)+AG85*INDEX(Data!$P:$P,$J$4)+AG86*INDEX(Data!$W:$W,$J$4)+AG87*INDEX(Data!$T:$T,$J$4)+AG88*INDEX(Data!$S:$S,$J$4)+AG97*INDEX(Data!$N:$N,$J$4)+AG98*INDEX(Data!$U:$U,$J$4)+AG99*INDEX(Data!$X:$X,$J$4)+AG147*INDEX(Data!$O:$O,$J$4)+AG148*INDEX(Data!$V:$V,$J$4)+AG149*INDEX(Data!$Y:$Y,$J$4))/1000</f>
        <v>110.42360553572</v>
      </c>
      <c r="AH166" s="17" t="n">
        <f aca="false">(AH74*INDEX(Data!$R:$R,$J$4)+AH75*INDEX(Data!$Q:$Q,$J$4)+AH85*INDEX(Data!$P:$P,$J$4)+AH86*INDEX(Data!$W:$W,$J$4)+AH87*INDEX(Data!$T:$T,$J$4)+AH88*INDEX(Data!$S:$S,$J$4)+AH97*INDEX(Data!$N:$N,$J$4)+AH98*INDEX(Data!$U:$U,$J$4)+AH99*INDEX(Data!$X:$X,$J$4)+AH147*INDEX(Data!$O:$O,$J$4)+AH148*INDEX(Data!$V:$V,$J$4)+AH149*INDEX(Data!$Y:$Y,$J$4))/1000</f>
        <v>99.3741172682729</v>
      </c>
      <c r="AI166" s="17" t="n">
        <f aca="false">(AI74*INDEX(Data!$R:$R,$J$4)+AI75*INDEX(Data!$Q:$Q,$J$4)+AI85*INDEX(Data!$P:$P,$J$4)+AI86*INDEX(Data!$W:$W,$J$4)+AI87*INDEX(Data!$T:$T,$J$4)+AI88*INDEX(Data!$S:$S,$J$4)+AI97*INDEX(Data!$N:$N,$J$4)+AI98*INDEX(Data!$U:$U,$J$4)+AI99*INDEX(Data!$X:$X,$J$4)+AI147*INDEX(Data!$O:$O,$J$4)+AI148*INDEX(Data!$V:$V,$J$4)+AI149*INDEX(Data!$Y:$Y,$J$4))/1000</f>
        <v>87.8754573991527</v>
      </c>
      <c r="AJ166" s="17" t="n">
        <f aca="false">(AJ74*INDEX(Data!$R:$R,$J$4)+AJ75*INDEX(Data!$Q:$Q,$J$4)+AJ85*INDEX(Data!$P:$P,$J$4)+AJ86*INDEX(Data!$W:$W,$J$4)+AJ87*INDEX(Data!$T:$T,$J$4)+AJ88*INDEX(Data!$S:$S,$J$4)+AJ97*INDEX(Data!$N:$N,$J$4)+AJ98*INDEX(Data!$U:$U,$J$4)+AJ99*INDEX(Data!$X:$X,$J$4)+AJ147*INDEX(Data!$O:$O,$J$4)+AJ148*INDEX(Data!$V:$V,$J$4)+AJ149*INDEX(Data!$Y:$Y,$J$4))/1000</f>
        <v>80.9598110631094</v>
      </c>
      <c r="AK166" s="17" t="n">
        <f aca="false">(AK74*INDEX(Data!$R:$R,$J$4)+AK75*INDEX(Data!$Q:$Q,$J$4)+AK85*INDEX(Data!$P:$P,$J$4)+AK86*INDEX(Data!$W:$W,$J$4)+AK87*INDEX(Data!$T:$T,$J$4)+AK88*INDEX(Data!$S:$S,$J$4)+AK97*INDEX(Data!$N:$N,$J$4)+AK98*INDEX(Data!$U:$U,$J$4)+AK99*INDEX(Data!$X:$X,$J$4)+AK147*INDEX(Data!$O:$O,$J$4)+AK148*INDEX(Data!$V:$V,$J$4)+AK149*INDEX(Data!$Y:$Y,$J$4))/1000</f>
        <v>73.9555201665848</v>
      </c>
      <c r="AL166" s="17" t="n">
        <f aca="false">(AL74*INDEX(Data!$R:$R,$J$4)+AL75*INDEX(Data!$Q:$Q,$J$4)+AL85*INDEX(Data!$P:$P,$J$4)+AL86*INDEX(Data!$W:$W,$J$4)+AL87*INDEX(Data!$T:$T,$J$4)+AL88*INDEX(Data!$S:$S,$J$4)+AL97*INDEX(Data!$N:$N,$J$4)+AL98*INDEX(Data!$U:$U,$J$4)+AL99*INDEX(Data!$X:$X,$J$4)+AL147*INDEX(Data!$O:$O,$J$4)+AL148*INDEX(Data!$V:$V,$J$4)+AL149*INDEX(Data!$Y:$Y,$J$4))/1000</f>
        <v>66.8456051802871</v>
      </c>
      <c r="AM166" s="17" t="n">
        <f aca="false">(AM74*INDEX(Data!$R:$R,$J$4)+AM75*INDEX(Data!$Q:$Q,$J$4)+AM85*INDEX(Data!$P:$P,$J$4)+AM86*INDEX(Data!$W:$W,$J$4)+AM87*INDEX(Data!$T:$T,$J$4)+AM88*INDEX(Data!$S:$S,$J$4)+AM97*INDEX(Data!$N:$N,$J$4)+AM98*INDEX(Data!$U:$U,$J$4)+AM99*INDEX(Data!$X:$X,$J$4)+AM147*INDEX(Data!$O:$O,$J$4)+AM148*INDEX(Data!$V:$V,$J$4)+AM149*INDEX(Data!$Y:$Y,$J$4))/1000</f>
        <v>59.6134900080409</v>
      </c>
      <c r="AN166" s="17" t="n">
        <f aca="false">(AN74*INDEX(Data!$R:$R,$J$4)+AN75*INDEX(Data!$Q:$Q,$J$4)+AN85*INDEX(Data!$P:$P,$J$4)+AN86*INDEX(Data!$W:$W,$J$4)+AN87*INDEX(Data!$T:$T,$J$4)+AN88*INDEX(Data!$S:$S,$J$4)+AN97*INDEX(Data!$N:$N,$J$4)+AN98*INDEX(Data!$U:$U,$J$4)+AN99*INDEX(Data!$X:$X,$J$4)+AN147*INDEX(Data!$O:$O,$J$4)+AN148*INDEX(Data!$V:$V,$J$4)+AN149*INDEX(Data!$Y:$Y,$J$4))/1000</f>
        <v>52.2429478025675</v>
      </c>
    </row>
    <row r="167" customFormat="false" ht="15" hidden="false" customHeight="false" outlineLevel="0" collapsed="false">
      <c r="A167" s="12" t="s">
        <v>616</v>
      </c>
      <c r="B167" s="13"/>
      <c r="C167" s="13"/>
      <c r="D167" s="13"/>
      <c r="E167" s="13"/>
      <c r="F167" s="13"/>
      <c r="G167" s="13"/>
      <c r="H167" s="13"/>
      <c r="I167" s="13"/>
      <c r="J167" s="13"/>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row>
    <row r="168" customFormat="false" ht="15" hidden="false" customHeight="false" outlineLevel="0" collapsed="false">
      <c r="A168" s="9" t="n">
        <v>10</v>
      </c>
      <c r="B168" s="9"/>
      <c r="C168" s="9"/>
      <c r="D168" s="9" t="s">
        <v>617</v>
      </c>
      <c r="E168" s="9" t="s">
        <v>301</v>
      </c>
      <c r="F168" s="9" t="s">
        <v>425</v>
      </c>
      <c r="G168" s="18"/>
      <c r="H168" s="18" t="s">
        <v>618</v>
      </c>
      <c r="I168" s="9"/>
      <c r="J168" s="9"/>
      <c r="K168" s="17"/>
      <c r="L168" s="17"/>
      <c r="M168" s="17"/>
      <c r="N168" s="19" t="n">
        <f aca="false">0</f>
        <v>0</v>
      </c>
      <c r="O168" s="17" t="n">
        <f aca="false">O144-O123</f>
        <v>18.6546099358576</v>
      </c>
      <c r="P168" s="17" t="n">
        <f aca="false">P144-P123</f>
        <v>21.3697566290952</v>
      </c>
      <c r="Q168" s="17" t="n">
        <f aca="false">Q144-Q123</f>
        <v>24.1337010175511</v>
      </c>
      <c r="R168" s="17" t="n">
        <f aca="false">R144-R123</f>
        <v>26.9284109296231</v>
      </c>
      <c r="S168" s="17" t="n">
        <f aca="false">S144-S123</f>
        <v>29.7352809644003</v>
      </c>
      <c r="T168" s="17" t="n">
        <f aca="false">T144-T123</f>
        <v>32.5352823596881</v>
      </c>
      <c r="U168" s="17" t="n">
        <f aca="false">U144-U123</f>
        <v>35.309120397802</v>
      </c>
      <c r="V168" s="17" t="n">
        <f aca="false">V144-V123</f>
        <v>38.037397948619</v>
      </c>
      <c r="W168" s="17" t="n">
        <f aca="false">W144-W123</f>
        <v>40.7007836091048</v>
      </c>
      <c r="X168" s="17" t="n">
        <f aca="false">X144-X123</f>
        <v>43.2801827743287</v>
      </c>
      <c r="Y168" s="17" t="n">
        <f aca="false">Y144-Y123</f>
        <v>46.5662782883767</v>
      </c>
      <c r="Z168" s="17" t="n">
        <f aca="false">Z144-Z123</f>
        <v>51.1951417661844</v>
      </c>
      <c r="AA168" s="17" t="n">
        <f aca="false">AA144-AA123</f>
        <v>55.8383550672534</v>
      </c>
      <c r="AB168" s="17" t="n">
        <f aca="false">AB144-AB123</f>
        <v>60.4723543734853</v>
      </c>
      <c r="AC168" s="17" t="n">
        <f aca="false">AC144-AC123</f>
        <v>65.0733870705971</v>
      </c>
      <c r="AD168" s="17" t="n">
        <f aca="false">AD144-AD123</f>
        <v>69.6176818874682</v>
      </c>
      <c r="AE168" s="17" t="n">
        <f aca="false">AE144-AE123</f>
        <v>73.9603467490615</v>
      </c>
      <c r="AF168" s="17" t="n">
        <f aca="false">AF144-AF123</f>
        <v>78.3797450118341</v>
      </c>
      <c r="AG168" s="17" t="n">
        <f aca="false">AG144-AG123</f>
        <v>82.8793097429312</v>
      </c>
      <c r="AH168" s="17" t="n">
        <f aca="false">AH144-AH123</f>
        <v>87.4623200315189</v>
      </c>
      <c r="AI168" s="17" t="n">
        <f aca="false">AI144-AI123</f>
        <v>92.1319263642934</v>
      </c>
      <c r="AJ168" s="17" t="n">
        <f aca="false">AJ144-AJ123</f>
        <v>54.0259920551881</v>
      </c>
      <c r="AK168" s="17" t="n">
        <f aca="false">AK144-AK123</f>
        <v>54.6154943128862</v>
      </c>
      <c r="AL168" s="17" t="n">
        <f aca="false">AL144-AL123</f>
        <v>55.2299727583316</v>
      </c>
      <c r="AM168" s="17" t="n">
        <f aca="false">AM144-AM123</f>
        <v>55.8696125645226</v>
      </c>
      <c r="AN168" s="17" t="n">
        <f aca="false">AN144-AN123</f>
        <v>56.5346989647018</v>
      </c>
    </row>
    <row r="169" customFormat="false" ht="15" hidden="false" customHeight="false" outlineLevel="0" collapsed="false">
      <c r="A169" s="9" t="n">
        <v>10</v>
      </c>
      <c r="B169" s="9"/>
      <c r="C169" s="9"/>
      <c r="D169" s="9" t="s">
        <v>619</v>
      </c>
      <c r="E169" s="9" t="s">
        <v>301</v>
      </c>
      <c r="F169" s="9" t="s">
        <v>425</v>
      </c>
      <c r="G169" s="18"/>
      <c r="H169" s="18" t="s">
        <v>620</v>
      </c>
      <c r="I169" s="9"/>
      <c r="J169" s="9"/>
      <c r="K169" s="17"/>
      <c r="L169" s="17"/>
      <c r="M169" s="17"/>
      <c r="N169" s="19" t="n">
        <f aca="false">0</f>
        <v>0</v>
      </c>
      <c r="O169" s="17" t="n">
        <f aca="false">O146-O125</f>
        <v>11.1927659615146</v>
      </c>
      <c r="P169" s="17" t="n">
        <f aca="false">P146-P125</f>
        <v>14.0312235602802</v>
      </c>
      <c r="Q169" s="17" t="n">
        <f aca="false">Q146-Q125</f>
        <v>17.577737069428</v>
      </c>
      <c r="R169" s="17" t="n">
        <f aca="false">R146-R125</f>
        <v>21.1185360694222</v>
      </c>
      <c r="S169" s="17" t="n">
        <f aca="false">S146-S125</f>
        <v>24.9365076030841</v>
      </c>
      <c r="T169" s="17" t="n">
        <f aca="false">T146-T125</f>
        <v>29.0310393422216</v>
      </c>
      <c r="U169" s="17" t="n">
        <f aca="false">U146-U125</f>
        <v>33.3870766744315</v>
      </c>
      <c r="V169" s="17" t="n">
        <f aca="false">V146-V125</f>
        <v>37.9866584295559</v>
      </c>
      <c r="W169" s="17" t="n">
        <f aca="false">W146-W125</f>
        <v>42.8090215509427</v>
      </c>
      <c r="X169" s="17" t="n">
        <f aca="false">X146-X125</f>
        <v>47.8307396329731</v>
      </c>
      <c r="Y169" s="17" t="n">
        <f aca="false">Y146-Y125</f>
        <v>53.5115158201209</v>
      </c>
      <c r="Z169" s="17" t="n">
        <f aca="false">Z146-Z125</f>
        <v>60.2218839449603</v>
      </c>
      <c r="AA169" s="17" t="n">
        <f aca="false">AA146-AA125</f>
        <v>67.1404430592432</v>
      </c>
      <c r="AB169" s="17" t="n">
        <f aca="false">AB146-AB125</f>
        <v>74.2308004471452</v>
      </c>
      <c r="AC169" s="17" t="n">
        <f aca="false">AC146-AC125</f>
        <v>81.4542852140982</v>
      </c>
      <c r="AD169" s="17" t="n">
        <f aca="false">AD146-AD125</f>
        <v>88.7702716053841</v>
      </c>
      <c r="AE169" s="17" t="n">
        <f aca="false">AE146-AE125</f>
        <v>94.6997392032722</v>
      </c>
      <c r="AF169" s="17" t="n">
        <f aca="false">AF146-AF125</f>
        <v>98.9196826133111</v>
      </c>
      <c r="AG169" s="17" t="n">
        <f aca="false">AG146-AG125</f>
        <v>103.174468618873</v>
      </c>
      <c r="AH169" s="17" t="n">
        <f aca="false">AH146-AH125</f>
        <v>107.466879957921</v>
      </c>
      <c r="AI169" s="17" t="n">
        <f aca="false">AI146-AI125</f>
        <v>111.799510419925</v>
      </c>
      <c r="AJ169" s="17" t="n">
        <f aca="false">AJ146-AJ125</f>
        <v>70.0577727499092</v>
      </c>
      <c r="AK169" s="17" t="n">
        <f aca="false">AK146-AK125</f>
        <v>70.0710533242158</v>
      </c>
      <c r="AL169" s="17" t="n">
        <f aca="false">AL146-AL125</f>
        <v>70.0883257009415</v>
      </c>
      <c r="AM169" s="17" t="n">
        <f aca="false">AM146-AM125</f>
        <v>70.1095908948371</v>
      </c>
      <c r="AN169" s="17" t="n">
        <f aca="false">AN146-AN125</f>
        <v>70.1349477939563</v>
      </c>
    </row>
    <row r="170" customFormat="false" ht="15" hidden="false" customHeight="false" outlineLevel="0" collapsed="false">
      <c r="A170" s="9" t="n">
        <v>10</v>
      </c>
      <c r="B170" s="9"/>
      <c r="C170" s="9"/>
      <c r="D170" s="9" t="s">
        <v>621</v>
      </c>
      <c r="E170" s="9" t="s">
        <v>301</v>
      </c>
      <c r="F170" s="9" t="s">
        <v>425</v>
      </c>
      <c r="G170" s="18"/>
      <c r="H170" s="18" t="s">
        <v>622</v>
      </c>
      <c r="I170" s="9"/>
      <c r="J170" s="9"/>
      <c r="K170" s="17"/>
      <c r="L170" s="17"/>
      <c r="M170" s="17"/>
      <c r="N170" s="19" t="n">
        <f aca="false">0</f>
        <v>0</v>
      </c>
      <c r="O170" s="17" t="n">
        <f aca="false">O77-O70</f>
        <v>3.74973811936367</v>
      </c>
      <c r="P170" s="17" t="n">
        <f aca="false">P77-P70</f>
        <v>6.36801480379935</v>
      </c>
      <c r="Q170" s="17" t="n">
        <f aca="false">Q77-Q70</f>
        <v>8.31129397804096</v>
      </c>
      <c r="R170" s="17" t="n">
        <f aca="false">R77-R70</f>
        <v>9.34474223695405</v>
      </c>
      <c r="S170" s="17" t="n">
        <f aca="false">S77-S70</f>
        <v>9.41145453229421</v>
      </c>
      <c r="T170" s="17" t="n">
        <f aca="false">T77-T70</f>
        <v>8.45936342873336</v>
      </c>
      <c r="U170" s="17" t="n">
        <f aca="false">U77-U70</f>
        <v>6.44184441778662</v>
      </c>
      <c r="V170" s="17" t="n">
        <f aca="false">V77-V70</f>
        <v>3.31829330271419</v>
      </c>
      <c r="W170" s="17" t="n">
        <f aca="false">W77-W70</f>
        <v>3.78132485582968</v>
      </c>
      <c r="X170" s="17" t="n">
        <f aca="false">X77-X70</f>
        <v>4.25067097277859</v>
      </c>
      <c r="Y170" s="17" t="n">
        <f aca="false">Y77-Y70</f>
        <v>4.72479735091725</v>
      </c>
      <c r="Z170" s="17" t="n">
        <f aca="false">Z77-Z70</f>
        <v>5.29723284491054</v>
      </c>
      <c r="AA170" s="17" t="n">
        <f aca="false">AA77-AA70</f>
        <v>5.87273538403031</v>
      </c>
      <c r="AB170" s="17" t="n">
        <f aca="false">AB77-AB70</f>
        <v>6.4492771276674</v>
      </c>
      <c r="AC170" s="17" t="n">
        <f aca="false">AC77-AC70</f>
        <v>7.02478368727137</v>
      </c>
      <c r="AD170" s="17" t="n">
        <f aca="false">AD77-AD70</f>
        <v>7.59714579513673</v>
      </c>
      <c r="AE170" s="17" t="n">
        <f aca="false">AE77-AE70</f>
        <v>7.71316884388808</v>
      </c>
      <c r="AF170" s="17" t="n">
        <f aca="false">AF77-AF70</f>
        <v>7.83099274378676</v>
      </c>
      <c r="AG170" s="17" t="n">
        <f aca="false">AG77-AG70</f>
        <v>7.95064590456856</v>
      </c>
      <c r="AH170" s="17" t="n">
        <f aca="false">AH77-AH70</f>
        <v>8.07215719127625</v>
      </c>
      <c r="AI170" s="17" t="n">
        <f aca="false">AI77-AI70</f>
        <v>8.19555593166537</v>
      </c>
      <c r="AJ170" s="17" t="n">
        <f aca="false">AJ77-AJ70</f>
        <v>8.32087192373248</v>
      </c>
      <c r="AK170" s="17" t="n">
        <f aca="false">AK77-AK70</f>
        <v>8.44813544336722</v>
      </c>
      <c r="AL170" s="17" t="n">
        <f aca="false">AL77-AL70</f>
        <v>8.57737725213093</v>
      </c>
      <c r="AM170" s="17" t="n">
        <f aca="false">AM77-AM70</f>
        <v>8.70862860516322</v>
      </c>
      <c r="AN170" s="17" t="n">
        <f aca="false">AN77-AN70</f>
        <v>8.84192125921938</v>
      </c>
    </row>
    <row r="171" customFormat="false" ht="15" hidden="false" customHeight="false" outlineLevel="0" collapsed="false">
      <c r="A171" s="9" t="n">
        <v>10</v>
      </c>
      <c r="B171" s="9"/>
      <c r="C171" s="9"/>
      <c r="D171" s="9" t="s">
        <v>623</v>
      </c>
      <c r="E171" s="9" t="s">
        <v>301</v>
      </c>
      <c r="F171" s="9" t="s">
        <v>425</v>
      </c>
      <c r="G171" s="18"/>
      <c r="H171" s="18" t="s">
        <v>624</v>
      </c>
      <c r="I171" s="9"/>
      <c r="J171" s="9"/>
      <c r="K171" s="17"/>
      <c r="L171" s="17"/>
      <c r="M171" s="17"/>
      <c r="N171" s="19" t="n">
        <f aca="false">0</f>
        <v>0</v>
      </c>
      <c r="O171" s="17" t="n">
        <f aca="false">O91</f>
        <v>9.92982195826413</v>
      </c>
      <c r="P171" s="17" t="n">
        <f aca="false">P91</f>
        <v>10.3857296456015</v>
      </c>
      <c r="Q171" s="17" t="n">
        <f aca="false">Q91</f>
        <v>10.8353153716793</v>
      </c>
      <c r="R171" s="17" t="n">
        <f aca="false">R91</f>
        <v>11.2769227801722</v>
      </c>
      <c r="S171" s="17" t="n">
        <f aca="false">S91</f>
        <v>11.7088680110288</v>
      </c>
      <c r="T171" s="17" t="n">
        <f aca="false">T91</f>
        <v>12.1294470412152</v>
      </c>
      <c r="U171" s="17" t="n">
        <f aca="false">U91</f>
        <v>12.5369434053858</v>
      </c>
      <c r="V171" s="17" t="n">
        <f aca="false">V91</f>
        <v>12.9296362578942</v>
      </c>
      <c r="W171" s="17" t="n">
        <f aca="false">W91</f>
        <v>13.3058087335757</v>
      </c>
      <c r="X171" s="17" t="n">
        <f aca="false">X91</f>
        <v>13.6637565609732</v>
      </c>
      <c r="Y171" s="17" t="n">
        <f aca="false">Y91</f>
        <v>14.0017968781848</v>
      </c>
      <c r="Z171" s="17" t="n">
        <f aca="false">Z91</f>
        <v>14.3182771983201</v>
      </c>
      <c r="AA171" s="17" t="n">
        <f aca="false">AA91</f>
        <v>14.6115844687231</v>
      </c>
      <c r="AB171" s="17" t="n">
        <f aca="false">AB91</f>
        <v>14.8801541656574</v>
      </c>
      <c r="AC171" s="17" t="n">
        <f aca="false">AC91</f>
        <v>15.1224793641298</v>
      </c>
      <c r="AD171" s="17" t="n">
        <f aca="false">AD91</f>
        <v>15.3371197209462</v>
      </c>
      <c r="AE171" s="17" t="n">
        <f aca="false">AE91</f>
        <v>15.6952188908994</v>
      </c>
      <c r="AF171" s="17" t="n">
        <f aca="false">AF91</f>
        <v>16.0605898173775</v>
      </c>
      <c r="AG171" s="17" t="n">
        <f aca="false">AG91</f>
        <v>16.4333698772871</v>
      </c>
      <c r="AH171" s="17" t="n">
        <f aca="false">AH91</f>
        <v>16.8136989261949</v>
      </c>
      <c r="AI171" s="17" t="n">
        <f aca="false">AI91</f>
        <v>17.201719341637</v>
      </c>
      <c r="AJ171" s="17" t="n">
        <f aca="false">AJ91</f>
        <v>17.5975760671673</v>
      </c>
      <c r="AK171" s="17" t="n">
        <f aca="false">AK91</f>
        <v>18.0014166571575</v>
      </c>
      <c r="AL171" s="17" t="n">
        <f aca="false">AL91</f>
        <v>18.4133913223597</v>
      </c>
      <c r="AM171" s="17" t="n">
        <f aca="false">AM91</f>
        <v>18.8336529762484</v>
      </c>
      <c r="AN171" s="17" t="n">
        <f aca="false">AN91</f>
        <v>19.2623572821495</v>
      </c>
    </row>
    <row r="172" customFormat="false" ht="15" hidden="false" customHeight="false" outlineLevel="0" collapsed="false">
      <c r="A172" s="9" t="n">
        <v>10</v>
      </c>
      <c r="B172" s="9"/>
      <c r="C172" s="9"/>
      <c r="D172" s="9" t="s">
        <v>625</v>
      </c>
      <c r="E172" s="9" t="s">
        <v>301</v>
      </c>
      <c r="F172" s="9" t="s">
        <v>425</v>
      </c>
      <c r="G172" s="18"/>
      <c r="H172" s="18" t="s">
        <v>626</v>
      </c>
      <c r="I172" s="9"/>
      <c r="J172" s="9"/>
      <c r="K172" s="17"/>
      <c r="L172" s="17"/>
      <c r="M172" s="17"/>
      <c r="N172" s="19" t="n">
        <f aca="false">0</f>
        <v>0</v>
      </c>
      <c r="O172" s="17" t="n">
        <f aca="false">O104</f>
        <v>27.1777209485278</v>
      </c>
      <c r="P172" s="17" t="n">
        <f aca="false">P104</f>
        <v>29.368474562093</v>
      </c>
      <c r="Q172" s="17" t="n">
        <f aca="false">Q104</f>
        <v>31.6184275445539</v>
      </c>
      <c r="R172" s="17" t="n">
        <f aca="false">R104</f>
        <v>33.9230923346988</v>
      </c>
      <c r="S172" s="17" t="n">
        <f aca="false">S104</f>
        <v>36.2776799778318</v>
      </c>
      <c r="T172" s="17" t="n">
        <f aca="false">T104</f>
        <v>38.6771523893038</v>
      </c>
      <c r="U172" s="17" t="n">
        <f aca="false">U104</f>
        <v>39.3031360995545</v>
      </c>
      <c r="V172" s="17" t="n">
        <f aca="false">V104</f>
        <v>41.1238477432265</v>
      </c>
      <c r="W172" s="17" t="n">
        <f aca="false">W104</f>
        <v>42.9131300184234</v>
      </c>
      <c r="X172" s="17" t="n">
        <f aca="false">X104</f>
        <v>44.660556682214</v>
      </c>
      <c r="Y172" s="17" t="n">
        <f aca="false">Y104</f>
        <v>46.3554380411157</v>
      </c>
      <c r="Z172" s="17" t="n">
        <f aca="false">Z104</f>
        <v>47.9868937140008</v>
      </c>
      <c r="AA172" s="17" t="n">
        <f aca="false">AA104</f>
        <v>49.5439309951314</v>
      </c>
      <c r="AB172" s="17" t="n">
        <f aca="false">AB104</f>
        <v>51.0155282046255</v>
      </c>
      <c r="AC172" s="17" t="n">
        <f aca="false">AC104</f>
        <v>52.3907223162985</v>
      </c>
      <c r="AD172" s="17" t="n">
        <f aca="false">AD104</f>
        <v>53.6587000612199</v>
      </c>
      <c r="AE172" s="17" t="n">
        <f aca="false">AE104</f>
        <v>55.5866579140393</v>
      </c>
      <c r="AF172" s="17" t="n">
        <f aca="false">AF104</f>
        <v>57.580343842322</v>
      </c>
      <c r="AG172" s="17" t="n">
        <f aca="false">AG104</f>
        <v>59.6419219051437</v>
      </c>
      <c r="AH172" s="17" t="n">
        <f aca="false">AH104</f>
        <v>61.7736264179479</v>
      </c>
      <c r="AI172" s="17" t="n">
        <f aca="false">AI104</f>
        <v>63.9777642107855</v>
      </c>
      <c r="AJ172" s="17" t="n">
        <f aca="false">AJ104</f>
        <v>66.2567169584762</v>
      </c>
      <c r="AK172" s="17" t="n">
        <f aca="false">AK104</f>
        <v>68.6129435849642</v>
      </c>
      <c r="AL172" s="17" t="n">
        <f aca="false">AL104</f>
        <v>71.0489827442013</v>
      </c>
      <c r="AM172" s="17" t="n">
        <f aca="false">AM104</f>
        <v>73.5674553799838</v>
      </c>
      <c r="AN172" s="17" t="n">
        <f aca="false">AN104</f>
        <v>76.1710673672293</v>
      </c>
    </row>
    <row r="173" customFormat="false" ht="15" hidden="false" customHeight="false" outlineLevel="0" collapsed="false">
      <c r="A173" s="9" t="n">
        <v>10</v>
      </c>
      <c r="B173" s="9"/>
      <c r="C173" s="9"/>
      <c r="D173" s="9" t="s">
        <v>627</v>
      </c>
      <c r="E173" s="9" t="s">
        <v>301</v>
      </c>
      <c r="F173" s="9" t="s">
        <v>425</v>
      </c>
      <c r="G173" s="18"/>
      <c r="H173" s="18" t="s">
        <v>628</v>
      </c>
      <c r="I173" s="9"/>
      <c r="J173" s="9"/>
      <c r="K173" s="17"/>
      <c r="L173" s="17"/>
      <c r="M173" s="17"/>
      <c r="N173" s="19" t="n">
        <f aca="false">0</f>
        <v>0</v>
      </c>
      <c r="O173" s="17" t="n">
        <f aca="false">O154</f>
        <v>2.71505041359216</v>
      </c>
      <c r="P173" s="17" t="n">
        <f aca="false">P154</f>
        <v>5.43010082718432</v>
      </c>
      <c r="Q173" s="17" t="n">
        <f aca="false">Q154</f>
        <v>8.14515124077647</v>
      </c>
      <c r="R173" s="17" t="n">
        <f aca="false">R154</f>
        <v>10.8602016543686</v>
      </c>
      <c r="S173" s="17" t="n">
        <f aca="false">S154</f>
        <v>13.5752520679608</v>
      </c>
      <c r="T173" s="17" t="n">
        <f aca="false">T154</f>
        <v>16.2903024815529</v>
      </c>
      <c r="U173" s="17" t="n">
        <f aca="false">U154</f>
        <v>17.1048176056306</v>
      </c>
      <c r="V173" s="17" t="n">
        <f aca="false">V154</f>
        <v>17.9193327297082</v>
      </c>
      <c r="W173" s="17" t="n">
        <f aca="false">W154</f>
        <v>18.7338478537859</v>
      </c>
      <c r="X173" s="17" t="n">
        <f aca="false">X154</f>
        <v>19.5483629778635</v>
      </c>
      <c r="Y173" s="17" t="n">
        <f aca="false">Y154</f>
        <v>20.3628781019412</v>
      </c>
      <c r="Z173" s="17" t="n">
        <f aca="false">Z154</f>
        <v>21.1773932260188</v>
      </c>
      <c r="AA173" s="17" t="n">
        <f aca="false">AA154</f>
        <v>21.9919083500965</v>
      </c>
      <c r="AB173" s="17" t="n">
        <f aca="false">AB154</f>
        <v>22.8064234741741</v>
      </c>
      <c r="AC173" s="17" t="n">
        <f aca="false">AC154</f>
        <v>23.6209385982518</v>
      </c>
      <c r="AD173" s="17" t="n">
        <f aca="false">AD154</f>
        <v>24.4354537223294</v>
      </c>
      <c r="AE173" s="17" t="n">
        <f aca="false">AE154</f>
        <v>25.2499688464071</v>
      </c>
      <c r="AF173" s="17" t="n">
        <f aca="false">AF154</f>
        <v>26.0644839704847</v>
      </c>
      <c r="AG173" s="17" t="n">
        <f aca="false">AG154</f>
        <v>26.8789990945624</v>
      </c>
      <c r="AH173" s="17" t="n">
        <f aca="false">AH154</f>
        <v>27.69351421864</v>
      </c>
      <c r="AI173" s="17" t="n">
        <f aca="false">AI154</f>
        <v>28.5080293427177</v>
      </c>
      <c r="AJ173" s="17" t="n">
        <f aca="false">AJ154</f>
        <v>29.3225444667953</v>
      </c>
      <c r="AK173" s="17" t="n">
        <f aca="false">AK154</f>
        <v>30.1370595908729</v>
      </c>
      <c r="AL173" s="17" t="n">
        <f aca="false">AL154</f>
        <v>30.9515747149506</v>
      </c>
      <c r="AM173" s="17" t="n">
        <f aca="false">AM154</f>
        <v>31.7660898390282</v>
      </c>
      <c r="AN173" s="17" t="n">
        <f aca="false">AN154</f>
        <v>32.5806049631059</v>
      </c>
    </row>
    <row r="174" customFormat="false" ht="15" hidden="false" customHeight="false" outlineLevel="0" collapsed="false">
      <c r="A174" s="9" t="n">
        <v>10</v>
      </c>
      <c r="B174" s="9"/>
      <c r="C174" s="9"/>
      <c r="D174" s="9" t="s">
        <v>629</v>
      </c>
      <c r="E174" s="9" t="s">
        <v>301</v>
      </c>
      <c r="F174" s="9" t="s">
        <v>425</v>
      </c>
      <c r="G174" s="18"/>
      <c r="H174" s="18" t="s">
        <v>630</v>
      </c>
      <c r="I174" s="9"/>
      <c r="J174" s="9"/>
      <c r="K174" s="17"/>
      <c r="L174" s="17"/>
      <c r="M174" s="17"/>
      <c r="N174" s="19" t="n">
        <f aca="false">0</f>
        <v>0</v>
      </c>
      <c r="O174" s="17" t="n">
        <f aca="false">O163</f>
        <v>1.32021732608335</v>
      </c>
      <c r="P174" s="17" t="n">
        <f aca="false">P163</f>
        <v>2.6404346521667</v>
      </c>
      <c r="Q174" s="17" t="n">
        <f aca="false">Q163</f>
        <v>3.96065197825006</v>
      </c>
      <c r="R174" s="17" t="n">
        <f aca="false">R163</f>
        <v>5.28086930433341</v>
      </c>
      <c r="S174" s="17" t="n">
        <f aca="false">S163</f>
        <v>6.60108663041676</v>
      </c>
      <c r="T174" s="17" t="n">
        <f aca="false">T163</f>
        <v>7.92130395650011</v>
      </c>
      <c r="U174" s="17" t="n">
        <f aca="false">U163</f>
        <v>9.24152128258347</v>
      </c>
      <c r="V174" s="17" t="n">
        <f aca="false">V163</f>
        <v>10.5617386086668</v>
      </c>
      <c r="W174" s="17" t="n">
        <f aca="false">W163</f>
        <v>11.8819559347502</v>
      </c>
      <c r="X174" s="17" t="n">
        <f aca="false">X163</f>
        <v>13.2021732608335</v>
      </c>
      <c r="Y174" s="17" t="n">
        <f aca="false">Y163</f>
        <v>14.5223905869169</v>
      </c>
      <c r="Z174" s="17" t="n">
        <f aca="false">Z163</f>
        <v>15.8426079130002</v>
      </c>
      <c r="AA174" s="17" t="n">
        <f aca="false">AA163</f>
        <v>17.1628252390836</v>
      </c>
      <c r="AB174" s="17" t="n">
        <f aca="false">AB163</f>
        <v>18.4830425651669</v>
      </c>
      <c r="AC174" s="17" t="n">
        <f aca="false">AC163</f>
        <v>19.8032598912503</v>
      </c>
      <c r="AD174" s="17" t="n">
        <f aca="false">AD163</f>
        <v>21.1234772173336</v>
      </c>
      <c r="AE174" s="17" t="n">
        <f aca="false">AE163</f>
        <v>22.443694543417</v>
      </c>
      <c r="AF174" s="17" t="n">
        <f aca="false">AF163</f>
        <v>23.7639118695003</v>
      </c>
      <c r="AG174" s="17" t="n">
        <f aca="false">AG163</f>
        <v>25.0841291955837</v>
      </c>
      <c r="AH174" s="17" t="n">
        <f aca="false">AH163</f>
        <v>26.404346521667</v>
      </c>
      <c r="AI174" s="17" t="n">
        <f aca="false">AI163</f>
        <v>27.7245638477504</v>
      </c>
      <c r="AJ174" s="17" t="n">
        <f aca="false">AJ163</f>
        <v>29.0447811738337</v>
      </c>
      <c r="AK174" s="17" t="n">
        <f aca="false">AK163</f>
        <v>30.3649984999171</v>
      </c>
      <c r="AL174" s="17" t="n">
        <f aca="false">AL163</f>
        <v>31.6852158260005</v>
      </c>
      <c r="AM174" s="17" t="n">
        <f aca="false">AM163</f>
        <v>33.0054331520838</v>
      </c>
      <c r="AN174" s="17" t="n">
        <f aca="false">AN163</f>
        <v>34.3256504781672</v>
      </c>
    </row>
    <row r="175" customFormat="false" ht="15" hidden="false" customHeight="false" outlineLevel="0" collapsed="false">
      <c r="A175" s="9" t="n">
        <v>10</v>
      </c>
      <c r="B175" s="9"/>
      <c r="C175" s="9"/>
      <c r="D175" s="9" t="s">
        <v>631</v>
      </c>
      <c r="E175" s="9" t="s">
        <v>301</v>
      </c>
      <c r="F175" s="9" t="s">
        <v>425</v>
      </c>
      <c r="G175" s="18"/>
      <c r="H175" s="18" t="s">
        <v>632</v>
      </c>
      <c r="I175" s="9"/>
      <c r="J175" s="9"/>
      <c r="K175" s="17"/>
      <c r="L175" s="17"/>
      <c r="M175" s="17"/>
      <c r="N175" s="19" t="n">
        <f aca="false">0</f>
        <v>0</v>
      </c>
      <c r="O175" s="17" t="n">
        <f aca="false">O123+O125+O70</f>
        <v>55.1638248026058</v>
      </c>
      <c r="P175" s="17" t="n">
        <f aca="false">P123+P125+P70</f>
        <v>53.3047546766648</v>
      </c>
      <c r="Q175" s="17" t="n">
        <f aca="false">Q123+Q125+Q70</f>
        <v>55.0829001112655</v>
      </c>
      <c r="R175" s="17" t="n">
        <f aca="false">R123+R125+R70</f>
        <v>56.8847235225132</v>
      </c>
      <c r="S175" s="17" t="n">
        <f aca="false">S123+S125+S70</f>
        <v>58.3960268500147</v>
      </c>
      <c r="T175" s="17" t="n">
        <f aca="false">T123+T125+T70</f>
        <v>59.5844522146807</v>
      </c>
      <c r="U175" s="17" t="n">
        <f aca="false">U123+U125+U70</f>
        <v>60.4306739452709</v>
      </c>
      <c r="V175" s="17" t="n">
        <f aca="false">V123+V125+V70</f>
        <v>60.9171378506929</v>
      </c>
      <c r="W175" s="17" t="n">
        <f aca="false">W123+W125+W70</f>
        <v>62.3823304686345</v>
      </c>
      <c r="X175" s="17" t="n">
        <f aca="false">X123+X125+X70</f>
        <v>63.7236309412805</v>
      </c>
      <c r="Y175" s="17" t="n">
        <f aca="false">Y123+Y125+Y70</f>
        <v>64.9328126125765</v>
      </c>
      <c r="Z175" s="17" t="n">
        <f aca="false">Z123+Z125+Z70</f>
        <v>65.7636235580392</v>
      </c>
      <c r="AA175" s="17" t="n">
        <f aca="false">AA123+AA125+AA70</f>
        <v>66.4444755388667</v>
      </c>
      <c r="AB175" s="17" t="n">
        <f aca="false">AB123+AB125+AB70</f>
        <v>66.970704926174</v>
      </c>
      <c r="AC175" s="17" t="n">
        <f aca="false">AC123+AC125+AC70</f>
        <v>67.3384993319885</v>
      </c>
      <c r="AD175" s="17" t="n">
        <f aca="false">AD123+AD125+AD70</f>
        <v>67.5449388438725</v>
      </c>
      <c r="AE175" s="17" t="n">
        <f aca="false">AE123+AE125+AE70</f>
        <v>69.0057245034527</v>
      </c>
      <c r="AF175" s="17" t="n">
        <f aca="false">AF123+AF125+AF70</f>
        <v>70.4653479674105</v>
      </c>
      <c r="AG175" s="17" t="n">
        <f aca="false">AG123+AG125+AG70</f>
        <v>71.9228393586977</v>
      </c>
      <c r="AH175" s="17" t="n">
        <f aca="false">AH123+AH125+AH70</f>
        <v>73.3771983594692</v>
      </c>
      <c r="AI175" s="17" t="n">
        <f aca="false">AI123+AI125+AI70</f>
        <v>74.8273930354255</v>
      </c>
      <c r="AJ175" s="17" t="n">
        <f aca="false">AJ123+AJ125+AJ70</f>
        <v>76.2723585918106</v>
      </c>
      <c r="AK175" s="17" t="n">
        <f aca="false">AK123+AK125+AK70</f>
        <v>77.7109960619209</v>
      </c>
      <c r="AL175" s="17" t="n">
        <f aca="false">AL123+AL125+AL70</f>
        <v>79.1421709289671</v>
      </c>
      <c r="AM175" s="17" t="n">
        <f aca="false">AM123+AM125+AM70</f>
        <v>80.5647116820304</v>
      </c>
      <c r="AN175" s="17" t="n">
        <f aca="false">AN123+AN125+AN70</f>
        <v>81.977408306751</v>
      </c>
    </row>
    <row r="176" customFormat="false" ht="15" hidden="false" customHeight="false" outlineLevel="0" collapsed="false">
      <c r="A176" s="9" t="n">
        <v>10</v>
      </c>
      <c r="B176" s="9"/>
      <c r="C176" s="9"/>
      <c r="D176" s="9" t="s">
        <v>633</v>
      </c>
      <c r="E176" s="9" t="s">
        <v>301</v>
      </c>
      <c r="F176" s="9" t="s">
        <v>425</v>
      </c>
      <c r="G176" s="18"/>
      <c r="H176" s="18" t="s">
        <v>634</v>
      </c>
      <c r="I176" s="9"/>
      <c r="J176" s="9"/>
      <c r="K176" s="17"/>
      <c r="L176" s="17"/>
      <c r="M176" s="17"/>
      <c r="N176" s="19" t="n">
        <f aca="false">0</f>
        <v>0</v>
      </c>
      <c r="O176" s="17" t="n">
        <f aca="false">O144+O146+O77+O91+O104+O154+O163</f>
        <v>129.903749465809</v>
      </c>
      <c r="P176" s="17" t="n">
        <f aca="false">P144+P146+P77+P91+P104+P154+P163</f>
        <v>142.898489356885</v>
      </c>
      <c r="Q176" s="17" t="n">
        <f aca="false">Q144+Q146+Q77+Q91+Q104+Q154+Q163</f>
        <v>159.665178311545</v>
      </c>
      <c r="R176" s="17" t="n">
        <f aca="false">R144+R146+R77+R91+R104+R154+R163</f>
        <v>175.617498832086</v>
      </c>
      <c r="S176" s="17" t="n">
        <f aca="false">S144+S146+S77+S91+S104+S154+S163</f>
        <v>190.642156637032</v>
      </c>
      <c r="T176" s="17" t="n">
        <f aca="false">T144+T146+T77+T91+T104+T154+T163</f>
        <v>204.628343213896</v>
      </c>
      <c r="U176" s="17" t="n">
        <f aca="false">U144+U146+U77+U91+U104+U154+U163</f>
        <v>213.755133828445</v>
      </c>
      <c r="V176" s="17" t="n">
        <f aca="false">V144+V146+V77+V91+V104+V154+V163</f>
        <v>222.794042871078</v>
      </c>
      <c r="W176" s="17" t="n">
        <f aca="false">W144+W146+W77+W91+W104+W154+W163</f>
        <v>236.508203025047</v>
      </c>
      <c r="X176" s="17" t="n">
        <f aca="false">X144+X146+X77+X91+X104+X154+X163</f>
        <v>250.160073803245</v>
      </c>
      <c r="Y176" s="17" t="n">
        <f aca="false">Y144+Y146+Y77+Y91+Y104+Y154+Y163</f>
        <v>264.97790768015</v>
      </c>
      <c r="Z176" s="17" t="n">
        <f aca="false">Z144+Z146+Z77+Z91+Z104+Z154+Z163</f>
        <v>281.803054165434</v>
      </c>
      <c r="AA176" s="17" t="n">
        <f aca="false">AA144+AA146+AA77+AA91+AA104+AA154+AA163</f>
        <v>298.606258102428</v>
      </c>
      <c r="AB176" s="17" t="n">
        <f aca="false">AB144+AB146+AB77+AB91+AB104+AB154+AB163</f>
        <v>315.308285284096</v>
      </c>
      <c r="AC176" s="17" t="n">
        <f aca="false">AC144+AC146+AC77+AC91+AC104+AC154+AC163</f>
        <v>331.828355473886</v>
      </c>
      <c r="AD176" s="17" t="n">
        <f aca="false">AD144+AD146+AD77+AD91+AD104+AD154+AD163</f>
        <v>348.084788853691</v>
      </c>
      <c r="AE176" s="17" t="n">
        <f aca="false">AE144+AE146+AE77+AE91+AE104+AE154+AE163</f>
        <v>364.354519494437</v>
      </c>
      <c r="AF176" s="17" t="n">
        <f aca="false">AF144+AF146+AF77+AF91+AF104+AF154+AF163</f>
        <v>379.065097836027</v>
      </c>
      <c r="AG176" s="17" t="n">
        <f aca="false">AG144+AG146+AG77+AG91+AG104+AG154+AG163</f>
        <v>393.965683697648</v>
      </c>
      <c r="AH176" s="17" t="n">
        <f aca="false">AH144+AH146+AH77+AH91+AH104+AH154+AH163</f>
        <v>409.063741624635</v>
      </c>
      <c r="AI176" s="17" t="n">
        <f aca="false">AI144+AI146+AI77+AI91+AI104+AI154+AI163</f>
        <v>424.3664624942</v>
      </c>
      <c r="AJ176" s="17" t="n">
        <f aca="false">AJ144+AJ146+AJ77+AJ91+AJ104+AJ154+AJ163</f>
        <v>350.898613986913</v>
      </c>
      <c r="AK176" s="17" t="n">
        <f aca="false">AK144+AK146+AK77+AK91+AK104+AK154+AK163</f>
        <v>357.962097475302</v>
      </c>
      <c r="AL176" s="17" t="n">
        <f aca="false">AL144+AL146+AL77+AL91+AL104+AL154+AL163</f>
        <v>365.137011247883</v>
      </c>
      <c r="AM176" s="17" t="n">
        <f aca="false">AM144+AM146+AM77+AM91+AM104+AM154+AM163</f>
        <v>372.425175093897</v>
      </c>
      <c r="AN176" s="17" t="n">
        <f aca="false">AN144+AN146+AN77+AN91+AN104+AN154+AN163</f>
        <v>379.82865641528</v>
      </c>
    </row>
    <row r="177" customFormat="false" ht="15" hidden="false" customHeight="false" outlineLevel="0" collapsed="false">
      <c r="A177" s="9" t="n">
        <v>10</v>
      </c>
      <c r="B177" s="9"/>
      <c r="C177" s="9"/>
      <c r="D177" s="9" t="s">
        <v>635</v>
      </c>
      <c r="E177" s="9" t="s">
        <v>301</v>
      </c>
      <c r="F177" s="9" t="s">
        <v>425</v>
      </c>
      <c r="G177" s="18"/>
      <c r="H177" s="18" t="s">
        <v>636</v>
      </c>
      <c r="I177" s="9"/>
      <c r="J177" s="9"/>
      <c r="K177" s="17"/>
      <c r="L177" s="17"/>
      <c r="M177" s="17"/>
      <c r="N177" s="19" t="n">
        <f aca="false">0</f>
        <v>0</v>
      </c>
      <c r="O177" s="17" t="n">
        <f aca="false">O176-O175</f>
        <v>74.7399246632033</v>
      </c>
      <c r="P177" s="17" t="n">
        <f aca="false">P176-P175</f>
        <v>89.5937346802202</v>
      </c>
      <c r="Q177" s="17" t="n">
        <f aca="false">Q176-Q175</f>
        <v>104.58227820028</v>
      </c>
      <c r="R177" s="17" t="n">
        <f aca="false">R176-R175</f>
        <v>118.732775309572</v>
      </c>
      <c r="S177" s="17" t="n">
        <f aca="false">S176-S175</f>
        <v>132.246129787017</v>
      </c>
      <c r="T177" s="17" t="n">
        <f aca="false">T176-T175</f>
        <v>145.043890999215</v>
      </c>
      <c r="U177" s="17" t="n">
        <f aca="false">U176-U175</f>
        <v>153.324459883175</v>
      </c>
      <c r="V177" s="17" t="n">
        <f aca="false">V176-V175</f>
        <v>161.876905020385</v>
      </c>
      <c r="W177" s="17" t="n">
        <f aca="false">W176-W175</f>
        <v>174.125872556412</v>
      </c>
      <c r="X177" s="17" t="n">
        <f aca="false">X176-X175</f>
        <v>186.436442861965</v>
      </c>
      <c r="Y177" s="17" t="n">
        <f aca="false">Y176-Y175</f>
        <v>200.045095067573</v>
      </c>
      <c r="Z177" s="17" t="n">
        <f aca="false">Z176-Z175</f>
        <v>216.039430607395</v>
      </c>
      <c r="AA177" s="17" t="n">
        <f aca="false">AA176-AA175</f>
        <v>232.161782563561</v>
      </c>
      <c r="AB177" s="17" t="n">
        <f aca="false">AB176-AB175</f>
        <v>248.337580357922</v>
      </c>
      <c r="AC177" s="17" t="n">
        <f aca="false">AC176-AC175</f>
        <v>264.489856141897</v>
      </c>
      <c r="AD177" s="17" t="n">
        <f aca="false">AD176-AD175</f>
        <v>280.539850009818</v>
      </c>
      <c r="AE177" s="17" t="n">
        <f aca="false">AE176-AE175</f>
        <v>295.348794990985</v>
      </c>
      <c r="AF177" s="17" t="n">
        <f aca="false">AF176-AF175</f>
        <v>308.599749868617</v>
      </c>
      <c r="AG177" s="17" t="n">
        <f aca="false">AG176-AG175</f>
        <v>322.04284433895</v>
      </c>
      <c r="AH177" s="17" t="n">
        <f aca="false">AH176-AH175</f>
        <v>335.686543265166</v>
      </c>
      <c r="AI177" s="17" t="n">
        <f aca="false">AI176-AI175</f>
        <v>349.539069458775</v>
      </c>
      <c r="AJ177" s="17" t="n">
        <f aca="false">AJ176-AJ175</f>
        <v>274.626255395102</v>
      </c>
      <c r="AK177" s="17" t="n">
        <f aca="false">AK176-AK175</f>
        <v>280.251101413381</v>
      </c>
      <c r="AL177" s="17" t="n">
        <f aca="false">AL176-AL175</f>
        <v>285.994840318916</v>
      </c>
      <c r="AM177" s="17" t="n">
        <f aca="false">AM176-AM175</f>
        <v>291.860463411867</v>
      </c>
      <c r="AN177" s="17" t="n">
        <f aca="false">AN176-AN175</f>
        <v>297.851248108529</v>
      </c>
    </row>
    <row r="178" customFormat="false" ht="15" hidden="false" customHeight="false" outlineLevel="0" collapsed="false">
      <c r="A178" s="12" t="s">
        <v>637</v>
      </c>
      <c r="B178" s="13"/>
      <c r="C178" s="13"/>
      <c r="D178" s="13"/>
      <c r="E178" s="13"/>
      <c r="F178" s="13"/>
      <c r="G178" s="13"/>
      <c r="H178" s="13"/>
      <c r="I178" s="13"/>
      <c r="J178" s="13"/>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row>
    <row r="179" customFormat="false" ht="15" hidden="false" customHeight="false" outlineLevel="0" collapsed="false">
      <c r="A179" s="9" t="n">
        <v>11</v>
      </c>
      <c r="B179" s="9"/>
      <c r="C179" s="9"/>
      <c r="D179" s="9" t="s">
        <v>638</v>
      </c>
      <c r="E179" s="9" t="s">
        <v>301</v>
      </c>
      <c r="F179" s="9" t="s">
        <v>425</v>
      </c>
      <c r="G179" s="18"/>
      <c r="H179" s="18" t="s">
        <v>639</v>
      </c>
      <c r="I179" s="9"/>
      <c r="J179" s="9"/>
      <c r="K179" s="17"/>
      <c r="L179" s="17"/>
      <c r="M179" s="17"/>
      <c r="N179" s="19" t="n">
        <f aca="false">0</f>
        <v>0</v>
      </c>
      <c r="O179" s="17" t="n">
        <f aca="false">N179+O168-IF(O$1-2024&gt;(p_life_vre),INDEX($O$168:$AN$168,O$1-2024-(p_life_vre)),0)</f>
        <v>18.6546099358576</v>
      </c>
      <c r="P179" s="17" t="n">
        <f aca="false">O179+P168-IF(P$1-2024&gt;(p_life_vre),INDEX($O$168:$AN$168,P$1-2024-(p_life_vre)),0)</f>
        <v>40.0243665649528</v>
      </c>
      <c r="Q179" s="17" t="n">
        <f aca="false">P179+Q168-IF(Q$1-2024&gt;(p_life_vre),INDEX($O$168:$AN$168,Q$1-2024-(p_life_vre)),0)</f>
        <v>64.1580675825039</v>
      </c>
      <c r="R179" s="17" t="n">
        <f aca="false">Q179+R168-IF(R$1-2024&gt;(p_life_vre),INDEX($O$168:$AN$168,R$1-2024-(p_life_vre)),0)</f>
        <v>91.086478512127</v>
      </c>
      <c r="S179" s="17" t="n">
        <f aca="false">R179+S168-IF(S$1-2024&gt;(p_life_vre),INDEX($O$168:$AN$168,S$1-2024-(p_life_vre)),0)</f>
        <v>120.821759476527</v>
      </c>
      <c r="T179" s="17" t="n">
        <f aca="false">S179+T168-IF(T$1-2024&gt;(p_life_vre),INDEX($O$168:$AN$168,T$1-2024-(p_life_vre)),0)</f>
        <v>153.357041836215</v>
      </c>
      <c r="U179" s="17" t="n">
        <f aca="false">T179+U168-IF(U$1-2024&gt;(p_life_vre),INDEX($O$168:$AN$168,U$1-2024-(p_life_vre)),0)</f>
        <v>188.666162234017</v>
      </c>
      <c r="V179" s="17" t="n">
        <f aca="false">U179+V168-IF(V$1-2024&gt;(p_life_vre),INDEX($O$168:$AN$168,V$1-2024-(p_life_vre)),0)</f>
        <v>226.703560182636</v>
      </c>
      <c r="W179" s="17" t="n">
        <f aca="false">V179+W168-IF(W$1-2024&gt;(p_life_vre),INDEX($O$168:$AN$168,W$1-2024-(p_life_vre)),0)</f>
        <v>267.404343791741</v>
      </c>
      <c r="X179" s="17" t="n">
        <f aca="false">W179+X168-IF(X$1-2024&gt;(p_life_vre),INDEX($O$168:$AN$168,X$1-2024-(p_life_vre)),0)</f>
        <v>310.68452656607</v>
      </c>
      <c r="Y179" s="17" t="n">
        <f aca="false">X179+Y168-IF(Y$1-2024&gt;(p_life_vre),INDEX($O$168:$AN$168,Y$1-2024-(p_life_vre)),0)</f>
        <v>357.250804854447</v>
      </c>
      <c r="Z179" s="17" t="n">
        <f aca="false">Y179+Z168-IF(Z$1-2024&gt;(p_life_vre),INDEX($O$168:$AN$168,Z$1-2024-(p_life_vre)),0)</f>
        <v>408.445946620631</v>
      </c>
      <c r="AA179" s="17" t="n">
        <f aca="false">Z179+AA168-IF(AA$1-2024&gt;(p_life_vre),INDEX($O$168:$AN$168,AA$1-2024-(p_life_vre)),0)</f>
        <v>464.284301687884</v>
      </c>
      <c r="AB179" s="17" t="n">
        <f aca="false">AA179+AB168-IF(AB$1-2024&gt;(p_life_vre),INDEX($O$168:$AN$168,AB$1-2024-(p_life_vre)),0)</f>
        <v>524.75665606137</v>
      </c>
      <c r="AC179" s="17" t="n">
        <f aca="false">AB179+AC168-IF(AC$1-2024&gt;(p_life_vre),INDEX($O$168:$AN$168,AC$1-2024-(p_life_vre)),0)</f>
        <v>589.830043131967</v>
      </c>
      <c r="AD179" s="17" t="n">
        <f aca="false">AC179+AD168-IF(AD$1-2024&gt;(p_life_vre),INDEX($O$168:$AN$168,AD$1-2024-(p_life_vre)),0)</f>
        <v>659.447725019435</v>
      </c>
      <c r="AE179" s="17" t="n">
        <f aca="false">AD179+AE168-IF(AE$1-2024&gt;(p_life_vre),INDEX($O$168:$AN$168,AE$1-2024-(p_life_vre)),0)</f>
        <v>733.408071768497</v>
      </c>
      <c r="AF179" s="17" t="n">
        <f aca="false">AE179+AF168-IF(AF$1-2024&gt;(p_life_vre),INDEX($O$168:$AN$168,AF$1-2024-(p_life_vre)),0)</f>
        <v>811.787816780331</v>
      </c>
      <c r="AG179" s="17" t="n">
        <f aca="false">AF179+AG168-IF(AG$1-2024&gt;(p_life_vre),INDEX($O$168:$AN$168,AG$1-2024-(p_life_vre)),0)</f>
        <v>894.667126523262</v>
      </c>
      <c r="AH179" s="17" t="n">
        <f aca="false">AG179+AH168-IF(AH$1-2024&gt;(p_life_vre),INDEX($O$168:$AN$168,AH$1-2024-(p_life_vre)),0)</f>
        <v>982.129446554781</v>
      </c>
      <c r="AI179" s="17" t="n">
        <f aca="false">AH179+AI168-IF(AI$1-2024&gt;(p_life_vre),INDEX($O$168:$AN$168,AI$1-2024-(p_life_vre)),0)</f>
        <v>1074.26137291907</v>
      </c>
      <c r="AJ179" s="17" t="n">
        <f aca="false">AI179+AJ168-IF(AJ$1-2024&gt;(p_life_vre),INDEX($O$168:$AN$168,AJ$1-2024-(p_life_vre)),0)</f>
        <v>1128.28736497426</v>
      </c>
      <c r="AK179" s="17" t="n">
        <f aca="false">AJ179+AK168-IF(AK$1-2024&gt;(p_life_vre),INDEX($O$168:$AN$168,AK$1-2024-(p_life_vre)),0)</f>
        <v>1182.90285928715</v>
      </c>
      <c r="AL179" s="17" t="n">
        <f aca="false">AK179+AL168-IF(AL$1-2024&gt;(p_life_vre),INDEX($O$168:$AN$168,AL$1-2024-(p_life_vre)),0)</f>
        <v>1238.13283204548</v>
      </c>
      <c r="AM179" s="17" t="n">
        <f aca="false">AL179+AM168-IF(AM$1-2024&gt;(p_life_vre),INDEX($O$168:$AN$168,AM$1-2024-(p_life_vre)),0)</f>
        <v>1294.00244461</v>
      </c>
      <c r="AN179" s="17" t="n">
        <f aca="false">AM179+AN168-IF(AN$1-2024&gt;(p_life_vre),INDEX($O$168:$AN$168,AN$1-2024-(p_life_vre)),0)</f>
        <v>1331.88253363885</v>
      </c>
    </row>
    <row r="180" customFormat="false" ht="15" hidden="false" customHeight="false" outlineLevel="0" collapsed="false">
      <c r="A180" s="9" t="n">
        <v>11</v>
      </c>
      <c r="B180" s="9"/>
      <c r="C180" s="9"/>
      <c r="D180" s="9" t="s">
        <v>640</v>
      </c>
      <c r="E180" s="9" t="s">
        <v>301</v>
      </c>
      <c r="F180" s="9" t="s">
        <v>425</v>
      </c>
      <c r="G180" s="18"/>
      <c r="H180" s="18" t="s">
        <v>641</v>
      </c>
      <c r="I180" s="9"/>
      <c r="J180" s="9"/>
      <c r="K180" s="17"/>
      <c r="L180" s="17"/>
      <c r="M180" s="17"/>
      <c r="N180" s="19" t="n">
        <f aca="false">0</f>
        <v>0</v>
      </c>
      <c r="O180" s="17" t="n">
        <f aca="false">N180+O169-IF(O$1-2024&gt;(p_life_grid),INDEX($O$169:$AN$169,O$1-2024-(p_life_grid)),0)</f>
        <v>11.1927659615146</v>
      </c>
      <c r="P180" s="17" t="n">
        <f aca="false">O180+P169-IF(P$1-2024&gt;(p_life_grid),INDEX($O$169:$AN$169,P$1-2024-(p_life_grid)),0)</f>
        <v>25.2239895217948</v>
      </c>
      <c r="Q180" s="17" t="n">
        <f aca="false">P180+Q169-IF(Q$1-2024&gt;(p_life_grid),INDEX($O$169:$AN$169,Q$1-2024-(p_life_grid)),0)</f>
        <v>42.8017265912228</v>
      </c>
      <c r="R180" s="17" t="n">
        <f aca="false">Q180+R169-IF(R$1-2024&gt;(p_life_grid),INDEX($O$169:$AN$169,R$1-2024-(p_life_grid)),0)</f>
        <v>63.920262660645</v>
      </c>
      <c r="S180" s="17" t="n">
        <f aca="false">R180+S169-IF(S$1-2024&gt;(p_life_grid),INDEX($O$169:$AN$169,S$1-2024-(p_life_grid)),0)</f>
        <v>88.8567702637291</v>
      </c>
      <c r="T180" s="17" t="n">
        <f aca="false">S180+T169-IF(T$1-2024&gt;(p_life_grid),INDEX($O$169:$AN$169,T$1-2024-(p_life_grid)),0)</f>
        <v>117.887809605951</v>
      </c>
      <c r="U180" s="17" t="n">
        <f aca="false">T180+U169-IF(U$1-2024&gt;(p_life_grid),INDEX($O$169:$AN$169,U$1-2024-(p_life_grid)),0)</f>
        <v>151.274886280382</v>
      </c>
      <c r="V180" s="17" t="n">
        <f aca="false">U180+V169-IF(V$1-2024&gt;(p_life_grid),INDEX($O$169:$AN$169,V$1-2024-(p_life_grid)),0)</f>
        <v>189.261544709938</v>
      </c>
      <c r="W180" s="17" t="n">
        <f aca="false">V180+W169-IF(W$1-2024&gt;(p_life_grid),INDEX($O$169:$AN$169,W$1-2024-(p_life_grid)),0)</f>
        <v>232.070566260881</v>
      </c>
      <c r="X180" s="17" t="n">
        <f aca="false">W180+X169-IF(X$1-2024&gt;(p_life_grid),INDEX($O$169:$AN$169,X$1-2024-(p_life_grid)),0)</f>
        <v>279.901305893854</v>
      </c>
      <c r="Y180" s="17" t="n">
        <f aca="false">X180+Y169-IF(Y$1-2024&gt;(p_life_grid),INDEX($O$169:$AN$169,Y$1-2024-(p_life_grid)),0)</f>
        <v>333.412821713975</v>
      </c>
      <c r="Z180" s="17" t="n">
        <f aca="false">Y180+Z169-IF(Z$1-2024&gt;(p_life_grid),INDEX($O$169:$AN$169,Z$1-2024-(p_life_grid)),0)</f>
        <v>393.634705658935</v>
      </c>
      <c r="AA180" s="17" t="n">
        <f aca="false">Z180+AA169-IF(AA$1-2024&gt;(p_life_grid),INDEX($O$169:$AN$169,AA$1-2024-(p_life_grid)),0)</f>
        <v>460.775148718178</v>
      </c>
      <c r="AB180" s="17" t="n">
        <f aca="false">AA180+AB169-IF(AB$1-2024&gt;(p_life_grid),INDEX($O$169:$AN$169,AB$1-2024-(p_life_grid)),0)</f>
        <v>535.005949165324</v>
      </c>
      <c r="AC180" s="17" t="n">
        <f aca="false">AB180+AC169-IF(AC$1-2024&gt;(p_life_grid),INDEX($O$169:$AN$169,AC$1-2024-(p_life_grid)),0)</f>
        <v>616.460234379422</v>
      </c>
      <c r="AD180" s="17" t="n">
        <f aca="false">AC180+AD169-IF(AD$1-2024&gt;(p_life_grid),INDEX($O$169:$AN$169,AD$1-2024-(p_life_grid)),0)</f>
        <v>705.230505984806</v>
      </c>
      <c r="AE180" s="17" t="n">
        <f aca="false">AD180+AE169-IF(AE$1-2024&gt;(p_life_grid),INDEX($O$169:$AN$169,AE$1-2024-(p_life_grid)),0)</f>
        <v>799.930245188078</v>
      </c>
      <c r="AF180" s="17" t="n">
        <f aca="false">AE180+AF169-IF(AF$1-2024&gt;(p_life_grid),INDEX($O$169:$AN$169,AF$1-2024-(p_life_grid)),0)</f>
        <v>898.849927801389</v>
      </c>
      <c r="AG180" s="17" t="n">
        <f aca="false">AF180+AG169-IF(AG$1-2024&gt;(p_life_grid),INDEX($O$169:$AN$169,AG$1-2024-(p_life_grid)),0)</f>
        <v>1002.02439642026</v>
      </c>
      <c r="AH180" s="17" t="n">
        <f aca="false">AG180+AH169-IF(AH$1-2024&gt;(p_life_grid),INDEX($O$169:$AN$169,AH$1-2024-(p_life_grid)),0)</f>
        <v>1109.49127637818</v>
      </c>
      <c r="AI180" s="17" t="n">
        <f aca="false">AH180+AI169-IF(AI$1-2024&gt;(p_life_grid),INDEX($O$169:$AN$169,AI$1-2024-(p_life_grid)),0)</f>
        <v>1221.29078679811</v>
      </c>
      <c r="AJ180" s="17" t="n">
        <f aca="false">AI180+AJ169-IF(AJ$1-2024&gt;(p_life_grid),INDEX($O$169:$AN$169,AJ$1-2024-(p_life_grid)),0)</f>
        <v>1291.34855954802</v>
      </c>
      <c r="AK180" s="17" t="n">
        <f aca="false">AJ180+AK169-IF(AK$1-2024&gt;(p_life_grid),INDEX($O$169:$AN$169,AK$1-2024-(p_life_grid)),0)</f>
        <v>1361.41961287223</v>
      </c>
      <c r="AL180" s="17" t="n">
        <f aca="false">AK180+AL169-IF(AL$1-2024&gt;(p_life_grid),INDEX($O$169:$AN$169,AL$1-2024-(p_life_grid)),0)</f>
        <v>1431.50793857318</v>
      </c>
      <c r="AM180" s="17" t="n">
        <f aca="false">AL180+AM169-IF(AM$1-2024&gt;(p_life_grid),INDEX($O$169:$AN$169,AM$1-2024-(p_life_grid)),0)</f>
        <v>1501.61752946801</v>
      </c>
      <c r="AN180" s="17" t="n">
        <f aca="false">AM180+AN169-IF(AN$1-2024&gt;(p_life_grid),INDEX($O$169:$AN$169,AN$1-2024-(p_life_grid)),0)</f>
        <v>1571.75247726197</v>
      </c>
    </row>
    <row r="181" customFormat="false" ht="15" hidden="false" customHeight="false" outlineLevel="0" collapsed="false">
      <c r="A181" s="9" t="n">
        <v>11</v>
      </c>
      <c r="B181" s="9"/>
      <c r="C181" s="9"/>
      <c r="D181" s="9" t="s">
        <v>642</v>
      </c>
      <c r="E181" s="9" t="s">
        <v>301</v>
      </c>
      <c r="F181" s="9" t="s">
        <v>425</v>
      </c>
      <c r="G181" s="18"/>
      <c r="H181" s="18" t="s">
        <v>643</v>
      </c>
      <c r="I181" s="9"/>
      <c r="J181" s="9"/>
      <c r="K181" s="17"/>
      <c r="L181" s="17"/>
      <c r="M181" s="17"/>
      <c r="N181" s="19" t="n">
        <f aca="false">0</f>
        <v>0</v>
      </c>
      <c r="O181" s="17" t="n">
        <f aca="false">N181+O170-IF(O$1-2024&gt;(p_veh_life),INDEX($O$170:$AN$170,O$1-2024-(p_veh_life)),0)</f>
        <v>3.74973811936367</v>
      </c>
      <c r="P181" s="17" t="n">
        <f aca="false">O181+P170-IF(P$1-2024&gt;(p_veh_life),INDEX($O$170:$AN$170,P$1-2024-(p_veh_life)),0)</f>
        <v>10.117752923163</v>
      </c>
      <c r="Q181" s="17" t="n">
        <f aca="false">P181+Q170-IF(Q$1-2024&gt;(p_veh_life),INDEX($O$170:$AN$170,Q$1-2024-(p_veh_life)),0)</f>
        <v>18.429046901204</v>
      </c>
      <c r="R181" s="17" t="n">
        <f aca="false">Q181+R170-IF(R$1-2024&gt;(p_veh_life),INDEX($O$170:$AN$170,R$1-2024-(p_veh_life)),0)</f>
        <v>27.773789138158</v>
      </c>
      <c r="S181" s="17" t="n">
        <f aca="false">R181+S170-IF(S$1-2024&gt;(p_veh_life),INDEX($O$170:$AN$170,S$1-2024-(p_veh_life)),0)</f>
        <v>37.1852436704522</v>
      </c>
      <c r="T181" s="17" t="n">
        <f aca="false">S181+T170-IF(T$1-2024&gt;(p_veh_life),INDEX($O$170:$AN$170,T$1-2024-(p_veh_life)),0)</f>
        <v>45.6446070991856</v>
      </c>
      <c r="U181" s="17" t="n">
        <f aca="false">T181+U170-IF(U$1-2024&gt;(p_veh_life),INDEX($O$170:$AN$170,U$1-2024-(p_veh_life)),0)</f>
        <v>52.0864515169722</v>
      </c>
      <c r="V181" s="17" t="n">
        <f aca="false">U181+V170-IF(V$1-2024&gt;(p_veh_life),INDEX($O$170:$AN$170,V$1-2024-(p_veh_life)),0)</f>
        <v>55.4047448196864</v>
      </c>
      <c r="W181" s="17" t="n">
        <f aca="false">V181+W170-IF(W$1-2024&gt;(p_veh_life),INDEX($O$170:$AN$170,W$1-2024-(p_veh_life)),0)</f>
        <v>59.1860696755161</v>
      </c>
      <c r="X181" s="17" t="n">
        <f aca="false">W181+X170-IF(X$1-2024&gt;(p_veh_life),INDEX($O$170:$AN$170,X$1-2024-(p_veh_life)),0)</f>
        <v>63.4367406482947</v>
      </c>
      <c r="Y181" s="17" t="n">
        <f aca="false">X181+Y170-IF(Y$1-2024&gt;(p_veh_life),INDEX($O$170:$AN$170,Y$1-2024-(p_veh_life)),0)</f>
        <v>68.1615379992119</v>
      </c>
      <c r="Z181" s="17" t="n">
        <f aca="false">Y181+Z170-IF(Z$1-2024&gt;(p_veh_life),INDEX($O$170:$AN$170,Z$1-2024-(p_veh_life)),0)</f>
        <v>73.4587708441225</v>
      </c>
      <c r="AA181" s="17" t="n">
        <f aca="false">Z181+AA170-IF(AA$1-2024&gt;(p_veh_life),INDEX($O$170:$AN$170,AA$1-2024-(p_veh_life)),0)</f>
        <v>75.5817681087891</v>
      </c>
      <c r="AB181" s="17" t="n">
        <f aca="false">AA181+AB170-IF(AB$1-2024&gt;(p_veh_life),INDEX($O$170:$AN$170,AB$1-2024-(p_veh_life)),0)</f>
        <v>75.6630304326572</v>
      </c>
      <c r="AC181" s="17" t="n">
        <f aca="false">AB181+AC170-IF(AC$1-2024&gt;(p_veh_life),INDEX($O$170:$AN$170,AC$1-2024-(p_veh_life)),0)</f>
        <v>74.3765201418876</v>
      </c>
      <c r="AD181" s="17" t="n">
        <f aca="false">AC181+AD170-IF(AD$1-2024&gt;(p_veh_life),INDEX($O$170:$AN$170,AD$1-2024-(p_veh_life)),0)</f>
        <v>72.6289237000703</v>
      </c>
      <c r="AE181" s="17" t="n">
        <f aca="false">AD181+AE170-IF(AE$1-2024&gt;(p_veh_life),INDEX($O$170:$AN$170,AE$1-2024-(p_veh_life)),0)</f>
        <v>70.9306380116641</v>
      </c>
      <c r="AF181" s="17" t="n">
        <f aca="false">AE181+AF170-IF(AF$1-2024&gt;(p_veh_life),INDEX($O$170:$AN$170,AF$1-2024-(p_veh_life)),0)</f>
        <v>70.3022673267175</v>
      </c>
      <c r="AG181" s="17" t="n">
        <f aca="false">AF181+AG170-IF(AG$1-2024&gt;(p_veh_life),INDEX($O$170:$AN$170,AG$1-2024-(p_veh_life)),0)</f>
        <v>71.8110688134995</v>
      </c>
      <c r="AH181" s="17" t="n">
        <f aca="false">AG181+AH170-IF(AH$1-2024&gt;(p_veh_life),INDEX($O$170:$AN$170,AH$1-2024-(p_veh_life)),0)</f>
        <v>76.5649327020615</v>
      </c>
      <c r="AI181" s="17" t="n">
        <f aca="false">AH181+AI170-IF(AI$1-2024&gt;(p_veh_life),INDEX($O$170:$AN$170,AI$1-2024-(p_veh_life)),0)</f>
        <v>80.9791637778972</v>
      </c>
      <c r="AJ181" s="17" t="n">
        <f aca="false">AI181+AJ170-IF(AJ$1-2024&gt;(p_veh_life),INDEX($O$170:$AN$170,AJ$1-2024-(p_veh_life)),0)</f>
        <v>85.0493647288511</v>
      </c>
      <c r="AK181" s="17" t="n">
        <f aca="false">AJ181+AK170-IF(AK$1-2024&gt;(p_veh_life),INDEX($O$170:$AN$170,AK$1-2024-(p_veh_life)),0)</f>
        <v>88.7727028213011</v>
      </c>
      <c r="AL181" s="17" t="n">
        <f aca="false">AK181+AL170-IF(AL$1-2024&gt;(p_veh_life),INDEX($O$170:$AN$170,AL$1-2024-(p_veh_life)),0)</f>
        <v>92.0528472285214</v>
      </c>
      <c r="AM181" s="17" t="n">
        <f aca="false">AL181+AM170-IF(AM$1-2024&gt;(p_veh_life),INDEX($O$170:$AN$170,AM$1-2024-(p_veh_life)),0)</f>
        <v>94.8887404496544</v>
      </c>
      <c r="AN181" s="17" t="n">
        <f aca="false">AM181+AN170-IF(AN$1-2024&gt;(p_veh_life),INDEX($O$170:$AN$170,AN$1-2024-(p_veh_life)),0)</f>
        <v>97.2813845812063</v>
      </c>
    </row>
    <row r="182" customFormat="false" ht="15" hidden="false" customHeight="false" outlineLevel="0" collapsed="false">
      <c r="A182" s="9" t="n">
        <v>11</v>
      </c>
      <c r="B182" s="9"/>
      <c r="C182" s="9"/>
      <c r="D182" s="9" t="s">
        <v>644</v>
      </c>
      <c r="E182" s="9" t="s">
        <v>301</v>
      </c>
      <c r="F182" s="9" t="s">
        <v>425</v>
      </c>
      <c r="G182" s="18"/>
      <c r="H182" s="18" t="s">
        <v>645</v>
      </c>
      <c r="I182" s="9"/>
      <c r="J182" s="9"/>
      <c r="K182" s="17"/>
      <c r="L182" s="17"/>
      <c r="M182" s="17"/>
      <c r="N182" s="19" t="n">
        <f aca="false">0</f>
        <v>0</v>
      </c>
      <c r="O182" s="17" t="n">
        <f aca="false">N182+O171-IF(O$1-2024&gt;(p_life_bld),INDEX($O$171:$AN$171,O$1-2024-(p_life_bld)),0)</f>
        <v>9.92982195826413</v>
      </c>
      <c r="P182" s="17" t="n">
        <f aca="false">O182+P171-IF(P$1-2024&gt;(p_life_bld),INDEX($O$171:$AN$171,P$1-2024-(p_life_bld)),0)</f>
        <v>20.3155516038656</v>
      </c>
      <c r="Q182" s="17" t="n">
        <f aca="false">P182+Q171-IF(Q$1-2024&gt;(p_life_bld),INDEX($O$171:$AN$171,Q$1-2024-(p_life_bld)),0)</f>
        <v>31.1508669755449</v>
      </c>
      <c r="R182" s="17" t="n">
        <f aca="false">Q182+R171-IF(R$1-2024&gt;(p_life_bld),INDEX($O$171:$AN$171,R$1-2024-(p_life_bld)),0)</f>
        <v>42.4277897557171</v>
      </c>
      <c r="S182" s="17" t="n">
        <f aca="false">R182+S171-IF(S$1-2024&gt;(p_life_bld),INDEX($O$171:$AN$171,S$1-2024-(p_life_bld)),0)</f>
        <v>54.1366577667459</v>
      </c>
      <c r="T182" s="17" t="n">
        <f aca="false">S182+T171-IF(T$1-2024&gt;(p_life_bld),INDEX($O$171:$AN$171,T$1-2024-(p_life_bld)),0)</f>
        <v>66.2661048079611</v>
      </c>
      <c r="U182" s="17" t="n">
        <f aca="false">T182+U171-IF(U$1-2024&gt;(p_life_bld),INDEX($O$171:$AN$171,U$1-2024-(p_life_bld)),0)</f>
        <v>78.8030482133469</v>
      </c>
      <c r="V182" s="17" t="n">
        <f aca="false">U182+V171-IF(V$1-2024&gt;(p_life_bld),INDEX($O$171:$AN$171,V$1-2024-(p_life_bld)),0)</f>
        <v>91.7326844712412</v>
      </c>
      <c r="W182" s="17" t="n">
        <f aca="false">V182+W171-IF(W$1-2024&gt;(p_life_bld),INDEX($O$171:$AN$171,W$1-2024-(p_life_bld)),0)</f>
        <v>105.038493204817</v>
      </c>
      <c r="X182" s="17" t="n">
        <f aca="false">W182+X171-IF(X$1-2024&gt;(p_life_bld),INDEX($O$171:$AN$171,X$1-2024-(p_life_bld)),0)</f>
        <v>118.70224976579</v>
      </c>
      <c r="Y182" s="17" t="n">
        <f aca="false">X182+Y171-IF(Y$1-2024&gt;(p_life_bld),INDEX($O$171:$AN$171,Y$1-2024-(p_life_bld)),0)</f>
        <v>132.704046643975</v>
      </c>
      <c r="Z182" s="17" t="n">
        <f aca="false">Y182+Z171-IF(Z$1-2024&gt;(p_life_bld),INDEX($O$171:$AN$171,Z$1-2024-(p_life_bld)),0)</f>
        <v>147.022323842295</v>
      </c>
      <c r="AA182" s="17" t="n">
        <f aca="false">Z182+AA171-IF(AA$1-2024&gt;(p_life_bld),INDEX($O$171:$AN$171,AA$1-2024-(p_life_bld)),0)</f>
        <v>161.633908311018</v>
      </c>
      <c r="AB182" s="17" t="n">
        <f aca="false">AA182+AB171-IF(AB$1-2024&gt;(p_life_bld),INDEX($O$171:$AN$171,AB$1-2024-(p_life_bld)),0)</f>
        <v>176.514062476675</v>
      </c>
      <c r="AC182" s="17" t="n">
        <f aca="false">AB182+AC171-IF(AC$1-2024&gt;(p_life_bld),INDEX($O$171:$AN$171,AC$1-2024-(p_life_bld)),0)</f>
        <v>191.636541840805</v>
      </c>
      <c r="AD182" s="17" t="n">
        <f aca="false">AC182+AD171-IF(AD$1-2024&gt;(p_life_bld),INDEX($O$171:$AN$171,AD$1-2024-(p_life_bld)),0)</f>
        <v>206.973661561751</v>
      </c>
      <c r="AE182" s="17" t="n">
        <f aca="false">AD182+AE171-IF(AE$1-2024&gt;(p_life_bld),INDEX($O$171:$AN$171,AE$1-2024-(p_life_bld)),0)</f>
        <v>222.668880452651</v>
      </c>
      <c r="AF182" s="17" t="n">
        <f aca="false">AE182+AF171-IF(AF$1-2024&gt;(p_life_bld),INDEX($O$171:$AN$171,AF$1-2024-(p_life_bld)),0)</f>
        <v>238.729470270028</v>
      </c>
      <c r="AG182" s="17" t="n">
        <f aca="false">AF182+AG171-IF(AG$1-2024&gt;(p_life_bld),INDEX($O$171:$AN$171,AG$1-2024-(p_life_bld)),0)</f>
        <v>255.162840147315</v>
      </c>
      <c r="AH182" s="17" t="n">
        <f aca="false">AG182+AH171-IF(AH$1-2024&gt;(p_life_bld),INDEX($O$171:$AN$171,AH$1-2024-(p_life_bld)),0)</f>
        <v>271.97653907351</v>
      </c>
      <c r="AI182" s="17" t="n">
        <f aca="false">AH182+AI171-IF(AI$1-2024&gt;(p_life_bld),INDEX($O$171:$AN$171,AI$1-2024-(p_life_bld)),0)</f>
        <v>289.178258415147</v>
      </c>
      <c r="AJ182" s="17" t="n">
        <f aca="false">AI182+AJ171-IF(AJ$1-2024&gt;(p_life_bld),INDEX($O$171:$AN$171,AJ$1-2024-(p_life_bld)),0)</f>
        <v>306.775834482315</v>
      </c>
      <c r="AK182" s="17" t="n">
        <f aca="false">AJ182+AK171-IF(AK$1-2024&gt;(p_life_bld),INDEX($O$171:$AN$171,AK$1-2024-(p_life_bld)),0)</f>
        <v>324.777251139472</v>
      </c>
      <c r="AL182" s="17" t="n">
        <f aca="false">AK182+AL171-IF(AL$1-2024&gt;(p_life_bld),INDEX($O$171:$AN$171,AL$1-2024-(p_life_bld)),0)</f>
        <v>343.190642461832</v>
      </c>
      <c r="AM182" s="17" t="n">
        <f aca="false">AL182+AM171-IF(AM$1-2024&gt;(p_life_bld),INDEX($O$171:$AN$171,AM$1-2024-(p_life_bld)),0)</f>
        <v>362.02429543808</v>
      </c>
      <c r="AN182" s="17" t="n">
        <f aca="false">AM182+AN171-IF(AN$1-2024&gt;(p_life_bld),INDEX($O$171:$AN$171,AN$1-2024-(p_life_bld)),0)</f>
        <v>371.356830761966</v>
      </c>
    </row>
    <row r="183" customFormat="false" ht="15" hidden="false" customHeight="false" outlineLevel="0" collapsed="false">
      <c r="A183" s="9" t="n">
        <v>11</v>
      </c>
      <c r="B183" s="9"/>
      <c r="C183" s="9"/>
      <c r="D183" s="9" t="s">
        <v>646</v>
      </c>
      <c r="E183" s="9" t="s">
        <v>301</v>
      </c>
      <c r="F183" s="9" t="s">
        <v>425</v>
      </c>
      <c r="G183" s="18"/>
      <c r="H183" s="18" t="s">
        <v>647</v>
      </c>
      <c r="I183" s="9"/>
      <c r="J183" s="9"/>
      <c r="K183" s="17"/>
      <c r="L183" s="17"/>
      <c r="M183" s="17"/>
      <c r="N183" s="19" t="n">
        <f aca="false">0</f>
        <v>0</v>
      </c>
      <c r="O183" s="17" t="n">
        <f aca="false">N183+O172-IF(O$1-2024&gt;(p_life_ind),INDEX($O$172:$AN$172,O$1-2024-(p_life_ind)),0)</f>
        <v>27.1777209485278</v>
      </c>
      <c r="P183" s="17" t="n">
        <f aca="false">O183+P172-IF(P$1-2024&gt;(p_life_ind),INDEX($O$172:$AN$172,P$1-2024-(p_life_ind)),0)</f>
        <v>56.5461955106207</v>
      </c>
      <c r="Q183" s="17" t="n">
        <f aca="false">P183+Q172-IF(Q$1-2024&gt;(p_life_ind),INDEX($O$172:$AN$172,Q$1-2024-(p_life_ind)),0)</f>
        <v>88.1646230551747</v>
      </c>
      <c r="R183" s="17" t="n">
        <f aca="false">Q183+R172-IF(R$1-2024&gt;(p_life_ind),INDEX($O$172:$AN$172,R$1-2024-(p_life_ind)),0)</f>
        <v>122.087715389873</v>
      </c>
      <c r="S183" s="17" t="n">
        <f aca="false">R183+S172-IF(S$1-2024&gt;(p_life_ind),INDEX($O$172:$AN$172,S$1-2024-(p_life_ind)),0)</f>
        <v>158.365395367705</v>
      </c>
      <c r="T183" s="17" t="n">
        <f aca="false">S183+T172-IF(T$1-2024&gt;(p_life_ind),INDEX($O$172:$AN$172,T$1-2024-(p_life_ind)),0)</f>
        <v>197.042547757009</v>
      </c>
      <c r="U183" s="17" t="n">
        <f aca="false">T183+U172-IF(U$1-2024&gt;(p_life_ind),INDEX($O$172:$AN$172,U$1-2024-(p_life_ind)),0)</f>
        <v>236.345683856564</v>
      </c>
      <c r="V183" s="17" t="n">
        <f aca="false">U183+V172-IF(V$1-2024&gt;(p_life_ind),INDEX($O$172:$AN$172,V$1-2024-(p_life_ind)),0)</f>
        <v>277.46953159979</v>
      </c>
      <c r="W183" s="17" t="n">
        <f aca="false">V183+W172-IF(W$1-2024&gt;(p_life_ind),INDEX($O$172:$AN$172,W$1-2024-(p_life_ind)),0)</f>
        <v>320.382661618213</v>
      </c>
      <c r="X183" s="17" t="n">
        <f aca="false">W183+X172-IF(X$1-2024&gt;(p_life_ind),INDEX($O$172:$AN$172,X$1-2024-(p_life_ind)),0)</f>
        <v>365.043218300427</v>
      </c>
      <c r="Y183" s="17" t="n">
        <f aca="false">X183+Y172-IF(Y$1-2024&gt;(p_life_ind),INDEX($O$172:$AN$172,Y$1-2024-(p_life_ind)),0)</f>
        <v>411.398656341543</v>
      </c>
      <c r="Z183" s="17" t="n">
        <f aca="false">Y183+Z172-IF(Z$1-2024&gt;(p_life_ind),INDEX($O$172:$AN$172,Z$1-2024-(p_life_ind)),0)</f>
        <v>459.385550055544</v>
      </c>
      <c r="AA183" s="17" t="n">
        <f aca="false">Z183+AA172-IF(AA$1-2024&gt;(p_life_ind),INDEX($O$172:$AN$172,AA$1-2024-(p_life_ind)),0)</f>
        <v>508.929481050675</v>
      </c>
      <c r="AB183" s="17" t="n">
        <f aca="false">AA183+AB172-IF(AB$1-2024&gt;(p_life_ind),INDEX($O$172:$AN$172,AB$1-2024-(p_life_ind)),0)</f>
        <v>559.945009255301</v>
      </c>
      <c r="AC183" s="17" t="n">
        <f aca="false">AB183+AC172-IF(AC$1-2024&gt;(p_life_ind),INDEX($O$172:$AN$172,AC$1-2024-(p_life_ind)),0)</f>
        <v>612.335731571599</v>
      </c>
      <c r="AD183" s="17" t="n">
        <f aca="false">AC183+AD172-IF(AD$1-2024&gt;(p_life_ind),INDEX($O$172:$AN$172,AD$1-2024-(p_life_ind)),0)</f>
        <v>665.994431632819</v>
      </c>
      <c r="AE183" s="17" t="n">
        <f aca="false">AD183+AE172-IF(AE$1-2024&gt;(p_life_ind),INDEX($O$172:$AN$172,AE$1-2024-(p_life_ind)),0)</f>
        <v>721.581089546858</v>
      </c>
      <c r="AF183" s="17" t="n">
        <f aca="false">AE183+AF172-IF(AF$1-2024&gt;(p_life_ind),INDEX($O$172:$AN$172,AF$1-2024-(p_life_ind)),0)</f>
        <v>779.16143338918</v>
      </c>
      <c r="AG183" s="17" t="n">
        <f aca="false">AF183+AG172-IF(AG$1-2024&gt;(p_life_ind),INDEX($O$172:$AN$172,AG$1-2024-(p_life_ind)),0)</f>
        <v>838.803355294324</v>
      </c>
      <c r="AH183" s="17" t="n">
        <f aca="false">AG183+AH172-IF(AH$1-2024&gt;(p_life_ind),INDEX($O$172:$AN$172,AH$1-2024-(p_life_ind)),0)</f>
        <v>900.576981712272</v>
      </c>
      <c r="AI183" s="17" t="n">
        <f aca="false">AH183+AI172-IF(AI$1-2024&gt;(p_life_ind),INDEX($O$172:$AN$172,AI$1-2024-(p_life_ind)),0)</f>
        <v>964.554745923058</v>
      </c>
      <c r="AJ183" s="17" t="n">
        <f aca="false">AI183+AJ172-IF(AJ$1-2024&gt;(p_life_ind),INDEX($O$172:$AN$172,AJ$1-2024-(p_life_ind)),0)</f>
        <v>1030.81146288153</v>
      </c>
      <c r="AK183" s="17" t="n">
        <f aca="false">AJ183+AK172-IF(AK$1-2024&gt;(p_life_ind),INDEX($O$172:$AN$172,AK$1-2024-(p_life_ind)),0)</f>
        <v>1099.4244064665</v>
      </c>
      <c r="AL183" s="17" t="n">
        <f aca="false">AK183+AL172-IF(AL$1-2024&gt;(p_life_ind),INDEX($O$172:$AN$172,AL$1-2024-(p_life_ind)),0)</f>
        <v>1170.4733892107</v>
      </c>
      <c r="AM183" s="17" t="n">
        <f aca="false">AL183+AM172-IF(AM$1-2024&gt;(p_life_ind),INDEX($O$172:$AN$172,AM$1-2024-(p_life_ind)),0)</f>
        <v>1244.04084459068</v>
      </c>
      <c r="AN183" s="17" t="n">
        <f aca="false">AM183+AN172-IF(AN$1-2024&gt;(p_life_ind),INDEX($O$172:$AN$172,AN$1-2024-(p_life_ind)),0)</f>
        <v>1293.03419100938</v>
      </c>
    </row>
    <row r="184" customFormat="false" ht="15" hidden="false" customHeight="false" outlineLevel="0" collapsed="false">
      <c r="A184" s="9" t="n">
        <v>11</v>
      </c>
      <c r="B184" s="9"/>
      <c r="C184" s="9"/>
      <c r="D184" s="9" t="s">
        <v>648</v>
      </c>
      <c r="E184" s="9" t="s">
        <v>301</v>
      </c>
      <c r="F184" s="9" t="s">
        <v>425</v>
      </c>
      <c r="G184" s="18"/>
      <c r="H184" s="18" t="s">
        <v>649</v>
      </c>
      <c r="I184" s="9"/>
      <c r="J184" s="9"/>
      <c r="K184" s="17"/>
      <c r="L184" s="17"/>
      <c r="M184" s="17"/>
      <c r="N184" s="19" t="n">
        <f aca="false">0</f>
        <v>0</v>
      </c>
      <c r="O184" s="17" t="n">
        <f aca="false">O179*$J$37+O180*$J$36+O181*$J$38+O182*$J$39+O183*$J$40+O173+O174</f>
        <v>11.5729785679157</v>
      </c>
      <c r="P184" s="17" t="n">
        <f aca="false">P179*$J$37+P180*$J$36+P181*$J$38+P182*$J$39+P183*$J$40+P173+P174</f>
        <v>24.3659932033206</v>
      </c>
      <c r="Q184" s="17" t="n">
        <f aca="false">Q179*$J$37+Q180*$J$36+Q181*$J$38+Q182*$J$39+Q183*$J$40+Q173+Q174</f>
        <v>38.3622631731959</v>
      </c>
      <c r="R184" s="17" t="n">
        <f aca="false">R179*$J$37+R180*$J$36+R181*$J$38+R182*$J$39+R183*$J$40+R173+R174</f>
        <v>53.4391659539655</v>
      </c>
      <c r="S184" s="17" t="n">
        <f aca="false">S179*$J$37+S180*$J$36+S181*$J$38+S182*$J$39+S183*$J$40+S173+S174</f>
        <v>69.490879796886</v>
      </c>
      <c r="T184" s="17" t="n">
        <f aca="false">T179*$J$37+T180*$J$36+T181*$J$38+T182*$J$39+T183*$J$40+T173+T174</f>
        <v>86.4013371150606</v>
      </c>
      <c r="U184" s="17" t="n">
        <f aca="false">U179*$J$37+U180*$J$36+U181*$J$38+U182*$J$39+U183*$J$40+U173+U174</f>
        <v>101.950889757663</v>
      </c>
      <c r="V184" s="17" t="n">
        <f aca="false">V179*$J$37+V180*$J$36+V181*$J$38+V182*$J$39+V183*$J$40+V173+V174</f>
        <v>118.025666134151</v>
      </c>
      <c r="W184" s="17" t="n">
        <f aca="false">W179*$J$37+W180*$J$36+W181*$J$38+W182*$J$39+W183*$J$40+W173+W174</f>
        <v>135.149004794677</v>
      </c>
      <c r="X184" s="17" t="n">
        <f aca="false">X179*$J$37+X180*$J$36+X181*$J$38+X182*$J$39+X183*$J$40+X173+X174</f>
        <v>153.325999171454</v>
      </c>
      <c r="Y184" s="17" t="n">
        <f aca="false">Y179*$J$37+Y180*$J$36+Y181*$J$38+Y182*$J$39+Y183*$J$40+Y173+Y174</f>
        <v>172.688853426078</v>
      </c>
      <c r="Z184" s="17" t="n">
        <f aca="false">Z179*$J$37+Z180*$J$36+Z181*$J$38+Z182*$J$39+Z183*$J$40+Z173+Z174</f>
        <v>193.485393044759</v>
      </c>
      <c r="AA184" s="17" t="n">
        <f aca="false">AA179*$J$37+AA180*$J$36+AA181*$J$38+AA182*$J$39+AA183*$J$40+AA173+AA174</f>
        <v>215.19063730238</v>
      </c>
      <c r="AB184" s="17" t="n">
        <f aca="false">AB179*$J$37+AB180*$J$36+AB181*$J$38+AB182*$J$39+AB183*$J$40+AB173+AB174</f>
        <v>237.970861021714</v>
      </c>
      <c r="AC184" s="17" t="n">
        <f aca="false">AC179*$J$37+AC180*$J$36+AC181*$J$38+AC182*$J$39+AC183*$J$40+AC173+AC174</f>
        <v>261.919070067666</v>
      </c>
      <c r="AD184" s="17" t="n">
        <f aca="false">AD179*$J$37+AD180*$J$36+AD181*$J$38+AD182*$J$39+AD183*$J$40+AD173+AD174</f>
        <v>287.153811814509</v>
      </c>
      <c r="AE184" s="17" t="n">
        <f aca="false">AE179*$J$37+AE180*$J$36+AE181*$J$38+AE182*$J$39+AE183*$J$40+AE173+AE174</f>
        <v>313.676629670174</v>
      </c>
      <c r="AF184" s="17" t="n">
        <f aca="false">AF179*$J$37+AF180*$J$36+AF181*$J$38+AF182*$J$39+AF183*$J$40+AF173+AF174</f>
        <v>341.482699607967</v>
      </c>
      <c r="AG184" s="17" t="n">
        <f aca="false">AG179*$J$37+AG180*$J$36+AG181*$J$38+AG182*$J$39+AG183*$J$40+AG173+AG174</f>
        <v>370.744713200129</v>
      </c>
      <c r="AH184" s="17" t="n">
        <f aca="false">AH179*$J$37+AH180*$J$36+AH181*$J$38+AH182*$J$39+AH183*$J$40+AH173+AH174</f>
        <v>401.642050749732</v>
      </c>
      <c r="AI184" s="17" t="n">
        <f aca="false">AI179*$J$37+AI180*$J$36+AI181*$J$38+AI182*$J$39+AI183*$J$40+AI173+AI174</f>
        <v>433.683018437012</v>
      </c>
      <c r="AJ184" s="17" t="n">
        <f aca="false">AJ179*$J$37+AJ180*$J$36+AJ181*$J$38+AJ182*$J$39+AJ183*$J$40+AJ173+AJ174</f>
        <v>457.847005960776</v>
      </c>
      <c r="AK184" s="17" t="n">
        <f aca="false">AK179*$J$37+AK180*$J$36+AK181*$J$38+AK182*$J$39+AK183*$J$40+AK173+AK174</f>
        <v>482.317541345132</v>
      </c>
      <c r="AL184" s="17" t="n">
        <f aca="false">AL179*$J$37+AL180*$J$36+AL181*$J$38+AL182*$J$39+AL183*$J$40+AL173+AL174</f>
        <v>507.093185978793</v>
      </c>
      <c r="AM184" s="17" t="n">
        <f aca="false">AM179*$J$37+AM180*$J$36+AM181*$J$38+AM182*$J$39+AM183*$J$40+AM173+AM174</f>
        <v>532.186456856312</v>
      </c>
      <c r="AN184" s="17" t="n">
        <f aca="false">AN179*$J$37+AN180*$J$36+AN181*$J$38+AN182*$J$39+AN183*$J$40+AN173+AN174</f>
        <v>551.701985122986</v>
      </c>
    </row>
    <row r="185" customFormat="false" ht="15" hidden="false" customHeight="false" outlineLevel="0" collapsed="false">
      <c r="A185" s="9" t="n">
        <v>11</v>
      </c>
      <c r="B185" s="9"/>
      <c r="C185" s="9"/>
      <c r="D185" s="9" t="s">
        <v>650</v>
      </c>
      <c r="E185" s="9" t="s">
        <v>301</v>
      </c>
      <c r="F185" s="9" t="s">
        <v>425</v>
      </c>
      <c r="G185" s="18"/>
      <c r="H185" s="18" t="s">
        <v>651</v>
      </c>
      <c r="I185" s="9"/>
      <c r="J185" s="9"/>
      <c r="K185" s="17"/>
      <c r="L185" s="17"/>
      <c r="M185" s="17"/>
      <c r="N185" s="19" t="n">
        <f aca="false">0</f>
        <v>0</v>
      </c>
      <c r="O185" s="17" t="n">
        <f aca="false">O179*$J$42+O180*$J$41+O181*$J$43+O182*$J$44+O183*$J$45+O173+O174</f>
        <v>9.58850399784326</v>
      </c>
      <c r="P185" s="17" t="n">
        <f aca="false">P179*$J$42+P180*$J$41+P181*$J$43+P182*$J$44+P183*$J$45+P173+P174</f>
        <v>20.0973931554282</v>
      </c>
      <c r="Q185" s="17" t="n">
        <f aca="false">Q179*$J$42+Q180*$J$41+Q181*$J$43+Q182*$J$44+Q183*$J$45+Q173+Q174</f>
        <v>31.5011679678416</v>
      </c>
      <c r="R185" s="17" t="n">
        <f aca="false">R179*$J$42+R180*$J$41+R181*$J$43+R182*$J$44+R183*$J$45+R173+R174</f>
        <v>43.6969892047165</v>
      </c>
      <c r="S185" s="17" t="n">
        <f aca="false">S179*$J$42+S180*$J$41+S181*$J$43+S182*$J$44+S183*$J$45+S173+S174</f>
        <v>56.5920694914231</v>
      </c>
      <c r="T185" s="17" t="n">
        <f aca="false">T179*$J$42+T180*$J$41+T181*$J$43+T182*$J$44+T183*$J$45+T173+T174</f>
        <v>70.0853543374701</v>
      </c>
      <c r="U185" s="17" t="n">
        <f aca="false">U179*$J$42+U180*$J$41+U181*$J$43+U182*$J$44+U183*$J$45+U173+U174</f>
        <v>82.0248031524181</v>
      </c>
      <c r="V185" s="17" t="n">
        <f aca="false">V179*$J$42+V180*$J$41+V181*$J$43+V182*$J$44+V183*$J$45+V173+V174</f>
        <v>94.2839509062651</v>
      </c>
      <c r="W185" s="17" t="n">
        <f aca="false">W179*$J$42+W180*$J$41+W181*$J$43+W182*$J$44+W183*$J$45+W173+W174</f>
        <v>107.296573686244</v>
      </c>
      <c r="X185" s="17" t="n">
        <f aca="false">X179*$J$42+X180*$J$41+X181*$J$43+X182*$J$44+X183*$J$45+X173+X174</f>
        <v>121.065404242204</v>
      </c>
      <c r="Y185" s="17" t="n">
        <f aca="false">Y179*$J$42+Y180*$J$41+Y181*$J$43+Y182*$J$44+Y183*$J$45+Y173+Y174</f>
        <v>135.68442955362</v>
      </c>
      <c r="Z185" s="17" t="n">
        <f aca="false">Z179*$J$42+Z180*$J$41+Z181*$J$43+Z182*$J$44+Z183*$J$45+Z173+Z174</f>
        <v>151.332196081385</v>
      </c>
      <c r="AA185" s="17" t="n">
        <f aca="false">AA179*$J$42+AA180*$J$41+AA181*$J$43+AA182*$J$44+AA183*$J$45+AA173+AA174</f>
        <v>167.569137004007</v>
      </c>
      <c r="AB185" s="17" t="n">
        <f aca="false">AB179*$J$42+AB180*$J$41+AB181*$J$43+AB182*$J$44+AB183*$J$45+AB173+AB174</f>
        <v>184.532411994491</v>
      </c>
      <c r="AC185" s="17" t="n">
        <f aca="false">AC179*$J$42+AC180*$J$41+AC181*$J$43+AC182*$J$44+AC183*$J$45+AC173+AC174</f>
        <v>202.299083938505</v>
      </c>
      <c r="AD185" s="17" t="n">
        <f aca="false">AD179*$J$42+AD180*$J$41+AD181*$J$43+AD182*$J$44+AD183*$J$45+AD173+AD174</f>
        <v>220.968456207046</v>
      </c>
      <c r="AE185" s="17" t="n">
        <f aca="false">AE179*$J$42+AE180*$J$41+AE181*$J$43+AE182*$J$44+AE183*$J$45+AE173+AE174</f>
        <v>240.556334798474</v>
      </c>
      <c r="AF185" s="17" t="n">
        <f aca="false">AF179*$J$42+AF180*$J$41+AF181*$J$43+AF182*$J$44+AF183*$J$45+AF173+AF174</f>
        <v>261.082549892128</v>
      </c>
      <c r="AG185" s="17" t="n">
        <f aca="false">AG179*$J$42+AG180*$J$41+AG181*$J$43+AG182*$J$44+AG183*$J$45+AG173+AG174</f>
        <v>282.688878175836</v>
      </c>
      <c r="AH185" s="17" t="n">
        <f aca="false">AH179*$J$42+AH180*$J$41+AH181*$J$43+AH182*$J$44+AH183*$J$45+AH173+AH174</f>
        <v>305.522570109361</v>
      </c>
      <c r="AI185" s="17" t="n">
        <f aca="false">AI179*$J$42+AI180*$J$41+AI181*$J$43+AI182*$J$44+AI183*$J$45+AI173+AI174</f>
        <v>329.171768933462</v>
      </c>
      <c r="AJ185" s="17" t="n">
        <f aca="false">AJ179*$J$42+AJ180*$J$41+AJ181*$J$43+AJ182*$J$44+AJ183*$J$45+AJ173+AJ174</f>
        <v>347.234052250222</v>
      </c>
      <c r="AK185" s="17" t="n">
        <f aca="false">AK179*$J$42+AK180*$J$41+AK181*$J$43+AK182*$J$44+AK183*$J$45+AK173+AK174</f>
        <v>365.517871270372</v>
      </c>
      <c r="AL185" s="17" t="n">
        <f aca="false">AL179*$J$42+AL180*$J$41+AL181*$J$43+AL182*$J$44+AL183*$J$45+AL173+AL174</f>
        <v>384.020834820102</v>
      </c>
      <c r="AM185" s="17" t="n">
        <f aca="false">AM179*$J$42+AM180*$J$41+AM181*$J$43+AM182*$J$44+AM183*$J$45+AM173+AM174</f>
        <v>402.752147187561</v>
      </c>
      <c r="AN185" s="17" t="n">
        <f aca="false">AN179*$J$42+AN180*$J$41+AN181*$J$43+AN182*$J$44+AN183*$J$45+AN173+AN174</f>
        <v>417.359420840076</v>
      </c>
    </row>
    <row r="186" customFormat="false" ht="15" hidden="false" customHeight="false" outlineLevel="0" collapsed="false">
      <c r="A186" s="9" t="n">
        <v>11</v>
      </c>
      <c r="B186" s="9"/>
      <c r="C186" s="9"/>
      <c r="D186" s="9" t="s">
        <v>652</v>
      </c>
      <c r="E186" s="9" t="s">
        <v>301</v>
      </c>
      <c r="F186" s="9" t="s">
        <v>425</v>
      </c>
      <c r="G186" s="18"/>
      <c r="H186" s="18" t="s">
        <v>653</v>
      </c>
      <c r="I186" s="9"/>
      <c r="J186" s="9"/>
      <c r="K186" s="17"/>
      <c r="L186" s="17"/>
      <c r="M186" s="17"/>
      <c r="N186" s="19" t="n">
        <f aca="false">0</f>
        <v>0</v>
      </c>
      <c r="O186" s="17" t="n">
        <f aca="false">O150+O78-O129-O71</f>
        <v>0.48930247252036</v>
      </c>
      <c r="P186" s="17" t="n">
        <f aca="false">P150+P78-P129-P71</f>
        <v>0.924601402145076</v>
      </c>
      <c r="Q186" s="17" t="n">
        <f aca="false">Q150+Q78-Q129-Q71</f>
        <v>1.30444217547113</v>
      </c>
      <c r="R186" s="17" t="n">
        <f aca="false">R150+R78-R129-R71</f>
        <v>1.62752379566266</v>
      </c>
      <c r="S186" s="17" t="n">
        <f aca="false">S150+S78-S129-S71</f>
        <v>1.89270689306626</v>
      </c>
      <c r="T186" s="17" t="n">
        <f aca="false">T150+T78-T129-T71</f>
        <v>2.0990215013495</v>
      </c>
      <c r="U186" s="17" t="n">
        <f aca="false">U150+U78-U129-U71</f>
        <v>2.24567455250737</v>
      </c>
      <c r="V186" s="17" t="n">
        <f aca="false">V150+V78-V129-V71</f>
        <v>2.33205704040125</v>
      </c>
      <c r="W186" s="17" t="n">
        <f aca="false">W150+W78-W129-W71</f>
        <v>2.35775079884637</v>
      </c>
      <c r="X186" s="17" t="n">
        <f aca="false">X150+X78-X129-X71</f>
        <v>2.32253483672295</v>
      </c>
      <c r="Y186" s="17" t="n">
        <f aca="false">Y150+Y78-Y129-Y71</f>
        <v>2.22639116924196</v>
      </c>
      <c r="Z186" s="17" t="n">
        <f aca="false">Z150+Z78-Z129-Z71</f>
        <v>2.04635883899445</v>
      </c>
      <c r="AA186" s="17" t="n">
        <f aca="false">AA150+AA78-AA129-AA71</f>
        <v>1.78347506019732</v>
      </c>
      <c r="AB186" s="17" t="n">
        <f aca="false">AB150+AB78-AB129-AB71</f>
        <v>1.43907371545666</v>
      </c>
      <c r="AC186" s="17" t="n">
        <f aca="false">AC150+AC78-AC129-AC71</f>
        <v>1.01478589579016</v>
      </c>
      <c r="AD186" s="17" t="n">
        <f aca="false">AD150+AD78-AD129-AD71</f>
        <v>0.512539183544436</v>
      </c>
      <c r="AE186" s="17" t="n">
        <f aca="false">AE150+AE78-AE129-AE71</f>
        <v>0.0769375199606213</v>
      </c>
      <c r="AF186" s="17" t="n">
        <f aca="false">AF150+AF78-AF129-AF71</f>
        <v>-0.296460440495604</v>
      </c>
      <c r="AG186" s="17" t="n">
        <f aca="false">AG150+AG78-AG129-AG71</f>
        <v>-0.611832359703131</v>
      </c>
      <c r="AH186" s="17" t="n">
        <f aca="false">AH150+AH78-AH129-AH71</f>
        <v>-0.873112474308759</v>
      </c>
      <c r="AI186" s="17" t="n">
        <f aca="false">AI150+AI78-AI129-AI71</f>
        <v>-1.08401059858024</v>
      </c>
      <c r="AJ186" s="17" t="n">
        <f aca="false">AJ150+AJ78-AJ129-AJ71</f>
        <v>-0.696256108889799</v>
      </c>
      <c r="AK186" s="17" t="n">
        <f aca="false">AK150+AK78-AK129-AK71</f>
        <v>-0.218363611453007</v>
      </c>
      <c r="AL186" s="17" t="n">
        <f aca="false">AL150+AL78-AL129-AL71</f>
        <v>0.348406699224743</v>
      </c>
      <c r="AM186" s="17" t="n">
        <f aca="false">AM150+AM78-AM129-AM71</f>
        <v>1.00305985634339</v>
      </c>
      <c r="AN186" s="17" t="n">
        <f aca="false">AN150+AN78-AN129-AN71</f>
        <v>1.74485361019218</v>
      </c>
    </row>
    <row r="187" customFormat="false" ht="15" hidden="false" customHeight="false" outlineLevel="0" collapsed="false">
      <c r="A187" s="9" t="n">
        <v>11</v>
      </c>
      <c r="B187" s="9"/>
      <c r="C187" s="9"/>
      <c r="D187" s="9" t="s">
        <v>654</v>
      </c>
      <c r="E187" s="9" t="s">
        <v>301</v>
      </c>
      <c r="F187" s="9" t="s">
        <v>425</v>
      </c>
      <c r="G187" s="18"/>
      <c r="H187" s="18" t="s">
        <v>655</v>
      </c>
      <c r="I187" s="9"/>
      <c r="J187" s="9"/>
      <c r="K187" s="17"/>
      <c r="L187" s="17"/>
      <c r="M187" s="17"/>
      <c r="N187" s="19" t="n">
        <f aca="false">0</f>
        <v>0</v>
      </c>
      <c r="O187" s="17" t="n">
        <f aca="false">O159-O165</f>
        <v>4.27359469313444</v>
      </c>
      <c r="P187" s="17" t="n">
        <f aca="false">P159-P165</f>
        <v>9.28833383538432</v>
      </c>
      <c r="Q187" s="17" t="n">
        <f aca="false">Q159-Q165</f>
        <v>15.0649859323438</v>
      </c>
      <c r="R187" s="17" t="n">
        <f aca="false">R159-R165</f>
        <v>21.6218251550916</v>
      </c>
      <c r="S187" s="17" t="n">
        <f aca="false">S159-S165</f>
        <v>28.9743954391635</v>
      </c>
      <c r="T187" s="17" t="n">
        <f aca="false">T159-T165</f>
        <v>37.135279732468</v>
      </c>
      <c r="U187" s="17" t="n">
        <f aca="false">U159-U165</f>
        <v>46.1138767373358</v>
      </c>
      <c r="V187" s="17" t="n">
        <f aca="false">V159-V165</f>
        <v>55.9161875723317</v>
      </c>
      <c r="W187" s="17" t="n">
        <f aca="false">W159-W165</f>
        <v>66.5446148352085</v>
      </c>
      <c r="X187" s="17" t="n">
        <f aca="false">X159-X165</f>
        <v>77.9977765769729</v>
      </c>
      <c r="Y187" s="17" t="n">
        <f aca="false">Y159-Y165</f>
        <v>90.2703376961949</v>
      </c>
      <c r="Z187" s="17" t="n">
        <f aca="false">Z159-Z165</f>
        <v>103.450082869812</v>
      </c>
      <c r="AA187" s="17" t="n">
        <f aca="false">AA159-AA165</f>
        <v>117.521045427358</v>
      </c>
      <c r="AB187" s="17" t="n">
        <f aca="false">AB159-AB165</f>
        <v>132.462571421558</v>
      </c>
      <c r="AC187" s="17" t="n">
        <f aca="false">AC159-AC165</f>
        <v>148.249253948204</v>
      </c>
      <c r="AD187" s="17" t="n">
        <f aca="false">AD159-AD165</f>
        <v>164.850898172372</v>
      </c>
      <c r="AE187" s="17" t="n">
        <f aca="false">AE159-AE165</f>
        <v>181.825266095532</v>
      </c>
      <c r="AF187" s="17" t="n">
        <f aca="false">AF159-AF165</f>
        <v>199.2134133746</v>
      </c>
      <c r="AG187" s="17" t="n">
        <f aca="false">AG159-AG165</f>
        <v>217.056313474214</v>
      </c>
      <c r="AH187" s="17" t="n">
        <f aca="false">AH159-AH165</f>
        <v>235.39495764895</v>
      </c>
      <c r="AI187" s="17" t="n">
        <f aca="false">AI159-AI165</f>
        <v>254.270451982187</v>
      </c>
      <c r="AJ187" s="17" t="n">
        <f aca="false">AJ159-AJ165</f>
        <v>268.061811275949</v>
      </c>
      <c r="AK187" s="17" t="n">
        <f aca="false">AK159-AK165</f>
        <v>281.995024380517</v>
      </c>
      <c r="AL187" s="17" t="n">
        <f aca="false">AL159-AL165</f>
        <v>296.092815563863</v>
      </c>
      <c r="AM187" s="17" t="n">
        <f aca="false">AM159-AM165</f>
        <v>310.377301045313</v>
      </c>
      <c r="AN187" s="17" t="n">
        <f aca="false">AN159-AN165</f>
        <v>324.870060729662</v>
      </c>
    </row>
    <row r="188" customFormat="false" ht="15" hidden="false" customHeight="false" outlineLevel="0" collapsed="false">
      <c r="A188" s="9" t="n">
        <v>11</v>
      </c>
      <c r="B188" s="9"/>
      <c r="C188" s="9"/>
      <c r="D188" s="9" t="s">
        <v>656</v>
      </c>
      <c r="E188" s="9" t="s">
        <v>301</v>
      </c>
      <c r="F188" s="9" t="s">
        <v>425</v>
      </c>
      <c r="G188" s="18"/>
      <c r="H188" s="18" t="s">
        <v>657</v>
      </c>
      <c r="I188" s="9"/>
      <c r="J188" s="9"/>
      <c r="K188" s="17"/>
      <c r="L188" s="17"/>
      <c r="M188" s="17"/>
      <c r="N188" s="19" t="n">
        <f aca="false">0</f>
        <v>0</v>
      </c>
      <c r="O188" s="17" t="n">
        <f aca="false">O160-O166</f>
        <v>4.03104473277938</v>
      </c>
      <c r="P188" s="17" t="n">
        <f aca="false">P160-P166</f>
        <v>8.63992710915201</v>
      </c>
      <c r="Q188" s="17" t="n">
        <f aca="false">Q160-Q166</f>
        <v>13.8431672609488</v>
      </c>
      <c r="R188" s="17" t="n">
        <f aca="false">R160-R166</f>
        <v>19.6554995044199</v>
      </c>
      <c r="S188" s="17" t="n">
        <f aca="false">S160-S166</f>
        <v>26.0896861427622</v>
      </c>
      <c r="T188" s="17" t="n">
        <f aca="false">T160-T166</f>
        <v>33.1563334619727</v>
      </c>
      <c r="U188" s="17" t="n">
        <f aca="false">U160-U166</f>
        <v>40.8637116795956</v>
      </c>
      <c r="V188" s="17" t="n">
        <f aca="false">V160-V166</f>
        <v>49.2175806866655</v>
      </c>
      <c r="W188" s="17" t="n">
        <f aca="false">W160-W166</f>
        <v>58.2210234869955</v>
      </c>
      <c r="X188" s="17" t="n">
        <f aca="false">X160-X166</f>
        <v>67.8742892828444</v>
      </c>
      <c r="Y188" s="17" t="n">
        <f aca="false">Y160-Y166</f>
        <v>78.1746481799624</v>
      </c>
      <c r="Z188" s="17" t="n">
        <f aca="false">Z160-Z166</f>
        <v>89.1750551395006</v>
      </c>
      <c r="AA188" s="17" t="n">
        <f aca="false">AA160-AA166</f>
        <v>100.864893487809</v>
      </c>
      <c r="AB188" s="17" t="n">
        <f aca="false">AB160-AB166</f>
        <v>113.230032719309</v>
      </c>
      <c r="AC188" s="17" t="n">
        <f aca="false">AC160-AC166</f>
        <v>126.252754546112</v>
      </c>
      <c r="AD188" s="17" t="n">
        <f aca="false">AD160-AD166</f>
        <v>139.911700859107</v>
      </c>
      <c r="AE188" s="17" t="n">
        <f aca="false">AE160-AE166</f>
        <v>153.972505662665</v>
      </c>
      <c r="AF188" s="17" t="n">
        <f aca="false">AF160-AF166</f>
        <v>168.466884596614</v>
      </c>
      <c r="AG188" s="17" t="n">
        <f aca="false">AG160-AG166</f>
        <v>183.426777542355</v>
      </c>
      <c r="AH188" s="17" t="n">
        <f aca="false">AH160-AH166</f>
        <v>198.884416612212</v>
      </c>
      <c r="AI188" s="17" t="n">
        <f aca="false">AI160-AI166</f>
        <v>214.872392836612</v>
      </c>
      <c r="AJ188" s="17" t="n">
        <f aca="false">AJ160-AJ166</f>
        <v>226.358239369894</v>
      </c>
      <c r="AK188" s="17" t="n">
        <f aca="false">AK160-AK166</f>
        <v>238.01338956184</v>
      </c>
      <c r="AL188" s="17" t="n">
        <f aca="false">AL160-AL166</f>
        <v>249.854649920235</v>
      </c>
      <c r="AM188" s="17" t="n">
        <f aca="false">AM160-AM166</f>
        <v>261.898470262062</v>
      </c>
      <c r="AN188" s="17" t="n">
        <f aca="false">AN160-AN166</f>
        <v>274.160993160617</v>
      </c>
    </row>
    <row r="189" customFormat="false" ht="15" hidden="false" customHeight="false" outlineLevel="0" collapsed="false">
      <c r="A189" s="9" t="n">
        <v>11</v>
      </c>
      <c r="B189" s="9"/>
      <c r="C189" s="9"/>
      <c r="D189" s="20" t="s">
        <v>658</v>
      </c>
      <c r="E189" s="20" t="s">
        <v>301</v>
      </c>
      <c r="F189" s="20" t="s">
        <v>425</v>
      </c>
      <c r="G189" s="20"/>
      <c r="H189" s="20" t="s">
        <v>659</v>
      </c>
      <c r="I189" s="20"/>
      <c r="J189" s="20"/>
      <c r="K189" s="21"/>
      <c r="L189" s="21"/>
      <c r="M189" s="21"/>
      <c r="N189" s="21" t="n">
        <f aca="false">0</f>
        <v>0</v>
      </c>
      <c r="O189" s="21" t="n">
        <f aca="false">O184+O186-O187</f>
        <v>7.78868634730166</v>
      </c>
      <c r="P189" s="21" t="n">
        <f aca="false">P184+P186-P187</f>
        <v>16.0022607700814</v>
      </c>
      <c r="Q189" s="21" t="n">
        <f aca="false">Q184+Q186-Q187</f>
        <v>24.6017194163232</v>
      </c>
      <c r="R189" s="21" t="n">
        <f aca="false">R184+R186-R187</f>
        <v>33.4448645945366</v>
      </c>
      <c r="S189" s="21" t="n">
        <f aca="false">S184+S186-S187</f>
        <v>42.4091912507887</v>
      </c>
      <c r="T189" s="21" t="n">
        <f aca="false">T184+T186-T187</f>
        <v>51.3650788839421</v>
      </c>
      <c r="U189" s="21" t="n">
        <f aca="false">U184+U186-U187</f>
        <v>58.0826875728348</v>
      </c>
      <c r="V189" s="21" t="n">
        <f aca="false">V184+V186-V187</f>
        <v>64.4415356022203</v>
      </c>
      <c r="W189" s="21" t="n">
        <f aca="false">W184+W186-W187</f>
        <v>70.9621407583145</v>
      </c>
      <c r="X189" s="21" t="n">
        <f aca="false">X184+X186-X187</f>
        <v>77.6507574312038</v>
      </c>
      <c r="Y189" s="21" t="n">
        <f aca="false">Y184+Y186-Y187</f>
        <v>84.644906899125</v>
      </c>
      <c r="Z189" s="21" t="n">
        <f aca="false">Z184+Z186-Z187</f>
        <v>92.0816690139417</v>
      </c>
      <c r="AA189" s="21" t="n">
        <f aca="false">AA184+AA186-AA187</f>
        <v>99.45306693522</v>
      </c>
      <c r="AB189" s="21" t="n">
        <f aca="false">AB184+AB186-AB187</f>
        <v>106.947363315613</v>
      </c>
      <c r="AC189" s="21" t="n">
        <f aca="false">AC184+AC186-AC187</f>
        <v>114.684602015252</v>
      </c>
      <c r="AD189" s="21" t="n">
        <f aca="false">AD184+AD186-AD187</f>
        <v>122.815452825681</v>
      </c>
      <c r="AE189" s="21" t="n">
        <f aca="false">AE184+AE186-AE187</f>
        <v>131.928301094603</v>
      </c>
      <c r="AF189" s="21" t="n">
        <f aca="false">AF184+AF186-AF187</f>
        <v>141.972825792871</v>
      </c>
      <c r="AG189" s="21" t="n">
        <f aca="false">AG184+AG186-AG187</f>
        <v>153.076567366212</v>
      </c>
      <c r="AH189" s="21" t="n">
        <f aca="false">AH184+AH186-AH187</f>
        <v>165.373980626474</v>
      </c>
      <c r="AI189" s="21" t="n">
        <f aca="false">AI184+AI186-AI187</f>
        <v>178.328555856245</v>
      </c>
      <c r="AJ189" s="21" t="n">
        <f aca="false">AJ184+AJ186-AJ187</f>
        <v>189.088938575938</v>
      </c>
      <c r="AK189" s="21" t="n">
        <f aca="false">AK184+AK186-AK187</f>
        <v>200.104153353162</v>
      </c>
      <c r="AL189" s="21" t="n">
        <f aca="false">AL184+AL186-AL187</f>
        <v>211.348777114155</v>
      </c>
      <c r="AM189" s="21" t="n">
        <f aca="false">AM184+AM186-AM187</f>
        <v>222.812215667342</v>
      </c>
      <c r="AN189" s="21" t="n">
        <f aca="false">AN184+AN186-AN187</f>
        <v>228.576778003516</v>
      </c>
    </row>
    <row r="190" customFormat="false" ht="15" hidden="false" customHeight="false" outlineLevel="0" collapsed="false">
      <c r="A190" s="9" t="n">
        <v>11</v>
      </c>
      <c r="B190" s="9"/>
      <c r="C190" s="9"/>
      <c r="D190" s="20" t="s">
        <v>660</v>
      </c>
      <c r="E190" s="20" t="s">
        <v>301</v>
      </c>
      <c r="F190" s="20" t="s">
        <v>425</v>
      </c>
      <c r="G190" s="20"/>
      <c r="H190" s="20" t="s">
        <v>661</v>
      </c>
      <c r="I190" s="20"/>
      <c r="J190" s="20"/>
      <c r="K190" s="21"/>
      <c r="L190" s="21"/>
      <c r="M190" s="21"/>
      <c r="N190" s="21" t="n">
        <f aca="false">0</f>
        <v>0</v>
      </c>
      <c r="O190" s="21" t="n">
        <f aca="false">O185+O186-O187</f>
        <v>5.80421177722918</v>
      </c>
      <c r="P190" s="21" t="n">
        <f aca="false">P185+P186-P187</f>
        <v>11.733660722189</v>
      </c>
      <c r="Q190" s="21" t="n">
        <f aca="false">Q185+Q186-Q187</f>
        <v>17.7406242109689</v>
      </c>
      <c r="R190" s="21" t="n">
        <f aca="false">R185+R186-R187</f>
        <v>23.7026878452876</v>
      </c>
      <c r="S190" s="21" t="n">
        <f aca="false">S185+S186-S187</f>
        <v>29.5103809453259</v>
      </c>
      <c r="T190" s="21" t="n">
        <f aca="false">T185+T186-T187</f>
        <v>35.0490961063516</v>
      </c>
      <c r="U190" s="21" t="n">
        <f aca="false">U185+U186-U187</f>
        <v>38.1566009675897</v>
      </c>
      <c r="V190" s="21" t="n">
        <f aca="false">V185+V186-V187</f>
        <v>40.6998203743346</v>
      </c>
      <c r="W190" s="21" t="n">
        <f aca="false">W185+W186-W187</f>
        <v>43.1097096498814</v>
      </c>
      <c r="X190" s="21" t="n">
        <f aca="false">X185+X186-X187</f>
        <v>45.3901625019539</v>
      </c>
      <c r="Y190" s="21" t="n">
        <f aca="false">Y185+Y186-Y187</f>
        <v>47.640483026667</v>
      </c>
      <c r="Z190" s="21" t="n">
        <f aca="false">Z185+Z186-Z187</f>
        <v>49.928472050567</v>
      </c>
      <c r="AA190" s="21" t="n">
        <f aca="false">AA185+AA186-AA187</f>
        <v>51.831566636847</v>
      </c>
      <c r="AB190" s="21" t="n">
        <f aca="false">AB185+AB186-AB187</f>
        <v>53.5089142883898</v>
      </c>
      <c r="AC190" s="21" t="n">
        <f aca="false">AC185+AC186-AC187</f>
        <v>55.0646158860907</v>
      </c>
      <c r="AD190" s="21" t="n">
        <f aca="false">AD185+AD186-AD187</f>
        <v>56.6300972182185</v>
      </c>
      <c r="AE190" s="21" t="n">
        <f aca="false">AE185+AE186-AE187</f>
        <v>58.8080062229024</v>
      </c>
      <c r="AF190" s="21" t="n">
        <f aca="false">AF185+AF186-AF187</f>
        <v>61.5726760770315</v>
      </c>
      <c r="AG190" s="21" t="n">
        <f aca="false">AG185+AG186-AG187</f>
        <v>65.0207323419184</v>
      </c>
      <c r="AH190" s="21" t="n">
        <f aca="false">AH185+AH186-AH187</f>
        <v>69.2544999861023</v>
      </c>
      <c r="AI190" s="21" t="n">
        <f aca="false">AI185+AI186-AI187</f>
        <v>73.8173063526948</v>
      </c>
      <c r="AJ190" s="21" t="n">
        <f aca="false">AJ185+AJ186-AJ187</f>
        <v>78.4759848653831</v>
      </c>
      <c r="AK190" s="21" t="n">
        <f aca="false">AK185+AK186-AK187</f>
        <v>83.3044832784022</v>
      </c>
      <c r="AL190" s="21" t="n">
        <f aca="false">AL185+AL186-AL187</f>
        <v>88.2764259554642</v>
      </c>
      <c r="AM190" s="21" t="n">
        <f aca="false">AM185+AM186-AM187</f>
        <v>93.3779059985905</v>
      </c>
      <c r="AN190" s="21" t="n">
        <f aca="false">AN185+AN186-AN187</f>
        <v>94.2342137206063</v>
      </c>
    </row>
    <row r="191" customFormat="false" ht="15" hidden="false" customHeight="false" outlineLevel="0" collapsed="false">
      <c r="A191" s="9" t="n">
        <v>11</v>
      </c>
      <c r="B191" s="9"/>
      <c r="C191" s="9"/>
      <c r="D191" s="20" t="s">
        <v>662</v>
      </c>
      <c r="E191" s="20" t="s">
        <v>301</v>
      </c>
      <c r="F191" s="20" t="s">
        <v>425</v>
      </c>
      <c r="G191" s="20"/>
      <c r="H191" s="20" t="s">
        <v>663</v>
      </c>
      <c r="I191" s="20"/>
      <c r="J191" s="20"/>
      <c r="K191" s="21"/>
      <c r="L191" s="21"/>
      <c r="M191" s="21"/>
      <c r="N191" s="21" t="n">
        <f aca="false">0</f>
        <v>0</v>
      </c>
      <c r="O191" s="21" t="n">
        <f aca="false">O190-O188</f>
        <v>1.7731670444498</v>
      </c>
      <c r="P191" s="21" t="n">
        <f aca="false">P190-P188</f>
        <v>3.09373361303698</v>
      </c>
      <c r="Q191" s="21" t="n">
        <f aca="false">Q190-Q188</f>
        <v>3.89745695002011</v>
      </c>
      <c r="R191" s="21" t="n">
        <f aca="false">R190-R188</f>
        <v>4.04718834086771</v>
      </c>
      <c r="S191" s="21" t="n">
        <f aca="false">S190-S188</f>
        <v>3.42069480256363</v>
      </c>
      <c r="T191" s="21" t="n">
        <f aca="false">T190-T188</f>
        <v>1.89276264437892</v>
      </c>
      <c r="U191" s="21" t="n">
        <f aca="false">U190-U188</f>
        <v>-2.70711071200589</v>
      </c>
      <c r="V191" s="21" t="n">
        <f aca="false">V190-V188</f>
        <v>-8.51776031233092</v>
      </c>
      <c r="W191" s="21" t="n">
        <f aca="false">W190-W188</f>
        <v>-15.1113138371141</v>
      </c>
      <c r="X191" s="21" t="n">
        <f aca="false">X190-X188</f>
        <v>-22.4841267808905</v>
      </c>
      <c r="Y191" s="21" t="n">
        <f aca="false">Y190-Y188</f>
        <v>-30.5341651532953</v>
      </c>
      <c r="Z191" s="21" t="n">
        <f aca="false">Z190-Z188</f>
        <v>-39.2465830889336</v>
      </c>
      <c r="AA191" s="21" t="n">
        <f aca="false">AA190-AA188</f>
        <v>-49.0333268509623</v>
      </c>
      <c r="AB191" s="21" t="n">
        <f aca="false">AB190-AB188</f>
        <v>-59.7211184309188</v>
      </c>
      <c r="AC191" s="21" t="n">
        <f aca="false">AC190-AC188</f>
        <v>-71.1881386600216</v>
      </c>
      <c r="AD191" s="21" t="n">
        <f aca="false">AD190-AD188</f>
        <v>-83.2816036408889</v>
      </c>
      <c r="AE191" s="21" t="n">
        <f aca="false">AE190-AE188</f>
        <v>-95.1644994397622</v>
      </c>
      <c r="AF191" s="21" t="n">
        <f aca="false">AF190-AF188</f>
        <v>-106.894208519583</v>
      </c>
      <c r="AG191" s="21" t="n">
        <f aca="false">AG190-AG188</f>
        <v>-118.406045200437</v>
      </c>
      <c r="AH191" s="21" t="n">
        <f aca="false">AH190-AH188</f>
        <v>-129.629916626109</v>
      </c>
      <c r="AI191" s="21" t="n">
        <f aca="false">AI190-AI188</f>
        <v>-141.055086483917</v>
      </c>
      <c r="AJ191" s="21" t="n">
        <f aca="false">AJ190-AJ188</f>
        <v>-147.882254504511</v>
      </c>
      <c r="AK191" s="21" t="n">
        <f aca="false">AK190-AK188</f>
        <v>-154.708906283438</v>
      </c>
      <c r="AL191" s="21" t="n">
        <f aca="false">AL190-AL188</f>
        <v>-161.578223964771</v>
      </c>
      <c r="AM191" s="21" t="n">
        <f aca="false">AM190-AM188</f>
        <v>-168.520564263471</v>
      </c>
      <c r="AN191" s="21" t="n">
        <f aca="false">AN190-AN188</f>
        <v>-179.926779440011</v>
      </c>
    </row>
    <row r="192" customFormat="false" ht="15" hidden="false" customHeight="false" outlineLevel="0" collapsed="false">
      <c r="A192" s="9" t="n">
        <v>11</v>
      </c>
      <c r="B192" s="9"/>
      <c r="C192" s="9"/>
      <c r="D192" s="9" t="s">
        <v>664</v>
      </c>
      <c r="E192" s="9" t="s">
        <v>380</v>
      </c>
      <c r="F192" s="9" t="s">
        <v>425</v>
      </c>
      <c r="G192" s="18"/>
      <c r="H192" s="18" t="s">
        <v>665</v>
      </c>
      <c r="I192" s="9"/>
      <c r="J192" s="9"/>
      <c r="K192" s="17"/>
      <c r="L192" s="17"/>
      <c r="M192" s="17"/>
      <c r="N192" s="19" t="n">
        <f aca="false">0</f>
        <v>0</v>
      </c>
      <c r="O192" s="17" t="n">
        <f aca="false">O158-O164</f>
        <v>110.38834070435</v>
      </c>
      <c r="P192" s="17" t="n">
        <f aca="false">P158-P164</f>
        <v>228.929756788627</v>
      </c>
      <c r="Q192" s="17" t="n">
        <f aca="false">Q158-Q164</f>
        <v>356.268374105679</v>
      </c>
      <c r="R192" s="17" t="n">
        <f aca="false">R158-R164</f>
        <v>493.043549047637</v>
      </c>
      <c r="S192" s="17" t="n">
        <f aca="false">S158-S164</f>
        <v>639.885920103706</v>
      </c>
      <c r="T192" s="17" t="n">
        <f aca="false">T158-T164</f>
        <v>797.413375040707</v>
      </c>
      <c r="U192" s="17" t="n">
        <f aca="false">U158-U164</f>
        <v>923.601198258601</v>
      </c>
      <c r="V192" s="17" t="n">
        <f aca="false">V158-V164</f>
        <v>1059.99389805148</v>
      </c>
      <c r="W192" s="17" t="n">
        <f aca="false">W158-W164</f>
        <v>1206.99306978646</v>
      </c>
      <c r="X192" s="17" t="n">
        <f aca="false">X158-X164</f>
        <v>1364.95850009811</v>
      </c>
      <c r="Y192" s="17" t="n">
        <f aca="false">Y158-Y164</f>
        <v>1534.20336066233</v>
      </c>
      <c r="Z192" s="17" t="n">
        <f aca="false">Z158-Z164</f>
        <v>1715.21687609187</v>
      </c>
      <c r="AA192" s="17" t="n">
        <f aca="false">AA158-AA164</f>
        <v>1908.21247913803</v>
      </c>
      <c r="AB192" s="17" t="n">
        <f aca="false">AB158-AB164</f>
        <v>2113.34222924828</v>
      </c>
      <c r="AC192" s="17" t="n">
        <f aca="false">AC158-AC164</f>
        <v>2330.69280352173</v>
      </c>
      <c r="AD192" s="17" t="n">
        <f aca="false">AD158-AD164</f>
        <v>2560.28184109874</v>
      </c>
      <c r="AE192" s="17" t="n">
        <f aca="false">AE158-AE164</f>
        <v>2802.0352572018</v>
      </c>
      <c r="AF192" s="17" t="n">
        <f aca="false">AF158-AF164</f>
        <v>3056.47328987415</v>
      </c>
      <c r="AG192" s="17" t="n">
        <f aca="false">AG158-AG164</f>
        <v>3324.14298845971</v>
      </c>
      <c r="AH192" s="17" t="n">
        <f aca="false">AH158-AH164</f>
        <v>3605.61855155612</v>
      </c>
      <c r="AI192" s="17" t="n">
        <f aca="false">AI158-AI164</f>
        <v>3901.50174185789</v>
      </c>
      <c r="AJ192" s="17" t="n">
        <f aca="false">AJ158-AJ164</f>
        <v>4036.62416929852</v>
      </c>
      <c r="AK192" s="17" t="n">
        <f aca="false">AK158-AK164</f>
        <v>4172.60416530749</v>
      </c>
      <c r="AL192" s="17" t="n">
        <f aca="false">AL158-AL164</f>
        <v>4309.53070064543</v>
      </c>
      <c r="AM192" s="17" t="n">
        <f aca="false">AM158-AM164</f>
        <v>4447.48892170801</v>
      </c>
      <c r="AN192" s="17" t="n">
        <f aca="false">AN158-AN164</f>
        <v>4586.56045069856</v>
      </c>
    </row>
    <row r="193" customFormat="false" ht="15" hidden="false" customHeight="false" outlineLevel="0" collapsed="false">
      <c r="A193" s="9" t="n">
        <v>11</v>
      </c>
      <c r="B193" s="9"/>
      <c r="C193" s="9"/>
      <c r="D193" s="9" t="s">
        <v>666</v>
      </c>
      <c r="E193" s="9" t="s">
        <v>315</v>
      </c>
      <c r="F193" s="9" t="s">
        <v>425</v>
      </c>
      <c r="G193" s="18"/>
      <c r="H193" s="18" t="s">
        <v>667</v>
      </c>
      <c r="I193" s="9"/>
      <c r="J193" s="9"/>
      <c r="K193" s="17"/>
      <c r="L193" s="17"/>
      <c r="M193" s="17"/>
      <c r="N193" s="19" t="n">
        <f aca="false">1</f>
        <v>1</v>
      </c>
      <c r="O193" s="17" t="n">
        <f aca="false">(1+$J$12)^-(O$1-2024)</f>
        <v>0.91324200913242</v>
      </c>
      <c r="P193" s="17" t="n">
        <f aca="false">(1+$J$12)^-(P$1-2024)</f>
        <v>0.834010967244219</v>
      </c>
      <c r="Q193" s="17" t="n">
        <f aca="false">(1+$J$12)^-(Q$1-2024)</f>
        <v>0.761653851364584</v>
      </c>
      <c r="R193" s="17" t="n">
        <f aca="false">(1+$J$12)^-(R$1-2024)</f>
        <v>0.695574293483638</v>
      </c>
      <c r="S193" s="17" t="n">
        <f aca="false">(1+$J$12)^-(S$1-2024)</f>
        <v>0.635227665281862</v>
      </c>
      <c r="T193" s="17" t="n">
        <f aca="false">(1+$J$12)^-(T$1-2024)</f>
        <v>0.580116589298504</v>
      </c>
      <c r="U193" s="17" t="n">
        <f aca="false">(1+$J$12)^-(U$1-2024)</f>
        <v>0.529786839542012</v>
      </c>
      <c r="V193" s="17" t="n">
        <f aca="false">(1+$J$12)^-(V$1-2024)</f>
        <v>0.483823597755263</v>
      </c>
      <c r="W193" s="17" t="n">
        <f aca="false">(1+$J$12)^-(W$1-2024)</f>
        <v>0.441848034479692</v>
      </c>
      <c r="X193" s="17" t="n">
        <f aca="false">(1+$J$12)^-(X$1-2024)</f>
        <v>0.403514186739445</v>
      </c>
      <c r="Y193" s="17" t="n">
        <f aca="false">(1+$J$12)^-(Y$1-2024)</f>
        <v>0.368506106611365</v>
      </c>
      <c r="Z193" s="17" t="n">
        <f aca="false">(1+$J$12)^-(Z$1-2024)</f>
        <v>0.336535257179329</v>
      </c>
      <c r="AA193" s="17" t="n">
        <f aca="false">(1+$J$12)^-(AA$1-2024)</f>
        <v>0.307338134410346</v>
      </c>
      <c r="AB193" s="17" t="n">
        <f aca="false">(1+$J$12)^-(AB$1-2024)</f>
        <v>0.280674095351914</v>
      </c>
      <c r="AC193" s="17" t="n">
        <f aca="false">(1+$J$12)^-(AC$1-2024)</f>
        <v>0.256323374750606</v>
      </c>
      <c r="AD193" s="17" t="n">
        <f aca="false">(1+$J$12)^-(AD$1-2024)</f>
        <v>0.234085273744846</v>
      </c>
      <c r="AE193" s="17" t="n">
        <f aca="false">(1+$J$12)^-(AE$1-2024)</f>
        <v>0.213776505703056</v>
      </c>
      <c r="AF193" s="17" t="n">
        <f aca="false">(1+$J$12)^-(AF$1-2024)</f>
        <v>0.195229685573567</v>
      </c>
      <c r="AG193" s="17" t="n">
        <f aca="false">(1+$J$12)^-(AG$1-2024)</f>
        <v>0.178291950295495</v>
      </c>
      <c r="AH193" s="17" t="n">
        <f aca="false">(1+$J$12)^-(AH$1-2024)</f>
        <v>0.162823698899995</v>
      </c>
      <c r="AI193" s="17" t="n">
        <f aca="false">(1+$J$12)^-(AI$1-2024)</f>
        <v>0.148697441917804</v>
      </c>
      <c r="AJ193" s="17" t="n">
        <f aca="false">(1+$J$12)^-(AJ$1-2024)</f>
        <v>0.135796750609867</v>
      </c>
      <c r="AK193" s="17" t="n">
        <f aca="false">(1+$J$12)^-(AK$1-2024)</f>
        <v>0.124015297360609</v>
      </c>
      <c r="AL193" s="17" t="n">
        <f aca="false">(1+$J$12)^-(AL$1-2024)</f>
        <v>0.113255979324757</v>
      </c>
      <c r="AM193" s="17" t="n">
        <f aca="false">(1+$J$12)^-(AM$1-2024)</f>
        <v>0.103430118104801</v>
      </c>
      <c r="AN193" s="17" t="n">
        <f aca="false">(1+$J$12)^-(AN$1-2024)</f>
        <v>0.0944567288628318</v>
      </c>
    </row>
    <row r="194" customFormat="false" ht="15" hidden="false" customHeight="false" outlineLevel="0" collapsed="false">
      <c r="A194" s="9" t="n">
        <v>11</v>
      </c>
      <c r="B194" s="9"/>
      <c r="C194" s="9"/>
      <c r="D194" s="9" t="s">
        <v>668</v>
      </c>
      <c r="E194" s="9" t="s">
        <v>315</v>
      </c>
      <c r="F194" s="9" t="s">
        <v>425</v>
      </c>
      <c r="G194" s="18"/>
      <c r="H194" s="18" t="s">
        <v>669</v>
      </c>
      <c r="I194" s="9"/>
      <c r="J194" s="9"/>
      <c r="K194" s="17"/>
      <c r="L194" s="17"/>
      <c r="M194" s="17"/>
      <c r="N194" s="19" t="n">
        <f aca="false">1</f>
        <v>1</v>
      </c>
      <c r="O194" s="17" t="n">
        <f aca="false">(1+p_r_wb)^-(O$1-2024)</f>
        <v>0.943396226415094</v>
      </c>
      <c r="P194" s="17" t="n">
        <f aca="false">(1+p_r_wb)^-(P$1-2024)</f>
        <v>0.88999644001424</v>
      </c>
      <c r="Q194" s="17" t="n">
        <f aca="false">(1+p_r_wb)^-(Q$1-2024)</f>
        <v>0.839619283032302</v>
      </c>
      <c r="R194" s="17" t="n">
        <f aca="false">(1+p_r_wb)^-(R$1-2024)</f>
        <v>0.79209366323802</v>
      </c>
      <c r="S194" s="17" t="n">
        <f aca="false">(1+p_r_wb)^-(S$1-2024)</f>
        <v>0.747258172866057</v>
      </c>
      <c r="T194" s="17" t="n">
        <f aca="false">(1+p_r_wb)^-(T$1-2024)</f>
        <v>0.704960540439676</v>
      </c>
      <c r="U194" s="17" t="n">
        <f aca="false">(1+p_r_wb)^-(U$1-2024)</f>
        <v>0.665057113622336</v>
      </c>
      <c r="V194" s="17" t="n">
        <f aca="false">(1+p_r_wb)^-(V$1-2024)</f>
        <v>0.627412371341827</v>
      </c>
      <c r="W194" s="17" t="n">
        <f aca="false">(1+p_r_wb)^-(W$1-2024)</f>
        <v>0.591898463530025</v>
      </c>
      <c r="X194" s="17" t="n">
        <f aca="false">(1+p_r_wb)^-(X$1-2024)</f>
        <v>0.558394776915118</v>
      </c>
      <c r="Y194" s="17" t="n">
        <f aca="false">(1+p_r_wb)^-(Y$1-2024)</f>
        <v>0.526787525391621</v>
      </c>
      <c r="Z194" s="17" t="n">
        <f aca="false">(1+p_r_wb)^-(Z$1-2024)</f>
        <v>0.496969363577001</v>
      </c>
      <c r="AA194" s="17" t="n">
        <f aca="false">(1+p_r_wb)^-(AA$1-2024)</f>
        <v>0.468839022242453</v>
      </c>
      <c r="AB194" s="17" t="n">
        <f aca="false">(1+p_r_wb)^-(AB$1-2024)</f>
        <v>0.442300964379673</v>
      </c>
      <c r="AC194" s="17" t="n">
        <f aca="false">(1+p_r_wb)^-(AC$1-2024)</f>
        <v>0.417265060735541</v>
      </c>
      <c r="AD194" s="17" t="n">
        <f aca="false">(1+p_r_wb)^-(AD$1-2024)</f>
        <v>0.393646283712774</v>
      </c>
      <c r="AE194" s="17" t="n">
        <f aca="false">(1+p_r_wb)^-(AE$1-2024)</f>
        <v>0.371364418596957</v>
      </c>
      <c r="AF194" s="17" t="n">
        <f aca="false">(1+p_r_wb)^-(AF$1-2024)</f>
        <v>0.350343791129204</v>
      </c>
      <c r="AG194" s="17" t="n">
        <f aca="false">(1+p_r_wb)^-(AG$1-2024)</f>
        <v>0.330513010499249</v>
      </c>
      <c r="AH194" s="17" t="n">
        <f aca="false">(1+p_r_wb)^-(AH$1-2024)</f>
        <v>0.311804726886084</v>
      </c>
      <c r="AI194" s="17" t="n">
        <f aca="false">(1+p_r_wb)^-(AI$1-2024)</f>
        <v>0.294155402722721</v>
      </c>
      <c r="AJ194" s="17" t="n">
        <f aca="false">(1+p_r_wb)^-(AJ$1-2024)</f>
        <v>0.277505096908227</v>
      </c>
      <c r="AK194" s="17" t="n">
        <f aca="false">(1+p_r_wb)^-(AK$1-2024)</f>
        <v>0.261797261234177</v>
      </c>
      <c r="AL194" s="17" t="n">
        <f aca="false">(1+p_r_wb)^-(AL$1-2024)</f>
        <v>0.246978548334129</v>
      </c>
      <c r="AM194" s="17" t="n">
        <f aca="false">(1+p_r_wb)^-(AM$1-2024)</f>
        <v>0.232998630503895</v>
      </c>
      <c r="AN194" s="17" t="n">
        <f aca="false">(1+p_r_wb)^-(AN$1-2024)</f>
        <v>0.21981002877726</v>
      </c>
    </row>
    <row r="195" customFormat="false" ht="15" hidden="false" customHeight="false" outlineLevel="0" collapsed="false">
      <c r="A195" s="9"/>
      <c r="B195" s="9"/>
      <c r="C195" s="9"/>
      <c r="D195" s="9"/>
      <c r="E195" s="9"/>
      <c r="F195" s="9"/>
      <c r="G195" s="9"/>
      <c r="H195" s="9"/>
      <c r="I195" s="9"/>
      <c r="J195" s="9"/>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90"/>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22" min="3" style="0" width="11"/>
  </cols>
  <sheetData>
    <row r="1" customFormat="false" ht="17.35" hidden="false" customHeight="false" outlineLevel="0" collapsed="false">
      <c r="A1" s="1" t="s">
        <v>670</v>
      </c>
      <c r="B1" s="2"/>
      <c r="C1" s="2"/>
      <c r="D1" s="2"/>
      <c r="E1" s="2"/>
      <c r="F1" s="2"/>
      <c r="G1" s="2"/>
      <c r="H1" s="2"/>
      <c r="I1" s="2"/>
      <c r="J1" s="2"/>
      <c r="K1" s="2"/>
      <c r="L1" s="2"/>
      <c r="M1" s="2"/>
      <c r="N1" s="2"/>
      <c r="O1" s="2"/>
      <c r="P1" s="2"/>
      <c r="Q1" s="2"/>
      <c r="R1" s="2"/>
      <c r="S1" s="2"/>
      <c r="T1" s="2"/>
      <c r="U1" s="2"/>
      <c r="V1" s="2"/>
    </row>
    <row r="2" customFormat="false" ht="15" hidden="false" customHeight="false" outlineLevel="0" collapsed="false">
      <c r="A2" s="6" t="s">
        <v>671</v>
      </c>
    </row>
    <row r="4" customFormat="false" ht="39.75" hidden="false" customHeight="true" outlineLevel="0" collapsed="false">
      <c r="A4" s="22" t="s">
        <v>672</v>
      </c>
      <c r="B4" s="22" t="s">
        <v>16</v>
      </c>
      <c r="C4" s="22" t="s">
        <v>673</v>
      </c>
      <c r="D4" s="22" t="s">
        <v>674</v>
      </c>
      <c r="E4" s="22" t="s">
        <v>675</v>
      </c>
      <c r="F4" s="22" t="s">
        <v>676</v>
      </c>
      <c r="G4" s="22" t="s">
        <v>677</v>
      </c>
      <c r="H4" s="22" t="s">
        <v>678</v>
      </c>
      <c r="I4" s="22" t="s">
        <v>679</v>
      </c>
      <c r="J4" s="22" t="s">
        <v>680</v>
      </c>
      <c r="K4" s="22" t="s">
        <v>681</v>
      </c>
      <c r="L4" s="22" t="s">
        <v>682</v>
      </c>
      <c r="M4" s="22" t="s">
        <v>683</v>
      </c>
      <c r="N4" s="22" t="s">
        <v>684</v>
      </c>
      <c r="O4" s="22" t="s">
        <v>685</v>
      </c>
      <c r="P4" s="22" t="s">
        <v>686</v>
      </c>
      <c r="Q4" s="22" t="s">
        <v>687</v>
      </c>
      <c r="R4" s="22" t="s">
        <v>688</v>
      </c>
      <c r="S4" s="22" t="s">
        <v>689</v>
      </c>
      <c r="T4" s="22" t="s">
        <v>690</v>
      </c>
      <c r="U4" s="22" t="s">
        <v>691</v>
      </c>
      <c r="V4" s="22" t="s">
        <v>692</v>
      </c>
    </row>
    <row r="5" customFormat="false" ht="15" hidden="false" customHeight="false" outlineLevel="0" collapsed="false">
      <c r="A5" s="9" t="s">
        <v>693</v>
      </c>
      <c r="B5" s="9" t="s">
        <v>694</v>
      </c>
      <c r="C5" s="9" t="s">
        <v>695</v>
      </c>
      <c r="D5" s="23" t="n">
        <v>0.057</v>
      </c>
      <c r="E5" s="24" t="n">
        <v>33367.5025</v>
      </c>
      <c r="F5" s="24" t="n">
        <v>206.5445</v>
      </c>
      <c r="G5" s="24" t="n">
        <v>780.2792</v>
      </c>
      <c r="H5" s="24" t="n">
        <v>573.7347</v>
      </c>
      <c r="I5" s="24" t="n">
        <v>96.7671</v>
      </c>
      <c r="J5" s="24" t="n">
        <v>102.7929</v>
      </c>
      <c r="K5" s="24" t="n">
        <v>70.8357</v>
      </c>
      <c r="L5" s="24" t="n">
        <v>6790.3026</v>
      </c>
      <c r="M5" s="24" t="n">
        <v>5077.4784</v>
      </c>
      <c r="N5" s="24" t="n">
        <v>982.2613</v>
      </c>
      <c r="O5" s="24" t="n">
        <v>17326.6879</v>
      </c>
      <c r="P5" s="24" t="n">
        <v>12880.514</v>
      </c>
      <c r="Q5" s="24" t="n">
        <v>1746.394</v>
      </c>
      <c r="R5" s="24" t="n">
        <v>1821.3497</v>
      </c>
      <c r="S5" s="24" t="n">
        <v>1086.8989</v>
      </c>
      <c r="T5" s="24" t="n">
        <v>86412.4405</v>
      </c>
      <c r="U5" s="24" t="n">
        <v>4997.031</v>
      </c>
      <c r="V5" s="24" t="n">
        <v>5445.106</v>
      </c>
    </row>
    <row r="6" customFormat="false" ht="15" hidden="false" customHeight="false" outlineLevel="0" collapsed="false">
      <c r="A6" s="9" t="s">
        <v>696</v>
      </c>
      <c r="B6" s="9" t="s">
        <v>697</v>
      </c>
      <c r="C6" s="9" t="s">
        <v>697</v>
      </c>
      <c r="D6" s="23" t="n">
        <v>0.0389</v>
      </c>
      <c r="E6" s="24" t="n">
        <v>24439.1231</v>
      </c>
      <c r="F6" s="24" t="n">
        <v>589.0175</v>
      </c>
      <c r="G6" s="24" t="n">
        <v>1410.615</v>
      </c>
      <c r="H6" s="24" t="n">
        <v>821.5975</v>
      </c>
      <c r="I6" s="24" t="n">
        <v>152.4876</v>
      </c>
      <c r="J6" s="24" t="n">
        <v>206.8429</v>
      </c>
      <c r="K6" s="24" t="n">
        <v>-104.7182</v>
      </c>
      <c r="L6" s="24" t="n">
        <v>16649.5291</v>
      </c>
      <c r="M6" s="24" t="n">
        <v>13657.9295</v>
      </c>
      <c r="N6" s="24" t="n">
        <v>1962.2461</v>
      </c>
      <c r="O6" s="24" t="n">
        <v>43707.7194</v>
      </c>
      <c r="P6" s="24" t="n">
        <v>26520.332</v>
      </c>
      <c r="Q6" s="24" t="n">
        <v>5220.0989</v>
      </c>
      <c r="R6" s="24" t="n">
        <v>5417.0399</v>
      </c>
      <c r="S6" s="24" t="n">
        <v>-2977.9423</v>
      </c>
      <c r="T6" s="24" t="n">
        <v>184240.9535</v>
      </c>
      <c r="U6" s="24" t="n">
        <v>10506.0508</v>
      </c>
      <c r="V6" s="24" t="n">
        <v>13206.767</v>
      </c>
    </row>
    <row r="7" customFormat="false" ht="15" hidden="false" customHeight="false" outlineLevel="0" collapsed="false">
      <c r="A7" s="9" t="s">
        <v>36</v>
      </c>
      <c r="B7" s="9" t="s">
        <v>698</v>
      </c>
      <c r="C7" s="9" t="s">
        <v>699</v>
      </c>
      <c r="D7" s="23" t="n">
        <v>0.095</v>
      </c>
      <c r="E7" s="24" t="n">
        <v>5447.8957</v>
      </c>
      <c r="F7" s="24" t="n">
        <v>59.5845</v>
      </c>
      <c r="G7" s="24" t="n">
        <v>204.6283</v>
      </c>
      <c r="H7" s="24" t="n">
        <v>145.0439</v>
      </c>
      <c r="I7" s="24" t="n">
        <v>51.3651</v>
      </c>
      <c r="J7" s="24" t="n">
        <v>35.0491</v>
      </c>
      <c r="K7" s="24" t="n">
        <v>1.8928</v>
      </c>
      <c r="L7" s="24" t="n">
        <v>4680.0616</v>
      </c>
      <c r="M7" s="24" t="n">
        <v>3882.6482</v>
      </c>
      <c r="N7" s="24" t="n">
        <v>1010.2699</v>
      </c>
      <c r="O7" s="24" t="n">
        <v>7564.2486</v>
      </c>
      <c r="P7" s="24" t="n">
        <v>5824.1169</v>
      </c>
      <c r="Q7" s="24" t="n">
        <v>680.4675</v>
      </c>
      <c r="R7" s="24" t="n">
        <v>557.3367</v>
      </c>
      <c r="S7" s="24" t="n">
        <v>-555.4278</v>
      </c>
      <c r="T7" s="24" t="n">
        <v>57586.0058</v>
      </c>
      <c r="U7" s="24" t="n">
        <v>2415.9374</v>
      </c>
      <c r="V7" s="24" t="n">
        <v>2845.008</v>
      </c>
    </row>
    <row r="8" customFormat="false" ht="15" hidden="false" customHeight="false" outlineLevel="0" collapsed="false">
      <c r="A8" s="9" t="s">
        <v>700</v>
      </c>
      <c r="B8" s="9" t="s">
        <v>701</v>
      </c>
      <c r="C8" s="9" t="s">
        <v>695</v>
      </c>
      <c r="D8" s="23" t="n">
        <v>0.0232</v>
      </c>
      <c r="E8" s="24" t="n">
        <v>4908.6727</v>
      </c>
      <c r="F8" s="24" t="n">
        <v>33.3628</v>
      </c>
      <c r="G8" s="24" t="n">
        <v>116.4181</v>
      </c>
      <c r="H8" s="24" t="n">
        <v>83.0553</v>
      </c>
      <c r="I8" s="24" t="n">
        <v>-5.7167</v>
      </c>
      <c r="J8" s="24" t="n">
        <v>5.1837</v>
      </c>
      <c r="K8" s="24" t="n">
        <v>0.8202</v>
      </c>
      <c r="L8" s="24" t="n">
        <v>688.0652</v>
      </c>
      <c r="M8" s="24" t="n">
        <v>545.8375</v>
      </c>
      <c r="N8" s="24" t="n">
        <v>86.3555</v>
      </c>
      <c r="O8" s="24" t="n">
        <v>2653.6563</v>
      </c>
      <c r="P8" s="24" t="n">
        <v>1827.4695</v>
      </c>
      <c r="Q8" s="24" t="n">
        <v>-261.7686</v>
      </c>
      <c r="R8" s="24" t="n">
        <v>95.8305</v>
      </c>
      <c r="S8" s="24" t="n">
        <v>-18.5959</v>
      </c>
      <c r="T8" s="24" t="n">
        <v>7355.6659</v>
      </c>
      <c r="U8" s="24" t="n">
        <v>594.9479</v>
      </c>
      <c r="V8" s="24" t="n">
        <v>658.368</v>
      </c>
    </row>
    <row r="9" customFormat="false" ht="15" hidden="false" customHeight="false" outlineLevel="0" collapsed="false">
      <c r="A9" s="9" t="s">
        <v>702</v>
      </c>
      <c r="B9" s="9" t="s">
        <v>703</v>
      </c>
      <c r="C9" s="9" t="s">
        <v>695</v>
      </c>
      <c r="D9" s="23" t="n">
        <v>0.055</v>
      </c>
      <c r="E9" s="24" t="n">
        <v>4419.0183</v>
      </c>
      <c r="F9" s="24" t="n">
        <v>29.6594</v>
      </c>
      <c r="G9" s="24" t="n">
        <v>145.7058</v>
      </c>
      <c r="H9" s="24" t="n">
        <v>116.0463</v>
      </c>
      <c r="I9" s="24" t="n">
        <v>-2.4332</v>
      </c>
      <c r="J9" s="24" t="n">
        <v>-0.2849</v>
      </c>
      <c r="K9" s="24" t="n">
        <v>-12.7031</v>
      </c>
      <c r="L9" s="24" t="n">
        <v>1228.4346</v>
      </c>
      <c r="M9" s="24" t="n">
        <v>925.189</v>
      </c>
      <c r="N9" s="24" t="n">
        <v>120.7745</v>
      </c>
      <c r="O9" s="24" t="n">
        <v>3306.7086</v>
      </c>
      <c r="P9" s="24" t="n">
        <v>2474.1672</v>
      </c>
      <c r="Q9" s="24" t="n">
        <v>28.367</v>
      </c>
      <c r="R9" s="24" t="n">
        <v>74.3744</v>
      </c>
      <c r="S9" s="24" t="n">
        <v>-197.8789</v>
      </c>
      <c r="T9" s="24" t="n">
        <v>14756.3469</v>
      </c>
      <c r="U9" s="24" t="n">
        <v>1121.5329</v>
      </c>
      <c r="V9" s="24" t="n">
        <v>1205.177</v>
      </c>
    </row>
    <row r="10" customFormat="false" ht="15" hidden="false" customHeight="false" outlineLevel="0" collapsed="false">
      <c r="A10" s="9" t="s">
        <v>704</v>
      </c>
      <c r="B10" s="9" t="s">
        <v>705</v>
      </c>
      <c r="C10" s="9" t="s">
        <v>695</v>
      </c>
      <c r="D10" s="23" t="n">
        <v>0.0359</v>
      </c>
      <c r="E10" s="24" t="n">
        <v>3915.292</v>
      </c>
      <c r="F10" s="24" t="n">
        <v>17.4733</v>
      </c>
      <c r="G10" s="24" t="n">
        <v>69.8587</v>
      </c>
      <c r="H10" s="24" t="n">
        <v>52.3854</v>
      </c>
      <c r="I10" s="24" t="n">
        <v>-4.7805</v>
      </c>
      <c r="J10" s="24" t="n">
        <v>-0.0883</v>
      </c>
      <c r="K10" s="24" t="n">
        <v>-2.4179</v>
      </c>
      <c r="L10" s="24" t="n">
        <v>424.7509</v>
      </c>
      <c r="M10" s="24" t="n">
        <v>337.5557</v>
      </c>
      <c r="N10" s="24" t="n">
        <v>63.5164</v>
      </c>
      <c r="O10" s="24" t="n">
        <v>1599.0139</v>
      </c>
      <c r="P10" s="24" t="n">
        <v>1184.014</v>
      </c>
      <c r="Q10" s="24" t="n">
        <v>-177.4841</v>
      </c>
      <c r="R10" s="24" t="n">
        <v>-17.7496</v>
      </c>
      <c r="S10" s="24" t="n">
        <v>-72.1397</v>
      </c>
      <c r="T10" s="24" t="n">
        <v>4524.0143</v>
      </c>
      <c r="U10" s="24" t="n">
        <v>343.3351</v>
      </c>
      <c r="V10" s="24" t="n">
        <v>370.094</v>
      </c>
    </row>
    <row r="11" customFormat="false" ht="15" hidden="false" customHeight="false" outlineLevel="0" collapsed="false">
      <c r="A11" s="9" t="s">
        <v>706</v>
      </c>
      <c r="B11" s="9" t="s">
        <v>707</v>
      </c>
      <c r="C11" s="9" t="s">
        <v>695</v>
      </c>
      <c r="D11" s="23" t="n">
        <v>0.033</v>
      </c>
      <c r="E11" s="24" t="n">
        <v>3344.7754</v>
      </c>
      <c r="F11" s="24" t="n">
        <v>11.6931</v>
      </c>
      <c r="G11" s="24" t="n">
        <v>46.8084</v>
      </c>
      <c r="H11" s="24" t="n">
        <v>35.1154</v>
      </c>
      <c r="I11" s="24" t="n">
        <v>-0.7779</v>
      </c>
      <c r="J11" s="24" t="n">
        <v>2.7653</v>
      </c>
      <c r="K11" s="24" t="n">
        <v>0.9473</v>
      </c>
      <c r="L11" s="24" t="n">
        <v>391.7834</v>
      </c>
      <c r="M11" s="24" t="n">
        <v>310.0166</v>
      </c>
      <c r="N11" s="24" t="n">
        <v>72.1852</v>
      </c>
      <c r="O11" s="24" t="n">
        <v>1223.2008</v>
      </c>
      <c r="P11" s="24" t="n">
        <v>914.7157</v>
      </c>
      <c r="Q11" s="24" t="n">
        <v>-80.9002</v>
      </c>
      <c r="R11" s="24" t="n">
        <v>29.2257</v>
      </c>
      <c r="S11" s="24" t="n">
        <v>-15.0187</v>
      </c>
      <c r="T11" s="24" t="n">
        <v>4218.4369</v>
      </c>
      <c r="U11" s="24" t="n">
        <v>279.3269</v>
      </c>
      <c r="V11" s="24" t="n">
        <v>322.969</v>
      </c>
    </row>
    <row r="12" customFormat="false" ht="15" hidden="false" customHeight="false" outlineLevel="0" collapsed="false">
      <c r="A12" s="9" t="s">
        <v>708</v>
      </c>
      <c r="B12" s="9" t="s">
        <v>709</v>
      </c>
      <c r="C12" s="9" t="s">
        <v>695</v>
      </c>
      <c r="D12" s="23" t="n">
        <v>0.055</v>
      </c>
      <c r="E12" s="24" t="n">
        <v>2488.1419</v>
      </c>
      <c r="F12" s="24" t="n">
        <v>13.6025</v>
      </c>
      <c r="G12" s="24" t="n">
        <v>83.6594</v>
      </c>
      <c r="H12" s="24" t="n">
        <v>70.0569</v>
      </c>
      <c r="I12" s="24" t="n">
        <v>14.1255</v>
      </c>
      <c r="J12" s="24" t="n">
        <v>15.4926</v>
      </c>
      <c r="K12" s="24" t="n">
        <v>14.4429</v>
      </c>
      <c r="L12" s="24" t="n">
        <v>690.5561</v>
      </c>
      <c r="M12" s="24" t="n">
        <v>531.3236</v>
      </c>
      <c r="N12" s="24" t="n">
        <v>107.9266</v>
      </c>
      <c r="O12" s="24" t="n">
        <v>2069.9892</v>
      </c>
      <c r="P12" s="24" t="n">
        <v>1763.9372</v>
      </c>
      <c r="Q12" s="24" t="n">
        <v>302.1613</v>
      </c>
      <c r="R12" s="24" t="n">
        <v>313.9716</v>
      </c>
      <c r="S12" s="24" t="n">
        <v>288.5377</v>
      </c>
      <c r="T12" s="24" t="n">
        <v>8558.7018</v>
      </c>
      <c r="U12" s="24" t="n">
        <v>539.5996</v>
      </c>
      <c r="V12" s="24" t="n">
        <v>554.217</v>
      </c>
    </row>
    <row r="13" customFormat="false" ht="15" hidden="false" customHeight="false" outlineLevel="0" collapsed="false">
      <c r="A13" s="9" t="s">
        <v>710</v>
      </c>
      <c r="B13" s="9" t="s">
        <v>711</v>
      </c>
      <c r="C13" s="9" t="s">
        <v>699</v>
      </c>
      <c r="D13" s="23" t="n">
        <v>0.0978</v>
      </c>
      <c r="E13" s="24" t="n">
        <v>2476.5515</v>
      </c>
      <c r="F13" s="24" t="n">
        <v>12.525</v>
      </c>
      <c r="G13" s="24" t="n">
        <v>74.2068</v>
      </c>
      <c r="H13" s="24" t="n">
        <v>61.6818</v>
      </c>
      <c r="I13" s="24" t="n">
        <v>36.68</v>
      </c>
      <c r="J13" s="24" t="n">
        <v>32.3176</v>
      </c>
      <c r="K13" s="24" t="n">
        <v>29.41</v>
      </c>
      <c r="L13" s="24" t="n">
        <v>1785.1893</v>
      </c>
      <c r="M13" s="24" t="n">
        <v>1043.0369</v>
      </c>
      <c r="N13" s="24" t="n">
        <v>442.9016</v>
      </c>
      <c r="O13" s="24" t="n">
        <v>2272.2008</v>
      </c>
      <c r="P13" s="24" t="n">
        <v>1900.8246</v>
      </c>
      <c r="Q13" s="24" t="n">
        <v>271.9456</v>
      </c>
      <c r="R13" s="24" t="n">
        <v>286.2362</v>
      </c>
      <c r="S13" s="24" t="n">
        <v>189.706</v>
      </c>
      <c r="T13" s="24" t="n">
        <v>24611.5556</v>
      </c>
      <c r="U13" s="24" t="n">
        <v>411.7179</v>
      </c>
      <c r="V13" s="24" t="n">
        <v>505.632</v>
      </c>
    </row>
    <row r="14" customFormat="false" ht="15" hidden="false" customHeight="false" outlineLevel="0" collapsed="false">
      <c r="A14" s="9" t="s">
        <v>712</v>
      </c>
      <c r="B14" s="9" t="s">
        <v>713</v>
      </c>
      <c r="C14" s="9" t="s">
        <v>695</v>
      </c>
      <c r="D14" s="23" t="n">
        <v>0.0438</v>
      </c>
      <c r="E14" s="24" t="n">
        <v>2475.7888</v>
      </c>
      <c r="F14" s="24" t="n">
        <v>12.2613</v>
      </c>
      <c r="G14" s="24" t="n">
        <v>54.4289</v>
      </c>
      <c r="H14" s="24" t="n">
        <v>42.1676</v>
      </c>
      <c r="I14" s="24" t="n">
        <v>-4.3887</v>
      </c>
      <c r="J14" s="24" t="n">
        <v>-1.9035</v>
      </c>
      <c r="K14" s="24" t="n">
        <v>-5.161</v>
      </c>
      <c r="L14" s="24" t="n">
        <v>419.3619</v>
      </c>
      <c r="M14" s="24" t="n">
        <v>328.2704</v>
      </c>
      <c r="N14" s="24" t="n">
        <v>63.4136</v>
      </c>
      <c r="O14" s="24" t="n">
        <v>1253.9111</v>
      </c>
      <c r="P14" s="24" t="n">
        <v>921.2433</v>
      </c>
      <c r="Q14" s="24" t="n">
        <v>-131.039</v>
      </c>
      <c r="R14" s="24" t="n">
        <v>-47.513</v>
      </c>
      <c r="S14" s="24" t="n">
        <v>-125.8911</v>
      </c>
      <c r="T14" s="24" t="n">
        <v>4561.9678</v>
      </c>
      <c r="U14" s="24" t="n">
        <v>315.8296</v>
      </c>
      <c r="V14" s="24" t="n">
        <v>363.035</v>
      </c>
    </row>
    <row r="15" customFormat="false" ht="15" hidden="false" customHeight="false" outlineLevel="0" collapsed="false">
      <c r="A15" s="9" t="s">
        <v>714</v>
      </c>
      <c r="B15" s="9" t="s">
        <v>715</v>
      </c>
      <c r="C15" s="9" t="s">
        <v>699</v>
      </c>
      <c r="D15" s="23" t="n">
        <v>0.105</v>
      </c>
      <c r="E15" s="24" t="n">
        <v>2361.9368</v>
      </c>
      <c r="F15" s="24" t="n">
        <v>11.5155</v>
      </c>
      <c r="G15" s="24" t="n">
        <v>129.5189</v>
      </c>
      <c r="H15" s="24" t="n">
        <v>118.0034</v>
      </c>
      <c r="I15" s="24" t="n">
        <v>60.0054</v>
      </c>
      <c r="J15" s="24" t="n">
        <v>38.6279</v>
      </c>
      <c r="K15" s="24" t="n">
        <v>17.4818</v>
      </c>
      <c r="L15" s="24" t="n">
        <v>2477.3478</v>
      </c>
      <c r="M15" s="24" t="n">
        <v>2079.0048</v>
      </c>
      <c r="N15" s="24" t="n">
        <v>447.818</v>
      </c>
      <c r="O15" s="24" t="n">
        <v>4928.2513</v>
      </c>
      <c r="P15" s="24" t="n">
        <v>4525.7167</v>
      </c>
      <c r="Q15" s="24" t="n">
        <v>815.6703</v>
      </c>
      <c r="R15" s="24" t="n">
        <v>894.9837</v>
      </c>
      <c r="S15" s="24" t="n">
        <v>135.465</v>
      </c>
      <c r="T15" s="24" t="n">
        <v>30837.0706</v>
      </c>
      <c r="U15" s="24" t="n">
        <v>1740.9558</v>
      </c>
      <c r="V15" s="24" t="n">
        <v>1982.113</v>
      </c>
    </row>
    <row r="16" customFormat="false" ht="15" hidden="false" customHeight="false" outlineLevel="0" collapsed="false">
      <c r="A16" s="9" t="s">
        <v>716</v>
      </c>
      <c r="B16" s="9" t="s">
        <v>717</v>
      </c>
      <c r="C16" s="9" t="s">
        <v>695</v>
      </c>
      <c r="D16" s="23" t="n">
        <v>0.055</v>
      </c>
      <c r="E16" s="24" t="n">
        <v>2072.0525</v>
      </c>
      <c r="F16" s="24" t="n">
        <v>17.0764</v>
      </c>
      <c r="G16" s="24" t="n">
        <v>87.2027</v>
      </c>
      <c r="H16" s="24" t="n">
        <v>70.1263</v>
      </c>
      <c r="I16" s="24" t="n">
        <v>2.8344</v>
      </c>
      <c r="J16" s="24" t="n">
        <v>4.0867</v>
      </c>
      <c r="K16" s="24" t="n">
        <v>-2.2581</v>
      </c>
      <c r="L16" s="24" t="n">
        <v>818.0975</v>
      </c>
      <c r="M16" s="24" t="n">
        <v>598.6343</v>
      </c>
      <c r="N16" s="24" t="n">
        <v>84.6938</v>
      </c>
      <c r="O16" s="24" t="n">
        <v>2024.1677</v>
      </c>
      <c r="P16" s="24" t="n">
        <v>1617.4028</v>
      </c>
      <c r="Q16" s="24" t="n">
        <v>96.2606</v>
      </c>
      <c r="R16" s="24" t="n">
        <v>119.2885</v>
      </c>
      <c r="S16" s="24" t="n">
        <v>-25.8957</v>
      </c>
      <c r="T16" s="24" t="n">
        <v>11124.1914</v>
      </c>
      <c r="U16" s="24" t="n">
        <v>634.328</v>
      </c>
      <c r="V16" s="24" t="n">
        <v>732.861</v>
      </c>
    </row>
    <row r="17" customFormat="false" ht="15" hidden="false" customHeight="false" outlineLevel="0" collapsed="false">
      <c r="A17" s="9" t="s">
        <v>718</v>
      </c>
      <c r="B17" s="9" t="s">
        <v>719</v>
      </c>
      <c r="C17" s="9" t="s">
        <v>695</v>
      </c>
      <c r="D17" s="23" t="n">
        <v>0.0502</v>
      </c>
      <c r="E17" s="24" t="n">
        <v>2019.5401</v>
      </c>
      <c r="F17" s="24" t="n">
        <v>16.3836</v>
      </c>
      <c r="G17" s="24" t="n">
        <v>64.3554</v>
      </c>
      <c r="H17" s="24" t="n">
        <v>47.9718</v>
      </c>
      <c r="I17" s="24" t="n">
        <v>6.3124</v>
      </c>
      <c r="J17" s="24" t="n">
        <v>7.9537</v>
      </c>
      <c r="K17" s="24" t="n">
        <v>6.3111</v>
      </c>
      <c r="L17" s="24" t="n">
        <v>510.5496</v>
      </c>
      <c r="M17" s="24" t="n">
        <v>394.7659</v>
      </c>
      <c r="N17" s="24" t="n">
        <v>86.9348</v>
      </c>
      <c r="O17" s="24" t="n">
        <v>1481.2873</v>
      </c>
      <c r="P17" s="24" t="n">
        <v>1075.9272</v>
      </c>
      <c r="Q17" s="24" t="n">
        <v>135.1921</v>
      </c>
      <c r="R17" s="24" t="n">
        <v>157.6167</v>
      </c>
      <c r="S17" s="24" t="n">
        <v>117.4581</v>
      </c>
      <c r="T17" s="24" t="n">
        <v>5674.3323</v>
      </c>
      <c r="U17" s="24" t="n">
        <v>393.3457</v>
      </c>
      <c r="V17" s="24" t="n">
        <v>386.813</v>
      </c>
    </row>
    <row r="18" customFormat="false" ht="15" hidden="false" customHeight="false" outlineLevel="0" collapsed="false">
      <c r="A18" s="9" t="s">
        <v>720</v>
      </c>
      <c r="B18" s="9" t="s">
        <v>721</v>
      </c>
      <c r="C18" s="9" t="s">
        <v>699</v>
      </c>
      <c r="D18" s="23" t="n">
        <v>0.11</v>
      </c>
      <c r="E18" s="24" t="n">
        <v>2015.8159</v>
      </c>
      <c r="F18" s="24" t="n">
        <v>9.2053</v>
      </c>
      <c r="G18" s="24" t="n">
        <v>39.6425</v>
      </c>
      <c r="H18" s="24" t="n">
        <v>30.4373</v>
      </c>
      <c r="I18" s="24" t="n">
        <v>14.3443</v>
      </c>
      <c r="J18" s="24" t="n">
        <v>9.7324</v>
      </c>
      <c r="K18" s="24" t="n">
        <v>6.3149</v>
      </c>
      <c r="L18" s="24" t="n">
        <v>973.6275</v>
      </c>
      <c r="M18" s="24" t="n">
        <v>758.5248</v>
      </c>
      <c r="N18" s="24" t="n">
        <v>248.2156</v>
      </c>
      <c r="O18" s="24" t="n">
        <v>1437.9012</v>
      </c>
      <c r="P18" s="24" t="n">
        <v>1158.6379</v>
      </c>
      <c r="Q18" s="24" t="n">
        <v>119.9081</v>
      </c>
      <c r="R18" s="24" t="n">
        <v>86.6944</v>
      </c>
      <c r="S18" s="24" t="n">
        <v>-23.8383</v>
      </c>
      <c r="T18" s="24" t="n">
        <v>11478.2518</v>
      </c>
      <c r="U18" s="24" t="n">
        <v>381.8971</v>
      </c>
      <c r="V18" s="24" t="n">
        <v>582.567</v>
      </c>
    </row>
    <row r="19" customFormat="false" ht="15" hidden="false" customHeight="false" outlineLevel="0" collapsed="false">
      <c r="A19" s="9" t="s">
        <v>722</v>
      </c>
      <c r="B19" s="9" t="s">
        <v>723</v>
      </c>
      <c r="C19" s="9" t="s">
        <v>695</v>
      </c>
      <c r="D19" s="23" t="n">
        <v>0.0512</v>
      </c>
      <c r="E19" s="24" t="n">
        <v>1957.9381</v>
      </c>
      <c r="F19" s="24" t="n">
        <v>17.1578</v>
      </c>
      <c r="G19" s="24" t="n">
        <v>43.7186</v>
      </c>
      <c r="H19" s="24" t="n">
        <v>26.5608</v>
      </c>
      <c r="I19" s="24" t="n">
        <v>1.8014</v>
      </c>
      <c r="J19" s="24" t="n">
        <v>2.6543</v>
      </c>
      <c r="K19" s="24" t="n">
        <v>1.0575</v>
      </c>
      <c r="L19" s="24" t="n">
        <v>326.4762</v>
      </c>
      <c r="M19" s="24" t="n">
        <v>265.9994</v>
      </c>
      <c r="N19" s="24" t="n">
        <v>54.2634</v>
      </c>
      <c r="O19" s="24" t="n">
        <v>1050.8969</v>
      </c>
      <c r="P19" s="24" t="n">
        <v>695.0028</v>
      </c>
      <c r="Q19" s="24" t="n">
        <v>10.4024</v>
      </c>
      <c r="R19" s="24" t="n">
        <v>30.2947</v>
      </c>
      <c r="S19" s="24" t="n">
        <v>-10.3649</v>
      </c>
      <c r="T19" s="24" t="n">
        <v>3401.2423</v>
      </c>
      <c r="U19" s="24" t="n">
        <v>246.6276</v>
      </c>
      <c r="V19" s="24" t="n">
        <v>279.606</v>
      </c>
    </row>
    <row r="20" customFormat="false" ht="15" hidden="false" customHeight="false" outlineLevel="0" collapsed="false">
      <c r="A20" s="9" t="s">
        <v>724</v>
      </c>
      <c r="B20" s="9" t="s">
        <v>725</v>
      </c>
      <c r="C20" s="9" t="s">
        <v>699</v>
      </c>
      <c r="D20" s="23" t="n">
        <v>0.0819</v>
      </c>
      <c r="E20" s="24" t="n">
        <v>1856.5926</v>
      </c>
      <c r="F20" s="24" t="n">
        <v>10.371</v>
      </c>
      <c r="G20" s="24" t="n">
        <v>56.6499</v>
      </c>
      <c r="H20" s="24" t="n">
        <v>46.2789</v>
      </c>
      <c r="I20" s="24" t="n">
        <v>17.912</v>
      </c>
      <c r="J20" s="24" t="n">
        <v>15.4476</v>
      </c>
      <c r="K20" s="24" t="n">
        <v>8.6065</v>
      </c>
      <c r="L20" s="24" t="n">
        <v>1539.9761</v>
      </c>
      <c r="M20" s="24" t="n">
        <v>1088.0442</v>
      </c>
      <c r="N20" s="24" t="n">
        <v>367.5397</v>
      </c>
      <c r="O20" s="24" t="n">
        <v>1955.7396</v>
      </c>
      <c r="P20" s="24" t="n">
        <v>1651.2498</v>
      </c>
      <c r="Q20" s="24" t="n">
        <v>95.6522</v>
      </c>
      <c r="R20" s="24" t="n">
        <v>33.5281</v>
      </c>
      <c r="S20" s="24" t="n">
        <v>-199.1245</v>
      </c>
      <c r="T20" s="24" t="n">
        <v>21959.6545</v>
      </c>
      <c r="U20" s="24" t="n">
        <v>641.7388</v>
      </c>
      <c r="V20" s="24" t="n">
        <v>700.991</v>
      </c>
    </row>
    <row r="21" customFormat="false" ht="15" hidden="false" customHeight="false" outlineLevel="0" collapsed="false">
      <c r="A21" s="9" t="s">
        <v>726</v>
      </c>
      <c r="B21" s="9" t="s">
        <v>727</v>
      </c>
      <c r="C21" s="9" t="s">
        <v>699</v>
      </c>
      <c r="D21" s="23" t="n">
        <v>0.0842</v>
      </c>
      <c r="E21" s="24" t="n">
        <v>1656.3438</v>
      </c>
      <c r="F21" s="24" t="n">
        <v>8.7779</v>
      </c>
      <c r="G21" s="24" t="n">
        <v>36.3662</v>
      </c>
      <c r="H21" s="24" t="n">
        <v>27.5883</v>
      </c>
      <c r="I21" s="24" t="n">
        <v>5.4315</v>
      </c>
      <c r="J21" s="24" t="n">
        <v>2.8473</v>
      </c>
      <c r="K21" s="24" t="n">
        <v>-11.9094</v>
      </c>
      <c r="L21" s="24" t="n">
        <v>738.5997</v>
      </c>
      <c r="M21" s="24" t="n">
        <v>611.093</v>
      </c>
      <c r="N21" s="24" t="n">
        <v>112.712</v>
      </c>
      <c r="O21" s="24" t="n">
        <v>1173.6211</v>
      </c>
      <c r="P21" s="24" t="n">
        <v>934.5359</v>
      </c>
      <c r="Q21" s="24" t="n">
        <v>51.492</v>
      </c>
      <c r="R21" s="24" t="n">
        <v>-2.3143</v>
      </c>
      <c r="S21" s="24" t="n">
        <v>-390.8622</v>
      </c>
      <c r="T21" s="24" t="n">
        <v>9475.6569</v>
      </c>
      <c r="U21" s="24" t="n">
        <v>515.9234</v>
      </c>
      <c r="V21" s="24" t="n">
        <v>573.016</v>
      </c>
    </row>
    <row r="22" customFormat="false" ht="15" hidden="false" customHeight="false" outlineLevel="0" collapsed="false">
      <c r="A22" s="9" t="s">
        <v>728</v>
      </c>
      <c r="B22" s="9" t="s">
        <v>729</v>
      </c>
      <c r="C22" s="9" t="s">
        <v>699</v>
      </c>
      <c r="D22" s="23" t="n">
        <v>0.042</v>
      </c>
      <c r="E22" s="24" t="n">
        <v>1510.8226</v>
      </c>
      <c r="F22" s="24" t="n">
        <v>10.1587</v>
      </c>
      <c r="G22" s="24" t="n">
        <v>38.0124</v>
      </c>
      <c r="H22" s="24" t="n">
        <v>27.8537</v>
      </c>
      <c r="I22" s="24" t="n">
        <v>-1.9183</v>
      </c>
      <c r="J22" s="24" t="n">
        <v>-0.2338</v>
      </c>
      <c r="K22" s="24" t="n">
        <v>-4.0314</v>
      </c>
      <c r="L22" s="24" t="n">
        <v>859.421</v>
      </c>
      <c r="M22" s="24" t="n">
        <v>714.054</v>
      </c>
      <c r="N22" s="24" t="n">
        <v>142.8524</v>
      </c>
      <c r="O22" s="24" t="n">
        <v>1201.5189</v>
      </c>
      <c r="P22" s="24" t="n">
        <v>960.8616</v>
      </c>
      <c r="Q22" s="24" t="n">
        <v>-265.6458</v>
      </c>
      <c r="R22" s="24" t="n">
        <v>-145.1251</v>
      </c>
      <c r="S22" s="24" t="n">
        <v>-271.6861</v>
      </c>
      <c r="T22" s="24" t="n">
        <v>10198.6573</v>
      </c>
      <c r="U22" s="24" t="n">
        <v>596.6497</v>
      </c>
      <c r="V22" s="24" t="n">
        <v>558.375</v>
      </c>
    </row>
    <row r="23" customFormat="false" ht="15" hidden="false" customHeight="false" outlineLevel="0" collapsed="false">
      <c r="A23" s="9" t="s">
        <v>730</v>
      </c>
      <c r="B23" s="9" t="s">
        <v>731</v>
      </c>
      <c r="C23" s="9" t="s">
        <v>695</v>
      </c>
      <c r="D23" s="23" t="n">
        <v>0.0233</v>
      </c>
      <c r="E23" s="24" t="n">
        <v>1317.7553</v>
      </c>
      <c r="F23" s="24" t="n">
        <v>6.6117</v>
      </c>
      <c r="G23" s="24" t="n">
        <v>28.1798</v>
      </c>
      <c r="H23" s="24" t="n">
        <v>21.5681</v>
      </c>
      <c r="I23" s="24" t="n">
        <v>-0.7773</v>
      </c>
      <c r="J23" s="24" t="n">
        <v>2.0459</v>
      </c>
      <c r="K23" s="24" t="n">
        <v>1.4625</v>
      </c>
      <c r="L23" s="24" t="n">
        <v>147.8998</v>
      </c>
      <c r="M23" s="24" t="n">
        <v>112.6058</v>
      </c>
      <c r="N23" s="24" t="n">
        <v>19.769</v>
      </c>
      <c r="O23" s="24" t="n">
        <v>624.5136</v>
      </c>
      <c r="P23" s="24" t="n">
        <v>458.6298</v>
      </c>
      <c r="Q23" s="24" t="n">
        <v>-40.5523</v>
      </c>
      <c r="R23" s="24" t="n">
        <v>40.7705</v>
      </c>
      <c r="S23" s="24" t="n">
        <v>26.4507</v>
      </c>
      <c r="T23" s="24" t="n">
        <v>1692.2513</v>
      </c>
      <c r="U23" s="24" t="n">
        <v>123.6037</v>
      </c>
      <c r="V23" s="24" t="n">
        <v>122.936</v>
      </c>
    </row>
    <row r="24" customFormat="false" ht="15" hidden="false" customHeight="false" outlineLevel="0" collapsed="false">
      <c r="A24" s="9" t="s">
        <v>732</v>
      </c>
      <c r="B24" s="9" t="s">
        <v>733</v>
      </c>
      <c r="C24" s="9" t="s">
        <v>699</v>
      </c>
      <c r="D24" s="23" t="n">
        <v>0.058</v>
      </c>
      <c r="E24" s="24" t="n">
        <v>1105.1731</v>
      </c>
      <c r="F24" s="24" t="n">
        <v>7.7194</v>
      </c>
      <c r="G24" s="24" t="n">
        <v>25.4586</v>
      </c>
      <c r="H24" s="24" t="n">
        <v>17.7392</v>
      </c>
      <c r="I24" s="24" t="n">
        <v>0.7946</v>
      </c>
      <c r="J24" s="24" t="n">
        <v>0.9234</v>
      </c>
      <c r="K24" s="24" t="n">
        <v>-6.6443</v>
      </c>
      <c r="L24" s="24" t="n">
        <v>425.2729</v>
      </c>
      <c r="M24" s="24" t="n">
        <v>372.4046</v>
      </c>
      <c r="N24" s="24" t="n">
        <v>66.7253</v>
      </c>
      <c r="O24" s="24" t="n">
        <v>754.3651</v>
      </c>
      <c r="P24" s="24" t="n">
        <v>557.3351</v>
      </c>
      <c r="Q24" s="24" t="n">
        <v>-42.8679</v>
      </c>
      <c r="R24" s="24" t="n">
        <v>-37.7778</v>
      </c>
      <c r="S24" s="24" t="n">
        <v>-236.1644</v>
      </c>
      <c r="T24" s="24" t="n">
        <v>3836.5213</v>
      </c>
      <c r="U24" s="24" t="n">
        <v>327.8025</v>
      </c>
      <c r="V24" s="24" t="n">
        <v>353.737</v>
      </c>
    </row>
    <row r="25" customFormat="false" ht="15" hidden="false" customHeight="false" outlineLevel="0" collapsed="false">
      <c r="A25" s="9" t="s">
        <v>734</v>
      </c>
      <c r="B25" s="9" t="s">
        <v>735</v>
      </c>
      <c r="C25" s="9" t="s">
        <v>695</v>
      </c>
      <c r="D25" s="23" t="n">
        <v>0.0397</v>
      </c>
      <c r="E25" s="24" t="n">
        <v>1051.4221</v>
      </c>
      <c r="F25" s="24" t="n">
        <v>2.1315</v>
      </c>
      <c r="G25" s="24" t="n">
        <v>7.8109</v>
      </c>
      <c r="H25" s="24" t="n">
        <v>5.6795</v>
      </c>
      <c r="I25" s="24" t="n">
        <v>-0.112</v>
      </c>
      <c r="J25" s="24" t="n">
        <v>0.3294</v>
      </c>
      <c r="K25" s="24" t="n">
        <v>0.1446</v>
      </c>
      <c r="L25" s="24" t="n">
        <v>43.7375</v>
      </c>
      <c r="M25" s="24" t="n">
        <v>34.9055</v>
      </c>
      <c r="N25" s="24" t="n">
        <v>7.7942</v>
      </c>
      <c r="O25" s="24" t="n">
        <v>198.6439</v>
      </c>
      <c r="P25" s="24" t="n">
        <v>148.0446</v>
      </c>
      <c r="Q25" s="24" t="n">
        <v>-6.4572</v>
      </c>
      <c r="R25" s="24" t="n">
        <v>5.7047</v>
      </c>
      <c r="S25" s="24" t="n">
        <v>0.5467</v>
      </c>
      <c r="T25" s="24" t="n">
        <v>468.1708</v>
      </c>
      <c r="U25" s="24" t="n">
        <v>33.1093</v>
      </c>
      <c r="V25" s="24" t="n">
        <v>35.583</v>
      </c>
    </row>
    <row r="26" customFormat="false" ht="15" hidden="false" customHeight="false" outlineLevel="0" collapsed="false">
      <c r="A26" s="9" t="s">
        <v>736</v>
      </c>
      <c r="B26" s="9" t="s">
        <v>737</v>
      </c>
      <c r="C26" s="9" t="s">
        <v>699</v>
      </c>
      <c r="D26" s="23" t="n">
        <v>0.1269</v>
      </c>
      <c r="E26" s="24" t="n">
        <v>779.0351</v>
      </c>
      <c r="F26" s="24" t="n">
        <v>3.1206</v>
      </c>
      <c r="G26" s="24" t="n">
        <v>18.0256</v>
      </c>
      <c r="H26" s="24" t="n">
        <v>14.905</v>
      </c>
      <c r="I26" s="24" t="n">
        <v>8.618</v>
      </c>
      <c r="J26" s="24" t="n">
        <v>5.6065</v>
      </c>
      <c r="K26" s="24" t="n">
        <v>4.7908</v>
      </c>
      <c r="L26" s="24" t="n">
        <v>409.7733</v>
      </c>
      <c r="M26" s="24" t="n">
        <v>296.7357</v>
      </c>
      <c r="N26" s="24" t="n">
        <v>106.2815</v>
      </c>
      <c r="O26" s="24" t="n">
        <v>520.3715</v>
      </c>
      <c r="P26" s="24" t="n">
        <v>441.8925</v>
      </c>
      <c r="Q26" s="24" t="n">
        <v>60.1436</v>
      </c>
      <c r="R26" s="24" t="n">
        <v>51.9383</v>
      </c>
      <c r="S26" s="24" t="n">
        <v>24.2547</v>
      </c>
      <c r="T26" s="24" t="n">
        <v>4475.4282</v>
      </c>
      <c r="U26" s="24" t="n">
        <v>149.688</v>
      </c>
      <c r="V26" s="24" t="n">
        <v>169.164</v>
      </c>
    </row>
    <row r="27" customFormat="false" ht="15" hidden="false" customHeight="false" outlineLevel="0" collapsed="false">
      <c r="A27" s="9" t="s">
        <v>738</v>
      </c>
      <c r="B27" s="9" t="s">
        <v>739</v>
      </c>
      <c r="C27" s="9" t="s">
        <v>695</v>
      </c>
      <c r="D27" s="23" t="n">
        <v>0.0659</v>
      </c>
      <c r="E27" s="24" t="n">
        <v>769.1411</v>
      </c>
      <c r="F27" s="24" t="n">
        <v>2.5143</v>
      </c>
      <c r="G27" s="24" t="n">
        <v>9.1315</v>
      </c>
      <c r="H27" s="24" t="n">
        <v>6.6173</v>
      </c>
      <c r="I27" s="24" t="n">
        <v>0.9339</v>
      </c>
      <c r="J27" s="24" t="n">
        <v>0.8029</v>
      </c>
      <c r="K27" s="24" t="n">
        <v>0.4255</v>
      </c>
      <c r="L27" s="24" t="n">
        <v>74.8536</v>
      </c>
      <c r="M27" s="24" t="n">
        <v>51.8024</v>
      </c>
      <c r="N27" s="24" t="n">
        <v>13.952</v>
      </c>
      <c r="O27" s="24" t="n">
        <v>205.3505</v>
      </c>
      <c r="P27" s="24" t="n">
        <v>138.6381</v>
      </c>
      <c r="Q27" s="24" t="n">
        <v>12.1228</v>
      </c>
      <c r="R27" s="24" t="n">
        <v>10.0961</v>
      </c>
      <c r="S27" s="24" t="n">
        <v>1.5559</v>
      </c>
      <c r="T27" s="24" t="n">
        <v>910.7283</v>
      </c>
      <c r="U27" s="24" t="n">
        <v>34.8486</v>
      </c>
      <c r="V27" s="24" t="n">
        <v>41.612</v>
      </c>
    </row>
    <row r="28" customFormat="false" ht="15" hidden="false" customHeight="false" outlineLevel="0" collapsed="false">
      <c r="A28" s="9" t="s">
        <v>740</v>
      </c>
      <c r="B28" s="9" t="s">
        <v>741</v>
      </c>
      <c r="C28" s="9" t="s">
        <v>695</v>
      </c>
      <c r="D28" s="23" t="n">
        <v>0.0546</v>
      </c>
      <c r="E28" s="24" t="n">
        <v>704.9639</v>
      </c>
      <c r="F28" s="24" t="n">
        <v>1.6465</v>
      </c>
      <c r="G28" s="24" t="n">
        <v>9.9486</v>
      </c>
      <c r="H28" s="24" t="n">
        <v>8.302</v>
      </c>
      <c r="I28" s="24" t="n">
        <v>-6.294</v>
      </c>
      <c r="J28" s="24" t="n">
        <v>-6.1507</v>
      </c>
      <c r="K28" s="24" t="n">
        <v>-6.7954</v>
      </c>
      <c r="L28" s="24" t="n">
        <v>79.6572</v>
      </c>
      <c r="M28" s="24" t="n">
        <v>56.8787</v>
      </c>
      <c r="N28" s="24" t="n">
        <v>12.1001</v>
      </c>
      <c r="O28" s="24" t="n">
        <v>223.3604</v>
      </c>
      <c r="P28" s="24" t="n">
        <v>184.9739</v>
      </c>
      <c r="Q28" s="24" t="n">
        <v>-129.7409</v>
      </c>
      <c r="R28" s="24" t="n">
        <v>-117.1308</v>
      </c>
      <c r="S28" s="24" t="n">
        <v>-133.206</v>
      </c>
      <c r="T28" s="24" t="n">
        <v>1149.9026</v>
      </c>
      <c r="U28" s="24" t="n">
        <v>46.8603</v>
      </c>
      <c r="V28" s="24" t="n">
        <v>56.66</v>
      </c>
    </row>
    <row r="29" customFormat="false" ht="15" hidden="false" customHeight="false" outlineLevel="0" collapsed="false">
      <c r="A29" s="9" t="s">
        <v>742</v>
      </c>
      <c r="B29" s="9" t="s">
        <v>743</v>
      </c>
      <c r="C29" s="9" t="s">
        <v>695</v>
      </c>
      <c r="D29" s="23" t="n">
        <v>0.038</v>
      </c>
      <c r="E29" s="24" t="n">
        <v>704.566</v>
      </c>
      <c r="F29" s="24" t="n">
        <v>2.5235</v>
      </c>
      <c r="G29" s="24" t="n">
        <v>14.2979</v>
      </c>
      <c r="H29" s="24" t="n">
        <v>11.7744</v>
      </c>
      <c r="I29" s="24" t="n">
        <v>0.0193</v>
      </c>
      <c r="J29" s="24" t="n">
        <v>0.9956</v>
      </c>
      <c r="K29" s="24" t="n">
        <v>0.5255</v>
      </c>
      <c r="L29" s="24" t="n">
        <v>107.4836</v>
      </c>
      <c r="M29" s="24" t="n">
        <v>83.6658</v>
      </c>
      <c r="N29" s="24" t="n">
        <v>14.6539</v>
      </c>
      <c r="O29" s="24" t="n">
        <v>349.1559</v>
      </c>
      <c r="P29" s="24" t="n">
        <v>289.2473</v>
      </c>
      <c r="Q29" s="24" t="n">
        <v>-4.3407</v>
      </c>
      <c r="R29" s="24" t="n">
        <v>19.4635</v>
      </c>
      <c r="S29" s="24" t="n">
        <v>8.0874</v>
      </c>
      <c r="T29" s="24" t="n">
        <v>1284.4402</v>
      </c>
      <c r="U29" s="24" t="n">
        <v>79.4573</v>
      </c>
      <c r="V29" s="24" t="n">
        <v>95.476</v>
      </c>
    </row>
    <row r="30" customFormat="false" ht="15" hidden="false" customHeight="false" outlineLevel="0" collapsed="false">
      <c r="A30" s="9" t="s">
        <v>744</v>
      </c>
      <c r="B30" s="9" t="s">
        <v>745</v>
      </c>
      <c r="C30" s="9" t="s">
        <v>699</v>
      </c>
      <c r="D30" s="23" t="n">
        <v>0.0931</v>
      </c>
      <c r="E30" s="24" t="n">
        <v>684.9784</v>
      </c>
      <c r="F30" s="24" t="n">
        <v>8.2389</v>
      </c>
      <c r="G30" s="24" t="n">
        <v>22.4248</v>
      </c>
      <c r="H30" s="24" t="n">
        <v>14.1859</v>
      </c>
      <c r="I30" s="24" t="n">
        <v>2.9998</v>
      </c>
      <c r="J30" s="24" t="n">
        <v>1.5259</v>
      </c>
      <c r="K30" s="24" t="n">
        <v>-0.4338</v>
      </c>
      <c r="L30" s="24" t="n">
        <v>527.7303</v>
      </c>
      <c r="M30" s="24" t="n">
        <v>414.4879</v>
      </c>
      <c r="N30" s="24" t="n">
        <v>108.5209</v>
      </c>
      <c r="O30" s="24" t="n">
        <v>767.0283</v>
      </c>
      <c r="P30" s="24" t="n">
        <v>539.8515</v>
      </c>
      <c r="Q30" s="24" t="n">
        <v>18.017</v>
      </c>
      <c r="R30" s="24" t="n">
        <v>-22.7443</v>
      </c>
      <c r="S30" s="24" t="n">
        <v>-86.2071</v>
      </c>
      <c r="T30" s="24" t="n">
        <v>7779.678</v>
      </c>
      <c r="U30" s="24" t="n">
        <v>240.5028</v>
      </c>
      <c r="V30" s="24" t="n">
        <v>291.761</v>
      </c>
    </row>
    <row r="31" customFormat="false" ht="15" hidden="false" customHeight="false" outlineLevel="0" collapsed="false">
      <c r="A31" s="9" t="s">
        <v>746</v>
      </c>
      <c r="B31" s="9" t="s">
        <v>747</v>
      </c>
      <c r="C31" s="9" t="s">
        <v>695</v>
      </c>
      <c r="D31" s="23" t="n">
        <v>0.035</v>
      </c>
      <c r="E31" s="24" t="n">
        <v>674.6599</v>
      </c>
      <c r="F31" s="24" t="n">
        <v>4.585</v>
      </c>
      <c r="G31" s="24" t="n">
        <v>8.4345</v>
      </c>
      <c r="H31" s="24" t="n">
        <v>3.8494</v>
      </c>
      <c r="I31" s="24" t="n">
        <v>0.2828</v>
      </c>
      <c r="J31" s="24" t="n">
        <v>0.6349</v>
      </c>
      <c r="K31" s="24" t="n">
        <v>0.5548</v>
      </c>
      <c r="L31" s="24" t="n">
        <v>42.6191</v>
      </c>
      <c r="M31" s="24" t="n">
        <v>34.9814</v>
      </c>
      <c r="N31" s="24" t="n">
        <v>8.3509</v>
      </c>
      <c r="O31" s="24" t="n">
        <v>205.9162</v>
      </c>
      <c r="P31" s="24" t="n">
        <v>104.2148</v>
      </c>
      <c r="Q31" s="24" t="n">
        <v>-0.0203</v>
      </c>
      <c r="R31" s="24" t="n">
        <v>8.8516</v>
      </c>
      <c r="S31" s="24" t="n">
        <v>6.7906</v>
      </c>
      <c r="T31" s="24" t="n">
        <v>430.0719</v>
      </c>
      <c r="U31" s="24" t="n">
        <v>35.0347</v>
      </c>
      <c r="V31" s="24" t="n">
        <v>35.221</v>
      </c>
    </row>
    <row r="32" customFormat="false" ht="15" hidden="false" customHeight="false" outlineLevel="0" collapsed="false">
      <c r="A32" s="9" t="s">
        <v>748</v>
      </c>
      <c r="B32" s="9" t="s">
        <v>749</v>
      </c>
      <c r="C32" s="9" t="s">
        <v>699</v>
      </c>
      <c r="D32" s="23" t="n">
        <v>0.0535</v>
      </c>
      <c r="E32" s="24" t="n">
        <v>674.4437</v>
      </c>
      <c r="F32" s="24" t="n">
        <v>5.0073</v>
      </c>
      <c r="G32" s="24" t="n">
        <v>20.3986</v>
      </c>
      <c r="H32" s="24" t="n">
        <v>15.3913</v>
      </c>
      <c r="I32" s="24" t="n">
        <v>4.7892</v>
      </c>
      <c r="J32" s="24" t="n">
        <v>5.1343</v>
      </c>
      <c r="K32" s="24" t="n">
        <v>4.7608</v>
      </c>
      <c r="L32" s="24" t="n">
        <v>324.1665</v>
      </c>
      <c r="M32" s="24" t="n">
        <v>275.7534</v>
      </c>
      <c r="N32" s="24" t="n">
        <v>70.8949</v>
      </c>
      <c r="O32" s="24" t="n">
        <v>638.4005</v>
      </c>
      <c r="P32" s="24" t="n">
        <v>511.1385</v>
      </c>
      <c r="Q32" s="24" t="n">
        <v>82.046</v>
      </c>
      <c r="R32" s="24" t="n">
        <v>84.6479</v>
      </c>
      <c r="S32" s="24" t="n">
        <v>73.1524</v>
      </c>
      <c r="T32" s="24" t="n">
        <v>3052.8966</v>
      </c>
      <c r="U32" s="24" t="n">
        <v>191.0236</v>
      </c>
      <c r="V32" s="24" t="n">
        <v>230.363</v>
      </c>
    </row>
    <row r="33" customFormat="false" ht="15" hidden="false" customHeight="false" outlineLevel="0" collapsed="false">
      <c r="A33" s="9" t="s">
        <v>750</v>
      </c>
      <c r="B33" s="9" t="s">
        <v>751</v>
      </c>
      <c r="C33" s="9" t="s">
        <v>695</v>
      </c>
      <c r="D33" s="23" t="n">
        <v>0.055</v>
      </c>
      <c r="E33" s="24" t="n">
        <v>654.6505</v>
      </c>
      <c r="F33" s="24" t="n">
        <v>4.9299</v>
      </c>
      <c r="G33" s="24" t="n">
        <v>15.2237</v>
      </c>
      <c r="H33" s="24" t="n">
        <v>10.2938</v>
      </c>
      <c r="I33" s="24" t="n">
        <v>2.3101</v>
      </c>
      <c r="J33" s="24" t="n">
        <v>2.4764</v>
      </c>
      <c r="K33" s="24" t="n">
        <v>2.1547</v>
      </c>
      <c r="L33" s="24" t="n">
        <v>91.2586</v>
      </c>
      <c r="M33" s="24" t="n">
        <v>66.5244</v>
      </c>
      <c r="N33" s="24" t="n">
        <v>16.8958</v>
      </c>
      <c r="O33" s="24" t="n">
        <v>305.4212</v>
      </c>
      <c r="P33" s="24" t="n">
        <v>187.8244</v>
      </c>
      <c r="Q33" s="24" t="n">
        <v>47.6471</v>
      </c>
      <c r="R33" s="24" t="n">
        <v>48.3851</v>
      </c>
      <c r="S33" s="24" t="n">
        <v>40.5899</v>
      </c>
      <c r="T33" s="24" t="n">
        <v>1081.214</v>
      </c>
      <c r="U33" s="24" t="n">
        <v>54.9207</v>
      </c>
      <c r="V33" s="24" t="n">
        <v>62.811</v>
      </c>
    </row>
    <row r="34" customFormat="false" ht="15" hidden="false" customHeight="false" outlineLevel="0" collapsed="false">
      <c r="A34" s="9" t="s">
        <v>752</v>
      </c>
      <c r="B34" s="9" t="s">
        <v>753</v>
      </c>
      <c r="C34" s="9" t="s">
        <v>699</v>
      </c>
      <c r="D34" s="23" t="n">
        <v>0.0905</v>
      </c>
      <c r="E34" s="24" t="n">
        <v>590.2485</v>
      </c>
      <c r="F34" s="24" t="n">
        <v>3.3715</v>
      </c>
      <c r="G34" s="24" t="n">
        <v>16.8157</v>
      </c>
      <c r="H34" s="24" t="n">
        <v>13.4442</v>
      </c>
      <c r="I34" s="24" t="n">
        <v>2.9816</v>
      </c>
      <c r="J34" s="24" t="n">
        <v>1.8043</v>
      </c>
      <c r="K34" s="24" t="n">
        <v>-0.8954</v>
      </c>
      <c r="L34" s="24" t="n">
        <v>497.4464</v>
      </c>
      <c r="M34" s="24" t="n">
        <v>380.3069</v>
      </c>
      <c r="N34" s="24" t="n">
        <v>123.4409</v>
      </c>
      <c r="O34" s="24" t="n">
        <v>601.796</v>
      </c>
      <c r="P34" s="24" t="n">
        <v>499.5641</v>
      </c>
      <c r="Q34" s="24" t="n">
        <v>-1.6844</v>
      </c>
      <c r="R34" s="24" t="n">
        <v>-44.9755</v>
      </c>
      <c r="S34" s="24" t="n">
        <v>-128.8958</v>
      </c>
      <c r="T34" s="24" t="n">
        <v>6062.8184</v>
      </c>
      <c r="U34" s="24" t="n">
        <v>251.8793</v>
      </c>
      <c r="V34" s="24" t="n">
        <v>290.725</v>
      </c>
    </row>
    <row r="35" customFormat="false" ht="15" hidden="false" customHeight="false" outlineLevel="0" collapsed="false">
      <c r="A35" s="9" t="s">
        <v>754</v>
      </c>
      <c r="B35" s="9" t="s">
        <v>755</v>
      </c>
      <c r="C35" s="9" t="s">
        <v>699</v>
      </c>
      <c r="D35" s="23" t="n">
        <v>0.0781</v>
      </c>
      <c r="E35" s="24" t="n">
        <v>587.9526</v>
      </c>
      <c r="F35" s="24" t="n">
        <v>3.044</v>
      </c>
      <c r="G35" s="24" t="n">
        <v>11.4312</v>
      </c>
      <c r="H35" s="24" t="n">
        <v>8.3872</v>
      </c>
      <c r="I35" s="24" t="n">
        <v>0.9058</v>
      </c>
      <c r="J35" s="24" t="n">
        <v>0.4669</v>
      </c>
      <c r="K35" s="24" t="n">
        <v>-2.7414</v>
      </c>
      <c r="L35" s="24" t="n">
        <v>291.3605</v>
      </c>
      <c r="M35" s="24" t="n">
        <v>226.6378</v>
      </c>
      <c r="N35" s="24" t="n">
        <v>70.7972</v>
      </c>
      <c r="O35" s="24" t="n">
        <v>430.0523</v>
      </c>
      <c r="P35" s="24" t="n">
        <v>339.0728</v>
      </c>
      <c r="Q35" s="24" t="n">
        <v>-15.3474</v>
      </c>
      <c r="R35" s="24" t="n">
        <v>-36.9997</v>
      </c>
      <c r="S35" s="24" t="n">
        <v>-135.4451</v>
      </c>
      <c r="T35" s="24" t="n">
        <v>3885.6111</v>
      </c>
      <c r="U35" s="24" t="n">
        <v>142.5907</v>
      </c>
      <c r="V35" s="24" t="n">
        <v>157.056</v>
      </c>
    </row>
    <row r="36" customFormat="false" ht="15" hidden="false" customHeight="false" outlineLevel="0" collapsed="false">
      <c r="A36" s="9" t="s">
        <v>756</v>
      </c>
      <c r="B36" s="9" t="s">
        <v>757</v>
      </c>
      <c r="C36" s="9" t="s">
        <v>699</v>
      </c>
      <c r="D36" s="23" t="n">
        <v>0.0894</v>
      </c>
      <c r="E36" s="24" t="n">
        <v>583.5646</v>
      </c>
      <c r="F36" s="24" t="n">
        <v>3.3541</v>
      </c>
      <c r="G36" s="24" t="n">
        <v>13.1958</v>
      </c>
      <c r="H36" s="24" t="n">
        <v>9.8417</v>
      </c>
      <c r="I36" s="24" t="n">
        <v>3.3186</v>
      </c>
      <c r="J36" s="24" t="n">
        <v>2.5718</v>
      </c>
      <c r="K36" s="24" t="n">
        <v>-0.7208</v>
      </c>
      <c r="L36" s="24" t="n">
        <v>378.8846</v>
      </c>
      <c r="M36" s="24" t="n">
        <v>272.3811</v>
      </c>
      <c r="N36" s="24" t="n">
        <v>88.028</v>
      </c>
      <c r="O36" s="24" t="n">
        <v>486.9148</v>
      </c>
      <c r="P36" s="24" t="n">
        <v>383.6638</v>
      </c>
      <c r="Q36" s="24" t="n">
        <v>28.2737</v>
      </c>
      <c r="R36" s="24" t="n">
        <v>13.829</v>
      </c>
      <c r="S36" s="24" t="n">
        <v>-89.3215</v>
      </c>
      <c r="T36" s="24" t="n">
        <v>5538.4272</v>
      </c>
      <c r="U36" s="24" t="n">
        <v>156.9885</v>
      </c>
      <c r="V36" s="24" t="n">
        <v>130.798</v>
      </c>
    </row>
    <row r="37" customFormat="false" ht="15" hidden="false" customHeight="false" outlineLevel="0" collapsed="false">
      <c r="A37" s="9" t="s">
        <v>758</v>
      </c>
      <c r="B37" s="9" t="s">
        <v>759</v>
      </c>
      <c r="C37" s="9" t="s">
        <v>695</v>
      </c>
      <c r="D37" s="23" t="n">
        <v>0.0611</v>
      </c>
      <c r="E37" s="24" t="n">
        <v>559.7546</v>
      </c>
      <c r="F37" s="24" t="n">
        <v>3.5658</v>
      </c>
      <c r="G37" s="24" t="n">
        <v>9.6992</v>
      </c>
      <c r="H37" s="24" t="n">
        <v>6.1334</v>
      </c>
      <c r="I37" s="24" t="n">
        <v>0.5916</v>
      </c>
      <c r="J37" s="24" t="n">
        <v>0.5661</v>
      </c>
      <c r="K37" s="24" t="n">
        <v>0.3694</v>
      </c>
      <c r="L37" s="24" t="n">
        <v>70.1094</v>
      </c>
      <c r="M37" s="24" t="n">
        <v>57.2257</v>
      </c>
      <c r="N37" s="24" t="n">
        <v>11.3275</v>
      </c>
      <c r="O37" s="24" t="n">
        <v>233.4895</v>
      </c>
      <c r="P37" s="24" t="n">
        <v>164.7412</v>
      </c>
      <c r="Q37" s="24" t="n">
        <v>7.3173</v>
      </c>
      <c r="R37" s="24" t="n">
        <v>6.8127</v>
      </c>
      <c r="S37" s="24" t="n">
        <v>1.544</v>
      </c>
      <c r="T37" s="24" t="n">
        <v>723.0927</v>
      </c>
      <c r="U37" s="24" t="n">
        <v>52.2897</v>
      </c>
      <c r="V37" s="24" t="n">
        <v>64.767</v>
      </c>
    </row>
    <row r="38" customFormat="false" ht="15" hidden="false" customHeight="false" outlineLevel="0" collapsed="false">
      <c r="A38" s="9" t="s">
        <v>760</v>
      </c>
      <c r="B38" s="9" t="s">
        <v>761</v>
      </c>
      <c r="C38" s="9" t="s">
        <v>699</v>
      </c>
      <c r="D38" s="23" t="n">
        <v>0.0656</v>
      </c>
      <c r="E38" s="24" t="n">
        <v>552.2424</v>
      </c>
      <c r="F38" s="24" t="n">
        <v>3.9742</v>
      </c>
      <c r="G38" s="24" t="n">
        <v>18.6056</v>
      </c>
      <c r="H38" s="24" t="n">
        <v>14.6314</v>
      </c>
      <c r="I38" s="24" t="n">
        <v>3.3558</v>
      </c>
      <c r="J38" s="24" t="n">
        <v>3.1433</v>
      </c>
      <c r="K38" s="24" t="n">
        <v>1.5434</v>
      </c>
      <c r="L38" s="24" t="n">
        <v>450.1257</v>
      </c>
      <c r="M38" s="24" t="n">
        <v>324.9271</v>
      </c>
      <c r="N38" s="24" t="n">
        <v>81.1552</v>
      </c>
      <c r="O38" s="24" t="n">
        <v>635.4744</v>
      </c>
      <c r="P38" s="24" t="n">
        <v>531.3945</v>
      </c>
      <c r="Q38" s="24" t="n">
        <v>-9.313</v>
      </c>
      <c r="R38" s="24" t="n">
        <v>-18.2948</v>
      </c>
      <c r="S38" s="24" t="n">
        <v>-77.6712</v>
      </c>
      <c r="T38" s="24" t="n">
        <v>6556.5295</v>
      </c>
      <c r="U38" s="24" t="n">
        <v>238.6664</v>
      </c>
      <c r="V38" s="24" t="n">
        <v>276.641</v>
      </c>
    </row>
    <row r="39" customFormat="false" ht="15" hidden="false" customHeight="false" outlineLevel="0" collapsed="false">
      <c r="A39" s="9" t="s">
        <v>762</v>
      </c>
      <c r="B39" s="9" t="s">
        <v>763</v>
      </c>
      <c r="C39" s="9" t="s">
        <v>695</v>
      </c>
      <c r="D39" s="23" t="n">
        <v>0.0478</v>
      </c>
      <c r="E39" s="24" t="n">
        <v>544.8756</v>
      </c>
      <c r="F39" s="24" t="n">
        <v>2.3148</v>
      </c>
      <c r="G39" s="24" t="n">
        <v>7.3994</v>
      </c>
      <c r="H39" s="24" t="n">
        <v>5.0846</v>
      </c>
      <c r="I39" s="24" t="n">
        <v>1.3789</v>
      </c>
      <c r="J39" s="24" t="n">
        <v>1.6235</v>
      </c>
      <c r="K39" s="24" t="n">
        <v>1.572</v>
      </c>
      <c r="L39" s="24" t="n">
        <v>48.2131</v>
      </c>
      <c r="M39" s="24" t="n">
        <v>38.8231</v>
      </c>
      <c r="N39" s="24" t="n">
        <v>8.4143</v>
      </c>
      <c r="O39" s="24" t="n">
        <v>202.2568</v>
      </c>
      <c r="P39" s="24" t="n">
        <v>148.6207</v>
      </c>
      <c r="Q39" s="24" t="n">
        <v>34.1919</v>
      </c>
      <c r="R39" s="24" t="n">
        <v>34.5751</v>
      </c>
      <c r="S39" s="24" t="n">
        <v>33.2549</v>
      </c>
      <c r="T39" s="24" t="n">
        <v>528.5888</v>
      </c>
      <c r="U39" s="24" t="n">
        <v>35.94</v>
      </c>
      <c r="V39" s="24" t="n">
        <v>40.74</v>
      </c>
    </row>
    <row r="40" customFormat="false" ht="15" hidden="false" customHeight="false" outlineLevel="0" collapsed="false">
      <c r="A40" s="9" t="s">
        <v>764</v>
      </c>
      <c r="B40" s="9" t="s">
        <v>765</v>
      </c>
      <c r="C40" s="9" t="s">
        <v>699</v>
      </c>
      <c r="D40" s="23" t="n">
        <v>0.1034</v>
      </c>
      <c r="E40" s="24" t="n">
        <v>491.4085</v>
      </c>
      <c r="F40" s="24" t="n">
        <v>4.1348</v>
      </c>
      <c r="G40" s="24" t="n">
        <v>14.0157</v>
      </c>
      <c r="H40" s="24" t="n">
        <v>9.8809</v>
      </c>
      <c r="I40" s="24" t="n">
        <v>-2.2955</v>
      </c>
      <c r="J40" s="24" t="n">
        <v>-3.7583</v>
      </c>
      <c r="K40" s="24" t="n">
        <v>-10.5534</v>
      </c>
      <c r="L40" s="24" t="n">
        <v>444.8409</v>
      </c>
      <c r="M40" s="24" t="n">
        <v>362.0718</v>
      </c>
      <c r="N40" s="24" t="n">
        <v>99.4925</v>
      </c>
      <c r="O40" s="24" t="n">
        <v>511.137</v>
      </c>
      <c r="P40" s="24" t="n">
        <v>388.1558</v>
      </c>
      <c r="Q40" s="24" t="n">
        <v>-78.8208</v>
      </c>
      <c r="R40" s="24" t="n">
        <v>-202.5221</v>
      </c>
      <c r="S40" s="24" t="n">
        <v>-426.9389</v>
      </c>
      <c r="T40" s="24" t="n">
        <v>6131.7049</v>
      </c>
      <c r="U40" s="24" t="n">
        <v>268.4359</v>
      </c>
      <c r="V40" s="24" t="n">
        <v>282.871</v>
      </c>
    </row>
    <row r="41" customFormat="false" ht="15" hidden="false" customHeight="false" outlineLevel="0" collapsed="false">
      <c r="A41" s="9" t="s">
        <v>766</v>
      </c>
      <c r="B41" s="9" t="s">
        <v>767</v>
      </c>
      <c r="C41" s="9" t="s">
        <v>699</v>
      </c>
      <c r="D41" s="23" t="n">
        <v>0.0684</v>
      </c>
      <c r="E41" s="24" t="n">
        <v>486.8081</v>
      </c>
      <c r="F41" s="24" t="n">
        <v>1.0054</v>
      </c>
      <c r="G41" s="24" t="n">
        <v>10.5381</v>
      </c>
      <c r="H41" s="24" t="n">
        <v>9.5327</v>
      </c>
      <c r="I41" s="24" t="n">
        <v>5.9071</v>
      </c>
      <c r="J41" s="24" t="n">
        <v>5.7907</v>
      </c>
      <c r="K41" s="24" t="n">
        <v>4.3572</v>
      </c>
      <c r="L41" s="24" t="n">
        <v>293.614</v>
      </c>
      <c r="M41" s="24" t="n">
        <v>165.5325</v>
      </c>
      <c r="N41" s="24" t="n">
        <v>68.1925</v>
      </c>
      <c r="O41" s="24" t="n">
        <v>310.811</v>
      </c>
      <c r="P41" s="24" t="n">
        <v>279.3792</v>
      </c>
      <c r="Q41" s="24" t="n">
        <v>46.8963</v>
      </c>
      <c r="R41" s="24" t="n">
        <v>47.7067</v>
      </c>
      <c r="S41" s="24" t="n">
        <v>6.4208</v>
      </c>
      <c r="T41" s="24" t="n">
        <v>4029.2912</v>
      </c>
      <c r="U41" s="24" t="n">
        <v>74.4743</v>
      </c>
      <c r="V41" s="24" t="n">
        <v>85.273</v>
      </c>
    </row>
    <row r="42" customFormat="false" ht="15" hidden="false" customHeight="false" outlineLevel="0" collapsed="false">
      <c r="A42" s="9" t="s">
        <v>768</v>
      </c>
      <c r="B42" s="9" t="s">
        <v>769</v>
      </c>
      <c r="C42" s="9" t="s">
        <v>695</v>
      </c>
      <c r="D42" s="23" t="n">
        <v>0.0375</v>
      </c>
      <c r="E42" s="24" t="n">
        <v>480.5177</v>
      </c>
      <c r="F42" s="24" t="n">
        <v>2.2348</v>
      </c>
      <c r="G42" s="24" t="n">
        <v>5.9071</v>
      </c>
      <c r="H42" s="24" t="n">
        <v>3.6722</v>
      </c>
      <c r="I42" s="24" t="n">
        <v>0.4715</v>
      </c>
      <c r="J42" s="24" t="n">
        <v>0.7639</v>
      </c>
      <c r="K42" s="24" t="n">
        <v>0.6749</v>
      </c>
      <c r="L42" s="24" t="n">
        <v>46.9738</v>
      </c>
      <c r="M42" s="24" t="n">
        <v>35.1788</v>
      </c>
      <c r="N42" s="24" t="n">
        <v>9.4936</v>
      </c>
      <c r="O42" s="24" t="n">
        <v>145.9101</v>
      </c>
      <c r="P42" s="24" t="n">
        <v>94.9417</v>
      </c>
      <c r="Q42" s="24" t="n">
        <v>4.0438</v>
      </c>
      <c r="R42" s="24" t="n">
        <v>9.9136</v>
      </c>
      <c r="S42" s="24" t="n">
        <v>7.6027</v>
      </c>
      <c r="T42" s="24" t="n">
        <v>529.9396</v>
      </c>
      <c r="U42" s="24" t="n">
        <v>26.5549</v>
      </c>
      <c r="V42" s="24" t="n">
        <v>32.152</v>
      </c>
    </row>
    <row r="43" customFormat="false" ht="15" hidden="false" customHeight="false" outlineLevel="0" collapsed="false">
      <c r="A43" s="9" t="s">
        <v>770</v>
      </c>
      <c r="B43" s="9" t="s">
        <v>771</v>
      </c>
      <c r="C43" s="9" t="s">
        <v>695</v>
      </c>
      <c r="D43" s="23" t="n">
        <v>0.055</v>
      </c>
      <c r="E43" s="24" t="n">
        <v>473.2356</v>
      </c>
      <c r="F43" s="24" t="n">
        <v>1.3886</v>
      </c>
      <c r="G43" s="24" t="n">
        <v>6.8216</v>
      </c>
      <c r="H43" s="24" t="n">
        <v>5.433</v>
      </c>
      <c r="I43" s="24" t="n">
        <v>-2.7908</v>
      </c>
      <c r="J43" s="24" t="n">
        <v>-2.6958</v>
      </c>
      <c r="K43" s="24" t="n">
        <v>-2.6958</v>
      </c>
      <c r="L43" s="24" t="n">
        <v>49.6264</v>
      </c>
      <c r="M43" s="24" t="n">
        <v>30.742</v>
      </c>
      <c r="N43" s="24" t="n">
        <v>4.5372</v>
      </c>
      <c r="O43" s="24" t="n">
        <v>128.2703</v>
      </c>
      <c r="P43" s="24" t="n">
        <v>94.6202</v>
      </c>
      <c r="Q43" s="24" t="n">
        <v>-53.6081</v>
      </c>
      <c r="R43" s="24" t="n">
        <v>-48.0312</v>
      </c>
      <c r="S43" s="24" t="n">
        <v>-48.0312</v>
      </c>
      <c r="T43" s="24" t="n">
        <v>874.1398</v>
      </c>
      <c r="U43" s="24" t="n">
        <v>40.6051</v>
      </c>
      <c r="V43" s="24" t="n">
        <v>36.233</v>
      </c>
    </row>
    <row r="44" customFormat="false" ht="15" hidden="false" customHeight="false" outlineLevel="0" collapsed="false">
      <c r="A44" s="9" t="s">
        <v>772</v>
      </c>
      <c r="B44" s="9" t="s">
        <v>773</v>
      </c>
      <c r="C44" s="9" t="s">
        <v>699</v>
      </c>
      <c r="D44" s="23" t="n">
        <v>0.0891</v>
      </c>
      <c r="E44" s="24" t="n">
        <v>459.3097</v>
      </c>
      <c r="F44" s="24" t="n">
        <v>3.4261</v>
      </c>
      <c r="G44" s="24" t="n">
        <v>15.6628</v>
      </c>
      <c r="H44" s="24" t="n">
        <v>12.2367</v>
      </c>
      <c r="I44" s="24" t="n">
        <v>6.9936</v>
      </c>
      <c r="J44" s="24" t="n">
        <v>6.2232</v>
      </c>
      <c r="K44" s="24" t="n">
        <v>4.9315</v>
      </c>
      <c r="L44" s="24" t="n">
        <v>545.8447</v>
      </c>
      <c r="M44" s="24" t="n">
        <v>419.219</v>
      </c>
      <c r="N44" s="24" t="n">
        <v>179.7601</v>
      </c>
      <c r="O44" s="24" t="n">
        <v>535.3006</v>
      </c>
      <c r="P44" s="24" t="n">
        <v>426.0103</v>
      </c>
      <c r="Q44" s="24" t="n">
        <v>52.9357</v>
      </c>
      <c r="R44" s="24" t="n">
        <v>49.745</v>
      </c>
      <c r="S44" s="24" t="n">
        <v>8.6411</v>
      </c>
      <c r="T44" s="24" t="n">
        <v>5388.7715</v>
      </c>
      <c r="U44" s="24" t="n">
        <v>167.0521</v>
      </c>
      <c r="V44" s="24" t="n">
        <v>186.695</v>
      </c>
    </row>
    <row r="45" customFormat="false" ht="15" hidden="false" customHeight="false" outlineLevel="0" collapsed="false">
      <c r="A45" s="9" t="s">
        <v>774</v>
      </c>
      <c r="B45" s="9" t="s">
        <v>775</v>
      </c>
      <c r="C45" s="9" t="s">
        <v>699</v>
      </c>
      <c r="D45" s="23" t="n">
        <v>0.0915</v>
      </c>
      <c r="E45" s="24" t="n">
        <v>433.191</v>
      </c>
      <c r="F45" s="24" t="n">
        <v>4.1516</v>
      </c>
      <c r="G45" s="24" t="n">
        <v>17.2402</v>
      </c>
      <c r="H45" s="24" t="n">
        <v>13.0886</v>
      </c>
      <c r="I45" s="24" t="n">
        <v>5.8035</v>
      </c>
      <c r="J45" s="24" t="n">
        <v>4.3461</v>
      </c>
      <c r="K45" s="24" t="n">
        <v>2.274</v>
      </c>
      <c r="L45" s="24" t="n">
        <v>533.5536</v>
      </c>
      <c r="M45" s="24" t="n">
        <v>445.9769</v>
      </c>
      <c r="N45" s="24" t="n">
        <v>92.6971</v>
      </c>
      <c r="O45" s="24" t="n">
        <v>597.9496</v>
      </c>
      <c r="P45" s="24" t="n">
        <v>471.6452</v>
      </c>
      <c r="Q45" s="24" t="n">
        <v>67.329</v>
      </c>
      <c r="R45" s="24" t="n">
        <v>58.8007</v>
      </c>
      <c r="S45" s="24" t="n">
        <v>-5.2283</v>
      </c>
      <c r="T45" s="24" t="n">
        <v>5977.7092</v>
      </c>
      <c r="U45" s="24" t="n">
        <v>402.1456</v>
      </c>
      <c r="V45" s="24" t="n">
        <v>407.218</v>
      </c>
    </row>
    <row r="46" customFormat="false" ht="15" hidden="false" customHeight="false" outlineLevel="0" collapsed="false">
      <c r="A46" s="9" t="s">
        <v>776</v>
      </c>
      <c r="B46" s="9" t="s">
        <v>777</v>
      </c>
      <c r="C46" s="9" t="s">
        <v>699</v>
      </c>
      <c r="D46" s="23" t="n">
        <v>0.0719</v>
      </c>
      <c r="E46" s="24" t="n">
        <v>405.3078</v>
      </c>
      <c r="F46" s="24" t="n">
        <v>1.3201</v>
      </c>
      <c r="G46" s="24" t="n">
        <v>7.5205</v>
      </c>
      <c r="H46" s="24" t="n">
        <v>6.2004</v>
      </c>
      <c r="I46" s="24" t="n">
        <v>1.1493</v>
      </c>
      <c r="J46" s="24" t="n">
        <v>0.8742</v>
      </c>
      <c r="K46" s="24" t="n">
        <v>0.1244</v>
      </c>
      <c r="L46" s="24" t="n">
        <v>126.3724</v>
      </c>
      <c r="M46" s="24" t="n">
        <v>103.5534</v>
      </c>
      <c r="N46" s="24" t="n">
        <v>31.9809</v>
      </c>
      <c r="O46" s="24" t="n">
        <v>255.6061</v>
      </c>
      <c r="P46" s="24" t="n">
        <v>211.018</v>
      </c>
      <c r="Q46" s="24" t="n">
        <v>9.6945</v>
      </c>
      <c r="R46" s="24" t="n">
        <v>3.738</v>
      </c>
      <c r="S46" s="24" t="n">
        <v>-21.4607</v>
      </c>
      <c r="T46" s="24" t="n">
        <v>1277.499</v>
      </c>
      <c r="U46" s="24" t="n">
        <v>76.6284</v>
      </c>
      <c r="V46" s="24" t="n">
        <v>90.142</v>
      </c>
    </row>
    <row r="47" customFormat="false" ht="15" hidden="false" customHeight="false" outlineLevel="0" collapsed="false">
      <c r="A47" s="9" t="s">
        <v>778</v>
      </c>
      <c r="B47" s="9" t="s">
        <v>779</v>
      </c>
      <c r="C47" s="9" t="s">
        <v>695</v>
      </c>
      <c r="D47" s="23" t="n">
        <v>0.0575</v>
      </c>
      <c r="E47" s="24" t="n">
        <v>395.4653</v>
      </c>
      <c r="F47" s="24" t="n">
        <v>3.42</v>
      </c>
      <c r="G47" s="24" t="n">
        <v>13.2624</v>
      </c>
      <c r="H47" s="24" t="n">
        <v>9.8424</v>
      </c>
      <c r="I47" s="24" t="n">
        <v>0.9897</v>
      </c>
      <c r="J47" s="24" t="n">
        <v>1.0737</v>
      </c>
      <c r="K47" s="24" t="n">
        <v>0.1169</v>
      </c>
      <c r="L47" s="24" t="n">
        <v>113.6553</v>
      </c>
      <c r="M47" s="24" t="n">
        <v>83.2486</v>
      </c>
      <c r="N47" s="24" t="n">
        <v>16.198</v>
      </c>
      <c r="O47" s="24" t="n">
        <v>313.5224</v>
      </c>
      <c r="P47" s="24" t="n">
        <v>227.0709</v>
      </c>
      <c r="Q47" s="24" t="n">
        <v>15.1793</v>
      </c>
      <c r="R47" s="24" t="n">
        <v>16.7004</v>
      </c>
      <c r="S47" s="24" t="n">
        <v>-5.3741</v>
      </c>
      <c r="T47" s="24" t="n">
        <v>1280.9631</v>
      </c>
      <c r="U47" s="24" t="n">
        <v>78.2816</v>
      </c>
      <c r="V47" s="24" t="n">
        <v>88.264</v>
      </c>
    </row>
    <row r="48" customFormat="false" ht="15" hidden="false" customHeight="false" outlineLevel="0" collapsed="false">
      <c r="A48" s="9" t="s">
        <v>780</v>
      </c>
      <c r="B48" s="9" t="s">
        <v>781</v>
      </c>
      <c r="C48" s="9" t="s">
        <v>699</v>
      </c>
      <c r="D48" s="23" t="n">
        <v>0.0843</v>
      </c>
      <c r="E48" s="24" t="n">
        <v>384.5592</v>
      </c>
      <c r="F48" s="24" t="n">
        <v>2.5122</v>
      </c>
      <c r="G48" s="24" t="n">
        <v>16.0235</v>
      </c>
      <c r="H48" s="24" t="n">
        <v>13.5113</v>
      </c>
      <c r="I48" s="24" t="n">
        <v>5.1012</v>
      </c>
      <c r="J48" s="24" t="n">
        <v>3.9562</v>
      </c>
      <c r="K48" s="24" t="n">
        <v>-0.5507</v>
      </c>
      <c r="L48" s="24" t="n">
        <v>349.4327</v>
      </c>
      <c r="M48" s="24" t="n">
        <v>294.5347</v>
      </c>
      <c r="N48" s="24" t="n">
        <v>73.4047</v>
      </c>
      <c r="O48" s="24" t="n">
        <v>565.8145</v>
      </c>
      <c r="P48" s="24" t="n">
        <v>498.2564</v>
      </c>
      <c r="Q48" s="24" t="n">
        <v>63.2277</v>
      </c>
      <c r="R48" s="24" t="n">
        <v>51.7941</v>
      </c>
      <c r="S48" s="24" t="n">
        <v>-72.3863</v>
      </c>
      <c r="T48" s="24" t="n">
        <v>4072.0857</v>
      </c>
      <c r="U48" s="24" t="n">
        <v>210.2946</v>
      </c>
      <c r="V48" s="24" t="n">
        <v>234.272</v>
      </c>
    </row>
    <row r="49" customFormat="false" ht="15" hidden="false" customHeight="false" outlineLevel="0" collapsed="false">
      <c r="A49" s="9" t="s">
        <v>782</v>
      </c>
      <c r="B49" s="9" t="s">
        <v>783</v>
      </c>
      <c r="C49" s="9" t="s">
        <v>699</v>
      </c>
      <c r="D49" s="23" t="n">
        <v>0.0603</v>
      </c>
      <c r="E49" s="24" t="n">
        <v>377.8591</v>
      </c>
      <c r="F49" s="24" t="n">
        <v>2.8807</v>
      </c>
      <c r="G49" s="24" t="n">
        <v>7.9605</v>
      </c>
      <c r="H49" s="24" t="n">
        <v>5.0797</v>
      </c>
      <c r="I49" s="24" t="n">
        <v>0.6988</v>
      </c>
      <c r="J49" s="24" t="n">
        <v>0.6938</v>
      </c>
      <c r="K49" s="24" t="n">
        <v>0.2908</v>
      </c>
      <c r="L49" s="24" t="n">
        <v>134.7124</v>
      </c>
      <c r="M49" s="24" t="n">
        <v>112.1948</v>
      </c>
      <c r="N49" s="24" t="n">
        <v>33.4987</v>
      </c>
      <c r="O49" s="24" t="n">
        <v>226.2379</v>
      </c>
      <c r="P49" s="24" t="n">
        <v>160.0832</v>
      </c>
      <c r="Q49" s="24" t="n">
        <v>-3.8748</v>
      </c>
      <c r="R49" s="24" t="n">
        <v>-4.0389</v>
      </c>
      <c r="S49" s="24" t="n">
        <v>-18.0589</v>
      </c>
      <c r="T49" s="24" t="n">
        <v>1230.1284</v>
      </c>
      <c r="U49" s="24" t="n">
        <v>81.8926</v>
      </c>
      <c r="V49" s="24" t="n">
        <v>93.038</v>
      </c>
    </row>
    <row r="50" customFormat="false" ht="15" hidden="false" customHeight="false" outlineLevel="0" collapsed="false">
      <c r="A50" s="9" t="s">
        <v>784</v>
      </c>
      <c r="B50" s="9" t="s">
        <v>785</v>
      </c>
      <c r="C50" s="9" t="s">
        <v>699</v>
      </c>
      <c r="D50" s="23" t="n">
        <v>0.0759</v>
      </c>
      <c r="E50" s="24" t="n">
        <v>351.3671</v>
      </c>
      <c r="F50" s="24" t="n">
        <v>1.8066</v>
      </c>
      <c r="G50" s="24" t="n">
        <v>10.2106</v>
      </c>
      <c r="H50" s="24" t="n">
        <v>8.404</v>
      </c>
      <c r="I50" s="24" t="n">
        <v>5.4352</v>
      </c>
      <c r="J50" s="24" t="n">
        <v>5.2129</v>
      </c>
      <c r="K50" s="24" t="n">
        <v>3.0784</v>
      </c>
      <c r="L50" s="24" t="n">
        <v>190.6685</v>
      </c>
      <c r="M50" s="24" t="n">
        <v>86.2535</v>
      </c>
      <c r="N50" s="24" t="n">
        <v>30.8255</v>
      </c>
      <c r="O50" s="24" t="n">
        <v>301.4224</v>
      </c>
      <c r="P50" s="24" t="n">
        <v>248.2838</v>
      </c>
      <c r="Q50" s="24" t="n">
        <v>47.2123</v>
      </c>
      <c r="R50" s="24" t="n">
        <v>49.5891</v>
      </c>
      <c r="S50" s="24" t="n">
        <v>-9.8941</v>
      </c>
      <c r="T50" s="24" t="n">
        <v>3043.4412</v>
      </c>
      <c r="U50" s="24" t="n">
        <v>59.4326</v>
      </c>
      <c r="V50" s="24" t="n">
        <v>61.093</v>
      </c>
    </row>
    <row r="51" customFormat="false" ht="15" hidden="false" customHeight="false" outlineLevel="0" collapsed="false">
      <c r="A51" s="9" t="s">
        <v>786</v>
      </c>
      <c r="B51" s="9" t="s">
        <v>787</v>
      </c>
      <c r="C51" s="9" t="s">
        <v>695</v>
      </c>
      <c r="D51" s="23" t="n">
        <v>0.1003</v>
      </c>
      <c r="E51" s="24" t="n">
        <v>350.3846</v>
      </c>
      <c r="F51" s="24" t="n">
        <v>2.7199</v>
      </c>
      <c r="G51" s="24" t="n">
        <v>5.7456</v>
      </c>
      <c r="H51" s="24" t="n">
        <v>3.0258</v>
      </c>
      <c r="I51" s="24" t="n">
        <v>0.7216</v>
      </c>
      <c r="J51" s="24" t="n">
        <v>0.2843</v>
      </c>
      <c r="K51" s="24" t="n">
        <v>0.1613</v>
      </c>
      <c r="L51" s="24" t="n">
        <v>58.9003</v>
      </c>
      <c r="M51" s="24" t="n">
        <v>47.3641</v>
      </c>
      <c r="N51" s="24" t="n">
        <v>11.8865</v>
      </c>
      <c r="O51" s="24" t="n">
        <v>135.8599</v>
      </c>
      <c r="P51" s="24" t="n">
        <v>84.5516</v>
      </c>
      <c r="Q51" s="24" t="n">
        <v>5.7207</v>
      </c>
      <c r="R51" s="24" t="n">
        <v>-1.3289</v>
      </c>
      <c r="S51" s="24" t="n">
        <v>-4.6626</v>
      </c>
      <c r="T51" s="24" t="n">
        <v>600.0842</v>
      </c>
      <c r="U51" s="24" t="n">
        <v>34.9359</v>
      </c>
      <c r="V51" s="24" t="n">
        <v>45.198</v>
      </c>
    </row>
    <row r="52" customFormat="false" ht="15" hidden="false" customHeight="false" outlineLevel="0" collapsed="false">
      <c r="A52" s="9" t="s">
        <v>788</v>
      </c>
      <c r="B52" s="9" t="s">
        <v>789</v>
      </c>
      <c r="C52" s="9" t="s">
        <v>699</v>
      </c>
      <c r="D52" s="23" t="n">
        <v>0.1322</v>
      </c>
      <c r="E52" s="24" t="n">
        <v>334.5405</v>
      </c>
      <c r="F52" s="24" t="n">
        <v>2.3589</v>
      </c>
      <c r="G52" s="24" t="n">
        <v>12.2521</v>
      </c>
      <c r="H52" s="24" t="n">
        <v>9.8932</v>
      </c>
      <c r="I52" s="24" t="n">
        <v>4.9266</v>
      </c>
      <c r="J52" s="24" t="n">
        <v>2.4552</v>
      </c>
      <c r="K52" s="24" t="n">
        <v>1.5472</v>
      </c>
      <c r="L52" s="24" t="n">
        <v>302.0573</v>
      </c>
      <c r="M52" s="24" t="n">
        <v>244.1902</v>
      </c>
      <c r="N52" s="24" t="n">
        <v>74.2266</v>
      </c>
      <c r="O52" s="24" t="n">
        <v>418.8351</v>
      </c>
      <c r="P52" s="24" t="n">
        <v>353.0942</v>
      </c>
      <c r="Q52" s="24" t="n">
        <v>32.9655</v>
      </c>
      <c r="R52" s="24" t="n">
        <v>5.7364</v>
      </c>
      <c r="S52" s="24" t="n">
        <v>-24.2523</v>
      </c>
      <c r="T52" s="24" t="n">
        <v>3582.1134</v>
      </c>
      <c r="U52" s="24" t="n">
        <v>139.5454</v>
      </c>
      <c r="V52" s="24" t="n">
        <v>174.501</v>
      </c>
    </row>
    <row r="53" customFormat="false" ht="15" hidden="false" customHeight="false" outlineLevel="0" collapsed="false">
      <c r="A53" s="9" t="s">
        <v>790</v>
      </c>
      <c r="B53" s="9" t="s">
        <v>791</v>
      </c>
      <c r="C53" s="9" t="s">
        <v>699</v>
      </c>
      <c r="D53" s="23" t="n">
        <v>0.105</v>
      </c>
      <c r="E53" s="24" t="n">
        <v>321.2145</v>
      </c>
      <c r="F53" s="24" t="n">
        <v>0.5511</v>
      </c>
      <c r="G53" s="24" t="n">
        <v>32.7436</v>
      </c>
      <c r="H53" s="24" t="n">
        <v>32.1926</v>
      </c>
      <c r="I53" s="24" t="n">
        <v>15.5371</v>
      </c>
      <c r="J53" s="24" t="n">
        <v>9.1033</v>
      </c>
      <c r="K53" s="24" t="n">
        <v>7.3459</v>
      </c>
      <c r="L53" s="24" t="n">
        <v>869.8955</v>
      </c>
      <c r="M53" s="24" t="n">
        <v>721.6729</v>
      </c>
      <c r="N53" s="24" t="n">
        <v>165.2688</v>
      </c>
      <c r="O53" s="24" t="n">
        <v>1213.6161</v>
      </c>
      <c r="P53" s="24" t="n">
        <v>1146.9338</v>
      </c>
      <c r="Q53" s="24" t="n">
        <v>169.276</v>
      </c>
      <c r="R53" s="24" t="n">
        <v>134.5723</v>
      </c>
      <c r="S53" s="24" t="n">
        <v>72.1993</v>
      </c>
      <c r="T53" s="24" t="n">
        <v>9278.0747</v>
      </c>
      <c r="U53" s="24" t="n">
        <v>738.3227</v>
      </c>
      <c r="V53" s="24" t="n">
        <v>743.218</v>
      </c>
    </row>
    <row r="54" customFormat="false" ht="15" hidden="false" customHeight="false" outlineLevel="0" collapsed="false">
      <c r="A54" s="9" t="s">
        <v>792</v>
      </c>
      <c r="B54" s="9" t="s">
        <v>793</v>
      </c>
      <c r="C54" s="9" t="s">
        <v>699</v>
      </c>
      <c r="D54" s="23" t="n">
        <v>0.105</v>
      </c>
      <c r="E54" s="24" t="n">
        <v>319.8015</v>
      </c>
      <c r="F54" s="24" t="n">
        <v>1.2059</v>
      </c>
      <c r="G54" s="24" t="n">
        <v>11.6261</v>
      </c>
      <c r="H54" s="24" t="n">
        <v>10.4201</v>
      </c>
      <c r="I54" s="24" t="n">
        <v>6.636</v>
      </c>
      <c r="J54" s="24" t="n">
        <v>6.0718</v>
      </c>
      <c r="K54" s="24" t="n">
        <v>6.0207</v>
      </c>
      <c r="L54" s="24" t="n">
        <v>477.4581</v>
      </c>
      <c r="M54" s="24" t="n">
        <v>330.5924</v>
      </c>
      <c r="N54" s="24" t="n">
        <v>151.3431</v>
      </c>
      <c r="O54" s="24" t="n">
        <v>393.1882</v>
      </c>
      <c r="P54" s="24" t="n">
        <v>358.6787</v>
      </c>
      <c r="Q54" s="24" t="n">
        <v>30.4094</v>
      </c>
      <c r="R54" s="24" t="n">
        <v>20.8075</v>
      </c>
      <c r="S54" s="24" t="n">
        <v>18.863</v>
      </c>
      <c r="T54" s="24" t="n">
        <v>5543.3217</v>
      </c>
      <c r="U54" s="24" t="n">
        <v>103.5444</v>
      </c>
      <c r="V54" s="24" t="n">
        <v>126.142</v>
      </c>
    </row>
    <row r="55" customFormat="false" ht="15" hidden="false" customHeight="false" outlineLevel="0" collapsed="false">
      <c r="A55" s="9" t="s">
        <v>794</v>
      </c>
      <c r="B55" s="9" t="s">
        <v>795</v>
      </c>
      <c r="C55" s="9" t="s">
        <v>695</v>
      </c>
      <c r="D55" s="23" t="n">
        <v>0.0369</v>
      </c>
      <c r="E55" s="24" t="n">
        <v>316.1581</v>
      </c>
      <c r="F55" s="24" t="n">
        <v>1.7546</v>
      </c>
      <c r="G55" s="24" t="n">
        <v>5.0887</v>
      </c>
      <c r="H55" s="24" t="n">
        <v>3.3341</v>
      </c>
      <c r="I55" s="24" t="n">
        <v>0.1794</v>
      </c>
      <c r="J55" s="24" t="n">
        <v>0.4667</v>
      </c>
      <c r="K55" s="24" t="n">
        <v>0.3944</v>
      </c>
      <c r="L55" s="24" t="n">
        <v>43.5991</v>
      </c>
      <c r="M55" s="24" t="n">
        <v>34.8533</v>
      </c>
      <c r="N55" s="24" t="n">
        <v>8.3026</v>
      </c>
      <c r="O55" s="24" t="n">
        <v>140.1928</v>
      </c>
      <c r="P55" s="24" t="n">
        <v>94.6388</v>
      </c>
      <c r="Q55" s="24" t="n">
        <v>-1.1774</v>
      </c>
      <c r="R55" s="24" t="n">
        <v>6.1952</v>
      </c>
      <c r="S55" s="24" t="n">
        <v>4.488</v>
      </c>
      <c r="T55" s="24" t="n">
        <v>469.7935</v>
      </c>
      <c r="U55" s="24" t="n">
        <v>32.5626</v>
      </c>
      <c r="V55" s="24" t="n">
        <v>37.015</v>
      </c>
    </row>
    <row r="56" customFormat="false" ht="15" hidden="false" customHeight="false" outlineLevel="0" collapsed="false">
      <c r="A56" s="9" t="s">
        <v>796</v>
      </c>
      <c r="B56" s="9" t="s">
        <v>797</v>
      </c>
      <c r="C56" s="9" t="s">
        <v>695</v>
      </c>
      <c r="D56" s="23" t="n">
        <v>0.055</v>
      </c>
      <c r="E56" s="24" t="n">
        <v>286.8424</v>
      </c>
      <c r="F56" s="24" t="n">
        <v>1.5854</v>
      </c>
      <c r="G56" s="24" t="n">
        <v>5.2664</v>
      </c>
      <c r="H56" s="24" t="n">
        <v>3.6811</v>
      </c>
      <c r="I56" s="24" t="n">
        <v>0.9024</v>
      </c>
      <c r="J56" s="24" t="n">
        <v>0.9605</v>
      </c>
      <c r="K56" s="24" t="n">
        <v>0.8298</v>
      </c>
      <c r="L56" s="24" t="n">
        <v>73.6336</v>
      </c>
      <c r="M56" s="24" t="n">
        <v>55.5166</v>
      </c>
      <c r="N56" s="24" t="n">
        <v>20.9091</v>
      </c>
      <c r="O56" s="24" t="n">
        <v>129.5518</v>
      </c>
      <c r="P56" s="24" t="n">
        <v>94.6444</v>
      </c>
      <c r="Q56" s="24" t="n">
        <v>12.2645</v>
      </c>
      <c r="R56" s="24" t="n">
        <v>12.8629</v>
      </c>
      <c r="S56" s="24" t="n">
        <v>9.8573</v>
      </c>
      <c r="T56" s="24" t="n">
        <v>748.1645</v>
      </c>
      <c r="U56" s="24" t="n">
        <v>29.6622</v>
      </c>
      <c r="V56" s="24" t="n">
        <v>31.995</v>
      </c>
    </row>
    <row r="57" customFormat="false" ht="15" hidden="false" customHeight="false" outlineLevel="0" collapsed="false">
      <c r="A57" s="9" t="s">
        <v>798</v>
      </c>
      <c r="B57" s="9" t="s">
        <v>799</v>
      </c>
      <c r="C57" s="9" t="s">
        <v>695</v>
      </c>
      <c r="D57" s="23" t="n">
        <v>0.0432</v>
      </c>
      <c r="E57" s="24" t="n">
        <v>285.2889</v>
      </c>
      <c r="F57" s="24" t="n">
        <v>2.8104</v>
      </c>
      <c r="G57" s="24" t="n">
        <v>9.6931</v>
      </c>
      <c r="H57" s="24" t="n">
        <v>6.8827</v>
      </c>
      <c r="I57" s="24" t="n">
        <v>0.2643</v>
      </c>
      <c r="J57" s="24" t="n">
        <v>0.65</v>
      </c>
      <c r="K57" s="24" t="n">
        <v>-0.2906</v>
      </c>
      <c r="L57" s="24" t="n">
        <v>89.8962</v>
      </c>
      <c r="M57" s="24" t="n">
        <v>69.1379</v>
      </c>
      <c r="N57" s="24" t="n">
        <v>14.8316</v>
      </c>
      <c r="O57" s="24" t="n">
        <v>225.8301</v>
      </c>
      <c r="P57" s="24" t="n">
        <v>158.3496</v>
      </c>
      <c r="Q57" s="24" t="n">
        <v>2.821</v>
      </c>
      <c r="R57" s="24" t="n">
        <v>11.2123</v>
      </c>
      <c r="S57" s="24" t="n">
        <v>-12.2632</v>
      </c>
      <c r="T57" s="24" t="n">
        <v>1029.509</v>
      </c>
      <c r="U57" s="24" t="n">
        <v>56.2536</v>
      </c>
      <c r="V57" s="24" t="n">
        <v>71.996</v>
      </c>
    </row>
    <row r="58" customFormat="false" ht="15" hidden="false" customHeight="false" outlineLevel="0" collapsed="false">
      <c r="A58" s="9" t="s">
        <v>800</v>
      </c>
      <c r="B58" s="9" t="s">
        <v>801</v>
      </c>
      <c r="C58" s="9" t="s">
        <v>699</v>
      </c>
      <c r="D58" s="23" t="n">
        <v>0.1843</v>
      </c>
      <c r="E58" s="24" t="n">
        <v>242.7385</v>
      </c>
      <c r="F58" s="24" t="n">
        <v>1.2915</v>
      </c>
      <c r="G58" s="24" t="n">
        <v>5.2385</v>
      </c>
      <c r="H58" s="24" t="n">
        <v>3.947</v>
      </c>
      <c r="I58" s="24" t="n">
        <v>2.2172</v>
      </c>
      <c r="J58" s="24" t="n">
        <v>0.0384</v>
      </c>
      <c r="K58" s="24" t="n">
        <v>-0.2199</v>
      </c>
      <c r="L58" s="24" t="n">
        <v>62.583</v>
      </c>
      <c r="M58" s="24" t="n">
        <v>51.1065</v>
      </c>
      <c r="N58" s="24" t="n">
        <v>13.0692</v>
      </c>
      <c r="O58" s="24" t="n">
        <v>137.0036</v>
      </c>
      <c r="P58" s="24" t="n">
        <v>110.6572</v>
      </c>
      <c r="Q58" s="24" t="n">
        <v>11.1886</v>
      </c>
      <c r="R58" s="24" t="n">
        <v>-8.389</v>
      </c>
      <c r="S58" s="24" t="n">
        <v>-16.425</v>
      </c>
      <c r="T58" s="24" t="n">
        <v>634.5182</v>
      </c>
      <c r="U58" s="24" t="n">
        <v>44.8244</v>
      </c>
      <c r="V58" s="24" t="n">
        <v>49.102</v>
      </c>
    </row>
    <row r="59" customFormat="false" ht="15" hidden="false" customHeight="false" outlineLevel="0" collapsed="false">
      <c r="A59" s="9" t="s">
        <v>802</v>
      </c>
      <c r="B59" s="9" t="s">
        <v>803</v>
      </c>
      <c r="C59" s="9" t="s">
        <v>699</v>
      </c>
      <c r="D59" s="23" t="n">
        <v>0.1057</v>
      </c>
      <c r="E59" s="24" t="n">
        <v>233.5111</v>
      </c>
      <c r="F59" s="24" t="n">
        <v>0.1169</v>
      </c>
      <c r="G59" s="24" t="n">
        <v>6.8002</v>
      </c>
      <c r="H59" s="24" t="n">
        <v>6.6833</v>
      </c>
      <c r="I59" s="24" t="n">
        <v>4.468</v>
      </c>
      <c r="J59" s="24" t="n">
        <v>4.22</v>
      </c>
      <c r="K59" s="24" t="n">
        <v>4.2189</v>
      </c>
      <c r="L59" s="24" t="n">
        <v>241.3587</v>
      </c>
      <c r="M59" s="24" t="n">
        <v>152.0928</v>
      </c>
      <c r="N59" s="24" t="n">
        <v>81.7286</v>
      </c>
      <c r="O59" s="24" t="n">
        <v>220.9477</v>
      </c>
      <c r="P59" s="24" t="n">
        <v>204.8448</v>
      </c>
      <c r="Q59" s="24" t="n">
        <v>35.1679</v>
      </c>
      <c r="R59" s="24" t="n">
        <v>49.2555</v>
      </c>
      <c r="S59" s="24" t="n">
        <v>49.2113</v>
      </c>
      <c r="T59" s="24" t="n">
        <v>2997.4658</v>
      </c>
      <c r="U59" s="24" t="n">
        <v>20.1742</v>
      </c>
      <c r="V59" s="24" t="n">
        <v>26.885</v>
      </c>
    </row>
    <row r="60" customFormat="false" ht="15" hidden="false" customHeight="false" outlineLevel="0" collapsed="false">
      <c r="A60" s="9" t="s">
        <v>804</v>
      </c>
      <c r="B60" s="9" t="s">
        <v>805</v>
      </c>
      <c r="C60" s="9" t="s">
        <v>699</v>
      </c>
      <c r="D60" s="23" t="n">
        <v>0.1385</v>
      </c>
      <c r="E60" s="24" t="n">
        <v>217.5075</v>
      </c>
      <c r="F60" s="24" t="n">
        <v>3.3982</v>
      </c>
      <c r="G60" s="24" t="n">
        <v>15.9644</v>
      </c>
      <c r="H60" s="24" t="n">
        <v>12.5661</v>
      </c>
      <c r="I60" s="24" t="n">
        <v>8.0617</v>
      </c>
      <c r="J60" s="24" t="n">
        <v>4.6932</v>
      </c>
      <c r="K60" s="24" t="n">
        <v>3.6496</v>
      </c>
      <c r="L60" s="24" t="n">
        <v>262.6658</v>
      </c>
      <c r="M60" s="24" t="n">
        <v>197.8052</v>
      </c>
      <c r="N60" s="24" t="n">
        <v>73.3131</v>
      </c>
      <c r="O60" s="24" t="n">
        <v>580.39</v>
      </c>
      <c r="P60" s="24" t="n">
        <v>471.8406</v>
      </c>
      <c r="Q60" s="24" t="n">
        <v>70.6891</v>
      </c>
      <c r="R60" s="24" t="n">
        <v>92.361</v>
      </c>
      <c r="S60" s="24" t="n">
        <v>57.1302</v>
      </c>
      <c r="T60" s="24" t="n">
        <v>2994.6608</v>
      </c>
      <c r="U60" s="24" t="n">
        <v>113.9076</v>
      </c>
      <c r="V60" s="24" t="n">
        <v>145.09</v>
      </c>
    </row>
    <row r="61" customFormat="false" ht="15" hidden="false" customHeight="false" outlineLevel="0" collapsed="false">
      <c r="A61" s="9" t="s">
        <v>806</v>
      </c>
      <c r="B61" s="9" t="s">
        <v>807</v>
      </c>
      <c r="C61" s="9" t="s">
        <v>699</v>
      </c>
      <c r="D61" s="23" t="n">
        <v>0.1179</v>
      </c>
      <c r="E61" s="24" t="n">
        <v>216.4043</v>
      </c>
      <c r="F61" s="24" t="n">
        <v>0.2278</v>
      </c>
      <c r="G61" s="24" t="n">
        <v>7.7073</v>
      </c>
      <c r="H61" s="24" t="n">
        <v>7.4795</v>
      </c>
      <c r="I61" s="24" t="n">
        <v>3.9559</v>
      </c>
      <c r="J61" s="24" t="n">
        <v>2.7026</v>
      </c>
      <c r="K61" s="24" t="n">
        <v>2.0423</v>
      </c>
      <c r="L61" s="24" t="n">
        <v>318.4598</v>
      </c>
      <c r="M61" s="24" t="n">
        <v>248.1459</v>
      </c>
      <c r="N61" s="24" t="n">
        <v>88.1291</v>
      </c>
      <c r="O61" s="24" t="n">
        <v>293.5668</v>
      </c>
      <c r="P61" s="24" t="n">
        <v>267.2424</v>
      </c>
      <c r="Q61" s="24" t="n">
        <v>23.8182</v>
      </c>
      <c r="R61" s="24" t="n">
        <v>8.8341</v>
      </c>
      <c r="S61" s="24" t="n">
        <v>-13.6428</v>
      </c>
      <c r="T61" s="24" t="n">
        <v>3366.6748</v>
      </c>
      <c r="U61" s="24" t="n">
        <v>148.9139</v>
      </c>
      <c r="V61" s="24" t="n">
        <v>176.459</v>
      </c>
    </row>
    <row r="62" customFormat="false" ht="15" hidden="false" customHeight="false" outlineLevel="0" collapsed="false">
      <c r="A62" s="9" t="s">
        <v>808</v>
      </c>
      <c r="B62" s="9" t="s">
        <v>809</v>
      </c>
      <c r="C62" s="9" t="s">
        <v>699</v>
      </c>
      <c r="D62" s="23" t="n">
        <v>0.0895</v>
      </c>
      <c r="E62" s="24" t="n">
        <v>212.4483</v>
      </c>
      <c r="F62" s="24" t="n">
        <v>1.2217</v>
      </c>
      <c r="G62" s="24" t="n">
        <v>4.4815</v>
      </c>
      <c r="H62" s="24" t="n">
        <v>3.2597</v>
      </c>
      <c r="I62" s="24" t="n">
        <v>0.4837</v>
      </c>
      <c r="J62" s="24" t="n">
        <v>0.1897</v>
      </c>
      <c r="K62" s="24" t="n">
        <v>-0.2591</v>
      </c>
      <c r="L62" s="24" t="n">
        <v>109.9405</v>
      </c>
      <c r="M62" s="24" t="n">
        <v>90.1026</v>
      </c>
      <c r="N62" s="24" t="n">
        <v>27.4177</v>
      </c>
      <c r="O62" s="24" t="n">
        <v>157.9832</v>
      </c>
      <c r="P62" s="24" t="n">
        <v>123.1634</v>
      </c>
      <c r="Q62" s="24" t="n">
        <v>-4.6641</v>
      </c>
      <c r="R62" s="24" t="n">
        <v>-17.8696</v>
      </c>
      <c r="S62" s="24" t="n">
        <v>-35.8491</v>
      </c>
      <c r="T62" s="24" t="n">
        <v>1238.6301</v>
      </c>
      <c r="U62" s="24" t="n">
        <v>56.6974</v>
      </c>
      <c r="V62" s="24" t="n">
        <v>62.223</v>
      </c>
    </row>
    <row r="63" customFormat="false" ht="15" hidden="false" customHeight="false" outlineLevel="0" collapsed="false">
      <c r="A63" s="9" t="s">
        <v>810</v>
      </c>
      <c r="B63" s="9" t="s">
        <v>811</v>
      </c>
      <c r="C63" s="9" t="s">
        <v>699</v>
      </c>
      <c r="D63" s="23" t="n">
        <v>0.105</v>
      </c>
      <c r="E63" s="24" t="n">
        <v>175.8954</v>
      </c>
      <c r="F63" s="24" t="n">
        <v>3.0217</v>
      </c>
      <c r="G63" s="24" t="n">
        <v>14.5755</v>
      </c>
      <c r="H63" s="24" t="n">
        <v>11.5538</v>
      </c>
      <c r="I63" s="24" t="n">
        <v>4.6619</v>
      </c>
      <c r="J63" s="24" t="n">
        <v>2.9325</v>
      </c>
      <c r="K63" s="24" t="n">
        <v>1.4162</v>
      </c>
      <c r="L63" s="24" t="n">
        <v>263.4416</v>
      </c>
      <c r="M63" s="24" t="n">
        <v>215.2653</v>
      </c>
      <c r="N63" s="24" t="n">
        <v>66.8402</v>
      </c>
      <c r="O63" s="24" t="n">
        <v>554.4688</v>
      </c>
      <c r="P63" s="24" t="n">
        <v>464.3834</v>
      </c>
      <c r="Q63" s="24" t="n">
        <v>44.3582</v>
      </c>
      <c r="R63" s="24" t="n">
        <v>20.4278</v>
      </c>
      <c r="S63" s="24" t="n">
        <v>-26.5204</v>
      </c>
      <c r="T63" s="24" t="n">
        <v>3007.5953</v>
      </c>
      <c r="U63" s="24" t="n">
        <v>111.9862</v>
      </c>
      <c r="V63" s="24" t="n">
        <v>146.738</v>
      </c>
    </row>
    <row r="64" customFormat="false" ht="15" hidden="false" customHeight="false" outlineLevel="0" collapsed="false">
      <c r="A64" s="9" t="s">
        <v>812</v>
      </c>
      <c r="B64" s="9" t="s">
        <v>813</v>
      </c>
      <c r="C64" s="9" t="s">
        <v>699</v>
      </c>
      <c r="D64" s="23" t="n">
        <v>0.105</v>
      </c>
      <c r="E64" s="24" t="n">
        <v>164.2731</v>
      </c>
      <c r="F64" s="24" t="n">
        <v>1.1479</v>
      </c>
      <c r="G64" s="24" t="n">
        <v>6.8375</v>
      </c>
      <c r="H64" s="24" t="n">
        <v>5.6896</v>
      </c>
      <c r="I64" s="24" t="n">
        <v>1.5508</v>
      </c>
      <c r="J64" s="24" t="n">
        <v>0.533</v>
      </c>
      <c r="K64" s="24" t="n">
        <v>0.2586</v>
      </c>
      <c r="L64" s="24" t="n">
        <v>181.6019</v>
      </c>
      <c r="M64" s="24" t="n">
        <v>147.1464</v>
      </c>
      <c r="N64" s="24" t="n">
        <v>36.4043</v>
      </c>
      <c r="O64" s="24" t="n">
        <v>226.8967</v>
      </c>
      <c r="P64" s="24" t="n">
        <v>191.3715</v>
      </c>
      <c r="Q64" s="24" t="n">
        <v>7.2086</v>
      </c>
      <c r="R64" s="24" t="n">
        <v>-17.778</v>
      </c>
      <c r="S64" s="24" t="n">
        <v>-27.0835</v>
      </c>
      <c r="T64" s="24" t="n">
        <v>2070.2318</v>
      </c>
      <c r="U64" s="24" t="n">
        <v>123.5437</v>
      </c>
      <c r="V64" s="24" t="n">
        <v>109.514</v>
      </c>
    </row>
    <row r="65" customFormat="false" ht="15" hidden="false" customHeight="false" outlineLevel="0" collapsed="false">
      <c r="A65" s="9" t="s">
        <v>814</v>
      </c>
      <c r="B65" s="9" t="s">
        <v>815</v>
      </c>
      <c r="C65" s="9" t="s">
        <v>699</v>
      </c>
      <c r="D65" s="23" t="n">
        <v>0.0966</v>
      </c>
      <c r="E65" s="24" t="n">
        <v>155.2357</v>
      </c>
      <c r="F65" s="24" t="n">
        <v>0.4385</v>
      </c>
      <c r="G65" s="24" t="n">
        <v>2.9893</v>
      </c>
      <c r="H65" s="24" t="n">
        <v>2.5507</v>
      </c>
      <c r="I65" s="24" t="n">
        <v>1.5199</v>
      </c>
      <c r="J65" s="24" t="n">
        <v>1.368</v>
      </c>
      <c r="K65" s="24" t="n">
        <v>1.3252</v>
      </c>
      <c r="L65" s="24" t="n">
        <v>121.2663</v>
      </c>
      <c r="M65" s="24" t="n">
        <v>89.1643</v>
      </c>
      <c r="N65" s="24" t="n">
        <v>45.4466</v>
      </c>
      <c r="O65" s="24" t="n">
        <v>99.9352</v>
      </c>
      <c r="P65" s="24" t="n">
        <v>88.0893</v>
      </c>
      <c r="Q65" s="24" t="n">
        <v>10.4889</v>
      </c>
      <c r="R65" s="24" t="n">
        <v>10.6117</v>
      </c>
      <c r="S65" s="24" t="n">
        <v>9.1442</v>
      </c>
      <c r="T65" s="24" t="n">
        <v>1274.2454</v>
      </c>
      <c r="U65" s="24" t="n">
        <v>20.202</v>
      </c>
      <c r="V65" s="24" t="n">
        <v>22.398</v>
      </c>
    </row>
    <row r="66" customFormat="false" ht="15" hidden="false" customHeight="false" outlineLevel="0" collapsed="false">
      <c r="A66" s="9" t="s">
        <v>816</v>
      </c>
      <c r="B66" s="9" t="s">
        <v>817</v>
      </c>
      <c r="C66" s="9" t="s">
        <v>699</v>
      </c>
      <c r="D66" s="23" t="n">
        <v>0.105</v>
      </c>
      <c r="E66" s="24" t="n">
        <v>155.0385</v>
      </c>
      <c r="F66" s="24" t="n">
        <v>0.2621</v>
      </c>
      <c r="G66" s="24" t="n">
        <v>5.476</v>
      </c>
      <c r="H66" s="24" t="n">
        <v>5.2139</v>
      </c>
      <c r="I66" s="24" t="n">
        <v>4.3154</v>
      </c>
      <c r="J66" s="24" t="n">
        <v>3.4307</v>
      </c>
      <c r="K66" s="24" t="n">
        <v>3.3902</v>
      </c>
      <c r="L66" s="24" t="n">
        <v>181.5398</v>
      </c>
      <c r="M66" s="24" t="n">
        <v>141.5477</v>
      </c>
      <c r="N66" s="24" t="n">
        <v>51.5377</v>
      </c>
      <c r="O66" s="24" t="n">
        <v>202.0443</v>
      </c>
      <c r="P66" s="24" t="n">
        <v>192.1467</v>
      </c>
      <c r="Q66" s="24" t="n">
        <v>45.8351</v>
      </c>
      <c r="R66" s="24" t="n">
        <v>60.1652</v>
      </c>
      <c r="S66" s="24" t="n">
        <v>59.2159</v>
      </c>
      <c r="T66" s="24" t="n">
        <v>1736.0976</v>
      </c>
      <c r="U66" s="24" t="n">
        <v>85.8796</v>
      </c>
      <c r="V66" s="24" t="n">
        <v>106.894</v>
      </c>
    </row>
    <row r="67" customFormat="false" ht="15" hidden="false" customHeight="false" outlineLevel="0" collapsed="false">
      <c r="A67" s="9" t="s">
        <v>818</v>
      </c>
      <c r="B67" s="9" t="s">
        <v>819</v>
      </c>
      <c r="C67" s="9" t="s">
        <v>699</v>
      </c>
      <c r="D67" s="23" t="n">
        <v>0.0771</v>
      </c>
      <c r="E67" s="24" t="n">
        <v>151.9914</v>
      </c>
      <c r="F67" s="24" t="n">
        <v>0.7768</v>
      </c>
      <c r="G67" s="24" t="n">
        <v>2.7342</v>
      </c>
      <c r="H67" s="24" t="n">
        <v>1.9574</v>
      </c>
      <c r="I67" s="24" t="n">
        <v>0.3177</v>
      </c>
      <c r="J67" s="24" t="n">
        <v>0.2044</v>
      </c>
      <c r="K67" s="24" t="n">
        <v>-0.2715</v>
      </c>
      <c r="L67" s="24" t="n">
        <v>56.8032</v>
      </c>
      <c r="M67" s="24" t="n">
        <v>47.6608</v>
      </c>
      <c r="N67" s="24" t="n">
        <v>13.774</v>
      </c>
      <c r="O67" s="24" t="n">
        <v>93.0931</v>
      </c>
      <c r="P67" s="24" t="n">
        <v>72.5853</v>
      </c>
      <c r="Q67" s="24" t="n">
        <v>-0.7158</v>
      </c>
      <c r="R67" s="24" t="n">
        <v>-4.8228</v>
      </c>
      <c r="S67" s="24" t="n">
        <v>-21.001</v>
      </c>
      <c r="T67" s="24" t="n">
        <v>602.4163</v>
      </c>
      <c r="U67" s="24" t="n">
        <v>36.0853</v>
      </c>
      <c r="V67" s="24" t="n">
        <v>27.041</v>
      </c>
    </row>
    <row r="68" customFormat="false" ht="15" hidden="false" customHeight="false" outlineLevel="0" collapsed="false">
      <c r="A68" s="9" t="s">
        <v>820</v>
      </c>
      <c r="B68" s="9" t="s">
        <v>821</v>
      </c>
      <c r="C68" s="9" t="s">
        <v>699</v>
      </c>
      <c r="D68" s="23" t="n">
        <v>0.105</v>
      </c>
      <c r="E68" s="24" t="n">
        <v>148.1779</v>
      </c>
      <c r="F68" s="24" t="n">
        <v>1.4765</v>
      </c>
      <c r="G68" s="24" t="n">
        <v>10.0931</v>
      </c>
      <c r="H68" s="24" t="n">
        <v>8.6166</v>
      </c>
      <c r="I68" s="24" t="n">
        <v>5.6261</v>
      </c>
      <c r="J68" s="24" t="n">
        <v>4.8422</v>
      </c>
      <c r="K68" s="24" t="n">
        <v>4.7958</v>
      </c>
      <c r="L68" s="24" t="n">
        <v>226.7893</v>
      </c>
      <c r="M68" s="24" t="n">
        <v>143.9613</v>
      </c>
      <c r="N68" s="24" t="n">
        <v>54.8361</v>
      </c>
      <c r="O68" s="24" t="n">
        <v>344.6265</v>
      </c>
      <c r="P68" s="24" t="n">
        <v>302.2797</v>
      </c>
      <c r="Q68" s="24" t="n">
        <v>53.6252</v>
      </c>
      <c r="R68" s="24" t="n">
        <v>71.1034</v>
      </c>
      <c r="S68" s="24" t="n">
        <v>69.5574</v>
      </c>
      <c r="T68" s="24" t="n">
        <v>3022.8849</v>
      </c>
      <c r="U68" s="24" t="n">
        <v>44.8464</v>
      </c>
      <c r="V68" s="24" t="n">
        <v>113.681</v>
      </c>
    </row>
    <row r="69" customFormat="false" ht="15" hidden="false" customHeight="false" outlineLevel="0" collapsed="false">
      <c r="A69" s="9" t="s">
        <v>822</v>
      </c>
      <c r="B69" s="9" t="s">
        <v>823</v>
      </c>
      <c r="C69" s="9" t="s">
        <v>695</v>
      </c>
      <c r="D69" s="23" t="n">
        <v>0.055</v>
      </c>
      <c r="E69" s="24" t="n">
        <v>147.2848</v>
      </c>
      <c r="F69" s="24" t="n">
        <v>0.643</v>
      </c>
      <c r="G69" s="24" t="n">
        <v>3.736</v>
      </c>
      <c r="H69" s="24" t="n">
        <v>3.093</v>
      </c>
      <c r="I69" s="24" t="n">
        <v>0.0883</v>
      </c>
      <c r="J69" s="24" t="n">
        <v>0.1473</v>
      </c>
      <c r="K69" s="24" t="n">
        <v>-0.4281</v>
      </c>
      <c r="L69" s="24" t="n">
        <v>42.7443</v>
      </c>
      <c r="M69" s="24" t="n">
        <v>33.9681</v>
      </c>
      <c r="N69" s="24" t="n">
        <v>6.0648</v>
      </c>
      <c r="O69" s="24" t="n">
        <v>98.5589</v>
      </c>
      <c r="P69" s="24" t="n">
        <v>84.6003</v>
      </c>
      <c r="Q69" s="24" t="n">
        <v>0.0708</v>
      </c>
      <c r="R69" s="24" t="n">
        <v>1.4481</v>
      </c>
      <c r="S69" s="24" t="n">
        <v>-11.7149</v>
      </c>
      <c r="T69" s="24" t="n">
        <v>478.7902</v>
      </c>
      <c r="U69" s="24" t="n">
        <v>29.0556</v>
      </c>
      <c r="V69" s="24" t="n">
        <v>38.549</v>
      </c>
    </row>
    <row r="70" customFormat="false" ht="15" hidden="false" customHeight="false" outlineLevel="0" collapsed="false">
      <c r="A70" s="9" t="s">
        <v>824</v>
      </c>
      <c r="B70" s="9" t="s">
        <v>825</v>
      </c>
      <c r="C70" s="9" t="s">
        <v>699</v>
      </c>
      <c r="D70" s="23" t="n">
        <v>0.1444</v>
      </c>
      <c r="E70" s="24" t="n">
        <v>145.8574</v>
      </c>
      <c r="F70" s="24" t="n">
        <v>0.9832</v>
      </c>
      <c r="G70" s="24" t="n">
        <v>5.3622</v>
      </c>
      <c r="H70" s="24" t="n">
        <v>4.379</v>
      </c>
      <c r="I70" s="24" t="n">
        <v>2.6168</v>
      </c>
      <c r="J70" s="24" t="n">
        <v>1.6459</v>
      </c>
      <c r="K70" s="24" t="n">
        <v>1.4553</v>
      </c>
      <c r="L70" s="24" t="n">
        <v>102.2685</v>
      </c>
      <c r="M70" s="24" t="n">
        <v>63.3384</v>
      </c>
      <c r="N70" s="24" t="n">
        <v>22.8669</v>
      </c>
      <c r="O70" s="24" t="n">
        <v>169.4584</v>
      </c>
      <c r="P70" s="24" t="n">
        <v>140.578</v>
      </c>
      <c r="Q70" s="24" t="n">
        <v>13.9857</v>
      </c>
      <c r="R70" s="24" t="n">
        <v>5.4631</v>
      </c>
      <c r="S70" s="24" t="n">
        <v>-1.6644</v>
      </c>
      <c r="T70" s="24" t="n">
        <v>1361.6745</v>
      </c>
      <c r="U70" s="24" t="n">
        <v>42.7757</v>
      </c>
      <c r="V70" s="24" t="n">
        <v>45.44</v>
      </c>
    </row>
    <row r="71" customFormat="false" ht="15" hidden="false" customHeight="false" outlineLevel="0" collapsed="false">
      <c r="A71" s="9" t="s">
        <v>826</v>
      </c>
      <c r="B71" s="9" t="s">
        <v>827</v>
      </c>
      <c r="C71" s="9" t="s">
        <v>699</v>
      </c>
      <c r="D71" s="23" t="n">
        <v>0.085</v>
      </c>
      <c r="E71" s="24" t="n">
        <v>142.0494</v>
      </c>
      <c r="F71" s="24" t="n">
        <v>0.3278</v>
      </c>
      <c r="G71" s="24" t="n">
        <v>1.7276</v>
      </c>
      <c r="H71" s="24" t="n">
        <v>1.3999</v>
      </c>
      <c r="I71" s="24" t="n">
        <v>0.3714</v>
      </c>
      <c r="J71" s="24" t="n">
        <v>0.2967</v>
      </c>
      <c r="K71" s="24" t="n">
        <v>0.203</v>
      </c>
      <c r="L71" s="24" t="n">
        <v>56.1644</v>
      </c>
      <c r="M71" s="24" t="n">
        <v>40.7868</v>
      </c>
      <c r="N71" s="24" t="n">
        <v>15.1941</v>
      </c>
      <c r="O71" s="24" t="n">
        <v>52.9723</v>
      </c>
      <c r="P71" s="24" t="n">
        <v>44.7721</v>
      </c>
      <c r="Q71" s="24" t="n">
        <v>-3.6265</v>
      </c>
      <c r="R71" s="24" t="n">
        <v>-8.2583</v>
      </c>
      <c r="S71" s="24" t="n">
        <v>-11.3774</v>
      </c>
      <c r="T71" s="24" t="n">
        <v>700.3259</v>
      </c>
      <c r="U71" s="24" t="n">
        <v>21.3938</v>
      </c>
      <c r="V71" s="24" t="n">
        <v>24.298</v>
      </c>
    </row>
    <row r="72" customFormat="false" ht="15" hidden="false" customHeight="false" outlineLevel="0" collapsed="false">
      <c r="A72" s="9" t="s">
        <v>828</v>
      </c>
      <c r="B72" s="9" t="s">
        <v>829</v>
      </c>
      <c r="C72" s="9" t="s">
        <v>699</v>
      </c>
      <c r="D72" s="23" t="n">
        <v>0.105</v>
      </c>
      <c r="E72" s="24" t="n">
        <v>139.7774</v>
      </c>
      <c r="F72" s="24" t="n">
        <v>0.3244</v>
      </c>
      <c r="G72" s="24" t="n">
        <v>4.3397</v>
      </c>
      <c r="H72" s="24" t="n">
        <v>4.0153</v>
      </c>
      <c r="I72" s="24" t="n">
        <v>2.7949</v>
      </c>
      <c r="J72" s="24" t="n">
        <v>2.5748</v>
      </c>
      <c r="K72" s="24" t="n">
        <v>2.55</v>
      </c>
      <c r="L72" s="24" t="n">
        <v>114.6308</v>
      </c>
      <c r="M72" s="24" t="n">
        <v>53.6517</v>
      </c>
      <c r="N72" s="24" t="n">
        <v>24.1167</v>
      </c>
      <c r="O72" s="24" t="n">
        <v>127.7151</v>
      </c>
      <c r="P72" s="24" t="n">
        <v>116.7486</v>
      </c>
      <c r="Q72" s="24" t="n">
        <v>17.388</v>
      </c>
      <c r="R72" s="24" t="n">
        <v>20.4451</v>
      </c>
      <c r="S72" s="24" t="n">
        <v>19.4963</v>
      </c>
      <c r="T72" s="24" t="n">
        <v>1812.5487</v>
      </c>
      <c r="U72" s="24" t="n">
        <v>19.7008</v>
      </c>
      <c r="V72" s="24" t="n">
        <v>19.873</v>
      </c>
    </row>
    <row r="73" customFormat="false" ht="15" hidden="false" customHeight="false" outlineLevel="0" collapsed="false">
      <c r="A73" s="9" t="s">
        <v>830</v>
      </c>
      <c r="B73" s="9" t="s">
        <v>831</v>
      </c>
      <c r="C73" s="9" t="s">
        <v>699</v>
      </c>
      <c r="D73" s="23" t="n">
        <v>0.0911</v>
      </c>
      <c r="E73" s="24" t="n">
        <v>134.2138</v>
      </c>
      <c r="F73" s="24" t="n">
        <v>1.4489</v>
      </c>
      <c r="G73" s="24" t="n">
        <v>3.6454</v>
      </c>
      <c r="H73" s="24" t="n">
        <v>2.1965</v>
      </c>
      <c r="I73" s="24" t="n">
        <v>0.7265</v>
      </c>
      <c r="J73" s="24" t="n">
        <v>0.5027</v>
      </c>
      <c r="K73" s="24" t="n">
        <v>-0.1421</v>
      </c>
      <c r="L73" s="24" t="n">
        <v>56.4816</v>
      </c>
      <c r="M73" s="24" t="n">
        <v>48.2545</v>
      </c>
      <c r="N73" s="24" t="n">
        <v>13.2153</v>
      </c>
      <c r="O73" s="24" t="n">
        <v>118.2267</v>
      </c>
      <c r="P73" s="24" t="n">
        <v>80.8527</v>
      </c>
      <c r="Q73" s="24" t="n">
        <v>7.5522</v>
      </c>
      <c r="R73" s="24" t="n">
        <v>4.627</v>
      </c>
      <c r="S73" s="24" t="n">
        <v>-15.2313</v>
      </c>
      <c r="T73" s="24" t="n">
        <v>525.3884</v>
      </c>
      <c r="U73" s="24" t="n">
        <v>35.3019</v>
      </c>
      <c r="V73" s="24" t="n">
        <v>47.89</v>
      </c>
    </row>
    <row r="74" customFormat="false" ht="15" hidden="false" customHeight="false" outlineLevel="0" collapsed="false">
      <c r="A74" s="9" t="s">
        <v>832</v>
      </c>
      <c r="B74" s="9" t="s">
        <v>833</v>
      </c>
      <c r="C74" s="9" t="s">
        <v>699</v>
      </c>
      <c r="D74" s="23" t="n">
        <v>0.105</v>
      </c>
      <c r="E74" s="24" t="n">
        <v>128.2484</v>
      </c>
      <c r="F74" s="24" t="n">
        <v>1.3323</v>
      </c>
      <c r="G74" s="24" t="n">
        <v>9.2345</v>
      </c>
      <c r="H74" s="24" t="n">
        <v>7.9021</v>
      </c>
      <c r="I74" s="24" t="n">
        <v>3.4938</v>
      </c>
      <c r="J74" s="24" t="n">
        <v>2.1376</v>
      </c>
      <c r="K74" s="24" t="n">
        <v>2.0181</v>
      </c>
      <c r="L74" s="24" t="n">
        <v>151.6796</v>
      </c>
      <c r="M74" s="24" t="n">
        <v>122.8063</v>
      </c>
      <c r="N74" s="24" t="n">
        <v>33.5824</v>
      </c>
      <c r="O74" s="24" t="n">
        <v>289.6135</v>
      </c>
      <c r="P74" s="24" t="n">
        <v>257.8084</v>
      </c>
      <c r="Q74" s="24" t="n">
        <v>38.5851</v>
      </c>
      <c r="R74" s="24" t="n">
        <v>32.7096</v>
      </c>
      <c r="S74" s="24" t="n">
        <v>28.8418</v>
      </c>
      <c r="T74" s="24" t="n">
        <v>1706.2951</v>
      </c>
      <c r="U74" s="24" t="n">
        <v>77.3994</v>
      </c>
      <c r="V74" s="24" t="n">
        <v>96.531</v>
      </c>
    </row>
    <row r="75" customFormat="false" ht="15" hidden="false" customHeight="false" outlineLevel="0" collapsed="false">
      <c r="A75" s="9" t="s">
        <v>834</v>
      </c>
      <c r="B75" s="9" t="s">
        <v>835</v>
      </c>
      <c r="C75" s="9" t="s">
        <v>695</v>
      </c>
      <c r="D75" s="23" t="n">
        <v>0.055</v>
      </c>
      <c r="E75" s="24" t="n">
        <v>125.639</v>
      </c>
      <c r="F75" s="24" t="n">
        <v>0.43</v>
      </c>
      <c r="G75" s="24" t="n">
        <v>1.4634</v>
      </c>
      <c r="H75" s="24" t="n">
        <v>1.0335</v>
      </c>
      <c r="I75" s="24" t="n">
        <v>0.1964</v>
      </c>
      <c r="J75" s="24" t="n">
        <v>0.2116</v>
      </c>
      <c r="K75" s="24" t="n">
        <v>0.2116</v>
      </c>
      <c r="L75" s="24" t="n">
        <v>15.5314</v>
      </c>
      <c r="M75" s="24" t="n">
        <v>12.9763</v>
      </c>
      <c r="N75" s="24" t="n">
        <v>2.6764</v>
      </c>
      <c r="O75" s="24" t="n">
        <v>37.3782</v>
      </c>
      <c r="P75" s="24" t="n">
        <v>28.7832</v>
      </c>
      <c r="Q75" s="24" t="n">
        <v>1.544</v>
      </c>
      <c r="R75" s="24" t="n">
        <v>1.8953</v>
      </c>
      <c r="S75" s="24" t="n">
        <v>1.8953</v>
      </c>
      <c r="T75" s="24" t="n">
        <v>174.5725</v>
      </c>
      <c r="U75" s="24" t="n">
        <v>9.3487</v>
      </c>
      <c r="V75" s="24" t="n">
        <v>13.541</v>
      </c>
    </row>
    <row r="76" customFormat="false" ht="15" hidden="false" customHeight="false" outlineLevel="0" collapsed="false">
      <c r="A76" s="9" t="s">
        <v>836</v>
      </c>
      <c r="B76" s="9" t="s">
        <v>837</v>
      </c>
      <c r="C76" s="9" t="s">
        <v>699</v>
      </c>
      <c r="D76" s="23" t="n">
        <v>0.105</v>
      </c>
      <c r="E76" s="24" t="n">
        <v>123.5121</v>
      </c>
      <c r="F76" s="24" t="n">
        <v>0.3663</v>
      </c>
      <c r="G76" s="24" t="n">
        <v>1.447</v>
      </c>
      <c r="H76" s="24" t="n">
        <v>1.0807</v>
      </c>
      <c r="I76" s="24" t="n">
        <v>0.3283</v>
      </c>
      <c r="J76" s="24" t="n">
        <v>0.1986</v>
      </c>
      <c r="K76" s="24" t="n">
        <v>0.1762</v>
      </c>
      <c r="L76" s="24" t="n">
        <v>39.6803</v>
      </c>
      <c r="M76" s="24" t="n">
        <v>31.1454</v>
      </c>
      <c r="N76" s="24" t="n">
        <v>12.4636</v>
      </c>
      <c r="O76" s="24" t="n">
        <v>49.7829</v>
      </c>
      <c r="P76" s="24" t="n">
        <v>39.6178</v>
      </c>
      <c r="Q76" s="24" t="n">
        <v>0.3596</v>
      </c>
      <c r="R76" s="24" t="n">
        <v>-4.4911</v>
      </c>
      <c r="S76" s="24" t="n">
        <v>-5.494</v>
      </c>
      <c r="T76" s="24" t="n">
        <v>437.8423</v>
      </c>
      <c r="U76" s="24" t="n">
        <v>14.7306</v>
      </c>
      <c r="V76" s="24" t="n">
        <v>13.981</v>
      </c>
    </row>
    <row r="77" customFormat="false" ht="15" hidden="false" customHeight="false" outlineLevel="0" collapsed="false">
      <c r="A77" s="9" t="s">
        <v>838</v>
      </c>
      <c r="B77" s="9" t="s">
        <v>839</v>
      </c>
      <c r="C77" s="9" t="s">
        <v>699</v>
      </c>
      <c r="D77" s="23" t="n">
        <v>0.0679</v>
      </c>
      <c r="E77" s="24" t="n">
        <v>120.0075</v>
      </c>
      <c r="F77" s="24" t="n">
        <v>0.3079</v>
      </c>
      <c r="G77" s="24" t="n">
        <v>0.9124</v>
      </c>
      <c r="H77" s="24" t="n">
        <v>0.6045</v>
      </c>
      <c r="I77" s="24" t="n">
        <v>0.1328</v>
      </c>
      <c r="J77" s="24" t="n">
        <v>0.1191</v>
      </c>
      <c r="K77" s="24" t="n">
        <v>0.034</v>
      </c>
      <c r="L77" s="24" t="n">
        <v>16.5911</v>
      </c>
      <c r="M77" s="24" t="n">
        <v>13.1727</v>
      </c>
      <c r="N77" s="24" t="n">
        <v>5.4432</v>
      </c>
      <c r="O77" s="24" t="n">
        <v>27.7731</v>
      </c>
      <c r="P77" s="24" t="n">
        <v>19.5581</v>
      </c>
      <c r="Q77" s="24" t="n">
        <v>-1.1355</v>
      </c>
      <c r="R77" s="24" t="n">
        <v>-1.7442</v>
      </c>
      <c r="S77" s="24" t="n">
        <v>-4.4563</v>
      </c>
      <c r="T77" s="24" t="n">
        <v>174.1586</v>
      </c>
      <c r="U77" s="24" t="n">
        <v>7.1772</v>
      </c>
      <c r="V77" s="24" t="n">
        <v>7.87</v>
      </c>
    </row>
    <row r="78" customFormat="false" ht="15" hidden="false" customHeight="false" outlineLevel="0" collapsed="false">
      <c r="A78" s="9" t="s">
        <v>840</v>
      </c>
      <c r="B78" s="9" t="s">
        <v>841</v>
      </c>
      <c r="C78" s="9" t="s">
        <v>699</v>
      </c>
      <c r="D78" s="23" t="n">
        <v>0.1251</v>
      </c>
      <c r="E78" s="24" t="n">
        <v>118.9897</v>
      </c>
      <c r="F78" s="24" t="n">
        <v>0.4049</v>
      </c>
      <c r="G78" s="24" t="n">
        <v>1.3433</v>
      </c>
      <c r="H78" s="24" t="n">
        <v>0.9384</v>
      </c>
      <c r="I78" s="24" t="n">
        <v>0.4436</v>
      </c>
      <c r="J78" s="24" t="n">
        <v>0.3</v>
      </c>
      <c r="K78" s="24" t="n">
        <v>0.1583</v>
      </c>
      <c r="L78" s="24" t="n">
        <v>41.239</v>
      </c>
      <c r="M78" s="24" t="n">
        <v>32.7705</v>
      </c>
      <c r="N78" s="24" t="n">
        <v>11.6034</v>
      </c>
      <c r="O78" s="24" t="n">
        <v>45.3633</v>
      </c>
      <c r="P78" s="24" t="n">
        <v>31.8786</v>
      </c>
      <c r="Q78" s="24" t="n">
        <v>1.2768</v>
      </c>
      <c r="R78" s="24" t="n">
        <v>-3.1437</v>
      </c>
      <c r="S78" s="24" t="n">
        <v>-9.53</v>
      </c>
      <c r="T78" s="24" t="n">
        <v>379.5007</v>
      </c>
      <c r="U78" s="24" t="n">
        <v>20.1299</v>
      </c>
      <c r="V78" s="24" t="n">
        <v>18.369</v>
      </c>
    </row>
    <row r="79" customFormat="false" ht="15" hidden="false" customHeight="false" outlineLevel="0" collapsed="false">
      <c r="A79" s="9" t="s">
        <v>842</v>
      </c>
      <c r="B79" s="9" t="s">
        <v>843</v>
      </c>
      <c r="C79" s="9" t="s">
        <v>699</v>
      </c>
      <c r="D79" s="23" t="n">
        <v>0.105</v>
      </c>
      <c r="E79" s="24" t="n">
        <v>110.8657</v>
      </c>
      <c r="F79" s="24" t="n">
        <v>0.2903</v>
      </c>
      <c r="G79" s="24" t="n">
        <v>5.4457</v>
      </c>
      <c r="H79" s="24" t="n">
        <v>5.1554</v>
      </c>
      <c r="I79" s="24" t="n">
        <v>4.3535</v>
      </c>
      <c r="J79" s="24" t="n">
        <v>4.2214</v>
      </c>
      <c r="K79" s="24" t="n">
        <v>4.2149</v>
      </c>
      <c r="L79" s="24" t="n">
        <v>162.6915</v>
      </c>
      <c r="M79" s="24" t="n">
        <v>72.5214</v>
      </c>
      <c r="N79" s="24" t="n">
        <v>35.9983</v>
      </c>
      <c r="O79" s="24" t="n">
        <v>152.3789</v>
      </c>
      <c r="P79" s="24" t="n">
        <v>144.4247</v>
      </c>
      <c r="Q79" s="24" t="n">
        <v>27.6249</v>
      </c>
      <c r="R79" s="24" t="n">
        <v>38.4714</v>
      </c>
      <c r="S79" s="24" t="n">
        <v>38.2005</v>
      </c>
      <c r="T79" s="24" t="n">
        <v>2602.0668</v>
      </c>
      <c r="U79" s="24" t="n">
        <v>17.656</v>
      </c>
      <c r="V79" s="24" t="n">
        <v>17.591</v>
      </c>
    </row>
    <row r="80" customFormat="false" ht="15" hidden="false" customHeight="false" outlineLevel="0" collapsed="false">
      <c r="A80" s="9" t="s">
        <v>844</v>
      </c>
      <c r="B80" s="9" t="s">
        <v>845</v>
      </c>
      <c r="C80" s="9" t="s">
        <v>699</v>
      </c>
      <c r="D80" s="23" t="n">
        <v>0.1169</v>
      </c>
      <c r="E80" s="24" t="n">
        <v>110.7267</v>
      </c>
      <c r="F80" s="24" t="n">
        <v>0.5109</v>
      </c>
      <c r="G80" s="24" t="n">
        <v>2.0875</v>
      </c>
      <c r="H80" s="24" t="n">
        <v>1.5766</v>
      </c>
      <c r="I80" s="24" t="n">
        <v>0.6436</v>
      </c>
      <c r="J80" s="24" t="n">
        <v>0.4118</v>
      </c>
      <c r="K80" s="24" t="n">
        <v>0.3657</v>
      </c>
      <c r="L80" s="24" t="n">
        <v>55.2891</v>
      </c>
      <c r="M80" s="24" t="n">
        <v>42.9909</v>
      </c>
      <c r="N80" s="24" t="n">
        <v>17.7518</v>
      </c>
      <c r="O80" s="24" t="n">
        <v>79.2447</v>
      </c>
      <c r="P80" s="24" t="n">
        <v>64.8649</v>
      </c>
      <c r="Q80" s="24" t="n">
        <v>3.8553</v>
      </c>
      <c r="R80" s="24" t="n">
        <v>-1.1267</v>
      </c>
      <c r="S80" s="24" t="n">
        <v>-2.8434</v>
      </c>
      <c r="T80" s="24" t="n">
        <v>629.8446</v>
      </c>
      <c r="U80" s="24" t="n">
        <v>17.8805</v>
      </c>
      <c r="V80" s="24" t="n">
        <v>22.034</v>
      </c>
    </row>
    <row r="81" customFormat="false" ht="15" hidden="false" customHeight="false" outlineLevel="0" collapsed="false">
      <c r="A81" s="9" t="s">
        <v>846</v>
      </c>
      <c r="B81" s="9" t="s">
        <v>847</v>
      </c>
      <c r="C81" s="9" t="s">
        <v>695</v>
      </c>
      <c r="D81" s="23" t="n">
        <v>0.0664</v>
      </c>
      <c r="E81" s="24" t="n">
        <v>108.3568</v>
      </c>
      <c r="F81" s="24" t="n">
        <v>0.9409</v>
      </c>
      <c r="G81" s="24" t="n">
        <v>2.476</v>
      </c>
      <c r="H81" s="24" t="n">
        <v>1.535</v>
      </c>
      <c r="I81" s="24" t="n">
        <v>0.1183</v>
      </c>
      <c r="J81" s="24" t="n">
        <v>0.083</v>
      </c>
      <c r="K81" s="24" t="n">
        <v>-0.03</v>
      </c>
      <c r="L81" s="24" t="n">
        <v>25.2538</v>
      </c>
      <c r="M81" s="24" t="n">
        <v>20.2434</v>
      </c>
      <c r="N81" s="24" t="n">
        <v>4.9386</v>
      </c>
      <c r="O81" s="24" t="n">
        <v>58.5798</v>
      </c>
      <c r="P81" s="24" t="n">
        <v>39.9732</v>
      </c>
      <c r="Q81" s="24" t="n">
        <v>-0.0952</v>
      </c>
      <c r="R81" s="24" t="n">
        <v>-0.9905</v>
      </c>
      <c r="S81" s="24" t="n">
        <v>-4.0938</v>
      </c>
      <c r="T81" s="24" t="n">
        <v>258.7138</v>
      </c>
      <c r="U81" s="24" t="n">
        <v>16.5379</v>
      </c>
      <c r="V81" s="24" t="n">
        <v>18.755</v>
      </c>
    </row>
    <row r="82" customFormat="false" ht="15" hidden="false" customHeight="false" outlineLevel="0" collapsed="false">
      <c r="A82" s="9" t="s">
        <v>848</v>
      </c>
      <c r="B82" s="9" t="s">
        <v>849</v>
      </c>
      <c r="C82" s="9" t="s">
        <v>699</v>
      </c>
      <c r="D82" s="23" t="n">
        <v>0.105</v>
      </c>
      <c r="E82" s="24" t="n">
        <v>107.2618</v>
      </c>
      <c r="F82" s="24" t="n">
        <v>0.4274</v>
      </c>
      <c r="G82" s="24" t="n">
        <v>1.3321</v>
      </c>
      <c r="H82" s="24" t="n">
        <v>0.9048</v>
      </c>
      <c r="I82" s="24" t="n">
        <v>0.2998</v>
      </c>
      <c r="J82" s="24" t="n">
        <v>0.1952</v>
      </c>
      <c r="K82" s="24" t="n">
        <v>0.1334</v>
      </c>
      <c r="L82" s="24" t="n">
        <v>26.1439</v>
      </c>
      <c r="M82" s="24" t="n">
        <v>17.7609</v>
      </c>
      <c r="N82" s="24" t="n">
        <v>5.5548</v>
      </c>
      <c r="O82" s="24" t="n">
        <v>36.4956</v>
      </c>
      <c r="P82" s="24" t="n">
        <v>26.9832</v>
      </c>
      <c r="Q82" s="24" t="n">
        <v>0.6195</v>
      </c>
      <c r="R82" s="24" t="n">
        <v>-2.5125</v>
      </c>
      <c r="S82" s="24" t="n">
        <v>-4.5939</v>
      </c>
      <c r="T82" s="24" t="n">
        <v>342.5515</v>
      </c>
      <c r="U82" s="24" t="n">
        <v>12.1461</v>
      </c>
      <c r="V82" s="24" t="n">
        <v>13.424</v>
      </c>
    </row>
    <row r="83" customFormat="false" ht="15" hidden="false" customHeight="false" outlineLevel="0" collapsed="false">
      <c r="A83" s="9" t="s">
        <v>850</v>
      </c>
      <c r="B83" s="9" t="s">
        <v>851</v>
      </c>
      <c r="C83" s="9" t="s">
        <v>699</v>
      </c>
      <c r="D83" s="23" t="n">
        <v>0.105</v>
      </c>
      <c r="E83" s="24" t="n">
        <v>107.0595</v>
      </c>
      <c r="F83" s="24" t="n">
        <v>0.4666</v>
      </c>
      <c r="G83" s="24" t="n">
        <v>31.701</v>
      </c>
      <c r="H83" s="24" t="n">
        <v>31.2344</v>
      </c>
      <c r="I83" s="24" t="n">
        <v>31.0674</v>
      </c>
      <c r="J83" s="24" t="n">
        <v>31.043</v>
      </c>
      <c r="K83" s="24" t="n">
        <v>31.0428</v>
      </c>
      <c r="L83" s="24" t="n">
        <v>669.6522</v>
      </c>
      <c r="M83" s="24" t="n">
        <v>47.7945</v>
      </c>
      <c r="N83" s="24" t="n">
        <v>26.4168</v>
      </c>
      <c r="O83" s="24" t="n">
        <v>758.9971</v>
      </c>
      <c r="P83" s="24" t="n">
        <v>745.2558</v>
      </c>
      <c r="Q83" s="24" t="n">
        <v>212.0516</v>
      </c>
      <c r="R83" s="24" t="n">
        <v>335.7289</v>
      </c>
      <c r="S83" s="24" t="n">
        <v>335.7191</v>
      </c>
      <c r="T83" s="24" t="n">
        <v>14849.4503</v>
      </c>
      <c r="U83" s="24" t="n">
        <v>3.4765</v>
      </c>
      <c r="V83" s="24" t="n">
        <v>3.76</v>
      </c>
    </row>
    <row r="84" customFormat="false" ht="15" hidden="false" customHeight="false" outlineLevel="0" collapsed="false">
      <c r="A84" s="9" t="s">
        <v>852</v>
      </c>
      <c r="B84" s="9" t="s">
        <v>853</v>
      </c>
      <c r="C84" s="9" t="s">
        <v>699</v>
      </c>
      <c r="D84" s="23" t="n">
        <v>0.105</v>
      </c>
      <c r="E84" s="24" t="n">
        <v>105.8272</v>
      </c>
      <c r="F84" s="24" t="n">
        <v>0.7114</v>
      </c>
      <c r="G84" s="24" t="n">
        <v>3.5718</v>
      </c>
      <c r="H84" s="24" t="n">
        <v>2.8604</v>
      </c>
      <c r="I84" s="24" t="n">
        <v>1.0671</v>
      </c>
      <c r="J84" s="24" t="n">
        <v>0.6208</v>
      </c>
      <c r="K84" s="24" t="n">
        <v>-0.596</v>
      </c>
      <c r="L84" s="24" t="n">
        <v>71.8947</v>
      </c>
      <c r="M84" s="24" t="n">
        <v>57.6157</v>
      </c>
      <c r="N84" s="24" t="n">
        <v>13.464</v>
      </c>
      <c r="O84" s="24" t="n">
        <v>133.851</v>
      </c>
      <c r="P84" s="24" t="n">
        <v>113.5065</v>
      </c>
      <c r="Q84" s="24" t="n">
        <v>13.4574</v>
      </c>
      <c r="R84" s="24" t="n">
        <v>11.0896</v>
      </c>
      <c r="S84" s="24" t="n">
        <v>-21.1451</v>
      </c>
      <c r="T84" s="24" t="n">
        <v>948.6334</v>
      </c>
      <c r="U84" s="24" t="n">
        <v>39.0567</v>
      </c>
      <c r="V84" s="24" t="n">
        <v>55.378</v>
      </c>
    </row>
    <row r="85" customFormat="false" ht="15" hidden="false" customHeight="false" outlineLevel="0" collapsed="false">
      <c r="A85" s="9" t="s">
        <v>854</v>
      </c>
      <c r="B85" s="9" t="s">
        <v>855</v>
      </c>
      <c r="C85" s="9" t="s">
        <v>695</v>
      </c>
      <c r="D85" s="23" t="n">
        <v>0.055</v>
      </c>
      <c r="E85" s="24" t="n">
        <v>101.4932</v>
      </c>
      <c r="F85" s="24" t="n">
        <v>0.349</v>
      </c>
      <c r="G85" s="24" t="n">
        <v>1.0952</v>
      </c>
      <c r="H85" s="24" t="n">
        <v>0.7462</v>
      </c>
      <c r="I85" s="24" t="n">
        <v>0.0225</v>
      </c>
      <c r="J85" s="24" t="n">
        <v>0.0369</v>
      </c>
      <c r="K85" s="24" t="n">
        <v>0.0205</v>
      </c>
      <c r="L85" s="24" t="n">
        <v>8.1555</v>
      </c>
      <c r="M85" s="24" t="n">
        <v>6.8</v>
      </c>
      <c r="N85" s="24" t="n">
        <v>1.3471</v>
      </c>
      <c r="O85" s="24" t="n">
        <v>26.3627</v>
      </c>
      <c r="P85" s="24" t="n">
        <v>18.6404</v>
      </c>
      <c r="Q85" s="24" t="n">
        <v>-0.9601</v>
      </c>
      <c r="R85" s="24" t="n">
        <v>-0.5459</v>
      </c>
      <c r="S85" s="24" t="n">
        <v>-0.9514</v>
      </c>
      <c r="T85" s="24" t="n">
        <v>80.2576</v>
      </c>
      <c r="U85" s="24" t="n">
        <v>7.2039</v>
      </c>
      <c r="V85" s="24" t="n">
        <v>7.855</v>
      </c>
    </row>
    <row r="86" customFormat="false" ht="15" hidden="false" customHeight="false" outlineLevel="0" collapsed="false">
      <c r="A86" s="9" t="s">
        <v>856</v>
      </c>
      <c r="B86" s="9" t="s">
        <v>857</v>
      </c>
      <c r="C86" s="9" t="s">
        <v>695</v>
      </c>
      <c r="D86" s="23" t="n">
        <v>0.095</v>
      </c>
      <c r="E86" s="24" t="n">
        <v>100.5033</v>
      </c>
      <c r="F86" s="24" t="n">
        <v>0.7918</v>
      </c>
      <c r="G86" s="24" t="n">
        <v>2.4133</v>
      </c>
      <c r="H86" s="24" t="n">
        <v>1.6215</v>
      </c>
      <c r="I86" s="24" t="n">
        <v>0.4317</v>
      </c>
      <c r="J86" s="24" t="n">
        <v>0.2172</v>
      </c>
      <c r="K86" s="24" t="n">
        <v>0.0331</v>
      </c>
      <c r="L86" s="24" t="n">
        <v>21.7924</v>
      </c>
      <c r="M86" s="24" t="n">
        <v>17.1803</v>
      </c>
      <c r="N86" s="24" t="n">
        <v>4.4222</v>
      </c>
      <c r="O86" s="24" t="n">
        <v>56.7246</v>
      </c>
      <c r="P86" s="24" t="n">
        <v>38.9656</v>
      </c>
      <c r="Q86" s="24" t="n">
        <v>4.8472</v>
      </c>
      <c r="R86" s="24" t="n">
        <v>2.5727</v>
      </c>
      <c r="S86" s="24" t="n">
        <v>-1.9638</v>
      </c>
      <c r="T86" s="24" t="n">
        <v>232.4465</v>
      </c>
      <c r="U86" s="24" t="n">
        <v>12.8348</v>
      </c>
      <c r="V86" s="24" t="n">
        <v>15.167</v>
      </c>
    </row>
    <row r="87" customFormat="false" ht="15" hidden="false" customHeight="false" outlineLevel="0" collapsed="false">
      <c r="A87" s="9" t="s">
        <v>858</v>
      </c>
      <c r="B87" s="9" t="s">
        <v>859</v>
      </c>
      <c r="C87" s="9" t="s">
        <v>699</v>
      </c>
      <c r="D87" s="23" t="n">
        <v>0.105</v>
      </c>
      <c r="E87" s="24" t="n">
        <v>98.551</v>
      </c>
      <c r="F87" s="24" t="n">
        <v>1.23</v>
      </c>
      <c r="G87" s="24" t="n">
        <v>3.6293</v>
      </c>
      <c r="H87" s="24" t="n">
        <v>2.3993</v>
      </c>
      <c r="I87" s="24" t="n">
        <v>0.4595</v>
      </c>
      <c r="J87" s="24" t="n">
        <v>0.0664</v>
      </c>
      <c r="K87" s="24" t="n">
        <v>0.0664</v>
      </c>
      <c r="L87" s="24" t="n">
        <v>57.7358</v>
      </c>
      <c r="M87" s="24" t="n">
        <v>44.8514</v>
      </c>
      <c r="N87" s="24" t="n">
        <v>13.3881</v>
      </c>
      <c r="O87" s="24" t="n">
        <v>147.4929</v>
      </c>
      <c r="P87" s="24" t="n">
        <v>104.884</v>
      </c>
      <c r="Q87" s="24" t="n">
        <v>3.4738</v>
      </c>
      <c r="R87" s="24" t="n">
        <v>-7.4415</v>
      </c>
      <c r="S87" s="24" t="n">
        <v>-7.4415</v>
      </c>
      <c r="T87" s="24" t="n">
        <v>856.0831</v>
      </c>
      <c r="U87" s="24" t="n">
        <v>32.7482</v>
      </c>
      <c r="V87" s="24" t="n">
        <v>30.545</v>
      </c>
    </row>
    <row r="88" customFormat="false" ht="15" hidden="false" customHeight="false" outlineLevel="0" collapsed="false">
      <c r="A88" s="9" t="s">
        <v>860</v>
      </c>
      <c r="B88" s="9" t="s">
        <v>861</v>
      </c>
      <c r="C88" s="9" t="s">
        <v>699</v>
      </c>
      <c r="D88" s="23" t="n">
        <v>0.042</v>
      </c>
      <c r="E88" s="24" t="n">
        <v>91.4175</v>
      </c>
      <c r="F88" s="24" t="n">
        <v>0.2302</v>
      </c>
      <c r="G88" s="24" t="n">
        <v>1.2649</v>
      </c>
      <c r="H88" s="24" t="n">
        <v>1.0347</v>
      </c>
      <c r="I88" s="24" t="n">
        <v>0.4786</v>
      </c>
      <c r="J88" s="24" t="n">
        <v>0.5146</v>
      </c>
      <c r="K88" s="24" t="n">
        <v>0.466</v>
      </c>
      <c r="L88" s="24" t="n">
        <v>42.2294</v>
      </c>
      <c r="M88" s="24" t="n">
        <v>30.9352</v>
      </c>
      <c r="N88" s="24" t="n">
        <v>15.2865</v>
      </c>
      <c r="O88" s="24" t="n">
        <v>37.7003</v>
      </c>
      <c r="P88" s="24" t="n">
        <v>32.2897</v>
      </c>
      <c r="Q88" s="24" t="n">
        <v>5.5412</v>
      </c>
      <c r="R88" s="24" t="n">
        <v>5.4209</v>
      </c>
      <c r="S88" s="24" t="n">
        <v>3.9215</v>
      </c>
      <c r="T88" s="24" t="n">
        <v>431.1817</v>
      </c>
      <c r="U88" s="24" t="n">
        <v>7.6974</v>
      </c>
      <c r="V88" s="24" t="n">
        <v>8.602</v>
      </c>
    </row>
    <row r="89" customFormat="false" ht="15" hidden="false" customHeight="false" outlineLevel="0" collapsed="false">
      <c r="A89" s="9" t="s">
        <v>862</v>
      </c>
      <c r="B89" s="9" t="s">
        <v>863</v>
      </c>
      <c r="C89" s="9" t="s">
        <v>699</v>
      </c>
      <c r="D89" s="23" t="n">
        <v>0.105</v>
      </c>
      <c r="E89" s="24" t="n">
        <v>87.8253</v>
      </c>
      <c r="F89" s="24" t="n">
        <v>0.338</v>
      </c>
      <c r="G89" s="24" t="n">
        <v>10.9744</v>
      </c>
      <c r="H89" s="24" t="n">
        <v>10.6365</v>
      </c>
      <c r="I89" s="24" t="n">
        <v>9.2701</v>
      </c>
      <c r="J89" s="24" t="n">
        <v>8.9726</v>
      </c>
      <c r="K89" s="24" t="n">
        <v>8.9032</v>
      </c>
      <c r="L89" s="24" t="n">
        <v>312.0291</v>
      </c>
      <c r="M89" s="24" t="n">
        <v>129.2726</v>
      </c>
      <c r="N89" s="24" t="n">
        <v>62.5802</v>
      </c>
      <c r="O89" s="24" t="n">
        <v>321.2261</v>
      </c>
      <c r="P89" s="24" t="n">
        <v>310.4505</v>
      </c>
      <c r="Q89" s="24" t="n">
        <v>68.9601</v>
      </c>
      <c r="R89" s="24" t="n">
        <v>102.7373</v>
      </c>
      <c r="S89" s="24" t="n">
        <v>100.0682</v>
      </c>
      <c r="T89" s="24" t="n">
        <v>5145.4849</v>
      </c>
      <c r="U89" s="24" t="n">
        <v>29.0188</v>
      </c>
      <c r="V89" s="24" t="n">
        <v>42.531</v>
      </c>
    </row>
    <row r="90" customFormat="false" ht="15" hidden="false" customHeight="false" outlineLevel="0" collapsed="false">
      <c r="A90" s="9" t="s">
        <v>864</v>
      </c>
      <c r="B90" s="9" t="s">
        <v>865</v>
      </c>
      <c r="C90" s="9" t="s">
        <v>699</v>
      </c>
      <c r="D90" s="23" t="n">
        <v>0.105</v>
      </c>
      <c r="E90" s="24" t="n">
        <v>85.9038</v>
      </c>
      <c r="F90" s="24" t="n">
        <v>0.6714</v>
      </c>
      <c r="G90" s="24" t="n">
        <v>3.6389</v>
      </c>
      <c r="H90" s="24" t="n">
        <v>2.9675</v>
      </c>
      <c r="I90" s="24" t="n">
        <v>1.3761</v>
      </c>
      <c r="J90" s="24" t="n">
        <v>0.9081</v>
      </c>
      <c r="K90" s="24" t="n">
        <v>0.3201</v>
      </c>
      <c r="L90" s="24" t="n">
        <v>86.2397</v>
      </c>
      <c r="M90" s="24" t="n">
        <v>72.2552</v>
      </c>
      <c r="N90" s="24" t="n">
        <v>21.2213</v>
      </c>
      <c r="O90" s="24" t="n">
        <v>135.6082</v>
      </c>
      <c r="P90" s="24" t="n">
        <v>111.8421</v>
      </c>
      <c r="Q90" s="24" t="n">
        <v>13.3614</v>
      </c>
      <c r="R90" s="24" t="n">
        <v>9.7682</v>
      </c>
      <c r="S90" s="24" t="n">
        <v>-8.4897</v>
      </c>
      <c r="T90" s="24" t="n">
        <v>814.2131</v>
      </c>
      <c r="U90" s="24" t="n">
        <v>48.0992</v>
      </c>
      <c r="V90" s="24" t="n">
        <v>57.927</v>
      </c>
    </row>
    <row r="91" customFormat="false" ht="15" hidden="false" customHeight="false" outlineLevel="0" collapsed="false">
      <c r="A91" s="9" t="s">
        <v>866</v>
      </c>
      <c r="B91" s="9" t="s">
        <v>867</v>
      </c>
      <c r="C91" s="9" t="s">
        <v>699</v>
      </c>
      <c r="D91" s="23" t="n">
        <v>0.085</v>
      </c>
      <c r="E91" s="24" t="n">
        <v>85.7243</v>
      </c>
      <c r="F91" s="24" t="n">
        <v>0.2133</v>
      </c>
      <c r="G91" s="24" t="n">
        <v>2.1371</v>
      </c>
      <c r="H91" s="24" t="n">
        <v>1.9238</v>
      </c>
      <c r="I91" s="24" t="n">
        <v>1.4604</v>
      </c>
      <c r="J91" s="24" t="n">
        <v>1.4191</v>
      </c>
      <c r="K91" s="24" t="n">
        <v>1.4185</v>
      </c>
      <c r="L91" s="24" t="n">
        <v>73.9946</v>
      </c>
      <c r="M91" s="24" t="n">
        <v>43.8716</v>
      </c>
      <c r="N91" s="24" t="n">
        <v>23.4903</v>
      </c>
      <c r="O91" s="24" t="n">
        <v>66.0196</v>
      </c>
      <c r="P91" s="24" t="n">
        <v>60.1364</v>
      </c>
      <c r="Q91" s="24" t="n">
        <v>11.6958</v>
      </c>
      <c r="R91" s="24" t="n">
        <v>13.8619</v>
      </c>
      <c r="S91" s="24" t="n">
        <v>13.8387</v>
      </c>
      <c r="T91" s="24" t="n">
        <v>965.0328</v>
      </c>
      <c r="U91" s="24" t="n">
        <v>6.671</v>
      </c>
      <c r="V91" s="24" t="n">
        <v>7.712</v>
      </c>
    </row>
    <row r="92" customFormat="false" ht="15" hidden="false" customHeight="false" outlineLevel="0" collapsed="false">
      <c r="A92" s="9" t="s">
        <v>868</v>
      </c>
      <c r="B92" s="9" t="s">
        <v>869</v>
      </c>
      <c r="C92" s="9" t="s">
        <v>699</v>
      </c>
      <c r="D92" s="23" t="n">
        <v>0.0914</v>
      </c>
      <c r="E92" s="24" t="n">
        <v>84.6745</v>
      </c>
      <c r="F92" s="24" t="n">
        <v>0.6195</v>
      </c>
      <c r="G92" s="24" t="n">
        <v>3.4066</v>
      </c>
      <c r="H92" s="24" t="n">
        <v>2.7872</v>
      </c>
      <c r="I92" s="24" t="n">
        <v>1.0548</v>
      </c>
      <c r="J92" s="24" t="n">
        <v>0.7575</v>
      </c>
      <c r="K92" s="24" t="n">
        <v>0.5343</v>
      </c>
      <c r="L92" s="24" t="n">
        <v>70.9169</v>
      </c>
      <c r="M92" s="24" t="n">
        <v>56.2141</v>
      </c>
      <c r="N92" s="24" t="n">
        <v>17.5187</v>
      </c>
      <c r="O92" s="24" t="n">
        <v>121.8672</v>
      </c>
      <c r="P92" s="24" t="n">
        <v>103.6124</v>
      </c>
      <c r="Q92" s="24" t="n">
        <v>13.0812</v>
      </c>
      <c r="R92" s="24" t="n">
        <v>10.8731</v>
      </c>
      <c r="S92" s="24" t="n">
        <v>4.0209</v>
      </c>
      <c r="T92" s="24" t="n">
        <v>790.8769</v>
      </c>
      <c r="U92" s="24" t="n">
        <v>33.9101</v>
      </c>
      <c r="V92" s="24" t="n">
        <v>36.957</v>
      </c>
    </row>
    <row r="93" customFormat="false" ht="15" hidden="false" customHeight="false" outlineLevel="0" collapsed="false">
      <c r="A93" s="9" t="s">
        <v>870</v>
      </c>
      <c r="B93" s="9" t="s">
        <v>871</v>
      </c>
      <c r="C93" s="9" t="s">
        <v>695</v>
      </c>
      <c r="D93" s="23" t="n">
        <v>0.045</v>
      </c>
      <c r="E93" s="24" t="n">
        <v>81.1118</v>
      </c>
      <c r="F93" s="24" t="n">
        <v>0.6854</v>
      </c>
      <c r="G93" s="24" t="n">
        <v>1.5293</v>
      </c>
      <c r="H93" s="24" t="n">
        <v>0.8438</v>
      </c>
      <c r="I93" s="24" t="n">
        <v>0.0043</v>
      </c>
      <c r="J93" s="24" t="n">
        <v>0.0473</v>
      </c>
      <c r="K93" s="24" t="n">
        <v>0.022</v>
      </c>
      <c r="L93" s="24" t="n">
        <v>14.8184</v>
      </c>
      <c r="M93" s="24" t="n">
        <v>12.4837</v>
      </c>
      <c r="N93" s="24" t="n">
        <v>2.7069</v>
      </c>
      <c r="O93" s="24" t="n">
        <v>35.7223</v>
      </c>
      <c r="P93" s="24" t="n">
        <v>22.7758</v>
      </c>
      <c r="Q93" s="24" t="n">
        <v>-2.7806</v>
      </c>
      <c r="R93" s="24" t="n">
        <v>-1.0991</v>
      </c>
      <c r="S93" s="24" t="n">
        <v>-1.8469</v>
      </c>
      <c r="T93" s="24" t="n">
        <v>135.0598</v>
      </c>
      <c r="U93" s="24" t="n">
        <v>12.1514</v>
      </c>
      <c r="V93" s="24" t="n">
        <v>13.371</v>
      </c>
    </row>
    <row r="94" customFormat="false" ht="15" hidden="false" customHeight="false" outlineLevel="0" collapsed="false">
      <c r="A94" s="9" t="s">
        <v>872</v>
      </c>
      <c r="B94" s="9" t="s">
        <v>873</v>
      </c>
      <c r="C94" s="9" t="s">
        <v>699</v>
      </c>
      <c r="D94" s="23" t="n">
        <v>0.105</v>
      </c>
      <c r="E94" s="24" t="n">
        <v>81.0968</v>
      </c>
      <c r="F94" s="24" t="n">
        <v>0.3176</v>
      </c>
      <c r="G94" s="24" t="n">
        <v>9.8105</v>
      </c>
      <c r="H94" s="24" t="n">
        <v>9.493</v>
      </c>
      <c r="I94" s="24" t="n">
        <v>5.7806</v>
      </c>
      <c r="J94" s="24" t="n">
        <v>4.0785</v>
      </c>
      <c r="K94" s="24" t="n">
        <v>3.9038</v>
      </c>
      <c r="L94" s="24" t="n">
        <v>151.545</v>
      </c>
      <c r="M94" s="24" t="n">
        <v>128.6678</v>
      </c>
      <c r="N94" s="24" t="n">
        <v>41.0126</v>
      </c>
      <c r="O94" s="24" t="n">
        <v>349.5632</v>
      </c>
      <c r="P94" s="24" t="n">
        <v>340.5473</v>
      </c>
      <c r="Q94" s="24" t="n">
        <v>62.7098</v>
      </c>
      <c r="R94" s="24" t="n">
        <v>62.8028</v>
      </c>
      <c r="S94" s="24" t="n">
        <v>57.8743</v>
      </c>
      <c r="T94" s="24" t="n">
        <v>1603.4927</v>
      </c>
      <c r="U94" s="24" t="n">
        <v>82.4156</v>
      </c>
      <c r="V94" s="24" t="n">
        <v>69.002</v>
      </c>
    </row>
    <row r="95" customFormat="false" ht="15" hidden="false" customHeight="false" outlineLevel="0" collapsed="false">
      <c r="A95" s="9" t="s">
        <v>874</v>
      </c>
      <c r="B95" s="9" t="s">
        <v>875</v>
      </c>
      <c r="C95" s="9" t="s">
        <v>699</v>
      </c>
      <c r="D95" s="23" t="n">
        <v>0.105</v>
      </c>
      <c r="E95" s="24" t="n">
        <v>77.202</v>
      </c>
      <c r="F95" s="24" t="n">
        <v>2.3525</v>
      </c>
      <c r="G95" s="24" t="n">
        <v>6.4255</v>
      </c>
      <c r="H95" s="24" t="n">
        <v>4.0731</v>
      </c>
      <c r="I95" s="24" t="n">
        <v>0.5299</v>
      </c>
      <c r="J95" s="24" t="n">
        <v>-0.067</v>
      </c>
      <c r="K95" s="24" t="n">
        <v>-0.2568</v>
      </c>
      <c r="L95" s="24" t="n">
        <v>130.6502</v>
      </c>
      <c r="M95" s="24" t="n">
        <v>106.5898</v>
      </c>
      <c r="N95" s="24" t="n">
        <v>32.1556</v>
      </c>
      <c r="O95" s="24" t="n">
        <v>218.1551</v>
      </c>
      <c r="P95" s="24" t="n">
        <v>155.8983</v>
      </c>
      <c r="Q95" s="24" t="n">
        <v>-7.3393</v>
      </c>
      <c r="R95" s="24" t="n">
        <v>-35.9371</v>
      </c>
      <c r="S95" s="24" t="n">
        <v>-42.7335</v>
      </c>
      <c r="T95" s="24" t="n">
        <v>1746.0793</v>
      </c>
      <c r="U95" s="24" t="n">
        <v>61.225</v>
      </c>
      <c r="V95" s="24" t="n">
        <v>76.575</v>
      </c>
    </row>
    <row r="96" customFormat="false" ht="15" hidden="false" customHeight="false" outlineLevel="0" collapsed="false">
      <c r="A96" s="9" t="s">
        <v>876</v>
      </c>
      <c r="B96" s="9" t="s">
        <v>877</v>
      </c>
      <c r="C96" s="9" t="s">
        <v>699</v>
      </c>
      <c r="D96" s="23" t="n">
        <v>0.0966</v>
      </c>
      <c r="E96" s="24" t="n">
        <v>69.1467</v>
      </c>
      <c r="F96" s="24" t="n">
        <v>0.5761</v>
      </c>
      <c r="G96" s="24" t="n">
        <v>1.6177</v>
      </c>
      <c r="H96" s="24" t="n">
        <v>1.0415</v>
      </c>
      <c r="I96" s="24" t="n">
        <v>-0.1864</v>
      </c>
      <c r="J96" s="24" t="n">
        <v>-0.3151</v>
      </c>
      <c r="K96" s="24" t="n">
        <v>-0.4205</v>
      </c>
      <c r="L96" s="24" t="n">
        <v>38.0412</v>
      </c>
      <c r="M96" s="24" t="n">
        <v>30.4682</v>
      </c>
      <c r="N96" s="24" t="n">
        <v>8.1352</v>
      </c>
      <c r="O96" s="24" t="n">
        <v>52.5406</v>
      </c>
      <c r="P96" s="24" t="n">
        <v>36.804</v>
      </c>
      <c r="Q96" s="24" t="n">
        <v>-7.174</v>
      </c>
      <c r="R96" s="24" t="n">
        <v>-16.5958</v>
      </c>
      <c r="S96" s="24" t="n">
        <v>-19.8897</v>
      </c>
      <c r="T96" s="24" t="n">
        <v>483.5283</v>
      </c>
      <c r="U96" s="24" t="n">
        <v>24.7499</v>
      </c>
      <c r="V96" s="24" t="n">
        <v>25.17</v>
      </c>
    </row>
    <row r="97" customFormat="false" ht="15" hidden="false" customHeight="false" outlineLevel="0" collapsed="false">
      <c r="A97" s="9" t="s">
        <v>878</v>
      </c>
      <c r="B97" s="9" t="s">
        <v>879</v>
      </c>
      <c r="C97" s="9" t="s">
        <v>699</v>
      </c>
      <c r="D97" s="23" t="n">
        <v>0.105</v>
      </c>
      <c r="E97" s="24" t="n">
        <v>67.1585</v>
      </c>
      <c r="F97" s="24" t="n">
        <v>0.3601</v>
      </c>
      <c r="G97" s="24" t="n">
        <v>5.3038</v>
      </c>
      <c r="H97" s="24" t="n">
        <v>4.9437</v>
      </c>
      <c r="I97" s="24" t="n">
        <v>4.559</v>
      </c>
      <c r="J97" s="24" t="n">
        <v>4.4684</v>
      </c>
      <c r="K97" s="24" t="n">
        <v>4.4656</v>
      </c>
      <c r="L97" s="24" t="n">
        <v>114.9571</v>
      </c>
      <c r="M97" s="24" t="n">
        <v>23.8708</v>
      </c>
      <c r="N97" s="24" t="n">
        <v>10.0536</v>
      </c>
      <c r="O97" s="24" t="n">
        <v>140.0755</v>
      </c>
      <c r="P97" s="24" t="n">
        <v>128.6237</v>
      </c>
      <c r="Q97" s="24" t="n">
        <v>32.2882</v>
      </c>
      <c r="R97" s="24" t="n">
        <v>48.9528</v>
      </c>
      <c r="S97" s="24" t="n">
        <v>48.8551</v>
      </c>
      <c r="T97" s="24" t="n">
        <v>2356.6459</v>
      </c>
      <c r="U97" s="24" t="n">
        <v>9.4211</v>
      </c>
      <c r="V97" s="24" t="n">
        <v>9.654</v>
      </c>
    </row>
    <row r="98" customFormat="false" ht="15" hidden="false" customHeight="false" outlineLevel="0" collapsed="false">
      <c r="A98" s="9" t="s">
        <v>880</v>
      </c>
      <c r="B98" s="9" t="s">
        <v>881</v>
      </c>
      <c r="C98" s="9" t="s">
        <v>699</v>
      </c>
      <c r="D98" s="23" t="n">
        <v>0.105</v>
      </c>
      <c r="E98" s="24" t="n">
        <v>65.0626</v>
      </c>
      <c r="F98" s="24" t="n">
        <v>0.234</v>
      </c>
      <c r="G98" s="24" t="n">
        <v>2.7744</v>
      </c>
      <c r="H98" s="24" t="n">
        <v>2.5404</v>
      </c>
      <c r="I98" s="24" t="n">
        <v>2.3193</v>
      </c>
      <c r="J98" s="24" t="n">
        <v>2.282</v>
      </c>
      <c r="K98" s="24" t="n">
        <v>2.2771</v>
      </c>
      <c r="L98" s="24" t="n">
        <v>78.2357</v>
      </c>
      <c r="M98" s="24" t="n">
        <v>31.9617</v>
      </c>
      <c r="N98" s="24" t="n">
        <v>15.8925</v>
      </c>
      <c r="O98" s="24" t="n">
        <v>76.7947</v>
      </c>
      <c r="P98" s="24" t="n">
        <v>69.9447</v>
      </c>
      <c r="Q98" s="24" t="n">
        <v>16.1642</v>
      </c>
      <c r="R98" s="24" t="n">
        <v>24.6264</v>
      </c>
      <c r="S98" s="24" t="n">
        <v>24.4268</v>
      </c>
      <c r="T98" s="24" t="n">
        <v>1257.2158</v>
      </c>
      <c r="U98" s="24" t="n">
        <v>5.3583</v>
      </c>
      <c r="V98" s="24" t="n">
        <v>8.32</v>
      </c>
    </row>
    <row r="99" customFormat="false" ht="15" hidden="false" customHeight="false" outlineLevel="0" collapsed="false">
      <c r="A99" s="9" t="s">
        <v>882</v>
      </c>
      <c r="B99" s="9" t="s">
        <v>883</v>
      </c>
      <c r="C99" s="9" t="s">
        <v>695</v>
      </c>
      <c r="D99" s="23" t="n">
        <v>0.055</v>
      </c>
      <c r="E99" s="24" t="n">
        <v>59.385</v>
      </c>
      <c r="F99" s="24" t="n">
        <v>0.2478</v>
      </c>
      <c r="G99" s="24" t="n">
        <v>0.4088</v>
      </c>
      <c r="H99" s="24" t="n">
        <v>0.161</v>
      </c>
      <c r="I99" s="24" t="n">
        <v>-0.2111</v>
      </c>
      <c r="J99" s="24" t="n">
        <v>-0.209</v>
      </c>
      <c r="K99" s="24" t="n">
        <v>-0.209</v>
      </c>
      <c r="L99" s="24" t="n">
        <v>2.9484</v>
      </c>
      <c r="M99" s="24" t="n">
        <v>1.7475</v>
      </c>
      <c r="N99" s="24" t="n">
        <v>0.1877</v>
      </c>
      <c r="O99" s="24" t="n">
        <v>7.8107</v>
      </c>
      <c r="P99" s="24" t="n">
        <v>1.662</v>
      </c>
      <c r="Q99" s="24" t="n">
        <v>-4.2364</v>
      </c>
      <c r="R99" s="24" t="n">
        <v>-3.9106</v>
      </c>
      <c r="S99" s="24" t="n">
        <v>-3.9106</v>
      </c>
      <c r="T99" s="24" t="n">
        <v>55.5878</v>
      </c>
      <c r="U99" s="24" t="n">
        <v>2.5256</v>
      </c>
      <c r="V99" s="24" t="n">
        <v>2.426</v>
      </c>
    </row>
    <row r="100" customFormat="false" ht="15" hidden="false" customHeight="false" outlineLevel="0" collapsed="false">
      <c r="A100" s="9" t="s">
        <v>884</v>
      </c>
      <c r="B100" s="9" t="s">
        <v>885</v>
      </c>
      <c r="C100" s="9" t="s">
        <v>699</v>
      </c>
      <c r="D100" s="23" t="n">
        <v>0.1112</v>
      </c>
      <c r="E100" s="24" t="n">
        <v>59.1835</v>
      </c>
      <c r="F100" s="24" t="n">
        <v>0.4584</v>
      </c>
      <c r="G100" s="24" t="n">
        <v>2.6041</v>
      </c>
      <c r="H100" s="24" t="n">
        <v>2.1456</v>
      </c>
      <c r="I100" s="24" t="n">
        <v>0.6279</v>
      </c>
      <c r="J100" s="24" t="n">
        <v>0.2505</v>
      </c>
      <c r="K100" s="24" t="n">
        <v>0.0951</v>
      </c>
      <c r="L100" s="24" t="n">
        <v>52.4289</v>
      </c>
      <c r="M100" s="24" t="n">
        <v>42.416</v>
      </c>
      <c r="N100" s="24" t="n">
        <v>12.3711</v>
      </c>
      <c r="O100" s="24" t="n">
        <v>109.4113</v>
      </c>
      <c r="P100" s="24" t="n">
        <v>94.4353</v>
      </c>
      <c r="Q100" s="24" t="n">
        <v>6.4024</v>
      </c>
      <c r="R100" s="24" t="n">
        <v>-0.251</v>
      </c>
      <c r="S100" s="24" t="n">
        <v>-5.6098</v>
      </c>
      <c r="T100" s="24" t="n">
        <v>659.1305</v>
      </c>
      <c r="U100" s="24" t="n">
        <v>27.6945</v>
      </c>
      <c r="V100" s="24" t="n">
        <v>36.569</v>
      </c>
    </row>
    <row r="101" customFormat="false" ht="15" hidden="false" customHeight="false" outlineLevel="0" collapsed="false">
      <c r="A101" s="9" t="s">
        <v>886</v>
      </c>
      <c r="B101" s="9" t="s">
        <v>887</v>
      </c>
      <c r="C101" s="9" t="s">
        <v>699</v>
      </c>
      <c r="D101" s="23" t="n">
        <v>0.1</v>
      </c>
      <c r="E101" s="24" t="n">
        <v>58.9502</v>
      </c>
      <c r="F101" s="24" t="n">
        <v>0.4058</v>
      </c>
      <c r="G101" s="24" t="n">
        <v>3.3094</v>
      </c>
      <c r="H101" s="24" t="n">
        <v>2.9036</v>
      </c>
      <c r="I101" s="24" t="n">
        <v>2.0862</v>
      </c>
      <c r="J101" s="24" t="n">
        <v>1.9574</v>
      </c>
      <c r="K101" s="24" t="n">
        <v>1.8972</v>
      </c>
      <c r="L101" s="24" t="n">
        <v>87.343</v>
      </c>
      <c r="M101" s="24" t="n">
        <v>42.2057</v>
      </c>
      <c r="N101" s="24" t="n">
        <v>17.3117</v>
      </c>
      <c r="O101" s="24" t="n">
        <v>97.5647</v>
      </c>
      <c r="P101" s="24" t="n">
        <v>85.701</v>
      </c>
      <c r="Q101" s="24" t="n">
        <v>13.7316</v>
      </c>
      <c r="R101" s="24" t="n">
        <v>16.1923</v>
      </c>
      <c r="S101" s="24" t="n">
        <v>13.9857</v>
      </c>
      <c r="T101" s="24" t="n">
        <v>1423.2976</v>
      </c>
      <c r="U101" s="24" t="n">
        <v>19.4944</v>
      </c>
      <c r="V101" s="24" t="n">
        <v>19.274</v>
      </c>
    </row>
    <row r="102" customFormat="false" ht="15" hidden="false" customHeight="false" outlineLevel="0" collapsed="false">
      <c r="A102" s="9" t="s">
        <v>888</v>
      </c>
      <c r="B102" s="9" t="s">
        <v>889</v>
      </c>
      <c r="C102" s="9" t="s">
        <v>699</v>
      </c>
      <c r="D102" s="23" t="n">
        <v>0.105</v>
      </c>
      <c r="E102" s="24" t="n">
        <v>57.7768</v>
      </c>
      <c r="F102" s="24" t="n">
        <v>0.056</v>
      </c>
      <c r="G102" s="24" t="n">
        <v>3.4509</v>
      </c>
      <c r="H102" s="24" t="n">
        <v>3.3948</v>
      </c>
      <c r="I102" s="24" t="n">
        <v>2.6653</v>
      </c>
      <c r="J102" s="24" t="n">
        <v>2.5578</v>
      </c>
      <c r="K102" s="24" t="n">
        <v>2.53</v>
      </c>
      <c r="L102" s="24" t="n">
        <v>102.7212</v>
      </c>
      <c r="M102" s="24" t="n">
        <v>44.5262</v>
      </c>
      <c r="N102" s="24" t="n">
        <v>20.7622</v>
      </c>
      <c r="O102" s="24" t="n">
        <v>109.1455</v>
      </c>
      <c r="P102" s="24" t="n">
        <v>106.6145</v>
      </c>
      <c r="Q102" s="24" t="n">
        <v>18.209</v>
      </c>
      <c r="R102" s="24" t="n">
        <v>24.9183</v>
      </c>
      <c r="S102" s="24" t="n">
        <v>23.8063</v>
      </c>
      <c r="T102" s="24" t="n">
        <v>1665.136</v>
      </c>
      <c r="U102" s="24" t="n">
        <v>15.5958</v>
      </c>
      <c r="V102" s="24" t="n">
        <v>19.121</v>
      </c>
    </row>
    <row r="103" customFormat="false" ht="15" hidden="false" customHeight="false" outlineLevel="0" collapsed="false">
      <c r="A103" s="9" t="s">
        <v>890</v>
      </c>
      <c r="B103" s="9" t="s">
        <v>891</v>
      </c>
      <c r="C103" s="9" t="s">
        <v>699</v>
      </c>
      <c r="D103" s="23" t="n">
        <v>0.105</v>
      </c>
      <c r="E103" s="24" t="n">
        <v>57.3433</v>
      </c>
      <c r="F103" s="24" t="n">
        <v>0.1159</v>
      </c>
      <c r="G103" s="24" t="n">
        <v>1.2144</v>
      </c>
      <c r="H103" s="24" t="n">
        <v>1.0985</v>
      </c>
      <c r="I103" s="24" t="n">
        <v>0.7432</v>
      </c>
      <c r="J103" s="24" t="n">
        <v>0.6808</v>
      </c>
      <c r="K103" s="24" t="n">
        <v>0.6657</v>
      </c>
      <c r="L103" s="24" t="n">
        <v>24.9199</v>
      </c>
      <c r="M103" s="24" t="n">
        <v>10.4752</v>
      </c>
      <c r="N103" s="24" t="n">
        <v>4.0879</v>
      </c>
      <c r="O103" s="24" t="n">
        <v>35.7448</v>
      </c>
      <c r="P103" s="24" t="n">
        <v>33.1694</v>
      </c>
      <c r="Q103" s="24" t="n">
        <v>3.9085</v>
      </c>
      <c r="R103" s="24" t="n">
        <v>3.1806</v>
      </c>
      <c r="S103" s="24" t="n">
        <v>2.2721</v>
      </c>
      <c r="T103" s="24" t="n">
        <v>468.6818</v>
      </c>
      <c r="U103" s="24" t="n">
        <v>4.1542</v>
      </c>
      <c r="V103" s="24" t="n">
        <v>4.054</v>
      </c>
    </row>
    <row r="104" customFormat="false" ht="15" hidden="false" customHeight="false" outlineLevel="0" collapsed="false">
      <c r="A104" s="9" t="s">
        <v>892</v>
      </c>
      <c r="B104" s="9" t="s">
        <v>893</v>
      </c>
      <c r="C104" s="9" t="s">
        <v>699</v>
      </c>
      <c r="D104" s="23" t="n">
        <v>0.105</v>
      </c>
      <c r="E104" s="24" t="n">
        <v>52.4868</v>
      </c>
      <c r="F104" s="24" t="n">
        <v>0.1964</v>
      </c>
      <c r="G104" s="24" t="n">
        <v>1.909</v>
      </c>
      <c r="H104" s="24" t="n">
        <v>1.7126</v>
      </c>
      <c r="I104" s="24" t="n">
        <v>0.8897</v>
      </c>
      <c r="J104" s="24" t="n">
        <v>0.7091</v>
      </c>
      <c r="K104" s="24" t="n">
        <v>0.5323</v>
      </c>
      <c r="L104" s="24" t="n">
        <v>62.9171</v>
      </c>
      <c r="M104" s="24" t="n">
        <v>45.1243</v>
      </c>
      <c r="N104" s="24" t="n">
        <v>21.817</v>
      </c>
      <c r="O104" s="24" t="n">
        <v>67.7137</v>
      </c>
      <c r="P104" s="24" t="n">
        <v>60.5878</v>
      </c>
      <c r="Q104" s="24" t="n">
        <v>7.1513</v>
      </c>
      <c r="R104" s="24" t="n">
        <v>6.6676</v>
      </c>
      <c r="S104" s="24" t="n">
        <v>0.6502</v>
      </c>
      <c r="T104" s="24" t="n">
        <v>723.4143</v>
      </c>
      <c r="U104" s="24" t="n">
        <v>16.2174</v>
      </c>
      <c r="V104" s="24" t="n">
        <v>17.984</v>
      </c>
    </row>
    <row r="105" customFormat="false" ht="15" hidden="false" customHeight="false" outlineLevel="0" collapsed="false">
      <c r="A105" s="9" t="s">
        <v>894</v>
      </c>
      <c r="B105" s="9" t="s">
        <v>895</v>
      </c>
      <c r="C105" s="9" t="s">
        <v>695</v>
      </c>
      <c r="D105" s="23" t="n">
        <v>0.1059</v>
      </c>
      <c r="E105" s="24" t="n">
        <v>49.8859</v>
      </c>
      <c r="F105" s="24" t="n">
        <v>0.3078</v>
      </c>
      <c r="G105" s="24" t="n">
        <v>1.1847</v>
      </c>
      <c r="H105" s="24" t="n">
        <v>0.877</v>
      </c>
      <c r="I105" s="24" t="n">
        <v>0.1176</v>
      </c>
      <c r="J105" s="24" t="n">
        <v>-0.0174</v>
      </c>
      <c r="K105" s="24" t="n">
        <v>-0.0593</v>
      </c>
      <c r="L105" s="24" t="n">
        <v>12.6569</v>
      </c>
      <c r="M105" s="24" t="n">
        <v>8.3474</v>
      </c>
      <c r="N105" s="24" t="n">
        <v>2.2383</v>
      </c>
      <c r="O105" s="24" t="n">
        <v>28.5497</v>
      </c>
      <c r="P105" s="24" t="n">
        <v>21.7185</v>
      </c>
      <c r="Q105" s="24" t="n">
        <v>0.6489</v>
      </c>
      <c r="R105" s="24" t="n">
        <v>-2.248</v>
      </c>
      <c r="S105" s="24" t="n">
        <v>-3.4051</v>
      </c>
      <c r="T105" s="24" t="n">
        <v>166.6159</v>
      </c>
      <c r="U105" s="24" t="n">
        <v>6.4723</v>
      </c>
      <c r="V105" s="24" t="n">
        <v>7.301</v>
      </c>
    </row>
    <row r="106" customFormat="false" ht="15" hidden="false" customHeight="false" outlineLevel="0" collapsed="false">
      <c r="A106" s="9" t="s">
        <v>896</v>
      </c>
      <c r="B106" s="9" t="s">
        <v>897</v>
      </c>
      <c r="C106" s="9" t="s">
        <v>699</v>
      </c>
      <c r="D106" s="23" t="n">
        <v>0.105</v>
      </c>
      <c r="E106" s="24" t="n">
        <v>48.7508</v>
      </c>
      <c r="F106" s="24" t="n">
        <v>0.1173</v>
      </c>
      <c r="G106" s="24" t="n">
        <v>4.932</v>
      </c>
      <c r="H106" s="24" t="n">
        <v>4.8147</v>
      </c>
      <c r="I106" s="24" t="n">
        <v>4.0542</v>
      </c>
      <c r="J106" s="24" t="n">
        <v>3.8763</v>
      </c>
      <c r="K106" s="24" t="n">
        <v>3.8126</v>
      </c>
      <c r="L106" s="24" t="n">
        <v>124.905</v>
      </c>
      <c r="M106" s="24" t="n">
        <v>43.772</v>
      </c>
      <c r="N106" s="24" t="n">
        <v>18.8685</v>
      </c>
      <c r="O106" s="24" t="n">
        <v>139.6061</v>
      </c>
      <c r="P106" s="24" t="n">
        <v>134.1185</v>
      </c>
      <c r="Q106" s="24" t="n">
        <v>27.1799</v>
      </c>
      <c r="R106" s="24" t="n">
        <v>37.8249</v>
      </c>
      <c r="S106" s="24" t="n">
        <v>35.9508</v>
      </c>
      <c r="T106" s="24" t="n">
        <v>2195.7958</v>
      </c>
      <c r="U106" s="24" t="n">
        <v>21.3635</v>
      </c>
      <c r="V106" s="24" t="n">
        <v>22.924</v>
      </c>
    </row>
    <row r="107" customFormat="false" ht="15" hidden="false" customHeight="false" outlineLevel="0" collapsed="false">
      <c r="A107" s="9" t="s">
        <v>898</v>
      </c>
      <c r="B107" s="9" t="s">
        <v>899</v>
      </c>
      <c r="C107" s="9" t="s">
        <v>699</v>
      </c>
      <c r="D107" s="23" t="n">
        <v>0.105</v>
      </c>
      <c r="E107" s="24" t="n">
        <v>48.16</v>
      </c>
      <c r="F107" s="24" t="n">
        <v>0.4046</v>
      </c>
      <c r="G107" s="24" t="n">
        <v>2.1445</v>
      </c>
      <c r="H107" s="24" t="n">
        <v>1.74</v>
      </c>
      <c r="I107" s="24" t="n">
        <v>0.8121</v>
      </c>
      <c r="J107" s="24" t="n">
        <v>0.5778</v>
      </c>
      <c r="K107" s="24" t="n">
        <v>0.5553</v>
      </c>
      <c r="L107" s="24" t="n">
        <v>74.2976</v>
      </c>
      <c r="M107" s="24" t="n">
        <v>55.9866</v>
      </c>
      <c r="N107" s="24" t="n">
        <v>16.4471</v>
      </c>
      <c r="O107" s="24" t="n">
        <v>70.2816</v>
      </c>
      <c r="P107" s="24" t="n">
        <v>57.3738</v>
      </c>
      <c r="Q107" s="24" t="n">
        <v>8.0383</v>
      </c>
      <c r="R107" s="24" t="n">
        <v>7.8851</v>
      </c>
      <c r="S107" s="24" t="n">
        <v>7.2304</v>
      </c>
      <c r="T107" s="24" t="n">
        <v>892.335</v>
      </c>
      <c r="U107" s="24" t="n">
        <v>34.166</v>
      </c>
      <c r="V107" s="24" t="n">
        <v>39.42</v>
      </c>
    </row>
    <row r="108" customFormat="false" ht="15" hidden="false" customHeight="false" outlineLevel="0" collapsed="false">
      <c r="A108" s="9" t="s">
        <v>900</v>
      </c>
      <c r="B108" s="9" t="s">
        <v>901</v>
      </c>
      <c r="C108" s="9" t="s">
        <v>699</v>
      </c>
      <c r="D108" s="23" t="n">
        <v>0.105</v>
      </c>
      <c r="E108" s="24" t="n">
        <v>47.1607</v>
      </c>
      <c r="F108" s="24" t="n">
        <v>0.4716</v>
      </c>
      <c r="G108" s="24" t="n">
        <v>1.4483</v>
      </c>
      <c r="H108" s="24" t="n">
        <v>0.9767</v>
      </c>
      <c r="I108" s="24" t="n">
        <v>0.278</v>
      </c>
      <c r="J108" s="24" t="n">
        <v>0.1143</v>
      </c>
      <c r="K108" s="24" t="n">
        <v>0.055</v>
      </c>
      <c r="L108" s="24" t="n">
        <v>20.0364</v>
      </c>
      <c r="M108" s="24" t="n">
        <v>16.1694</v>
      </c>
      <c r="N108" s="24" t="n">
        <v>5.2811</v>
      </c>
      <c r="O108" s="24" t="n">
        <v>47.9059</v>
      </c>
      <c r="P108" s="24" t="n">
        <v>33.4092</v>
      </c>
      <c r="Q108" s="24" t="n">
        <v>2.2704</v>
      </c>
      <c r="R108" s="24" t="n">
        <v>-0.626</v>
      </c>
      <c r="S108" s="24" t="n">
        <v>-3.2712</v>
      </c>
      <c r="T108" s="24" t="n">
        <v>225.1746</v>
      </c>
      <c r="U108" s="24" t="n">
        <v>10.559</v>
      </c>
      <c r="V108" s="24" t="n">
        <v>12.73</v>
      </c>
    </row>
    <row r="109" customFormat="false" ht="15" hidden="false" customHeight="false" outlineLevel="0" collapsed="false">
      <c r="A109" s="9" t="s">
        <v>902</v>
      </c>
      <c r="B109" s="9" t="s">
        <v>903</v>
      </c>
      <c r="C109" s="9" t="s">
        <v>695</v>
      </c>
      <c r="D109" s="23" t="n">
        <v>0.0764</v>
      </c>
      <c r="E109" s="24" t="n">
        <v>46.5806</v>
      </c>
      <c r="F109" s="24" t="n">
        <v>0.348</v>
      </c>
      <c r="G109" s="24" t="n">
        <v>1.0796</v>
      </c>
      <c r="H109" s="24" t="n">
        <v>0.7315</v>
      </c>
      <c r="I109" s="24" t="n">
        <v>0.2214</v>
      </c>
      <c r="J109" s="24" t="n">
        <v>0.1876</v>
      </c>
      <c r="K109" s="24" t="n">
        <v>0.1539</v>
      </c>
      <c r="L109" s="24" t="n">
        <v>13.0008</v>
      </c>
      <c r="M109" s="24" t="n">
        <v>8.2662</v>
      </c>
      <c r="N109" s="24" t="n">
        <v>1.6942</v>
      </c>
      <c r="O109" s="24" t="n">
        <v>26.1565</v>
      </c>
      <c r="P109" s="24" t="n">
        <v>17.7593</v>
      </c>
      <c r="Q109" s="24" t="n">
        <v>2.5245</v>
      </c>
      <c r="R109" s="24" t="n">
        <v>2.3575</v>
      </c>
      <c r="S109" s="24" t="n">
        <v>1.7844</v>
      </c>
      <c r="T109" s="24" t="n">
        <v>164.1443</v>
      </c>
      <c r="U109" s="24" t="n">
        <v>6.1013</v>
      </c>
      <c r="V109" s="24" t="n">
        <v>9.022</v>
      </c>
    </row>
    <row r="110" customFormat="false" ht="15" hidden="false" customHeight="false" outlineLevel="0" collapsed="false">
      <c r="A110" s="9" t="s">
        <v>904</v>
      </c>
      <c r="B110" s="9" t="s">
        <v>905</v>
      </c>
      <c r="C110" s="9" t="s">
        <v>699</v>
      </c>
      <c r="D110" s="23" t="n">
        <v>0.0669</v>
      </c>
      <c r="E110" s="24" t="n">
        <v>45.4731</v>
      </c>
      <c r="F110" s="24" t="n">
        <v>0.2481</v>
      </c>
      <c r="G110" s="24" t="n">
        <v>1.3308</v>
      </c>
      <c r="H110" s="24" t="n">
        <v>1.0827</v>
      </c>
      <c r="I110" s="24" t="n">
        <v>0.3817</v>
      </c>
      <c r="J110" s="24" t="n">
        <v>0.3686</v>
      </c>
      <c r="K110" s="24" t="n">
        <v>0.3182</v>
      </c>
      <c r="L110" s="24" t="n">
        <v>34.8154</v>
      </c>
      <c r="M110" s="24" t="n">
        <v>21.2586</v>
      </c>
      <c r="N110" s="24" t="n">
        <v>7.9482</v>
      </c>
      <c r="O110" s="24" t="n">
        <v>42.3689</v>
      </c>
      <c r="P110" s="24" t="n">
        <v>34.9144</v>
      </c>
      <c r="Q110" s="24" t="n">
        <v>-2.4177</v>
      </c>
      <c r="R110" s="24" t="n">
        <v>-3.3229</v>
      </c>
      <c r="S110" s="24" t="n">
        <v>-5.1351</v>
      </c>
      <c r="T110" s="24" t="n">
        <v>520.8457</v>
      </c>
      <c r="U110" s="24" t="n">
        <v>12.3352</v>
      </c>
      <c r="V110" s="24" t="n">
        <v>12.467</v>
      </c>
    </row>
    <row r="111" customFormat="false" ht="15" hidden="false" customHeight="false" outlineLevel="0" collapsed="false">
      <c r="A111" s="9" t="s">
        <v>906</v>
      </c>
      <c r="B111" s="9" t="s">
        <v>907</v>
      </c>
      <c r="C111" s="9" t="s">
        <v>695</v>
      </c>
      <c r="D111" s="23" t="n">
        <v>0.051</v>
      </c>
      <c r="E111" s="24" t="n">
        <v>44.7016</v>
      </c>
      <c r="F111" s="24" t="n">
        <v>0.3653</v>
      </c>
      <c r="G111" s="24" t="n">
        <v>1.3967</v>
      </c>
      <c r="H111" s="24" t="n">
        <v>1.0314</v>
      </c>
      <c r="I111" s="24" t="n">
        <v>-0.0204</v>
      </c>
      <c r="J111" s="24" t="n">
        <v>0.01</v>
      </c>
      <c r="K111" s="24" t="n">
        <v>-0.0193</v>
      </c>
      <c r="L111" s="24" t="n">
        <v>11.1573</v>
      </c>
      <c r="M111" s="24" t="n">
        <v>8.6463</v>
      </c>
      <c r="N111" s="24" t="n">
        <v>1.5053</v>
      </c>
      <c r="O111" s="24" t="n">
        <v>32.9728</v>
      </c>
      <c r="P111" s="24" t="n">
        <v>24.3287</v>
      </c>
      <c r="Q111" s="24" t="n">
        <v>-0.256</v>
      </c>
      <c r="R111" s="24" t="n">
        <v>0.55</v>
      </c>
      <c r="S111" s="24" t="n">
        <v>-0.1603</v>
      </c>
      <c r="T111" s="24" t="n">
        <v>135.8446</v>
      </c>
      <c r="U111" s="24" t="n">
        <v>9.2562</v>
      </c>
      <c r="V111" s="24" t="n">
        <v>7.125</v>
      </c>
    </row>
    <row r="112" customFormat="false" ht="15" hidden="false" customHeight="false" outlineLevel="0" collapsed="false">
      <c r="A112" s="9" t="s">
        <v>908</v>
      </c>
      <c r="B112" s="9" t="s">
        <v>909</v>
      </c>
      <c r="C112" s="9" t="s">
        <v>699</v>
      </c>
      <c r="D112" s="23" t="n">
        <v>0.048</v>
      </c>
      <c r="E112" s="24" t="n">
        <v>43.3466</v>
      </c>
      <c r="F112" s="24" t="n">
        <v>0.2039</v>
      </c>
      <c r="G112" s="24" t="n">
        <v>0.8845</v>
      </c>
      <c r="H112" s="24" t="n">
        <v>0.6806</v>
      </c>
      <c r="I112" s="24" t="n">
        <v>0.0147</v>
      </c>
      <c r="J112" s="24" t="n">
        <v>0.0392</v>
      </c>
      <c r="K112" s="24" t="n">
        <v>-0.023</v>
      </c>
      <c r="L112" s="24" t="n">
        <v>16.6689</v>
      </c>
      <c r="M112" s="24" t="n">
        <v>12.6441</v>
      </c>
      <c r="N112" s="24" t="n">
        <v>4.905</v>
      </c>
      <c r="O112" s="24" t="n">
        <v>29.8274</v>
      </c>
      <c r="P112" s="24" t="n">
        <v>23.6752</v>
      </c>
      <c r="Q112" s="24" t="n">
        <v>-5.8193</v>
      </c>
      <c r="R112" s="24" t="n">
        <v>-3.9831</v>
      </c>
      <c r="S112" s="24" t="n">
        <v>-6.0122</v>
      </c>
      <c r="T112" s="24" t="n">
        <v>211.0857</v>
      </c>
      <c r="U112" s="24" t="n">
        <v>9.4021</v>
      </c>
      <c r="V112" s="24" t="n">
        <v>9.461</v>
      </c>
    </row>
    <row r="113" customFormat="false" ht="15" hidden="false" customHeight="false" outlineLevel="0" collapsed="false">
      <c r="A113" s="9" t="s">
        <v>910</v>
      </c>
      <c r="B113" s="9" t="s">
        <v>911</v>
      </c>
      <c r="C113" s="9" t="s">
        <v>699</v>
      </c>
      <c r="D113" s="23" t="n">
        <v>0.0769</v>
      </c>
      <c r="E113" s="24" t="n">
        <v>40.0803</v>
      </c>
      <c r="F113" s="24" t="n">
        <v>0.169</v>
      </c>
      <c r="G113" s="24" t="n">
        <v>1.0417</v>
      </c>
      <c r="H113" s="24" t="n">
        <v>0.8727</v>
      </c>
      <c r="I113" s="24" t="n">
        <v>0.2882</v>
      </c>
      <c r="J113" s="24" t="n">
        <v>0.2636</v>
      </c>
      <c r="K113" s="24" t="n">
        <v>0.2608</v>
      </c>
      <c r="L113" s="24" t="n">
        <v>37.5914</v>
      </c>
      <c r="M113" s="24" t="n">
        <v>25.5048</v>
      </c>
      <c r="N113" s="24" t="n">
        <v>9.9823</v>
      </c>
      <c r="O113" s="24" t="n">
        <v>34.3933</v>
      </c>
      <c r="P113" s="24" t="n">
        <v>28.764</v>
      </c>
      <c r="Q113" s="24" t="n">
        <v>-3.0736</v>
      </c>
      <c r="R113" s="24" t="n">
        <v>-5.2619</v>
      </c>
      <c r="S113" s="24" t="n">
        <v>-5.3735</v>
      </c>
      <c r="T113" s="24" t="n">
        <v>510.1107</v>
      </c>
      <c r="U113" s="24" t="n">
        <v>12.6457</v>
      </c>
      <c r="V113" s="24" t="n">
        <v>12.667</v>
      </c>
    </row>
    <row r="114" customFormat="false" ht="15" hidden="false" customHeight="false" outlineLevel="0" collapsed="false">
      <c r="A114" s="9" t="s">
        <v>912</v>
      </c>
      <c r="B114" s="9" t="s">
        <v>913</v>
      </c>
      <c r="C114" s="9" t="s">
        <v>699</v>
      </c>
      <c r="D114" s="23" t="n">
        <v>0.105</v>
      </c>
      <c r="E114" s="24" t="n">
        <v>39.128</v>
      </c>
      <c r="F114" s="24" t="n">
        <v>0.1272</v>
      </c>
      <c r="G114" s="24" t="n">
        <v>2.4921</v>
      </c>
      <c r="H114" s="24" t="n">
        <v>2.3649</v>
      </c>
      <c r="I114" s="24" t="n">
        <v>1.8225</v>
      </c>
      <c r="J114" s="24" t="n">
        <v>1.6951</v>
      </c>
      <c r="K114" s="24" t="n">
        <v>1.6948</v>
      </c>
      <c r="L114" s="24" t="n">
        <v>47.1619</v>
      </c>
      <c r="M114" s="24" t="n">
        <v>12.3098</v>
      </c>
      <c r="N114" s="24" t="n">
        <v>4.023</v>
      </c>
      <c r="O114" s="24" t="n">
        <v>73.2026</v>
      </c>
      <c r="P114" s="24" t="n">
        <v>69.2716</v>
      </c>
      <c r="Q114" s="24" t="n">
        <v>12.4841</v>
      </c>
      <c r="R114" s="24" t="n">
        <v>15.6929</v>
      </c>
      <c r="S114" s="24" t="n">
        <v>15.6812</v>
      </c>
      <c r="T114" s="24" t="n">
        <v>960.2647</v>
      </c>
      <c r="U114" s="24" t="n">
        <v>9.0884</v>
      </c>
      <c r="V114" s="24" t="n">
        <v>4.547</v>
      </c>
    </row>
    <row r="115" customFormat="false" ht="15" hidden="false" customHeight="false" outlineLevel="0" collapsed="false">
      <c r="A115" s="9" t="s">
        <v>914</v>
      </c>
      <c r="B115" s="9" t="s">
        <v>915</v>
      </c>
      <c r="C115" s="9" t="s">
        <v>699</v>
      </c>
      <c r="D115" s="23" t="n">
        <v>0.105</v>
      </c>
      <c r="E115" s="24" t="n">
        <v>38.1272</v>
      </c>
      <c r="F115" s="24" t="n">
        <v>0.174</v>
      </c>
      <c r="G115" s="24" t="n">
        <v>1.5301</v>
      </c>
      <c r="H115" s="24" t="n">
        <v>1.3561</v>
      </c>
      <c r="I115" s="24" t="n">
        <v>1.0243</v>
      </c>
      <c r="J115" s="24" t="n">
        <v>0.96</v>
      </c>
      <c r="K115" s="24" t="n">
        <v>0.9598</v>
      </c>
      <c r="L115" s="24" t="n">
        <v>44.1491</v>
      </c>
      <c r="M115" s="24" t="n">
        <v>24.2857</v>
      </c>
      <c r="N115" s="24" t="n">
        <v>12.597</v>
      </c>
      <c r="O115" s="24" t="n">
        <v>46.9624</v>
      </c>
      <c r="P115" s="24" t="n">
        <v>42.3167</v>
      </c>
      <c r="Q115" s="24" t="n">
        <v>6.8849</v>
      </c>
      <c r="R115" s="24" t="n">
        <v>8.6509</v>
      </c>
      <c r="S115" s="24" t="n">
        <v>8.6395</v>
      </c>
      <c r="T115" s="24" t="n">
        <v>622.695</v>
      </c>
      <c r="U115" s="24" t="n">
        <v>5.0503</v>
      </c>
      <c r="V115" s="24" t="n">
        <v>3.897</v>
      </c>
    </row>
    <row r="116" customFormat="false" ht="15" hidden="false" customHeight="false" outlineLevel="0" collapsed="false">
      <c r="A116" s="9" t="s">
        <v>916</v>
      </c>
      <c r="B116" s="9" t="s">
        <v>917</v>
      </c>
      <c r="C116" s="9" t="s">
        <v>695</v>
      </c>
      <c r="D116" s="23" t="n">
        <v>0.055</v>
      </c>
      <c r="E116" s="24" t="n">
        <v>36.8279</v>
      </c>
      <c r="F116" s="24" t="n">
        <v>0.194</v>
      </c>
      <c r="G116" s="24" t="n">
        <v>0.8429</v>
      </c>
      <c r="H116" s="24" t="n">
        <v>0.6489</v>
      </c>
      <c r="I116" s="24" t="n">
        <v>0.5153</v>
      </c>
      <c r="J116" s="24" t="n">
        <v>0.5182</v>
      </c>
      <c r="K116" s="24" t="n">
        <v>0.5143</v>
      </c>
      <c r="L116" s="24" t="n">
        <v>13.8286</v>
      </c>
      <c r="M116" s="24" t="n">
        <v>3.8789</v>
      </c>
      <c r="N116" s="24" t="n">
        <v>0.9325</v>
      </c>
      <c r="O116" s="24" t="n">
        <v>21.6112</v>
      </c>
      <c r="P116" s="24" t="n">
        <v>17.2174</v>
      </c>
      <c r="Q116" s="24" t="n">
        <v>6.2128</v>
      </c>
      <c r="R116" s="24" t="n">
        <v>5.9243</v>
      </c>
      <c r="S116" s="24" t="n">
        <v>5.8285</v>
      </c>
      <c r="T116" s="24" t="n">
        <v>263.4922</v>
      </c>
      <c r="U116" s="24" t="n">
        <v>1.7503</v>
      </c>
      <c r="V116" s="24" t="n">
        <v>3.726</v>
      </c>
    </row>
    <row r="117" customFormat="false" ht="15" hidden="false" customHeight="false" outlineLevel="0" collapsed="false">
      <c r="A117" s="9" t="s">
        <v>918</v>
      </c>
      <c r="B117" s="9" t="s">
        <v>919</v>
      </c>
      <c r="C117" s="9" t="s">
        <v>699</v>
      </c>
      <c r="D117" s="23" t="n">
        <v>0.105</v>
      </c>
      <c r="E117" s="24" t="n">
        <v>36.4633</v>
      </c>
      <c r="F117" s="24" t="n">
        <v>0.1402</v>
      </c>
      <c r="G117" s="24" t="n">
        <v>1.3392</v>
      </c>
      <c r="H117" s="24" t="n">
        <v>1.199</v>
      </c>
      <c r="I117" s="24" t="n">
        <v>0.6823</v>
      </c>
      <c r="J117" s="24" t="n">
        <v>0.5912</v>
      </c>
      <c r="K117" s="24" t="n">
        <v>0.589</v>
      </c>
      <c r="L117" s="24" t="n">
        <v>57.2877</v>
      </c>
      <c r="M117" s="24" t="n">
        <v>42.704</v>
      </c>
      <c r="N117" s="24" t="n">
        <v>20.5056</v>
      </c>
      <c r="O117" s="24" t="n">
        <v>50.28</v>
      </c>
      <c r="P117" s="24" t="n">
        <v>46.3954</v>
      </c>
      <c r="Q117" s="24" t="n">
        <v>3.6571</v>
      </c>
      <c r="R117" s="24" t="n">
        <v>1.8648</v>
      </c>
      <c r="S117" s="24" t="n">
        <v>1.7534</v>
      </c>
      <c r="T117" s="24" t="n">
        <v>654.3031</v>
      </c>
      <c r="U117" s="24" t="n">
        <v>11.1848</v>
      </c>
      <c r="V117" s="24" t="n">
        <v>6.997</v>
      </c>
    </row>
    <row r="118" customFormat="false" ht="15" hidden="false" customHeight="false" outlineLevel="0" collapsed="false">
      <c r="A118" s="9" t="s">
        <v>920</v>
      </c>
      <c r="B118" s="9" t="s">
        <v>921</v>
      </c>
      <c r="C118" s="9" t="s">
        <v>699</v>
      </c>
      <c r="D118" s="23" t="n">
        <v>0.105</v>
      </c>
      <c r="E118" s="24" t="n">
        <v>35.4497</v>
      </c>
      <c r="F118" s="24" t="n">
        <v>0.3305</v>
      </c>
      <c r="G118" s="24" t="n">
        <v>1.0154</v>
      </c>
      <c r="H118" s="24" t="n">
        <v>0.685</v>
      </c>
      <c r="I118" s="24" t="n">
        <v>0.2639</v>
      </c>
      <c r="J118" s="24" t="n">
        <v>0.1421</v>
      </c>
      <c r="K118" s="24" t="n">
        <v>0.1007</v>
      </c>
      <c r="L118" s="24" t="n">
        <v>10.6328</v>
      </c>
      <c r="M118" s="24" t="n">
        <v>8.4967</v>
      </c>
      <c r="N118" s="24" t="n">
        <v>2.415</v>
      </c>
      <c r="O118" s="24" t="n">
        <v>31.5213</v>
      </c>
      <c r="P118" s="24" t="n">
        <v>23.0253</v>
      </c>
      <c r="Q118" s="24" t="n">
        <v>3.3053</v>
      </c>
      <c r="R118" s="24" t="n">
        <v>2.6804</v>
      </c>
      <c r="S118" s="24" t="n">
        <v>1.1498</v>
      </c>
      <c r="T118" s="24" t="n">
        <v>134.4396</v>
      </c>
      <c r="U118" s="24" t="n">
        <v>6.2495</v>
      </c>
      <c r="V118" s="24" t="n">
        <v>6.321</v>
      </c>
    </row>
    <row r="119" customFormat="false" ht="15" hidden="false" customHeight="false" outlineLevel="0" collapsed="false">
      <c r="A119" s="9" t="s">
        <v>922</v>
      </c>
      <c r="B119" s="9" t="s">
        <v>923</v>
      </c>
      <c r="C119" s="9" t="s">
        <v>699</v>
      </c>
      <c r="D119" s="23" t="n">
        <v>0.2342</v>
      </c>
      <c r="E119" s="24" t="n">
        <v>35.3724</v>
      </c>
      <c r="F119" s="24" t="n">
        <v>0.5444</v>
      </c>
      <c r="G119" s="24" t="n">
        <v>2.5666</v>
      </c>
      <c r="H119" s="24" t="n">
        <v>2.0222</v>
      </c>
      <c r="I119" s="24" t="n">
        <v>1.8548</v>
      </c>
      <c r="J119" s="24" t="n">
        <v>0.3051</v>
      </c>
      <c r="K119" s="24" t="n">
        <v>0.3051</v>
      </c>
      <c r="L119" s="24" t="n">
        <v>47.8493</v>
      </c>
      <c r="M119" s="24" t="n">
        <v>41.7412</v>
      </c>
      <c r="N119" s="24" t="n">
        <v>11.7945</v>
      </c>
      <c r="O119" s="24" t="n">
        <v>85.7773</v>
      </c>
      <c r="P119" s="24" t="n">
        <v>69.8313</v>
      </c>
      <c r="Q119" s="24" t="n">
        <v>6.3622</v>
      </c>
      <c r="R119" s="24" t="n">
        <v>-4.442</v>
      </c>
      <c r="S119" s="24" t="n">
        <v>-4.442</v>
      </c>
      <c r="T119" s="24" t="n">
        <v>472.8086</v>
      </c>
      <c r="U119" s="24" t="n">
        <v>35.3072</v>
      </c>
      <c r="V119" s="24" t="n">
        <v>37.724</v>
      </c>
    </row>
    <row r="120" customFormat="false" ht="15" hidden="false" customHeight="false" outlineLevel="0" collapsed="false">
      <c r="A120" s="9" t="s">
        <v>924</v>
      </c>
      <c r="B120" s="9" t="s">
        <v>925</v>
      </c>
      <c r="C120" s="9" t="s">
        <v>699</v>
      </c>
      <c r="D120" s="23" t="n">
        <v>0.1261</v>
      </c>
      <c r="E120" s="24" t="n">
        <v>34.0089</v>
      </c>
      <c r="F120" s="24" t="n">
        <v>0.4519</v>
      </c>
      <c r="G120" s="24" t="n">
        <v>1.2434</v>
      </c>
      <c r="H120" s="24" t="n">
        <v>0.7915</v>
      </c>
      <c r="I120" s="24" t="n">
        <v>0.3863</v>
      </c>
      <c r="J120" s="24" t="n">
        <v>0.2179</v>
      </c>
      <c r="K120" s="24" t="n">
        <v>0.0773</v>
      </c>
      <c r="L120" s="24" t="n">
        <v>29.7785</v>
      </c>
      <c r="M120" s="24" t="n">
        <v>25.6394</v>
      </c>
      <c r="N120" s="24" t="n">
        <v>5.9701</v>
      </c>
      <c r="O120" s="24" t="n">
        <v>45.1925</v>
      </c>
      <c r="P120" s="24" t="n">
        <v>29.6215</v>
      </c>
      <c r="Q120" s="24" t="n">
        <v>3.2898</v>
      </c>
      <c r="R120" s="24" t="n">
        <v>2.3628</v>
      </c>
      <c r="S120" s="24" t="n">
        <v>-1.407</v>
      </c>
      <c r="T120" s="24" t="n">
        <v>252.1693</v>
      </c>
      <c r="U120" s="24" t="n">
        <v>19.7293</v>
      </c>
      <c r="V120" s="24" t="n">
        <v>23.486</v>
      </c>
    </row>
    <row r="121" customFormat="false" ht="15" hidden="false" customHeight="false" outlineLevel="0" collapsed="false">
      <c r="A121" s="9" t="s">
        <v>926</v>
      </c>
      <c r="B121" s="9" t="s">
        <v>927</v>
      </c>
      <c r="C121" s="9" t="s">
        <v>699</v>
      </c>
      <c r="D121" s="23" t="n">
        <v>0.105</v>
      </c>
      <c r="E121" s="24" t="n">
        <v>33.119</v>
      </c>
      <c r="F121" s="24" t="n">
        <v>0.1115</v>
      </c>
      <c r="G121" s="24" t="n">
        <v>0.4329</v>
      </c>
      <c r="H121" s="24" t="n">
        <v>0.3214</v>
      </c>
      <c r="I121" s="24" t="n">
        <v>0.101</v>
      </c>
      <c r="J121" s="24" t="n">
        <v>0.0512</v>
      </c>
      <c r="K121" s="24" t="n">
        <v>-0.0051</v>
      </c>
      <c r="L121" s="24" t="n">
        <v>8.3877</v>
      </c>
      <c r="M121" s="24" t="n">
        <v>6.5979</v>
      </c>
      <c r="N121" s="24" t="n">
        <v>2.5874</v>
      </c>
      <c r="O121" s="24" t="n">
        <v>13.5957</v>
      </c>
      <c r="P121" s="24" t="n">
        <v>10.5043</v>
      </c>
      <c r="Q121" s="24" t="n">
        <v>0.6512</v>
      </c>
      <c r="R121" s="24" t="n">
        <v>-0.3028</v>
      </c>
      <c r="S121" s="24" t="n">
        <v>-2.1132</v>
      </c>
      <c r="T121" s="24" t="n">
        <v>92.6499</v>
      </c>
      <c r="U121" s="24" t="n">
        <v>4.1317</v>
      </c>
      <c r="V121" s="24" t="n">
        <v>4.479</v>
      </c>
    </row>
    <row r="122" customFormat="false" ht="15" hidden="false" customHeight="false" outlineLevel="0" collapsed="false">
      <c r="A122" s="9" t="s">
        <v>928</v>
      </c>
      <c r="B122" s="9" t="s">
        <v>929</v>
      </c>
      <c r="C122" s="9" t="s">
        <v>699</v>
      </c>
      <c r="D122" s="23" t="n">
        <v>0.1016</v>
      </c>
      <c r="E122" s="24" t="n">
        <v>32.5726</v>
      </c>
      <c r="F122" s="24" t="n">
        <v>0.1971</v>
      </c>
      <c r="G122" s="24" t="n">
        <v>2.5594</v>
      </c>
      <c r="H122" s="24" t="n">
        <v>2.3623</v>
      </c>
      <c r="I122" s="24" t="n">
        <v>1.8094</v>
      </c>
      <c r="J122" s="24" t="n">
        <v>1.707</v>
      </c>
      <c r="K122" s="24" t="n">
        <v>1.5045</v>
      </c>
      <c r="L122" s="24" t="n">
        <v>90.8373</v>
      </c>
      <c r="M122" s="24" t="n">
        <v>52.4063</v>
      </c>
      <c r="N122" s="24" t="n">
        <v>19.6642</v>
      </c>
      <c r="O122" s="24" t="n">
        <v>79.4596</v>
      </c>
      <c r="P122" s="24" t="n">
        <v>73.7868</v>
      </c>
      <c r="Q122" s="24" t="n">
        <v>13.597</v>
      </c>
      <c r="R122" s="24" t="n">
        <v>18.0542</v>
      </c>
      <c r="S122" s="24" t="n">
        <v>11.9141</v>
      </c>
      <c r="T122" s="24" t="n">
        <v>1396.641</v>
      </c>
      <c r="U122" s="24" t="n">
        <v>20.436</v>
      </c>
      <c r="V122" s="24" t="n">
        <v>24.876</v>
      </c>
    </row>
    <row r="123" customFormat="false" ht="15" hidden="false" customHeight="false" outlineLevel="0" collapsed="false">
      <c r="A123" s="9" t="s">
        <v>930</v>
      </c>
      <c r="B123" s="9" t="s">
        <v>931</v>
      </c>
      <c r="C123" s="9" t="s">
        <v>699</v>
      </c>
      <c r="D123" s="23" t="n">
        <v>0.038</v>
      </c>
      <c r="E123" s="24" t="n">
        <v>32.3214</v>
      </c>
      <c r="F123" s="24" t="n">
        <v>0.3939</v>
      </c>
      <c r="G123" s="24" t="n">
        <v>3.6923</v>
      </c>
      <c r="H123" s="24" t="n">
        <v>3.2984</v>
      </c>
      <c r="I123" s="24" t="n">
        <v>2.7531</v>
      </c>
      <c r="J123" s="24" t="n">
        <v>2.7925</v>
      </c>
      <c r="K123" s="24" t="n">
        <v>2.7916</v>
      </c>
      <c r="L123" s="24" t="n">
        <v>84.4034</v>
      </c>
      <c r="M123" s="24" t="n">
        <v>26.6825</v>
      </c>
      <c r="N123" s="24" t="n">
        <v>11.7583</v>
      </c>
      <c r="O123" s="24" t="n">
        <v>102.004</v>
      </c>
      <c r="P123" s="24" t="n">
        <v>89.8269</v>
      </c>
      <c r="Q123" s="24" t="n">
        <v>37.0487</v>
      </c>
      <c r="R123" s="24" t="n">
        <v>29.9285</v>
      </c>
      <c r="S123" s="24" t="n">
        <v>29.8953</v>
      </c>
      <c r="T123" s="24" t="n">
        <v>1569.6344</v>
      </c>
      <c r="U123" s="24" t="n">
        <v>10.1121</v>
      </c>
      <c r="V123" s="24" t="n">
        <v>11.83</v>
      </c>
    </row>
    <row r="124" customFormat="false" ht="15" hidden="false" customHeight="false" outlineLevel="0" collapsed="false">
      <c r="A124" s="9" t="s">
        <v>932</v>
      </c>
      <c r="B124" s="9" t="s">
        <v>933</v>
      </c>
      <c r="C124" s="9" t="s">
        <v>699</v>
      </c>
      <c r="D124" s="23" t="n">
        <v>0.105</v>
      </c>
      <c r="E124" s="24" t="n">
        <v>31.9176</v>
      </c>
      <c r="F124" s="24" t="n">
        <v>0.3433</v>
      </c>
      <c r="G124" s="24" t="n">
        <v>4.0333</v>
      </c>
      <c r="H124" s="24" t="n">
        <v>3.69</v>
      </c>
      <c r="I124" s="24" t="n">
        <v>2.8676</v>
      </c>
      <c r="J124" s="24" t="n">
        <v>2.7201</v>
      </c>
      <c r="K124" s="24" t="n">
        <v>2.6933</v>
      </c>
      <c r="L124" s="24" t="n">
        <v>162.0411</v>
      </c>
      <c r="M124" s="24" t="n">
        <v>103.403</v>
      </c>
      <c r="N124" s="24" t="n">
        <v>54.0676</v>
      </c>
      <c r="O124" s="24" t="n">
        <v>128.0752</v>
      </c>
      <c r="P124" s="24" t="n">
        <v>118.114</v>
      </c>
      <c r="Q124" s="24" t="n">
        <v>20.1552</v>
      </c>
      <c r="R124" s="24" t="n">
        <v>27.5824</v>
      </c>
      <c r="S124" s="24" t="n">
        <v>26.5783</v>
      </c>
      <c r="T124" s="24" t="n">
        <v>1921.9952</v>
      </c>
      <c r="U124" s="24" t="n">
        <v>20.4582</v>
      </c>
      <c r="V124" s="24" t="n">
        <v>21.145</v>
      </c>
    </row>
    <row r="125" customFormat="false" ht="15" hidden="false" customHeight="false" outlineLevel="0" collapsed="false">
      <c r="A125" s="9" t="s">
        <v>934</v>
      </c>
      <c r="B125" s="9" t="s">
        <v>935</v>
      </c>
      <c r="C125" s="9" t="s">
        <v>699</v>
      </c>
      <c r="D125" s="23" t="n">
        <v>0.105</v>
      </c>
      <c r="E125" s="24" t="n">
        <v>31.8235</v>
      </c>
      <c r="F125" s="24" t="n">
        <v>0.1166</v>
      </c>
      <c r="G125" s="24" t="n">
        <v>1.1105</v>
      </c>
      <c r="H125" s="24" t="n">
        <v>0.9939</v>
      </c>
      <c r="I125" s="24" t="n">
        <v>0.7062</v>
      </c>
      <c r="J125" s="24" t="n">
        <v>0.665</v>
      </c>
      <c r="K125" s="24" t="n">
        <v>0.6634</v>
      </c>
      <c r="L125" s="24" t="n">
        <v>32.7098</v>
      </c>
      <c r="M125" s="24" t="n">
        <v>17.8107</v>
      </c>
      <c r="N125" s="24" t="n">
        <v>7.3416</v>
      </c>
      <c r="O125" s="24" t="n">
        <v>33.1866</v>
      </c>
      <c r="P125" s="24" t="n">
        <v>30.1997</v>
      </c>
      <c r="Q125" s="24" t="n">
        <v>2.7659</v>
      </c>
      <c r="R125" s="24" t="n">
        <v>1.9573</v>
      </c>
      <c r="S125" s="24" t="n">
        <v>1.8776</v>
      </c>
      <c r="T125" s="24" t="n">
        <v>494.5746</v>
      </c>
      <c r="U125" s="24" t="n">
        <v>6.3237</v>
      </c>
      <c r="V125" s="24" t="n">
        <v>9.722</v>
      </c>
    </row>
    <row r="126" customFormat="false" ht="15" hidden="false" customHeight="false" outlineLevel="0" collapsed="false">
      <c r="A126" s="9" t="s">
        <v>936</v>
      </c>
      <c r="B126" s="9" t="s">
        <v>937</v>
      </c>
      <c r="C126" s="9" t="s">
        <v>695</v>
      </c>
      <c r="D126" s="23" t="n">
        <v>0.055</v>
      </c>
      <c r="E126" s="24" t="n">
        <v>30.7411</v>
      </c>
      <c r="F126" s="24" t="n">
        <v>0.1207</v>
      </c>
      <c r="G126" s="24" t="n">
        <v>0.3398</v>
      </c>
      <c r="H126" s="24" t="n">
        <v>0.2191</v>
      </c>
      <c r="I126" s="24" t="n">
        <v>-0.0691</v>
      </c>
      <c r="J126" s="24" t="n">
        <v>-0.0656</v>
      </c>
      <c r="K126" s="24" t="n">
        <v>-0.068</v>
      </c>
      <c r="L126" s="24" t="n">
        <v>2.7708</v>
      </c>
      <c r="M126" s="24" t="n">
        <v>1.9011</v>
      </c>
      <c r="N126" s="24" t="n">
        <v>0.3861</v>
      </c>
      <c r="O126" s="24" t="n">
        <v>6.4834</v>
      </c>
      <c r="P126" s="24" t="n">
        <v>3.8534</v>
      </c>
      <c r="Q126" s="24" t="n">
        <v>-1.4659</v>
      </c>
      <c r="R126" s="24" t="n">
        <v>-1.2887</v>
      </c>
      <c r="S126" s="24" t="n">
        <v>-1.3528</v>
      </c>
      <c r="T126" s="24" t="n">
        <v>39.8179</v>
      </c>
      <c r="U126" s="24" t="n">
        <v>2.105</v>
      </c>
      <c r="V126" s="24" t="n">
        <v>1.775</v>
      </c>
    </row>
    <row r="127" customFormat="false" ht="15" hidden="false" customHeight="false" outlineLevel="0" collapsed="false">
      <c r="A127" s="9" t="s">
        <v>938</v>
      </c>
      <c r="B127" s="9" t="s">
        <v>939</v>
      </c>
      <c r="C127" s="9" t="s">
        <v>699</v>
      </c>
      <c r="D127" s="23" t="n">
        <v>0.0792</v>
      </c>
      <c r="E127" s="24" t="n">
        <v>30.7109</v>
      </c>
      <c r="F127" s="24" t="n">
        <v>0.1173</v>
      </c>
      <c r="G127" s="24" t="n">
        <v>2.1047</v>
      </c>
      <c r="H127" s="24" t="n">
        <v>1.9874</v>
      </c>
      <c r="I127" s="24" t="n">
        <v>1.5597</v>
      </c>
      <c r="J127" s="24" t="n">
        <v>1.5333</v>
      </c>
      <c r="K127" s="24" t="n">
        <v>1.5291</v>
      </c>
      <c r="L127" s="24" t="n">
        <v>63.1656</v>
      </c>
      <c r="M127" s="24" t="n">
        <v>29.8403</v>
      </c>
      <c r="N127" s="24" t="n">
        <v>14.6331</v>
      </c>
      <c r="O127" s="24" t="n">
        <v>61.9786</v>
      </c>
      <c r="P127" s="24" t="n">
        <v>58.5763</v>
      </c>
      <c r="Q127" s="24" t="n">
        <v>11.5586</v>
      </c>
      <c r="R127" s="24" t="n">
        <v>12.9484</v>
      </c>
      <c r="S127" s="24" t="n">
        <v>12.7593</v>
      </c>
      <c r="T127" s="24" t="n">
        <v>990.1954</v>
      </c>
      <c r="U127" s="24" t="n">
        <v>7.584</v>
      </c>
      <c r="V127" s="24" t="n">
        <v>5.914</v>
      </c>
    </row>
    <row r="128" customFormat="false" ht="15" hidden="false" customHeight="false" outlineLevel="0" collapsed="false">
      <c r="A128" s="9" t="s">
        <v>940</v>
      </c>
      <c r="B128" s="9" t="s">
        <v>941</v>
      </c>
      <c r="C128" s="9" t="s">
        <v>699</v>
      </c>
      <c r="D128" s="23" t="n">
        <v>0.105</v>
      </c>
      <c r="E128" s="24" t="n">
        <v>28.9727</v>
      </c>
      <c r="F128" s="24" t="n">
        <v>0.1067</v>
      </c>
      <c r="G128" s="24" t="n">
        <v>0.9404</v>
      </c>
      <c r="H128" s="24" t="n">
        <v>0.8336</v>
      </c>
      <c r="I128" s="24" t="n">
        <v>0.6618</v>
      </c>
      <c r="J128" s="24" t="n">
        <v>0.6373</v>
      </c>
      <c r="K128" s="24" t="n">
        <v>0.6373</v>
      </c>
      <c r="L128" s="24" t="n">
        <v>47.5174</v>
      </c>
      <c r="M128" s="24" t="n">
        <v>33.13</v>
      </c>
      <c r="N128" s="24" t="n">
        <v>17.6525</v>
      </c>
      <c r="O128" s="24" t="n">
        <v>31.9411</v>
      </c>
      <c r="P128" s="24" t="n">
        <v>28.7876</v>
      </c>
      <c r="Q128" s="24" t="n">
        <v>4.5988</v>
      </c>
      <c r="R128" s="24" t="n">
        <v>6.4518</v>
      </c>
      <c r="S128" s="24" t="n">
        <v>6.451</v>
      </c>
      <c r="T128" s="24" t="n">
        <v>528.1099</v>
      </c>
      <c r="U128" s="24" t="n">
        <v>3.3323</v>
      </c>
      <c r="V128" s="24" t="n">
        <v>2.672</v>
      </c>
    </row>
    <row r="129" customFormat="false" ht="15" hidden="false" customHeight="false" outlineLevel="0" collapsed="false">
      <c r="A129" s="9" t="s">
        <v>942</v>
      </c>
      <c r="B129" s="9" t="s">
        <v>943</v>
      </c>
      <c r="C129" s="9" t="s">
        <v>699</v>
      </c>
      <c r="D129" s="23" t="n">
        <v>0.105</v>
      </c>
      <c r="E129" s="24" t="n">
        <v>28.0078</v>
      </c>
      <c r="F129" s="24" t="n">
        <v>0.0262</v>
      </c>
      <c r="G129" s="24" t="n">
        <v>2.7535</v>
      </c>
      <c r="H129" s="24" t="n">
        <v>2.7273</v>
      </c>
      <c r="I129" s="24" t="n">
        <v>2.6341</v>
      </c>
      <c r="J129" s="24" t="n">
        <v>2.5959</v>
      </c>
      <c r="K129" s="24" t="n">
        <v>2.5958</v>
      </c>
      <c r="L129" s="24" t="n">
        <v>117.1078</v>
      </c>
      <c r="M129" s="24" t="n">
        <v>66.4943</v>
      </c>
      <c r="N129" s="24" t="n">
        <v>37.237</v>
      </c>
      <c r="O129" s="24" t="n">
        <v>82.1249</v>
      </c>
      <c r="P129" s="24" t="n">
        <v>81.3279</v>
      </c>
      <c r="Q129" s="24" t="n">
        <v>20.3058</v>
      </c>
      <c r="R129" s="24" t="n">
        <v>32.1986</v>
      </c>
      <c r="S129" s="24" t="n">
        <v>32.1972</v>
      </c>
      <c r="T129" s="24" t="n">
        <v>1510.2048</v>
      </c>
      <c r="U129" s="24" t="n">
        <v>2.2313</v>
      </c>
      <c r="V129" s="24" t="n">
        <v>1.868</v>
      </c>
    </row>
    <row r="130" customFormat="false" ht="15" hidden="false" customHeight="false" outlineLevel="0" collapsed="false">
      <c r="A130" s="9" t="s">
        <v>944</v>
      </c>
      <c r="B130" s="9" t="s">
        <v>945</v>
      </c>
      <c r="C130" s="9" t="s">
        <v>699</v>
      </c>
      <c r="D130" s="23" t="n">
        <v>0.105</v>
      </c>
      <c r="E130" s="24" t="n">
        <v>26.9791</v>
      </c>
      <c r="F130" s="24" t="n">
        <v>0.1318</v>
      </c>
      <c r="G130" s="24" t="n">
        <v>1.4055</v>
      </c>
      <c r="H130" s="24" t="n">
        <v>1.2737</v>
      </c>
      <c r="I130" s="24" t="n">
        <v>0.7371</v>
      </c>
      <c r="J130" s="24" t="n">
        <v>0.5899</v>
      </c>
      <c r="K130" s="24" t="n">
        <v>0.5847</v>
      </c>
      <c r="L130" s="24" t="n">
        <v>45.746</v>
      </c>
      <c r="M130" s="24" t="n">
        <v>36.0093</v>
      </c>
      <c r="N130" s="24" t="n">
        <v>11.5097</v>
      </c>
      <c r="O130" s="24" t="n">
        <v>53.8995</v>
      </c>
      <c r="P130" s="24" t="n">
        <v>50.29</v>
      </c>
      <c r="Q130" s="24" t="n">
        <v>7.5048</v>
      </c>
      <c r="R130" s="24" t="n">
        <v>9.1367</v>
      </c>
      <c r="S130" s="24" t="n">
        <v>8.9603</v>
      </c>
      <c r="T130" s="24" t="n">
        <v>497.4814</v>
      </c>
      <c r="U130" s="24" t="n">
        <v>12.7321</v>
      </c>
      <c r="V130" s="24" t="n">
        <v>29.133</v>
      </c>
    </row>
    <row r="131" customFormat="false" ht="15" hidden="false" customHeight="false" outlineLevel="0" collapsed="false">
      <c r="A131" s="9" t="s">
        <v>946</v>
      </c>
      <c r="B131" s="9" t="s">
        <v>947</v>
      </c>
      <c r="C131" s="9" t="s">
        <v>699</v>
      </c>
      <c r="D131" s="23" t="n">
        <v>0.105</v>
      </c>
      <c r="E131" s="24" t="n">
        <v>26.7397</v>
      </c>
      <c r="F131" s="24" t="n">
        <v>0.437</v>
      </c>
      <c r="G131" s="24" t="n">
        <v>1.2082</v>
      </c>
      <c r="H131" s="24" t="n">
        <v>0.7712</v>
      </c>
      <c r="I131" s="24" t="n">
        <v>0.3107</v>
      </c>
      <c r="J131" s="24" t="n">
        <v>0.206</v>
      </c>
      <c r="K131" s="24" t="n">
        <v>0.1257</v>
      </c>
      <c r="L131" s="24" t="n">
        <v>23.2627</v>
      </c>
      <c r="M131" s="24" t="n">
        <v>18.0732</v>
      </c>
      <c r="N131" s="24" t="n">
        <v>7.1481</v>
      </c>
      <c r="O131" s="24" t="n">
        <v>39.0724</v>
      </c>
      <c r="P131" s="24" t="n">
        <v>27.2723</v>
      </c>
      <c r="Q131" s="24" t="n">
        <v>2.8311</v>
      </c>
      <c r="R131" s="24" t="n">
        <v>1.8405</v>
      </c>
      <c r="S131" s="24" t="n">
        <v>-0.4358</v>
      </c>
      <c r="T131" s="24" t="n">
        <v>259.0096</v>
      </c>
      <c r="U131" s="24" t="n">
        <v>9.4559</v>
      </c>
      <c r="V131" s="24" t="n">
        <v>10.812</v>
      </c>
    </row>
    <row r="132" customFormat="false" ht="15" hidden="false" customHeight="false" outlineLevel="0" collapsed="false">
      <c r="A132" s="9" t="s">
        <v>948</v>
      </c>
      <c r="B132" s="9" t="s">
        <v>949</v>
      </c>
      <c r="C132" s="9" t="s">
        <v>699</v>
      </c>
      <c r="D132" s="23" t="n">
        <v>0.105</v>
      </c>
      <c r="E132" s="24" t="n">
        <v>24.9791</v>
      </c>
      <c r="F132" s="24" t="n">
        <v>0.1016</v>
      </c>
      <c r="G132" s="24" t="n">
        <v>1.5829</v>
      </c>
      <c r="H132" s="24" t="n">
        <v>1.4813</v>
      </c>
      <c r="I132" s="24" t="n">
        <v>1.1451</v>
      </c>
      <c r="J132" s="24" t="n">
        <v>1.0912</v>
      </c>
      <c r="K132" s="24" t="n">
        <v>1.0809</v>
      </c>
      <c r="L132" s="24" t="n">
        <v>42.0553</v>
      </c>
      <c r="M132" s="24" t="n">
        <v>17.3451</v>
      </c>
      <c r="N132" s="24" t="n">
        <v>8.0134</v>
      </c>
      <c r="O132" s="24" t="n">
        <v>44.5444</v>
      </c>
      <c r="P132" s="24" t="n">
        <v>41.5545</v>
      </c>
      <c r="Q132" s="24" t="n">
        <v>6.9285</v>
      </c>
      <c r="R132" s="24" t="n">
        <v>8.8444</v>
      </c>
      <c r="S132" s="24" t="n">
        <v>8.4723</v>
      </c>
      <c r="T132" s="24" t="n">
        <v>711.6717</v>
      </c>
      <c r="U132" s="24" t="n">
        <v>6.5441</v>
      </c>
      <c r="V132" s="24" t="n">
        <v>5.756</v>
      </c>
    </row>
    <row r="133" customFormat="false" ht="15" hidden="false" customHeight="false" outlineLevel="0" collapsed="false">
      <c r="A133" s="9" t="s">
        <v>950</v>
      </c>
      <c r="B133" s="9" t="s">
        <v>951</v>
      </c>
      <c r="C133" s="9" t="s">
        <v>699</v>
      </c>
      <c r="D133" s="23" t="n">
        <v>0.105</v>
      </c>
      <c r="E133" s="24" t="n">
        <v>24.4932</v>
      </c>
      <c r="F133" s="24" t="n">
        <v>0.0581</v>
      </c>
      <c r="G133" s="24" t="n">
        <v>0.7317</v>
      </c>
      <c r="H133" s="24" t="n">
        <v>0.6736</v>
      </c>
      <c r="I133" s="24" t="n">
        <v>0.5562</v>
      </c>
      <c r="J133" s="24" t="n">
        <v>0.5342</v>
      </c>
      <c r="K133" s="24" t="n">
        <v>0.5299</v>
      </c>
      <c r="L133" s="24" t="n">
        <v>26.0377</v>
      </c>
      <c r="M133" s="24" t="n">
        <v>14.7207</v>
      </c>
      <c r="N133" s="24" t="n">
        <v>6.7468</v>
      </c>
      <c r="O133" s="24" t="n">
        <v>23.2566</v>
      </c>
      <c r="P133" s="24" t="n">
        <v>21.4893</v>
      </c>
      <c r="Q133" s="24" t="n">
        <v>4.2181</v>
      </c>
      <c r="R133" s="24" t="n">
        <v>6.2483</v>
      </c>
      <c r="S133" s="24" t="n">
        <v>6.1176</v>
      </c>
      <c r="T133" s="24" t="n">
        <v>361.354</v>
      </c>
      <c r="U133" s="24" t="n">
        <v>2.7122</v>
      </c>
      <c r="V133" s="24" t="n">
        <v>5.318</v>
      </c>
    </row>
    <row r="134" customFormat="false" ht="15" hidden="false" customHeight="false" outlineLevel="0" collapsed="false">
      <c r="A134" s="9" t="s">
        <v>952</v>
      </c>
      <c r="B134" s="9" t="s">
        <v>953</v>
      </c>
      <c r="C134" s="9" t="s">
        <v>699</v>
      </c>
      <c r="D134" s="23" t="n">
        <v>0.105</v>
      </c>
      <c r="E134" s="24" t="n">
        <v>23.906</v>
      </c>
      <c r="F134" s="24" t="n">
        <v>0.1119</v>
      </c>
      <c r="G134" s="24" t="n">
        <v>2.3963</v>
      </c>
      <c r="H134" s="24" t="n">
        <v>2.2844</v>
      </c>
      <c r="I134" s="24" t="n">
        <v>2.0441</v>
      </c>
      <c r="J134" s="24" t="n">
        <v>1.9988</v>
      </c>
      <c r="K134" s="24" t="n">
        <v>1.9508</v>
      </c>
      <c r="L134" s="24" t="n">
        <v>53.5204</v>
      </c>
      <c r="M134" s="24" t="n">
        <v>11.3505</v>
      </c>
      <c r="N134" s="24" t="n">
        <v>3.0011</v>
      </c>
      <c r="O134" s="24" t="n">
        <v>60.9092</v>
      </c>
      <c r="P134" s="24" t="n">
        <v>58.0502</v>
      </c>
      <c r="Q134" s="24" t="n">
        <v>13.561</v>
      </c>
      <c r="R134" s="24" t="n">
        <v>19.8807</v>
      </c>
      <c r="S134" s="24" t="n">
        <v>18.3064</v>
      </c>
      <c r="T134" s="24" t="n">
        <v>1122.7653</v>
      </c>
      <c r="U134" s="24" t="n">
        <v>8.5361</v>
      </c>
      <c r="V134" s="24" t="n">
        <v>8.276</v>
      </c>
    </row>
    <row r="135" customFormat="false" ht="15" hidden="false" customHeight="false" outlineLevel="0" collapsed="false">
      <c r="A135" s="9" t="s">
        <v>954</v>
      </c>
      <c r="B135" s="9" t="s">
        <v>955</v>
      </c>
      <c r="C135" s="9" t="s">
        <v>699</v>
      </c>
      <c r="D135" s="23" t="n">
        <v>0.105</v>
      </c>
      <c r="E135" s="24" t="n">
        <v>23.8825</v>
      </c>
      <c r="F135" s="24" t="n">
        <v>0.0975</v>
      </c>
      <c r="G135" s="24" t="n">
        <v>4.257</v>
      </c>
      <c r="H135" s="24" t="n">
        <v>4.1596</v>
      </c>
      <c r="I135" s="24" t="n">
        <v>3.7857</v>
      </c>
      <c r="J135" s="24" t="n">
        <v>3.7246</v>
      </c>
      <c r="K135" s="24" t="n">
        <v>3.7246</v>
      </c>
      <c r="L135" s="24" t="n">
        <v>103.9008</v>
      </c>
      <c r="M135" s="24" t="n">
        <v>28.9597</v>
      </c>
      <c r="N135" s="24" t="n">
        <v>14.2601</v>
      </c>
      <c r="O135" s="24" t="n">
        <v>116.8919</v>
      </c>
      <c r="P135" s="24" t="n">
        <v>109.0833</v>
      </c>
      <c r="Q135" s="24" t="n">
        <v>26.3497</v>
      </c>
      <c r="R135" s="24" t="n">
        <v>40.0376</v>
      </c>
      <c r="S135" s="24" t="n">
        <v>40.0346</v>
      </c>
      <c r="T135" s="24" t="n">
        <v>1936.4193</v>
      </c>
      <c r="U135" s="24" t="n">
        <v>6.9176</v>
      </c>
      <c r="V135" s="24" t="n">
        <v>8.972</v>
      </c>
    </row>
    <row r="136" customFormat="false" ht="15" hidden="false" customHeight="false" outlineLevel="0" collapsed="false">
      <c r="A136" s="9" t="s">
        <v>956</v>
      </c>
      <c r="B136" s="9" t="s">
        <v>957</v>
      </c>
      <c r="C136" s="9" t="s">
        <v>699</v>
      </c>
      <c r="D136" s="23" t="n">
        <v>0.105</v>
      </c>
      <c r="E136" s="24" t="n">
        <v>23.6113</v>
      </c>
      <c r="F136" s="24" t="n">
        <v>0.0228</v>
      </c>
      <c r="G136" s="24" t="n">
        <v>0.4155</v>
      </c>
      <c r="H136" s="24" t="n">
        <v>0.3927</v>
      </c>
      <c r="I136" s="24" t="n">
        <v>0.2899</v>
      </c>
      <c r="J136" s="24" t="n">
        <v>0.2502</v>
      </c>
      <c r="K136" s="24" t="n">
        <v>0.2495</v>
      </c>
      <c r="L136" s="24" t="n">
        <v>14.9312</v>
      </c>
      <c r="M136" s="24" t="n">
        <v>10.7874</v>
      </c>
      <c r="N136" s="24" t="n">
        <v>5.2019</v>
      </c>
      <c r="O136" s="24" t="n">
        <v>14.5282</v>
      </c>
      <c r="P136" s="24" t="n">
        <v>13.6095</v>
      </c>
      <c r="Q136" s="24" t="n">
        <v>2.247</v>
      </c>
      <c r="R136" s="24" t="n">
        <v>2.6195</v>
      </c>
      <c r="S136" s="24" t="n">
        <v>2.558</v>
      </c>
      <c r="T136" s="24" t="n">
        <v>159.8544</v>
      </c>
      <c r="U136" s="24" t="n">
        <v>3.4325</v>
      </c>
      <c r="V136" s="24" t="n">
        <v>3.064</v>
      </c>
    </row>
    <row r="137" customFormat="false" ht="15" hidden="false" customHeight="false" outlineLevel="0" collapsed="false">
      <c r="A137" s="9" t="s">
        <v>958</v>
      </c>
      <c r="B137" s="9" t="s">
        <v>959</v>
      </c>
      <c r="C137" s="9" t="s">
        <v>699</v>
      </c>
      <c r="D137" s="23" t="n">
        <v>0.0771</v>
      </c>
      <c r="E137" s="24" t="n">
        <v>22.5062</v>
      </c>
      <c r="F137" s="24" t="n">
        <v>0.0468</v>
      </c>
      <c r="G137" s="24" t="n">
        <v>0.2996</v>
      </c>
      <c r="H137" s="24" t="n">
        <v>0.2528</v>
      </c>
      <c r="I137" s="24" t="n">
        <v>0.1587</v>
      </c>
      <c r="J137" s="24" t="n">
        <v>0.1542</v>
      </c>
      <c r="K137" s="24" t="n">
        <v>0.153</v>
      </c>
      <c r="L137" s="24" t="n">
        <v>11.3936</v>
      </c>
      <c r="M137" s="24" t="n">
        <v>7.5122</v>
      </c>
      <c r="N137" s="24" t="n">
        <v>3.6874</v>
      </c>
      <c r="O137" s="24" t="n">
        <v>9.717</v>
      </c>
      <c r="P137" s="24" t="n">
        <v>8.39</v>
      </c>
      <c r="Q137" s="24" t="n">
        <v>0.8605</v>
      </c>
      <c r="R137" s="24" t="n">
        <v>0.8086</v>
      </c>
      <c r="S137" s="24" t="n">
        <v>0.7618</v>
      </c>
      <c r="T137" s="24" t="n">
        <v>144.7274</v>
      </c>
      <c r="U137" s="24" t="n">
        <v>1.6587</v>
      </c>
      <c r="V137" s="24" t="n">
        <v>1.886</v>
      </c>
    </row>
    <row r="138" customFormat="false" ht="15" hidden="false" customHeight="false" outlineLevel="0" collapsed="false">
      <c r="A138" s="9" t="s">
        <v>960</v>
      </c>
      <c r="B138" s="9" t="s">
        <v>961</v>
      </c>
      <c r="C138" s="9" t="s">
        <v>699</v>
      </c>
      <c r="D138" s="23" t="n">
        <v>0.105</v>
      </c>
      <c r="E138" s="24" t="n">
        <v>21.7579</v>
      </c>
      <c r="F138" s="24" t="n">
        <v>0.0684</v>
      </c>
      <c r="G138" s="24" t="n">
        <v>1.185</v>
      </c>
      <c r="H138" s="24" t="n">
        <v>1.1166</v>
      </c>
      <c r="I138" s="24" t="n">
        <v>0.9899</v>
      </c>
      <c r="J138" s="24" t="n">
        <v>0.9647</v>
      </c>
      <c r="K138" s="24" t="n">
        <v>0.9639</v>
      </c>
      <c r="L138" s="24" t="n">
        <v>48.4776</v>
      </c>
      <c r="M138" s="24" t="n">
        <v>28.5343</v>
      </c>
      <c r="N138" s="24" t="n">
        <v>14.7704</v>
      </c>
      <c r="O138" s="24" t="n">
        <v>35.7356</v>
      </c>
      <c r="P138" s="24" t="n">
        <v>33.5622</v>
      </c>
      <c r="Q138" s="24" t="n">
        <v>7.1004</v>
      </c>
      <c r="R138" s="24" t="n">
        <v>10.6644</v>
      </c>
      <c r="S138" s="24" t="n">
        <v>10.629</v>
      </c>
      <c r="T138" s="24" t="n">
        <v>615.2189</v>
      </c>
      <c r="U138" s="24" t="n">
        <v>4.6334</v>
      </c>
      <c r="V138" s="24" t="n">
        <v>3.565</v>
      </c>
    </row>
    <row r="139" customFormat="false" ht="15" hidden="false" customHeight="false" outlineLevel="0" collapsed="false">
      <c r="A139" s="9" t="s">
        <v>962</v>
      </c>
      <c r="B139" s="9" t="s">
        <v>963</v>
      </c>
      <c r="C139" s="9" t="s">
        <v>699</v>
      </c>
      <c r="D139" s="23" t="n">
        <v>0.105</v>
      </c>
      <c r="E139" s="24" t="n">
        <v>21.4974</v>
      </c>
      <c r="F139" s="24" t="n">
        <v>0.0848</v>
      </c>
      <c r="G139" s="24" t="n">
        <v>0.8548</v>
      </c>
      <c r="H139" s="24" t="n">
        <v>0.77</v>
      </c>
      <c r="I139" s="24" t="n">
        <v>0.2683</v>
      </c>
      <c r="J139" s="24" t="n">
        <v>0.1907</v>
      </c>
      <c r="K139" s="24" t="n">
        <v>0.1823</v>
      </c>
      <c r="L139" s="24" t="n">
        <v>35.6354</v>
      </c>
      <c r="M139" s="24" t="n">
        <v>26.6936</v>
      </c>
      <c r="N139" s="24" t="n">
        <v>12.1943</v>
      </c>
      <c r="O139" s="24" t="n">
        <v>28.6961</v>
      </c>
      <c r="P139" s="24" t="n">
        <v>26.0032</v>
      </c>
      <c r="Q139" s="24" t="n">
        <v>0.1435</v>
      </c>
      <c r="R139" s="24" t="n">
        <v>-2.8756</v>
      </c>
      <c r="S139" s="24" t="n">
        <v>-3.1511</v>
      </c>
      <c r="T139" s="24" t="n">
        <v>397.2647</v>
      </c>
      <c r="U139" s="24" t="n">
        <v>10.995</v>
      </c>
      <c r="V139" s="24" t="n">
        <v>5.893</v>
      </c>
    </row>
    <row r="140" customFormat="false" ht="15" hidden="false" customHeight="false" outlineLevel="0" collapsed="false">
      <c r="A140" s="9" t="s">
        <v>964</v>
      </c>
      <c r="B140" s="9" t="s">
        <v>965</v>
      </c>
      <c r="C140" s="9" t="s">
        <v>699</v>
      </c>
      <c r="D140" s="23" t="n">
        <v>0.039</v>
      </c>
      <c r="E140" s="24" t="n">
        <v>21.2811</v>
      </c>
      <c r="F140" s="24" t="n">
        <v>0.0947</v>
      </c>
      <c r="G140" s="24" t="n">
        <v>0.5736</v>
      </c>
      <c r="H140" s="24" t="n">
        <v>0.4789</v>
      </c>
      <c r="I140" s="24" t="n">
        <v>0.0146</v>
      </c>
      <c r="J140" s="24" t="n">
        <v>0.0523</v>
      </c>
      <c r="K140" s="24" t="n">
        <v>0.0279</v>
      </c>
      <c r="L140" s="24" t="n">
        <v>9.5293</v>
      </c>
      <c r="M140" s="24" t="n">
        <v>8.0149</v>
      </c>
      <c r="N140" s="24" t="n">
        <v>2.0578</v>
      </c>
      <c r="O140" s="24" t="n">
        <v>21.3665</v>
      </c>
      <c r="P140" s="24" t="n">
        <v>18.0086</v>
      </c>
      <c r="Q140" s="24" t="n">
        <v>-3.2195</v>
      </c>
      <c r="R140" s="24" t="n">
        <v>-1.0995</v>
      </c>
      <c r="S140" s="24" t="n">
        <v>-1.9343</v>
      </c>
      <c r="T140" s="24" t="n">
        <v>111.3648</v>
      </c>
      <c r="U140" s="24" t="n">
        <v>8.2861</v>
      </c>
      <c r="V140" s="24" t="n">
        <v>6.74</v>
      </c>
    </row>
    <row r="141" customFormat="false" ht="15" hidden="false" customHeight="false" outlineLevel="0" collapsed="false">
      <c r="A141" s="9" t="s">
        <v>966</v>
      </c>
      <c r="B141" s="9" t="s">
        <v>967</v>
      </c>
      <c r="C141" s="9" t="s">
        <v>699</v>
      </c>
      <c r="D141" s="23" t="n">
        <v>0.105</v>
      </c>
      <c r="E141" s="24" t="n">
        <v>20.7912</v>
      </c>
      <c r="F141" s="24" t="n">
        <v>0.1801</v>
      </c>
      <c r="G141" s="24" t="n">
        <v>0.8953</v>
      </c>
      <c r="H141" s="24" t="n">
        <v>0.7152</v>
      </c>
      <c r="I141" s="24" t="n">
        <v>0.18</v>
      </c>
      <c r="J141" s="24" t="n">
        <v>0.0576</v>
      </c>
      <c r="K141" s="24" t="n">
        <v>0.015</v>
      </c>
      <c r="L141" s="24" t="n">
        <v>14.1285</v>
      </c>
      <c r="M141" s="24" t="n">
        <v>11.709</v>
      </c>
      <c r="N141" s="24" t="n">
        <v>3.2837</v>
      </c>
      <c r="O141" s="24" t="n">
        <v>33.3058</v>
      </c>
      <c r="P141" s="24" t="n">
        <v>27.3398</v>
      </c>
      <c r="Q141" s="24" t="n">
        <v>0.8143</v>
      </c>
      <c r="R141" s="24" t="n">
        <v>-2.5534</v>
      </c>
      <c r="S141" s="24" t="n">
        <v>-4.0398</v>
      </c>
      <c r="T141" s="24" t="n">
        <v>152.4338</v>
      </c>
      <c r="U141" s="24" t="n">
        <v>8.4705</v>
      </c>
      <c r="V141" s="24" t="n">
        <v>10.107</v>
      </c>
    </row>
    <row r="142" customFormat="false" ht="15" hidden="false" customHeight="false" outlineLevel="0" collapsed="false">
      <c r="A142" s="9" t="s">
        <v>968</v>
      </c>
      <c r="B142" s="9" t="s">
        <v>969</v>
      </c>
      <c r="C142" s="9" t="s">
        <v>699</v>
      </c>
      <c r="D142" s="23" t="n">
        <v>0.105</v>
      </c>
      <c r="E142" s="24" t="n">
        <v>20.7161</v>
      </c>
      <c r="F142" s="24" t="n">
        <v>0.4377</v>
      </c>
      <c r="G142" s="24" t="n">
        <v>1.088</v>
      </c>
      <c r="H142" s="24" t="n">
        <v>0.6504</v>
      </c>
      <c r="I142" s="24" t="n">
        <v>0.3548</v>
      </c>
      <c r="J142" s="24" t="n">
        <v>0.2867</v>
      </c>
      <c r="K142" s="24" t="n">
        <v>0.2755</v>
      </c>
      <c r="L142" s="24" t="n">
        <v>25.0292</v>
      </c>
      <c r="M142" s="24" t="n">
        <v>19.3353</v>
      </c>
      <c r="N142" s="24" t="n">
        <v>7.9793</v>
      </c>
      <c r="O142" s="24" t="n">
        <v>39.0604</v>
      </c>
      <c r="P142" s="24" t="n">
        <v>25.6224</v>
      </c>
      <c r="Q142" s="24" t="n">
        <v>3.2679</v>
      </c>
      <c r="R142" s="24" t="n">
        <v>3.5217</v>
      </c>
      <c r="S142" s="24" t="n">
        <v>3.1642</v>
      </c>
      <c r="T142" s="24" t="n">
        <v>273.0085</v>
      </c>
      <c r="U142" s="24" t="n">
        <v>5.674</v>
      </c>
      <c r="V142" s="24" t="n">
        <v>10.211</v>
      </c>
    </row>
    <row r="143" customFormat="false" ht="15" hidden="false" customHeight="false" outlineLevel="0" collapsed="false">
      <c r="A143" s="9" t="s">
        <v>970</v>
      </c>
      <c r="B143" s="9" t="s">
        <v>971</v>
      </c>
      <c r="C143" s="9" t="s">
        <v>699</v>
      </c>
      <c r="D143" s="23" t="n">
        <v>0.105</v>
      </c>
      <c r="E143" s="24" t="n">
        <v>20.4245</v>
      </c>
      <c r="F143" s="24" t="n">
        <v>0.1647</v>
      </c>
      <c r="G143" s="24" t="n">
        <v>0.4722</v>
      </c>
      <c r="H143" s="24" t="n">
        <v>0.3074</v>
      </c>
      <c r="I143" s="24" t="n">
        <v>0.0899</v>
      </c>
      <c r="J143" s="24" t="n">
        <v>0.0468</v>
      </c>
      <c r="K143" s="24" t="n">
        <v>0.0042</v>
      </c>
      <c r="L143" s="24" t="n">
        <v>12.1638</v>
      </c>
      <c r="M143" s="24" t="n">
        <v>10.3871</v>
      </c>
      <c r="N143" s="24" t="n">
        <v>2.9537</v>
      </c>
      <c r="O143" s="24" t="n">
        <v>15.5958</v>
      </c>
      <c r="P143" s="24" t="n">
        <v>10.735</v>
      </c>
      <c r="Q143" s="24" t="n">
        <v>0.0827</v>
      </c>
      <c r="R143" s="24" t="n">
        <v>-1.3101</v>
      </c>
      <c r="S143" s="24" t="n">
        <v>-2.7145</v>
      </c>
      <c r="T143" s="24" t="n">
        <v>109.2771</v>
      </c>
      <c r="U143" s="24" t="n">
        <v>7.3992</v>
      </c>
      <c r="V143" s="24" t="n">
        <v>9.271</v>
      </c>
    </row>
    <row r="144" customFormat="false" ht="15" hidden="false" customHeight="false" outlineLevel="0" collapsed="false">
      <c r="A144" s="9" t="s">
        <v>972</v>
      </c>
      <c r="B144" s="9" t="s">
        <v>973</v>
      </c>
      <c r="C144" s="9" t="s">
        <v>699</v>
      </c>
      <c r="D144" s="23" t="n">
        <v>0.105</v>
      </c>
      <c r="E144" s="24" t="n">
        <v>20.141</v>
      </c>
      <c r="F144" s="24" t="n">
        <v>0.0133</v>
      </c>
      <c r="G144" s="24" t="n">
        <v>1.5116</v>
      </c>
      <c r="H144" s="24" t="n">
        <v>1.4983</v>
      </c>
      <c r="I144" s="24" t="n">
        <v>1.4071</v>
      </c>
      <c r="J144" s="24" t="n">
        <v>1.3958</v>
      </c>
      <c r="K144" s="24" t="n">
        <v>1.3753</v>
      </c>
      <c r="L144" s="24" t="n">
        <v>54.1304</v>
      </c>
      <c r="M144" s="24" t="n">
        <v>28.1606</v>
      </c>
      <c r="N144" s="24" t="n">
        <v>10.9629</v>
      </c>
      <c r="O144" s="24" t="n">
        <v>49.1195</v>
      </c>
      <c r="P144" s="24" t="n">
        <v>48.8797</v>
      </c>
      <c r="Q144" s="24" t="n">
        <v>10.8544</v>
      </c>
      <c r="R144" s="24" t="n">
        <v>17.5323</v>
      </c>
      <c r="S144" s="24" t="n">
        <v>16.8366</v>
      </c>
      <c r="T144" s="24" t="n">
        <v>797.958</v>
      </c>
      <c r="U144" s="24" t="n">
        <v>2.8773</v>
      </c>
      <c r="V144" s="24" t="n">
        <v>19.593</v>
      </c>
    </row>
    <row r="145" customFormat="false" ht="15" hidden="false" customHeight="false" outlineLevel="0" collapsed="false">
      <c r="A145" s="9" t="s">
        <v>974</v>
      </c>
      <c r="B145" s="9" t="s">
        <v>975</v>
      </c>
      <c r="C145" s="9" t="s">
        <v>699</v>
      </c>
      <c r="D145" s="23" t="n">
        <v>0.0669</v>
      </c>
      <c r="E145" s="24" t="n">
        <v>18.2115</v>
      </c>
      <c r="F145" s="24" t="n">
        <v>0.0737</v>
      </c>
      <c r="G145" s="24" t="n">
        <v>0.251</v>
      </c>
      <c r="H145" s="24" t="n">
        <v>0.1773</v>
      </c>
      <c r="I145" s="24" t="n">
        <v>-0.053</v>
      </c>
      <c r="J145" s="24" t="n">
        <v>-0.0568</v>
      </c>
      <c r="K145" s="24" t="n">
        <v>-0.0817</v>
      </c>
      <c r="L145" s="24" t="n">
        <v>7.514</v>
      </c>
      <c r="M145" s="24" t="n">
        <v>5.8447</v>
      </c>
      <c r="N145" s="24" t="n">
        <v>1.3538</v>
      </c>
      <c r="O145" s="24" t="n">
        <v>8.5383</v>
      </c>
      <c r="P145" s="24" t="n">
        <v>6.5044</v>
      </c>
      <c r="Q145" s="24" t="n">
        <v>-2.3079</v>
      </c>
      <c r="R145" s="24" t="n">
        <v>-2.6988</v>
      </c>
      <c r="S145" s="24" t="n">
        <v>-3.4712</v>
      </c>
      <c r="T145" s="24" t="n">
        <v>109.2818</v>
      </c>
      <c r="U145" s="24" t="n">
        <v>4.7702</v>
      </c>
      <c r="V145" s="24" t="n">
        <v>4.774</v>
      </c>
    </row>
    <row r="146" customFormat="false" ht="15" hidden="false" customHeight="false" outlineLevel="0" collapsed="false">
      <c r="A146" s="9" t="s">
        <v>976</v>
      </c>
      <c r="B146" s="9" t="s">
        <v>977</v>
      </c>
      <c r="C146" s="9" t="s">
        <v>699</v>
      </c>
      <c r="D146" s="23" t="n">
        <v>0.105</v>
      </c>
      <c r="E146" s="24" t="n">
        <v>17.9829</v>
      </c>
      <c r="F146" s="24" t="n">
        <v>0.1202</v>
      </c>
      <c r="G146" s="24" t="n">
        <v>0.3815</v>
      </c>
      <c r="H146" s="24" t="n">
        <v>0.2613</v>
      </c>
      <c r="I146" s="24" t="n">
        <v>0.0831</v>
      </c>
      <c r="J146" s="24" t="n">
        <v>0.032</v>
      </c>
      <c r="K146" s="24" t="n">
        <v>0.0231</v>
      </c>
      <c r="L146" s="24" t="n">
        <v>5.1558</v>
      </c>
      <c r="M146" s="24" t="n">
        <v>4.5174</v>
      </c>
      <c r="N146" s="24" t="n">
        <v>0.7657</v>
      </c>
      <c r="O146" s="24" t="n">
        <v>11.6093</v>
      </c>
      <c r="P146" s="24" t="n">
        <v>8.5452</v>
      </c>
      <c r="Q146" s="24" t="n">
        <v>0.3466</v>
      </c>
      <c r="R146" s="24" t="n">
        <v>-0.9449</v>
      </c>
      <c r="S146" s="24" t="n">
        <v>-1.3179</v>
      </c>
      <c r="T146" s="24" t="n">
        <v>60.378</v>
      </c>
      <c r="U146" s="24" t="n">
        <v>4.4093</v>
      </c>
      <c r="V146" s="24" t="n">
        <v>1.324</v>
      </c>
    </row>
    <row r="147" customFormat="false" ht="15" hidden="false" customHeight="false" outlineLevel="0" collapsed="false">
      <c r="A147" s="9" t="s">
        <v>978</v>
      </c>
      <c r="B147" s="9" t="s">
        <v>979</v>
      </c>
      <c r="C147" s="9" t="s">
        <v>699</v>
      </c>
      <c r="D147" s="23" t="n">
        <v>0.105</v>
      </c>
      <c r="E147" s="24" t="n">
        <v>17.5351</v>
      </c>
      <c r="F147" s="24" t="n">
        <v>0.0338</v>
      </c>
      <c r="G147" s="24" t="n">
        <v>0.9837</v>
      </c>
      <c r="H147" s="24" t="n">
        <v>0.9499</v>
      </c>
      <c r="I147" s="24" t="n">
        <v>0.8454</v>
      </c>
      <c r="J147" s="24" t="n">
        <v>0.8326</v>
      </c>
      <c r="K147" s="24" t="n">
        <v>0.8303</v>
      </c>
      <c r="L147" s="24" t="n">
        <v>36.5468</v>
      </c>
      <c r="M147" s="24" t="n">
        <v>20.0886</v>
      </c>
      <c r="N147" s="24" t="n">
        <v>9.2167</v>
      </c>
      <c r="O147" s="24" t="n">
        <v>31.0169</v>
      </c>
      <c r="P147" s="24" t="n">
        <v>29.957</v>
      </c>
      <c r="Q147" s="24" t="n">
        <v>6.0582</v>
      </c>
      <c r="R147" s="24" t="n">
        <v>9.2036</v>
      </c>
      <c r="S147" s="24" t="n">
        <v>9.1089</v>
      </c>
      <c r="T147" s="24" t="n">
        <v>517.2216</v>
      </c>
      <c r="U147" s="24" t="n">
        <v>2.5145</v>
      </c>
      <c r="V147" s="24" t="n">
        <v>7.173</v>
      </c>
    </row>
    <row r="148" customFormat="false" ht="15" hidden="false" customHeight="false" outlineLevel="0" collapsed="false">
      <c r="A148" s="9" t="s">
        <v>980</v>
      </c>
      <c r="B148" s="9" t="s">
        <v>981</v>
      </c>
      <c r="C148" s="9" t="s">
        <v>699</v>
      </c>
      <c r="D148" s="23" t="n">
        <v>0.105</v>
      </c>
      <c r="E148" s="24" t="n">
        <v>17.4045</v>
      </c>
      <c r="F148" s="24" t="n">
        <v>0.0975</v>
      </c>
      <c r="G148" s="24" t="n">
        <v>0.6091</v>
      </c>
      <c r="H148" s="24" t="n">
        <v>0.5116</v>
      </c>
      <c r="I148" s="24" t="n">
        <v>0.223</v>
      </c>
      <c r="J148" s="24" t="n">
        <v>0.146</v>
      </c>
      <c r="K148" s="24" t="n">
        <v>0.1397</v>
      </c>
      <c r="L148" s="24" t="n">
        <v>16.5211</v>
      </c>
      <c r="M148" s="24" t="n">
        <v>13.0263</v>
      </c>
      <c r="N148" s="24" t="n">
        <v>3.7403</v>
      </c>
      <c r="O148" s="24" t="n">
        <v>19.5907</v>
      </c>
      <c r="P148" s="24" t="n">
        <v>17.1872</v>
      </c>
      <c r="Q148" s="24" t="n">
        <v>2.0367</v>
      </c>
      <c r="R148" s="24" t="n">
        <v>1.3482</v>
      </c>
      <c r="S148" s="24" t="n">
        <v>1.1704</v>
      </c>
      <c r="T148" s="24" t="n">
        <v>194.4785</v>
      </c>
      <c r="U148" s="24" t="n">
        <v>9.102</v>
      </c>
      <c r="V148" s="24" t="n">
        <v>9.571</v>
      </c>
    </row>
    <row r="149" customFormat="false" ht="15" hidden="false" customHeight="false" outlineLevel="0" collapsed="false">
      <c r="A149" s="9" t="s">
        <v>982</v>
      </c>
      <c r="B149" s="9" t="s">
        <v>983</v>
      </c>
      <c r="C149" s="9" t="s">
        <v>699</v>
      </c>
      <c r="D149" s="23" t="n">
        <v>0.0628</v>
      </c>
      <c r="E149" s="24" t="n">
        <v>15.4826</v>
      </c>
      <c r="F149" s="24" t="n">
        <v>0.049</v>
      </c>
      <c r="G149" s="24" t="n">
        <v>0.8578</v>
      </c>
      <c r="H149" s="24" t="n">
        <v>0.8089</v>
      </c>
      <c r="I149" s="24" t="n">
        <v>0.615</v>
      </c>
      <c r="J149" s="24" t="n">
        <v>0.6133</v>
      </c>
      <c r="K149" s="24" t="n">
        <v>0.6086</v>
      </c>
      <c r="L149" s="24" t="n">
        <v>23.7623</v>
      </c>
      <c r="M149" s="24" t="n">
        <v>10.3532</v>
      </c>
      <c r="N149" s="24" t="n">
        <v>4.8485</v>
      </c>
      <c r="O149" s="24" t="n">
        <v>23.4878</v>
      </c>
      <c r="P149" s="24" t="n">
        <v>22.1611</v>
      </c>
      <c r="Q149" s="24" t="n">
        <v>5.3219</v>
      </c>
      <c r="R149" s="24" t="n">
        <v>5.4277</v>
      </c>
      <c r="S149" s="24" t="n">
        <v>5.2506</v>
      </c>
      <c r="T149" s="24" t="n">
        <v>379.3899</v>
      </c>
      <c r="U149" s="24" t="n">
        <v>3.6925</v>
      </c>
      <c r="V149" s="24" t="n">
        <v>4.261</v>
      </c>
    </row>
    <row r="150" customFormat="false" ht="15" hidden="false" customHeight="false" outlineLevel="0" collapsed="false">
      <c r="A150" s="9" t="s">
        <v>984</v>
      </c>
      <c r="B150" s="9" t="s">
        <v>985</v>
      </c>
      <c r="C150" s="9" t="s">
        <v>699</v>
      </c>
      <c r="D150" s="23" t="n">
        <v>0.105</v>
      </c>
      <c r="E150" s="24" t="n">
        <v>14.4303</v>
      </c>
      <c r="F150" s="24" t="n">
        <v>0.0158</v>
      </c>
      <c r="G150" s="24" t="n">
        <v>1.4337</v>
      </c>
      <c r="H150" s="24" t="n">
        <v>1.4179</v>
      </c>
      <c r="I150" s="24" t="n">
        <v>1.3587</v>
      </c>
      <c r="J150" s="24" t="n">
        <v>1.3447</v>
      </c>
      <c r="K150" s="24" t="n">
        <v>1.3446</v>
      </c>
      <c r="L150" s="24" t="n">
        <v>52.6529</v>
      </c>
      <c r="M150" s="24" t="n">
        <v>25.6802</v>
      </c>
      <c r="N150" s="24" t="n">
        <v>14.1794</v>
      </c>
      <c r="O150" s="24" t="n">
        <v>40.5198</v>
      </c>
      <c r="P150" s="24" t="n">
        <v>40.0355</v>
      </c>
      <c r="Q150" s="24" t="n">
        <v>9.9921</v>
      </c>
      <c r="R150" s="24" t="n">
        <v>15.7642</v>
      </c>
      <c r="S150" s="24" t="n">
        <v>15.7637</v>
      </c>
      <c r="T150" s="24" t="n">
        <v>758.5682</v>
      </c>
      <c r="U150" s="24" t="n">
        <v>1.56</v>
      </c>
      <c r="V150" s="24" t="n">
        <v>0.943</v>
      </c>
    </row>
    <row r="151" customFormat="false" ht="15" hidden="false" customHeight="false" outlineLevel="0" collapsed="false">
      <c r="A151" s="9" t="s">
        <v>986</v>
      </c>
      <c r="B151" s="9" t="s">
        <v>987</v>
      </c>
      <c r="C151" s="9" t="s">
        <v>699</v>
      </c>
      <c r="D151" s="23" t="n">
        <v>0.105</v>
      </c>
      <c r="E151" s="24" t="n">
        <v>14.3359</v>
      </c>
      <c r="F151" s="24" t="n">
        <v>0.0618</v>
      </c>
      <c r="G151" s="24" t="n">
        <v>0.3145</v>
      </c>
      <c r="H151" s="24" t="n">
        <v>0.2527</v>
      </c>
      <c r="I151" s="24" t="n">
        <v>0.1557</v>
      </c>
      <c r="J151" s="24" t="n">
        <v>0.1426</v>
      </c>
      <c r="K151" s="24" t="n">
        <v>0.142</v>
      </c>
      <c r="L151" s="24" t="n">
        <v>12.4694</v>
      </c>
      <c r="M151" s="24" t="n">
        <v>8.7337</v>
      </c>
      <c r="N151" s="24" t="n">
        <v>4.1699</v>
      </c>
      <c r="O151" s="24" t="n">
        <v>10.0986</v>
      </c>
      <c r="P151" s="24" t="n">
        <v>8.4467</v>
      </c>
      <c r="Q151" s="24" t="n">
        <v>0.5307</v>
      </c>
      <c r="R151" s="24" t="n">
        <v>0.1388</v>
      </c>
      <c r="S151" s="24" t="n">
        <v>0.112</v>
      </c>
      <c r="T151" s="24" t="n">
        <v>140.5066</v>
      </c>
      <c r="U151" s="24" t="n">
        <v>2.4191</v>
      </c>
      <c r="V151" s="24" t="n">
        <v>2.512</v>
      </c>
    </row>
    <row r="152" customFormat="false" ht="15" hidden="false" customHeight="false" outlineLevel="0" collapsed="false">
      <c r="A152" s="9" t="s">
        <v>988</v>
      </c>
      <c r="B152" s="9" t="s">
        <v>989</v>
      </c>
      <c r="C152" s="9" t="s">
        <v>699</v>
      </c>
      <c r="D152" s="23" t="n">
        <v>0.105</v>
      </c>
      <c r="E152" s="24" t="n">
        <v>14.1925</v>
      </c>
      <c r="F152" s="24" t="n">
        <v>0.0725</v>
      </c>
      <c r="G152" s="24" t="n">
        <v>0.6331</v>
      </c>
      <c r="H152" s="24" t="n">
        <v>0.5605</v>
      </c>
      <c r="I152" s="24" t="n">
        <v>0.2526</v>
      </c>
      <c r="J152" s="24" t="n">
        <v>0.1885</v>
      </c>
      <c r="K152" s="24" t="n">
        <v>0.1869</v>
      </c>
      <c r="L152" s="24" t="n">
        <v>20.0606</v>
      </c>
      <c r="M152" s="24" t="n">
        <v>15.4863</v>
      </c>
      <c r="N152" s="24" t="n">
        <v>6.868</v>
      </c>
      <c r="O152" s="24" t="n">
        <v>24.4287</v>
      </c>
      <c r="P152" s="24" t="n">
        <v>22.4124</v>
      </c>
      <c r="Q152" s="24" t="n">
        <v>1.6143</v>
      </c>
      <c r="R152" s="24" t="n">
        <v>0.2603</v>
      </c>
      <c r="S152" s="24" t="n">
        <v>0.1853</v>
      </c>
      <c r="T152" s="24" t="n">
        <v>229.7746</v>
      </c>
      <c r="U152" s="24" t="n">
        <v>6.1921</v>
      </c>
      <c r="V152" s="24" t="n">
        <v>4.812</v>
      </c>
    </row>
    <row r="153" customFormat="false" ht="15" hidden="false" customHeight="false" outlineLevel="0" collapsed="false">
      <c r="A153" s="9" t="s">
        <v>990</v>
      </c>
      <c r="B153" s="9" t="s">
        <v>991</v>
      </c>
      <c r="C153" s="9" t="s">
        <v>699</v>
      </c>
      <c r="D153" s="23" t="n">
        <v>0.105</v>
      </c>
      <c r="E153" s="24" t="n">
        <v>13.7133</v>
      </c>
      <c r="F153" s="24" t="n">
        <v>0.1419</v>
      </c>
      <c r="G153" s="24" t="n">
        <v>0.3058</v>
      </c>
      <c r="H153" s="24" t="n">
        <v>0.1639</v>
      </c>
      <c r="I153" s="24" t="n">
        <v>-0.0062</v>
      </c>
      <c r="J153" s="24" t="n">
        <v>-0.0356</v>
      </c>
      <c r="K153" s="24" t="n">
        <v>-0.0356</v>
      </c>
      <c r="L153" s="24" t="n">
        <v>9.0948</v>
      </c>
      <c r="M153" s="24" t="n">
        <v>7.8013</v>
      </c>
      <c r="N153" s="24" t="n">
        <v>0.8951</v>
      </c>
      <c r="O153" s="24" t="n">
        <v>11.3759</v>
      </c>
      <c r="P153" s="24" t="n">
        <v>7.0907</v>
      </c>
      <c r="Q153" s="24" t="n">
        <v>-0.3645</v>
      </c>
      <c r="R153" s="24" t="n">
        <v>-1.7354</v>
      </c>
      <c r="S153" s="24" t="n">
        <v>-1.7354</v>
      </c>
      <c r="T153" s="24" t="n">
        <v>122.5766</v>
      </c>
      <c r="U153" s="24" t="n">
        <v>8.6489</v>
      </c>
      <c r="V153" s="24" t="n">
        <v>8.674</v>
      </c>
    </row>
    <row r="154" customFormat="false" ht="15" hidden="false" customHeight="false" outlineLevel="0" collapsed="false">
      <c r="A154" s="9" t="s">
        <v>992</v>
      </c>
      <c r="B154" s="9" t="s">
        <v>993</v>
      </c>
      <c r="C154" s="9" t="s">
        <v>699</v>
      </c>
      <c r="D154" s="23" t="n">
        <v>0.105</v>
      </c>
      <c r="E154" s="24" t="n">
        <v>13.6519</v>
      </c>
      <c r="F154" s="24" t="n">
        <v>0.035</v>
      </c>
      <c r="G154" s="24" t="n">
        <v>0.8236</v>
      </c>
      <c r="H154" s="24" t="n">
        <v>0.7886</v>
      </c>
      <c r="I154" s="24" t="n">
        <v>0.7137</v>
      </c>
      <c r="J154" s="24" t="n">
        <v>0.702</v>
      </c>
      <c r="K154" s="24" t="n">
        <v>0.7019</v>
      </c>
      <c r="L154" s="24" t="n">
        <v>29.6566</v>
      </c>
      <c r="M154" s="24" t="n">
        <v>15.7699</v>
      </c>
      <c r="N154" s="24" t="n">
        <v>7.5058</v>
      </c>
      <c r="O154" s="24" t="n">
        <v>25.8559</v>
      </c>
      <c r="P154" s="24" t="n">
        <v>24.5752</v>
      </c>
      <c r="Q154" s="24" t="n">
        <v>5.255</v>
      </c>
      <c r="R154" s="24" t="n">
        <v>8.1607</v>
      </c>
      <c r="S154" s="24" t="n">
        <v>8.1583</v>
      </c>
      <c r="T154" s="24" t="n">
        <v>418.3959</v>
      </c>
      <c r="U154" s="24" t="n">
        <v>1.7376</v>
      </c>
      <c r="V154" s="24" t="n">
        <v>5.956</v>
      </c>
    </row>
    <row r="155" customFormat="false" ht="15" hidden="false" customHeight="false" outlineLevel="0" collapsed="false">
      <c r="A155" s="9" t="s">
        <v>994</v>
      </c>
      <c r="B155" s="9" t="s">
        <v>995</v>
      </c>
      <c r="C155" s="9" t="s">
        <v>699</v>
      </c>
      <c r="D155" s="23" t="n">
        <v>0.105</v>
      </c>
      <c r="E155" s="24" t="n">
        <v>10.8772</v>
      </c>
      <c r="F155" s="24" t="n">
        <v>0.0021</v>
      </c>
      <c r="G155" s="24" t="n">
        <v>0.4829</v>
      </c>
      <c r="H155" s="24" t="n">
        <v>0.4809</v>
      </c>
      <c r="I155" s="24" t="n">
        <v>0.4133</v>
      </c>
      <c r="J155" s="24" t="n">
        <v>0.3822</v>
      </c>
      <c r="K155" s="24" t="n">
        <v>0.3809</v>
      </c>
      <c r="L155" s="24" t="n">
        <v>15.6396</v>
      </c>
      <c r="M155" s="24" t="n">
        <v>9.1359</v>
      </c>
      <c r="N155" s="24" t="n">
        <v>3.8964</v>
      </c>
      <c r="O155" s="24" t="n">
        <v>16.3922</v>
      </c>
      <c r="P155" s="24" t="n">
        <v>16.0325</v>
      </c>
      <c r="Q155" s="24" t="n">
        <v>3.5977</v>
      </c>
      <c r="R155" s="24" t="n">
        <v>5.2778</v>
      </c>
      <c r="S155" s="24" t="n">
        <v>5.2401</v>
      </c>
      <c r="T155" s="24" t="n">
        <v>210.5104</v>
      </c>
      <c r="U155" s="24" t="n">
        <v>2.6311</v>
      </c>
      <c r="V155" s="24" t="n">
        <v>4.959</v>
      </c>
    </row>
    <row r="156" customFormat="false" ht="15" hidden="false" customHeight="false" outlineLevel="0" collapsed="false">
      <c r="A156" s="9" t="s">
        <v>996</v>
      </c>
      <c r="B156" s="9" t="s">
        <v>997</v>
      </c>
      <c r="C156" s="9" t="s">
        <v>699</v>
      </c>
      <c r="D156" s="23" t="n">
        <v>0.1098</v>
      </c>
      <c r="E156" s="24" t="n">
        <v>9.7667</v>
      </c>
      <c r="F156" s="24" t="n">
        <v>0.0905</v>
      </c>
      <c r="G156" s="24" t="n">
        <v>0.1479</v>
      </c>
      <c r="H156" s="24" t="n">
        <v>0.0573</v>
      </c>
      <c r="I156" s="24" t="n">
        <v>0.0011</v>
      </c>
      <c r="J156" s="24" t="n">
        <v>-0.01</v>
      </c>
      <c r="K156" s="24" t="n">
        <v>-0.01</v>
      </c>
      <c r="L156" s="24" t="n">
        <v>1.906</v>
      </c>
      <c r="M156" s="24" t="n">
        <v>1.7889</v>
      </c>
      <c r="N156" s="24" t="n">
        <v>0.3414</v>
      </c>
      <c r="O156" s="24" t="n">
        <v>4.0567</v>
      </c>
      <c r="P156" s="24" t="n">
        <v>1.8255</v>
      </c>
      <c r="Q156" s="24" t="n">
        <v>-0.195</v>
      </c>
      <c r="R156" s="24" t="n">
        <v>-0.7576</v>
      </c>
      <c r="S156" s="24" t="n">
        <v>-0.7576</v>
      </c>
      <c r="T156" s="24" t="n">
        <v>13.6179</v>
      </c>
      <c r="U156" s="24" t="n">
        <v>2.3123</v>
      </c>
      <c r="V156" s="24" t="n">
        <v>0</v>
      </c>
    </row>
    <row r="157" customFormat="false" ht="15" hidden="false" customHeight="false" outlineLevel="0" collapsed="false">
      <c r="A157" s="9" t="s">
        <v>998</v>
      </c>
      <c r="B157" s="9" t="s">
        <v>999</v>
      </c>
      <c r="C157" s="9" t="s">
        <v>699</v>
      </c>
      <c r="D157" s="23" t="n">
        <v>0.105</v>
      </c>
      <c r="E157" s="24" t="n">
        <v>9.0847</v>
      </c>
      <c r="F157" s="24" t="n">
        <v>0.0117</v>
      </c>
      <c r="G157" s="24" t="n">
        <v>0.3377</v>
      </c>
      <c r="H157" s="24" t="n">
        <v>0.3261</v>
      </c>
      <c r="I157" s="24" t="n">
        <v>0.2208</v>
      </c>
      <c r="J157" s="24" t="n">
        <v>0.2077</v>
      </c>
      <c r="K157" s="24" t="n">
        <v>0.2075</v>
      </c>
      <c r="L157" s="24" t="n">
        <v>11.0829</v>
      </c>
      <c r="M157" s="24" t="n">
        <v>5.8221</v>
      </c>
      <c r="N157" s="24" t="n">
        <v>3.057</v>
      </c>
      <c r="O157" s="24" t="n">
        <v>9.9834</v>
      </c>
      <c r="P157" s="24" t="n">
        <v>9.6675</v>
      </c>
      <c r="Q157" s="24" t="n">
        <v>1.0744</v>
      </c>
      <c r="R157" s="24" t="n">
        <v>1.0468</v>
      </c>
      <c r="S157" s="24" t="n">
        <v>1.0402</v>
      </c>
      <c r="T157" s="24" t="n">
        <v>160.7741</v>
      </c>
      <c r="U157" s="24" t="n">
        <v>1.4985</v>
      </c>
      <c r="V157" s="24" t="n">
        <v>1.009</v>
      </c>
    </row>
    <row r="158" customFormat="false" ht="15" hidden="false" customHeight="false" outlineLevel="0" collapsed="false">
      <c r="A158" s="9" t="s">
        <v>1000</v>
      </c>
      <c r="B158" s="9" t="s">
        <v>1001</v>
      </c>
      <c r="C158" s="9" t="s">
        <v>699</v>
      </c>
      <c r="D158" s="23" t="n">
        <v>0.105</v>
      </c>
      <c r="E158" s="24" t="n">
        <v>8.758</v>
      </c>
      <c r="F158" s="24" t="n">
        <v>0.0426</v>
      </c>
      <c r="G158" s="24" t="n">
        <v>0.1632</v>
      </c>
      <c r="H158" s="24" t="n">
        <v>0.1205</v>
      </c>
      <c r="I158" s="24" t="n">
        <v>0.0279</v>
      </c>
      <c r="J158" s="24" t="n">
        <v>0.0053</v>
      </c>
      <c r="K158" s="24" t="n">
        <v>0.004</v>
      </c>
      <c r="L158" s="24" t="n">
        <v>2.2352</v>
      </c>
      <c r="M158" s="24" t="n">
        <v>1.9144</v>
      </c>
      <c r="N158" s="24" t="n">
        <v>0.3503</v>
      </c>
      <c r="O158" s="24" t="n">
        <v>5.052</v>
      </c>
      <c r="P158" s="24" t="n">
        <v>4.0291</v>
      </c>
      <c r="Q158" s="24" t="n">
        <v>0.1858</v>
      </c>
      <c r="R158" s="24" t="n">
        <v>-0.3417</v>
      </c>
      <c r="S158" s="24" t="n">
        <v>-0.386</v>
      </c>
      <c r="T158" s="24" t="n">
        <v>26.1695</v>
      </c>
      <c r="U158" s="24" t="n">
        <v>1.8728</v>
      </c>
      <c r="V158" s="24" t="n">
        <v>0.66</v>
      </c>
    </row>
    <row r="159" customFormat="false" ht="15" hidden="false" customHeight="false" outlineLevel="0" collapsed="false">
      <c r="A159" s="9" t="s">
        <v>1002</v>
      </c>
      <c r="B159" s="9" t="s">
        <v>1003</v>
      </c>
      <c r="C159" s="9" t="s">
        <v>699</v>
      </c>
      <c r="D159" s="23" t="n">
        <v>0.105</v>
      </c>
      <c r="E159" s="24" t="n">
        <v>8.5944</v>
      </c>
      <c r="F159" s="24" t="n">
        <v>0.0877</v>
      </c>
      <c r="G159" s="24" t="n">
        <v>0.2568</v>
      </c>
      <c r="H159" s="24" t="n">
        <v>0.169</v>
      </c>
      <c r="I159" s="24" t="n">
        <v>0.0161</v>
      </c>
      <c r="J159" s="24" t="n">
        <v>-0.0152</v>
      </c>
      <c r="K159" s="24" t="n">
        <v>-0.0214</v>
      </c>
      <c r="L159" s="24" t="n">
        <v>4.048</v>
      </c>
      <c r="M159" s="24" t="n">
        <v>3.5328</v>
      </c>
      <c r="N159" s="24" t="n">
        <v>0.7713</v>
      </c>
      <c r="O159" s="24" t="n">
        <v>8.811</v>
      </c>
      <c r="P159" s="24" t="n">
        <v>6.3423</v>
      </c>
      <c r="Q159" s="24" t="n">
        <v>-0.29</v>
      </c>
      <c r="R159" s="24" t="n">
        <v>-1.6166</v>
      </c>
      <c r="S159" s="24" t="n">
        <v>-1.8594</v>
      </c>
      <c r="T159" s="24" t="n">
        <v>51.8275</v>
      </c>
      <c r="U159" s="24" t="n">
        <v>3.4572</v>
      </c>
      <c r="V159" s="24" t="n">
        <v>2.473</v>
      </c>
    </row>
    <row r="160" customFormat="false" ht="15" hidden="false" customHeight="false" outlineLevel="0" collapsed="false">
      <c r="A160" s="9" t="s">
        <v>1004</v>
      </c>
      <c r="B160" s="9" t="s">
        <v>1005</v>
      </c>
      <c r="C160" s="9" t="s">
        <v>699</v>
      </c>
      <c r="D160" s="23" t="n">
        <v>0.1459</v>
      </c>
      <c r="E160" s="24" t="n">
        <v>8.457</v>
      </c>
      <c r="F160" s="24" t="n">
        <v>0.1202</v>
      </c>
      <c r="G160" s="24" t="n">
        <v>1.0278</v>
      </c>
      <c r="H160" s="24" t="n">
        <v>0.9076</v>
      </c>
      <c r="I160" s="24" t="n">
        <v>0.6131</v>
      </c>
      <c r="J160" s="24" t="n">
        <v>0.429</v>
      </c>
      <c r="K160" s="24" t="n">
        <v>0.4182</v>
      </c>
      <c r="L160" s="24" t="n">
        <v>40.4981</v>
      </c>
      <c r="M160" s="24" t="n">
        <v>30.9343</v>
      </c>
      <c r="N160" s="24" t="n">
        <v>13.1304</v>
      </c>
      <c r="O160" s="24" t="n">
        <v>37.9353</v>
      </c>
      <c r="P160" s="24" t="n">
        <v>33.4953</v>
      </c>
      <c r="Q160" s="24" t="n">
        <v>2.915</v>
      </c>
      <c r="R160" s="24" t="n">
        <v>0.9314</v>
      </c>
      <c r="S160" s="24" t="n">
        <v>-0.2012</v>
      </c>
      <c r="T160" s="24" t="n">
        <v>450.1643</v>
      </c>
      <c r="U160" s="24" t="n">
        <v>10.5225</v>
      </c>
      <c r="V160" s="24" t="n">
        <v>13.135</v>
      </c>
    </row>
    <row r="161" customFormat="false" ht="15" hidden="false" customHeight="false" outlineLevel="0" collapsed="false">
      <c r="A161" s="9" t="s">
        <v>1006</v>
      </c>
      <c r="B161" s="9" t="s">
        <v>1007</v>
      </c>
      <c r="C161" s="9" t="s">
        <v>699</v>
      </c>
      <c r="D161" s="23" t="n">
        <v>0.105</v>
      </c>
      <c r="E161" s="24" t="n">
        <v>6.9716</v>
      </c>
      <c r="F161" s="24" t="n">
        <v>0.0271</v>
      </c>
      <c r="G161" s="24" t="n">
        <v>0.1228</v>
      </c>
      <c r="H161" s="24" t="n">
        <v>0.0956</v>
      </c>
      <c r="I161" s="24" t="n">
        <v>0.0244</v>
      </c>
      <c r="J161" s="24" t="n">
        <v>0.0105</v>
      </c>
      <c r="K161" s="24" t="n">
        <v>0.007</v>
      </c>
      <c r="L161" s="24" t="n">
        <v>3.1832</v>
      </c>
      <c r="M161" s="24" t="n">
        <v>2.5425</v>
      </c>
      <c r="N161" s="24" t="n">
        <v>0.883</v>
      </c>
      <c r="O161" s="24" t="n">
        <v>4.1891</v>
      </c>
      <c r="P161" s="24" t="n">
        <v>3.4335</v>
      </c>
      <c r="Q161" s="24" t="n">
        <v>0.0252</v>
      </c>
      <c r="R161" s="24" t="n">
        <v>-0.42</v>
      </c>
      <c r="S161" s="24" t="n">
        <v>-0.5396</v>
      </c>
      <c r="T161" s="24" t="n">
        <v>35.6035</v>
      </c>
      <c r="U161" s="24" t="n">
        <v>1.5358</v>
      </c>
      <c r="V161" s="24" t="n">
        <v>1.809</v>
      </c>
    </row>
    <row r="162" customFormat="false" ht="15" hidden="false" customHeight="false" outlineLevel="0" collapsed="false">
      <c r="A162" s="9" t="s">
        <v>1008</v>
      </c>
      <c r="B162" s="9" t="s">
        <v>1009</v>
      </c>
      <c r="C162" s="9" t="s">
        <v>699</v>
      </c>
      <c r="D162" s="23" t="n">
        <v>0.105</v>
      </c>
      <c r="E162" s="24" t="n">
        <v>6.4188</v>
      </c>
      <c r="F162" s="24" t="n">
        <v>0.0204</v>
      </c>
      <c r="G162" s="24" t="n">
        <v>0.7854</v>
      </c>
      <c r="H162" s="24" t="n">
        <v>0.7649</v>
      </c>
      <c r="I162" s="24" t="n">
        <v>0.7281</v>
      </c>
      <c r="J162" s="24" t="n">
        <v>0.7186</v>
      </c>
      <c r="K162" s="24" t="n">
        <v>0.7185</v>
      </c>
      <c r="L162" s="24" t="n">
        <v>18.3528</v>
      </c>
      <c r="M162" s="24" t="n">
        <v>4.2627</v>
      </c>
      <c r="N162" s="24" t="n">
        <v>1.9564</v>
      </c>
      <c r="O162" s="24" t="n">
        <v>20.6631</v>
      </c>
      <c r="P162" s="24" t="n">
        <v>19.9935</v>
      </c>
      <c r="Q162" s="24" t="n">
        <v>5.1042</v>
      </c>
      <c r="R162" s="24" t="n">
        <v>7.8561</v>
      </c>
      <c r="S162" s="24" t="n">
        <v>7.8531</v>
      </c>
      <c r="T162" s="24" t="n">
        <v>356.9619</v>
      </c>
      <c r="U162" s="24" t="n">
        <v>0.8708</v>
      </c>
      <c r="V162" s="24" t="n">
        <v>1.724</v>
      </c>
    </row>
    <row r="163" customFormat="false" ht="15" hidden="false" customHeight="false" outlineLevel="0" collapsed="false">
      <c r="A163" s="9" t="s">
        <v>1010</v>
      </c>
      <c r="B163" s="9" t="s">
        <v>1011</v>
      </c>
      <c r="C163" s="9" t="s">
        <v>699</v>
      </c>
      <c r="D163" s="23" t="n">
        <v>0.105</v>
      </c>
      <c r="E163" s="24" t="n">
        <v>6.1296</v>
      </c>
      <c r="F163" s="24" t="n">
        <v>0.0317</v>
      </c>
      <c r="G163" s="24" t="n">
        <v>0.1123</v>
      </c>
      <c r="H163" s="24" t="n">
        <v>0.0805</v>
      </c>
      <c r="I163" s="24" t="n">
        <v>0.0291</v>
      </c>
      <c r="J163" s="24" t="n">
        <v>0.021</v>
      </c>
      <c r="K163" s="24" t="n">
        <v>0.021</v>
      </c>
      <c r="L163" s="24" t="n">
        <v>3.4768</v>
      </c>
      <c r="M163" s="24" t="n">
        <v>2.6899</v>
      </c>
      <c r="N163" s="24" t="n">
        <v>1.1767</v>
      </c>
      <c r="O163" s="24" t="n">
        <v>3.6644</v>
      </c>
      <c r="P163" s="24" t="n">
        <v>2.7147</v>
      </c>
      <c r="Q163" s="24" t="n">
        <v>-0.0442</v>
      </c>
      <c r="R163" s="24" t="n">
        <v>-0.4252</v>
      </c>
      <c r="S163" s="24" t="n">
        <v>-0.4252</v>
      </c>
      <c r="T163" s="24" t="n">
        <v>36.6677</v>
      </c>
      <c r="U163" s="24" t="n">
        <v>1.1447</v>
      </c>
      <c r="V163" s="24" t="n">
        <v>1.326</v>
      </c>
    </row>
    <row r="164" customFormat="false" ht="15" hidden="false" customHeight="false" outlineLevel="0" collapsed="false">
      <c r="A164" s="9" t="s">
        <v>1012</v>
      </c>
      <c r="B164" s="9" t="s">
        <v>1013</v>
      </c>
      <c r="C164" s="9" t="s">
        <v>699</v>
      </c>
      <c r="D164" s="23" t="n">
        <v>0.105</v>
      </c>
      <c r="E164" s="24" t="n">
        <v>6.0914</v>
      </c>
      <c r="F164" s="24" t="n">
        <v>0.0186</v>
      </c>
      <c r="G164" s="24" t="n">
        <v>0.3012</v>
      </c>
      <c r="H164" s="24" t="n">
        <v>0.2826</v>
      </c>
      <c r="I164" s="24" t="n">
        <v>0.2451</v>
      </c>
      <c r="J164" s="24" t="n">
        <v>0.2391</v>
      </c>
      <c r="K164" s="24" t="n">
        <v>0.239</v>
      </c>
      <c r="L164" s="24" t="n">
        <v>10.5561</v>
      </c>
      <c r="M164" s="24" t="n">
        <v>5.5887</v>
      </c>
      <c r="N164" s="24" t="n">
        <v>2.9714</v>
      </c>
      <c r="O164" s="24" t="n">
        <v>8.7239</v>
      </c>
      <c r="P164" s="24" t="n">
        <v>8.2024</v>
      </c>
      <c r="Q164" s="24" t="n">
        <v>1.6176</v>
      </c>
      <c r="R164" s="24" t="n">
        <v>2.3359</v>
      </c>
      <c r="S164" s="24" t="n">
        <v>2.333</v>
      </c>
      <c r="T164" s="24" t="n">
        <v>146.2179</v>
      </c>
      <c r="U164" s="24" t="n">
        <v>0.8917</v>
      </c>
      <c r="V164" s="24" t="n">
        <v>0.926</v>
      </c>
    </row>
    <row r="165" customFormat="false" ht="15" hidden="false" customHeight="false" outlineLevel="0" collapsed="false">
      <c r="A165" s="9" t="s">
        <v>1014</v>
      </c>
      <c r="B165" s="9" t="s">
        <v>1015</v>
      </c>
      <c r="C165" s="9" t="s">
        <v>699</v>
      </c>
      <c r="D165" s="23" t="n">
        <v>0.105</v>
      </c>
      <c r="E165" s="24" t="n">
        <v>5.8107</v>
      </c>
      <c r="F165" s="24" t="n">
        <v>0.0398</v>
      </c>
      <c r="G165" s="24" t="n">
        <v>0.0995</v>
      </c>
      <c r="H165" s="24" t="n">
        <v>0.0597</v>
      </c>
      <c r="I165" s="24" t="n">
        <v>0.0136</v>
      </c>
      <c r="J165" s="24" t="n">
        <v>0.0071</v>
      </c>
      <c r="K165" s="24" t="n">
        <v>0.0142</v>
      </c>
      <c r="L165" s="24" t="n">
        <v>2.4372</v>
      </c>
      <c r="M165" s="24" t="n">
        <v>1.8285</v>
      </c>
      <c r="N165" s="24" t="n">
        <v>0.7509</v>
      </c>
      <c r="O165" s="24" t="n">
        <v>3.4656</v>
      </c>
      <c r="P165" s="24" t="n">
        <v>2.3148</v>
      </c>
      <c r="Q165" s="24" t="n">
        <v>-0.0324</v>
      </c>
      <c r="R165" s="24" t="n">
        <v>-0.3364</v>
      </c>
      <c r="S165" s="24" t="n">
        <v>-0.0847</v>
      </c>
      <c r="T165" s="24" t="n">
        <v>31.1703</v>
      </c>
      <c r="U165" s="24" t="n">
        <v>0.7282</v>
      </c>
      <c r="V165" s="24" t="n">
        <v>0.776</v>
      </c>
    </row>
    <row r="166" customFormat="false" ht="15" hidden="false" customHeight="false" outlineLevel="0" collapsed="false">
      <c r="A166" s="9" t="s">
        <v>1016</v>
      </c>
      <c r="B166" s="9" t="s">
        <v>1017</v>
      </c>
      <c r="C166" s="9" t="s">
        <v>699</v>
      </c>
      <c r="D166" s="23" t="n">
        <v>0.105</v>
      </c>
      <c r="E166" s="24" t="n">
        <v>5.4223</v>
      </c>
      <c r="F166" s="24" t="n">
        <v>0.0465</v>
      </c>
      <c r="G166" s="24" t="n">
        <v>0.706</v>
      </c>
      <c r="H166" s="24" t="n">
        <v>0.6596</v>
      </c>
      <c r="I166" s="24" t="n">
        <v>0.5012</v>
      </c>
      <c r="J166" s="24" t="n">
        <v>0.4621</v>
      </c>
      <c r="K166" s="24" t="n">
        <v>0.4621</v>
      </c>
      <c r="L166" s="24" t="n">
        <v>14.0979</v>
      </c>
      <c r="M166" s="24" t="n">
        <v>4.5358</v>
      </c>
      <c r="N166" s="24" t="n">
        <v>1.4624</v>
      </c>
      <c r="O166" s="24" t="n">
        <v>19.2689</v>
      </c>
      <c r="P166" s="24" t="n">
        <v>18.0682</v>
      </c>
      <c r="Q166" s="24" t="n">
        <v>3.3823</v>
      </c>
      <c r="R166" s="24" t="n">
        <v>4.2211</v>
      </c>
      <c r="S166" s="24" t="n">
        <v>4.2211</v>
      </c>
      <c r="T166" s="24" t="n">
        <v>263.9881</v>
      </c>
      <c r="U166" s="24" t="n">
        <v>3.7723</v>
      </c>
      <c r="V166" s="24" t="n">
        <v>3.656</v>
      </c>
    </row>
    <row r="167" customFormat="false" ht="15" hidden="false" customHeight="false" outlineLevel="0" collapsed="false">
      <c r="A167" s="9" t="s">
        <v>1018</v>
      </c>
      <c r="B167" s="9" t="s">
        <v>1019</v>
      </c>
      <c r="C167" s="9" t="s">
        <v>699</v>
      </c>
      <c r="D167" s="23" t="n">
        <v>0.105</v>
      </c>
      <c r="E167" s="24" t="n">
        <v>5.0314</v>
      </c>
      <c r="F167" s="24" t="n">
        <v>0.0301</v>
      </c>
      <c r="G167" s="24" t="n">
        <v>0.1481</v>
      </c>
      <c r="H167" s="24" t="n">
        <v>0.118</v>
      </c>
      <c r="I167" s="24" t="n">
        <v>0.0307</v>
      </c>
      <c r="J167" s="24" t="n">
        <v>0.0076</v>
      </c>
      <c r="K167" s="24" t="n">
        <v>0.0076</v>
      </c>
      <c r="L167" s="24" t="n">
        <v>2.0493</v>
      </c>
      <c r="M167" s="24" t="n">
        <v>1.8046</v>
      </c>
      <c r="N167" s="24" t="n">
        <v>0.3018</v>
      </c>
      <c r="O167" s="24" t="n">
        <v>4.6114</v>
      </c>
      <c r="P167" s="24" t="n">
        <v>3.8482</v>
      </c>
      <c r="Q167" s="24" t="n">
        <v>0.2106</v>
      </c>
      <c r="R167" s="24" t="n">
        <v>-0.3071</v>
      </c>
      <c r="S167" s="24" t="n">
        <v>-0.3071</v>
      </c>
      <c r="T167" s="24" t="n">
        <v>24.579</v>
      </c>
      <c r="U167" s="24" t="n">
        <v>1.8355</v>
      </c>
      <c r="V167" s="24" t="n">
        <v>0.429</v>
      </c>
    </row>
    <row r="168" customFormat="false" ht="15" hidden="false" customHeight="false" outlineLevel="0" collapsed="false">
      <c r="A168" s="9" t="s">
        <v>1020</v>
      </c>
      <c r="B168" s="9" t="s">
        <v>1021</v>
      </c>
      <c r="C168" s="9" t="s">
        <v>699</v>
      </c>
      <c r="D168" s="23" t="n">
        <v>0.105</v>
      </c>
      <c r="E168" s="24" t="n">
        <v>4.7239</v>
      </c>
      <c r="F168" s="24" t="n">
        <v>0.0007</v>
      </c>
      <c r="G168" s="24" t="n">
        <v>0.0865</v>
      </c>
      <c r="H168" s="24" t="n">
        <v>0.0858</v>
      </c>
      <c r="I168" s="24" t="n">
        <v>0.0264</v>
      </c>
      <c r="J168" s="24" t="n">
        <v>0.0167</v>
      </c>
      <c r="K168" s="24" t="n">
        <v>0.01</v>
      </c>
      <c r="L168" s="24" t="n">
        <v>3.8359</v>
      </c>
      <c r="M168" s="24" t="n">
        <v>2.9534</v>
      </c>
      <c r="N168" s="24" t="n">
        <v>1.268</v>
      </c>
      <c r="O168" s="24" t="n">
        <v>4.3382</v>
      </c>
      <c r="P168" s="24" t="n">
        <v>4.2944</v>
      </c>
      <c r="Q168" s="24" t="n">
        <v>0.2451</v>
      </c>
      <c r="R168" s="24" t="n">
        <v>0.1253</v>
      </c>
      <c r="S168" s="24" t="n">
        <v>-0.0593</v>
      </c>
      <c r="T168" s="24" t="n">
        <v>46.3777</v>
      </c>
      <c r="U168" s="24" t="n">
        <v>1.3895</v>
      </c>
      <c r="V168" s="24" t="n">
        <v>1.921</v>
      </c>
    </row>
    <row r="169" customFormat="false" ht="15" hidden="false" customHeight="false" outlineLevel="0" collapsed="false">
      <c r="A169" s="9" t="s">
        <v>1022</v>
      </c>
      <c r="B169" s="9" t="s">
        <v>1023</v>
      </c>
      <c r="C169" s="9" t="s">
        <v>699</v>
      </c>
      <c r="D169" s="23" t="n">
        <v>0.105</v>
      </c>
      <c r="E169" s="24" t="n">
        <v>3.6897</v>
      </c>
      <c r="F169" s="24" t="n">
        <v>0.0136</v>
      </c>
      <c r="G169" s="24" t="n">
        <v>0.3456</v>
      </c>
      <c r="H169" s="24" t="n">
        <v>0.3319</v>
      </c>
      <c r="I169" s="24" t="n">
        <v>0.2819</v>
      </c>
      <c r="J169" s="24" t="n">
        <v>0.2716</v>
      </c>
      <c r="K169" s="24" t="n">
        <v>0.2717</v>
      </c>
      <c r="L169" s="24" t="n">
        <v>7.0304</v>
      </c>
      <c r="M169" s="24" t="n">
        <v>1.3499</v>
      </c>
      <c r="N169" s="24" t="n">
        <v>0.4848</v>
      </c>
      <c r="O169" s="24" t="n">
        <v>8.7479</v>
      </c>
      <c r="P169" s="24" t="n">
        <v>8.3762</v>
      </c>
      <c r="Q169" s="24" t="n">
        <v>1.8224</v>
      </c>
      <c r="R169" s="24" t="n">
        <v>2.568</v>
      </c>
      <c r="S169" s="24" t="n">
        <v>2.5672</v>
      </c>
      <c r="T169" s="24" t="n">
        <v>143.5857</v>
      </c>
      <c r="U169" s="24" t="n">
        <v>0.9407</v>
      </c>
      <c r="V169" s="24" t="n">
        <v>0.317</v>
      </c>
    </row>
    <row r="170" customFormat="false" ht="15" hidden="false" customHeight="false" outlineLevel="0" collapsed="false">
      <c r="A170" s="9" t="s">
        <v>1024</v>
      </c>
      <c r="B170" s="9" t="s">
        <v>1025</v>
      </c>
      <c r="C170" s="9" t="s">
        <v>699</v>
      </c>
      <c r="D170" s="23" t="n">
        <v>0.105</v>
      </c>
      <c r="E170" s="24" t="n">
        <v>3.6144</v>
      </c>
      <c r="F170" s="24" t="n">
        <v>0.0251</v>
      </c>
      <c r="G170" s="24" t="n">
        <v>0.0891</v>
      </c>
      <c r="H170" s="24" t="n">
        <v>0.064</v>
      </c>
      <c r="I170" s="24" t="n">
        <v>0.0245</v>
      </c>
      <c r="J170" s="24" t="n">
        <v>0.0137</v>
      </c>
      <c r="K170" s="24" t="n">
        <v>0.0135</v>
      </c>
      <c r="L170" s="24" t="n">
        <v>1.4451</v>
      </c>
      <c r="M170" s="24" t="n">
        <v>1.2712</v>
      </c>
      <c r="N170" s="24" t="n">
        <v>0.3726</v>
      </c>
      <c r="O170" s="24" t="n">
        <v>3.1424</v>
      </c>
      <c r="P170" s="24" t="n">
        <v>2.4725</v>
      </c>
      <c r="Q170" s="24" t="n">
        <v>0.1603</v>
      </c>
      <c r="R170" s="24" t="n">
        <v>-0.082</v>
      </c>
      <c r="S170" s="24" t="n">
        <v>-0.0927</v>
      </c>
      <c r="T170" s="24" t="n">
        <v>15.5284</v>
      </c>
      <c r="U170" s="24" t="n">
        <v>0.9584</v>
      </c>
      <c r="V170" s="24" t="n">
        <v>1.04</v>
      </c>
    </row>
    <row r="171" customFormat="false" ht="15" hidden="false" customHeight="false" outlineLevel="0" collapsed="false">
      <c r="A171" s="9" t="s">
        <v>1026</v>
      </c>
      <c r="B171" s="9" t="s">
        <v>1027</v>
      </c>
      <c r="C171" s="9" t="s">
        <v>699</v>
      </c>
      <c r="D171" s="23" t="n">
        <v>0.105</v>
      </c>
      <c r="E171" s="24" t="n">
        <v>3.4646</v>
      </c>
      <c r="F171" s="24" t="n">
        <v>0.004</v>
      </c>
      <c r="G171" s="24" t="n">
        <v>1.7459</v>
      </c>
      <c r="H171" s="24" t="n">
        <v>1.7419</v>
      </c>
      <c r="I171" s="24" t="n">
        <v>1.7218</v>
      </c>
      <c r="J171" s="24" t="n">
        <v>1.7182</v>
      </c>
      <c r="K171" s="24" t="n">
        <v>1.7182</v>
      </c>
      <c r="L171" s="24" t="n">
        <v>44.0452</v>
      </c>
      <c r="M171" s="24" t="n">
        <v>9.5718</v>
      </c>
      <c r="N171" s="24" t="n">
        <v>5.3808</v>
      </c>
      <c r="O171" s="24" t="n">
        <v>43.3801</v>
      </c>
      <c r="P171" s="24" t="n">
        <v>43.2667</v>
      </c>
      <c r="Q171" s="24" t="n">
        <v>11.9991</v>
      </c>
      <c r="R171" s="24" t="n">
        <v>19.055</v>
      </c>
      <c r="S171" s="24" t="n">
        <v>19.0548</v>
      </c>
      <c r="T171" s="24" t="n">
        <v>855.166</v>
      </c>
      <c r="U171" s="24" t="n">
        <v>0.3637</v>
      </c>
      <c r="V171" s="24" t="n">
        <v>0.283</v>
      </c>
    </row>
    <row r="172" customFormat="false" ht="15" hidden="false" customHeight="false" outlineLevel="0" collapsed="false">
      <c r="A172" s="9" t="s">
        <v>1028</v>
      </c>
      <c r="B172" s="9" t="s">
        <v>1029</v>
      </c>
      <c r="C172" s="9" t="s">
        <v>699</v>
      </c>
      <c r="D172" s="23" t="n">
        <v>0.105</v>
      </c>
      <c r="E172" s="24" t="n">
        <v>3.2548</v>
      </c>
      <c r="F172" s="24" t="n">
        <v>0.0144</v>
      </c>
      <c r="G172" s="24" t="n">
        <v>0.1294</v>
      </c>
      <c r="H172" s="24" t="n">
        <v>0.115</v>
      </c>
      <c r="I172" s="24" t="n">
        <v>0.073</v>
      </c>
      <c r="J172" s="24" t="n">
        <v>0.0614</v>
      </c>
      <c r="K172" s="24" t="n">
        <v>0.0613</v>
      </c>
      <c r="L172" s="24" t="n">
        <v>3.8229</v>
      </c>
      <c r="M172" s="24" t="n">
        <v>2.6854</v>
      </c>
      <c r="N172" s="24" t="n">
        <v>1.0906</v>
      </c>
      <c r="O172" s="24" t="n">
        <v>4.8293</v>
      </c>
      <c r="P172" s="24" t="n">
        <v>4.3634</v>
      </c>
      <c r="Q172" s="24" t="n">
        <v>0.3958</v>
      </c>
      <c r="R172" s="24" t="n">
        <v>0.1472</v>
      </c>
      <c r="S172" s="24" t="n">
        <v>0.1392</v>
      </c>
      <c r="T172" s="24" t="n">
        <v>53.1308</v>
      </c>
      <c r="U172" s="24" t="n">
        <v>1.2285</v>
      </c>
      <c r="V172" s="24" t="n">
        <v>0.595</v>
      </c>
    </row>
    <row r="173" customFormat="false" ht="15" hidden="false" customHeight="false" outlineLevel="0" collapsed="false">
      <c r="A173" s="9" t="s">
        <v>1030</v>
      </c>
      <c r="B173" s="9" t="s">
        <v>1031</v>
      </c>
      <c r="C173" s="9" t="s">
        <v>699</v>
      </c>
      <c r="D173" s="23" t="n">
        <v>0.105</v>
      </c>
      <c r="E173" s="24" t="n">
        <v>2.9214</v>
      </c>
      <c r="F173" s="24" t="n">
        <v>0.005</v>
      </c>
      <c r="G173" s="24" t="n">
        <v>0.1587</v>
      </c>
      <c r="H173" s="24" t="n">
        <v>0.1537</v>
      </c>
      <c r="I173" s="24" t="n">
        <v>0.129</v>
      </c>
      <c r="J173" s="24" t="n">
        <v>0.1242</v>
      </c>
      <c r="K173" s="24" t="n">
        <v>0.1241</v>
      </c>
      <c r="L173" s="24" t="n">
        <v>5.2648</v>
      </c>
      <c r="M173" s="24" t="n">
        <v>2.6644</v>
      </c>
      <c r="N173" s="24" t="n">
        <v>1.358</v>
      </c>
      <c r="O173" s="24" t="n">
        <v>4.8118</v>
      </c>
      <c r="P173" s="24" t="n">
        <v>4.6567</v>
      </c>
      <c r="Q173" s="24" t="n">
        <v>0.8526</v>
      </c>
      <c r="R173" s="24" t="n">
        <v>1.1605</v>
      </c>
      <c r="S173" s="24" t="n">
        <v>1.1601</v>
      </c>
      <c r="T173" s="24" t="n">
        <v>78.756</v>
      </c>
      <c r="U173" s="24" t="n">
        <v>0.5243</v>
      </c>
      <c r="V173" s="24" t="n">
        <v>0.338</v>
      </c>
    </row>
    <row r="174" customFormat="false" ht="15" hidden="false" customHeight="false" outlineLevel="0" collapsed="false">
      <c r="A174" s="9" t="s">
        <v>1032</v>
      </c>
      <c r="B174" s="9" t="s">
        <v>1033</v>
      </c>
      <c r="C174" s="9" t="s">
        <v>699</v>
      </c>
      <c r="D174" s="23" t="n">
        <v>0.105</v>
      </c>
      <c r="E174" s="24" t="n">
        <v>2.9047</v>
      </c>
      <c r="F174" s="24" t="n">
        <v>0.0091</v>
      </c>
      <c r="G174" s="24" t="n">
        <v>0.0462</v>
      </c>
      <c r="H174" s="24" t="n">
        <v>0.0371</v>
      </c>
      <c r="I174" s="24" t="n">
        <v>0.0018</v>
      </c>
      <c r="J174" s="24" t="n">
        <v>-0.0047</v>
      </c>
      <c r="K174" s="24" t="n">
        <v>-0.0053</v>
      </c>
      <c r="L174" s="24" t="n">
        <v>1.0523</v>
      </c>
      <c r="M174" s="24" t="n">
        <v>0.89</v>
      </c>
      <c r="N174" s="24" t="n">
        <v>0.208</v>
      </c>
      <c r="O174" s="24" t="n">
        <v>1.6488</v>
      </c>
      <c r="P174" s="24" t="n">
        <v>1.3868</v>
      </c>
      <c r="Q174" s="24" t="n">
        <v>-0.1014</v>
      </c>
      <c r="R174" s="24" t="n">
        <v>-0.4211</v>
      </c>
      <c r="S174" s="24" t="n">
        <v>-0.4431</v>
      </c>
      <c r="T174" s="24" t="n">
        <v>13.6363</v>
      </c>
      <c r="U174" s="24" t="n">
        <v>0.8283</v>
      </c>
      <c r="V174" s="24" t="n">
        <v>0.247</v>
      </c>
    </row>
    <row r="175" customFormat="false" ht="15" hidden="false" customHeight="false" outlineLevel="0" collapsed="false">
      <c r="A175" s="9" t="s">
        <v>1034</v>
      </c>
      <c r="B175" s="9" t="s">
        <v>1035</v>
      </c>
      <c r="C175" s="9" t="s">
        <v>699</v>
      </c>
      <c r="D175" s="23" t="n">
        <v>0.105</v>
      </c>
      <c r="E175" s="24" t="n">
        <v>2.749</v>
      </c>
      <c r="F175" s="24" t="n">
        <v>0.0138</v>
      </c>
      <c r="G175" s="24" t="n">
        <v>0.2469</v>
      </c>
      <c r="H175" s="24" t="n">
        <v>0.2331</v>
      </c>
      <c r="I175" s="24" t="n">
        <v>0.1514</v>
      </c>
      <c r="J175" s="24" t="n">
        <v>0.1114</v>
      </c>
      <c r="K175" s="24" t="n">
        <v>0.1113</v>
      </c>
      <c r="L175" s="24" t="n">
        <v>6.8815</v>
      </c>
      <c r="M175" s="24" t="n">
        <v>5.8156</v>
      </c>
      <c r="N175" s="24" t="n">
        <v>1.9364</v>
      </c>
      <c r="O175" s="24" t="n">
        <v>8.9697</v>
      </c>
      <c r="P175" s="24" t="n">
        <v>8.5016</v>
      </c>
      <c r="Q175" s="24" t="n">
        <v>1.2688</v>
      </c>
      <c r="R175" s="24" t="n">
        <v>0.9485</v>
      </c>
      <c r="S175" s="24" t="n">
        <v>0.9422</v>
      </c>
      <c r="T175" s="24" t="n">
        <v>75.9467</v>
      </c>
      <c r="U175" s="24" t="n">
        <v>4.4799</v>
      </c>
      <c r="V175" s="24" t="n">
        <v>0.818</v>
      </c>
    </row>
    <row r="176" customFormat="false" ht="15" hidden="false" customHeight="false" outlineLevel="0" collapsed="false">
      <c r="A176" s="9" t="s">
        <v>1036</v>
      </c>
      <c r="B176" s="9" t="s">
        <v>1037</v>
      </c>
      <c r="C176" s="9" t="s">
        <v>699</v>
      </c>
      <c r="D176" s="23" t="n">
        <v>0.105</v>
      </c>
      <c r="E176" s="24" t="n">
        <v>2.5258</v>
      </c>
      <c r="F176" s="24" t="n">
        <v>0.0127</v>
      </c>
      <c r="G176" s="24" t="n">
        <v>0.0674</v>
      </c>
      <c r="H176" s="24" t="n">
        <v>0.0547</v>
      </c>
      <c r="I176" s="24" t="n">
        <v>0.0134</v>
      </c>
      <c r="J176" s="24" t="n">
        <v>0.003</v>
      </c>
      <c r="K176" s="24" t="n">
        <v>0.003</v>
      </c>
      <c r="L176" s="24" t="n">
        <v>1.205</v>
      </c>
      <c r="M176" s="24" t="n">
        <v>1.0639</v>
      </c>
      <c r="N176" s="24" t="n">
        <v>0.1852</v>
      </c>
      <c r="O176" s="24" t="n">
        <v>2.1456</v>
      </c>
      <c r="P176" s="24" t="n">
        <v>1.8242</v>
      </c>
      <c r="Q176" s="24" t="n">
        <v>0.0666</v>
      </c>
      <c r="R176" s="24" t="n">
        <v>-0.2027</v>
      </c>
      <c r="S176" s="24" t="n">
        <v>-0.2027</v>
      </c>
      <c r="T176" s="24" t="n">
        <v>12.9113</v>
      </c>
      <c r="U176" s="24" t="n">
        <v>1.0593</v>
      </c>
      <c r="V176" s="24" t="n">
        <v>1.039</v>
      </c>
    </row>
    <row r="177" customFormat="false" ht="15" hidden="false" customHeight="false" outlineLevel="0" collapsed="false">
      <c r="A177" s="9" t="s">
        <v>1038</v>
      </c>
      <c r="B177" s="9" t="s">
        <v>1039</v>
      </c>
      <c r="C177" s="9" t="s">
        <v>699</v>
      </c>
      <c r="D177" s="23" t="n">
        <v>0.105</v>
      </c>
      <c r="E177" s="24" t="n">
        <v>2.5127</v>
      </c>
      <c r="F177" s="24" t="n">
        <v>0.0116</v>
      </c>
      <c r="G177" s="24" t="n">
        <v>0.0942</v>
      </c>
      <c r="H177" s="24" t="n">
        <v>0.0827</v>
      </c>
      <c r="I177" s="24" t="n">
        <v>0.0351</v>
      </c>
      <c r="J177" s="24" t="n">
        <v>0.0194</v>
      </c>
      <c r="K177" s="24" t="n">
        <v>0.0194</v>
      </c>
      <c r="L177" s="24" t="n">
        <v>1.3941</v>
      </c>
      <c r="M177" s="24" t="n">
        <v>1.2904</v>
      </c>
      <c r="N177" s="24" t="n">
        <v>0.2681</v>
      </c>
      <c r="O177" s="24" t="n">
        <v>2.9968</v>
      </c>
      <c r="P177" s="24" t="n">
        <v>2.7311</v>
      </c>
      <c r="Q177" s="24" t="n">
        <v>0.2728</v>
      </c>
      <c r="R177" s="24" t="n">
        <v>0.0045</v>
      </c>
      <c r="S177" s="24" t="n">
        <v>0.0045</v>
      </c>
      <c r="T177" s="24" t="n">
        <v>13.9723</v>
      </c>
      <c r="U177" s="24" t="n">
        <v>1.227</v>
      </c>
      <c r="V177" s="24" t="n">
        <v>0.265</v>
      </c>
    </row>
    <row r="178" customFormat="false" ht="15" hidden="false" customHeight="false" outlineLevel="0" collapsed="false">
      <c r="A178" s="9" t="s">
        <v>1040</v>
      </c>
      <c r="B178" s="9" t="s">
        <v>1041</v>
      </c>
      <c r="C178" s="9" t="s">
        <v>699</v>
      </c>
      <c r="D178" s="23" t="n">
        <v>0.105</v>
      </c>
      <c r="E178" s="24" t="n">
        <v>2.3822</v>
      </c>
      <c r="F178" s="24" t="n">
        <v>0.0121</v>
      </c>
      <c r="G178" s="24" t="n">
        <v>0.137</v>
      </c>
      <c r="H178" s="24" t="n">
        <v>0.1249</v>
      </c>
      <c r="I178" s="24" t="n">
        <v>0.0657</v>
      </c>
      <c r="J178" s="24" t="n">
        <v>0.0524</v>
      </c>
      <c r="K178" s="24" t="n">
        <v>0.0524</v>
      </c>
      <c r="L178" s="24" t="n">
        <v>4.1439</v>
      </c>
      <c r="M178" s="24" t="n">
        <v>2.971</v>
      </c>
      <c r="N178" s="24" t="n">
        <v>1.2271</v>
      </c>
      <c r="O178" s="24" t="n">
        <v>4.8916</v>
      </c>
      <c r="P178" s="24" t="n">
        <v>4.5498</v>
      </c>
      <c r="Q178" s="24" t="n">
        <v>0.2857</v>
      </c>
      <c r="R178" s="24" t="n">
        <v>-0.0848</v>
      </c>
      <c r="S178" s="24" t="n">
        <v>-0.0848</v>
      </c>
      <c r="T178" s="24" t="n">
        <v>53.7793</v>
      </c>
      <c r="U178" s="24" t="n">
        <v>1.5259</v>
      </c>
      <c r="V178" s="24" t="n">
        <v>0.561</v>
      </c>
    </row>
    <row r="179" customFormat="false" ht="15" hidden="false" customHeight="false" outlineLevel="0" collapsed="false">
      <c r="A179" s="9" t="s">
        <v>1042</v>
      </c>
      <c r="B179" s="9" t="s">
        <v>1043</v>
      </c>
      <c r="C179" s="9" t="s">
        <v>699</v>
      </c>
      <c r="D179" s="23" t="n">
        <v>0.105</v>
      </c>
      <c r="E179" s="24" t="n">
        <v>1.8817</v>
      </c>
      <c r="F179" s="24" t="n">
        <v>0.0087</v>
      </c>
      <c r="G179" s="24" t="n">
        <v>2.1949</v>
      </c>
      <c r="H179" s="24" t="n">
        <v>2.1862</v>
      </c>
      <c r="I179" s="24" t="n">
        <v>2.1711</v>
      </c>
      <c r="J179" s="24" t="n">
        <v>2.1665</v>
      </c>
      <c r="K179" s="24" t="n">
        <v>2.1665</v>
      </c>
      <c r="L179" s="24" t="n">
        <v>43.8396</v>
      </c>
      <c r="M179" s="24" t="n">
        <v>0.5928</v>
      </c>
      <c r="N179" s="24" t="n">
        <v>0.2143</v>
      </c>
      <c r="O179" s="24" t="n">
        <v>51.9564</v>
      </c>
      <c r="P179" s="24" t="n">
        <v>51.7327</v>
      </c>
      <c r="Q179" s="24" t="n">
        <v>14.784</v>
      </c>
      <c r="R179" s="24" t="n">
        <v>23.3086</v>
      </c>
      <c r="S179" s="24" t="n">
        <v>23.3085</v>
      </c>
      <c r="T179" s="24" t="n">
        <v>1021.0477</v>
      </c>
      <c r="U179" s="24" t="n">
        <v>0.3979</v>
      </c>
      <c r="V179" s="24" t="n">
        <v>0.332</v>
      </c>
    </row>
    <row r="180" customFormat="false" ht="15" hidden="false" customHeight="false" outlineLevel="0" collapsed="false">
      <c r="A180" s="9" t="s">
        <v>1044</v>
      </c>
      <c r="B180" s="9" t="s">
        <v>1045</v>
      </c>
      <c r="C180" s="9" t="s">
        <v>699</v>
      </c>
      <c r="D180" s="23" t="n">
        <v>0.105</v>
      </c>
      <c r="E180" s="24" t="n">
        <v>1.8332</v>
      </c>
      <c r="F180" s="24" t="n">
        <v>0.0067</v>
      </c>
      <c r="G180" s="24" t="n">
        <v>0.053</v>
      </c>
      <c r="H180" s="24" t="n">
        <v>0.0463</v>
      </c>
      <c r="I180" s="24" t="n">
        <v>0.0217</v>
      </c>
      <c r="J180" s="24" t="n">
        <v>0.0156</v>
      </c>
      <c r="K180" s="24" t="n">
        <v>0.0156</v>
      </c>
      <c r="L180" s="24" t="n">
        <v>1.3837</v>
      </c>
      <c r="M180" s="24" t="n">
        <v>1.112</v>
      </c>
      <c r="N180" s="24" t="n">
        <v>0.4177</v>
      </c>
      <c r="O180" s="24" t="n">
        <v>2.0114</v>
      </c>
      <c r="P180" s="24" t="n">
        <v>1.8257</v>
      </c>
      <c r="Q180" s="24" t="n">
        <v>0.0477</v>
      </c>
      <c r="R180" s="24" t="n">
        <v>-0.1901</v>
      </c>
      <c r="S180" s="24" t="n">
        <v>-0.1924</v>
      </c>
      <c r="T180" s="24" t="n">
        <v>16.9786</v>
      </c>
      <c r="U180" s="24" t="n">
        <v>0.6477</v>
      </c>
      <c r="V180" s="24" t="n">
        <v>0.339</v>
      </c>
    </row>
    <row r="181" customFormat="false" ht="15" hidden="false" customHeight="false" outlineLevel="0" collapsed="false">
      <c r="A181" s="9" t="s">
        <v>1046</v>
      </c>
      <c r="B181" s="9" t="s">
        <v>1047</v>
      </c>
      <c r="C181" s="9" t="s">
        <v>699</v>
      </c>
      <c r="D181" s="23" t="n">
        <v>0.105</v>
      </c>
      <c r="E181" s="24" t="n">
        <v>1.6429</v>
      </c>
      <c r="F181" s="24" t="n">
        <v>0.0079</v>
      </c>
      <c r="G181" s="24" t="n">
        <v>0.0356</v>
      </c>
      <c r="H181" s="24" t="n">
        <v>0.0277</v>
      </c>
      <c r="I181" s="24" t="n">
        <v>0.003</v>
      </c>
      <c r="J181" s="24" t="n">
        <v>-0.002</v>
      </c>
      <c r="K181" s="24" t="n">
        <v>-0.0023</v>
      </c>
      <c r="L181" s="24" t="n">
        <v>0.6435</v>
      </c>
      <c r="M181" s="24" t="n">
        <v>0.5608</v>
      </c>
      <c r="N181" s="24" t="n">
        <v>0.1235</v>
      </c>
      <c r="O181" s="24" t="n">
        <v>1.2816</v>
      </c>
      <c r="P181" s="24" t="n">
        <v>1.0544</v>
      </c>
      <c r="Q181" s="24" t="n">
        <v>-0.062</v>
      </c>
      <c r="R181" s="24" t="n">
        <v>-0.3014</v>
      </c>
      <c r="S181" s="24" t="n">
        <v>-0.3112</v>
      </c>
      <c r="T181" s="24" t="n">
        <v>8.5459</v>
      </c>
      <c r="U181" s="24" t="n">
        <v>0.5118</v>
      </c>
      <c r="V181" s="24" t="n">
        <v>0.12</v>
      </c>
    </row>
    <row r="182" customFormat="false" ht="15" hidden="false" customHeight="false" outlineLevel="0" collapsed="false">
      <c r="A182" s="9" t="s">
        <v>1048</v>
      </c>
      <c r="B182" s="9" t="s">
        <v>1049</v>
      </c>
      <c r="C182" s="9" t="s">
        <v>699</v>
      </c>
      <c r="D182" s="23" t="n">
        <v>0.105</v>
      </c>
      <c r="E182" s="24" t="n">
        <v>1.5554</v>
      </c>
      <c r="F182" s="24" t="n">
        <v>0.0058</v>
      </c>
      <c r="G182" s="24" t="n">
        <v>0.0303</v>
      </c>
      <c r="H182" s="24" t="n">
        <v>0.0245</v>
      </c>
      <c r="I182" s="24" t="n">
        <v>0.0103</v>
      </c>
      <c r="J182" s="24" t="n">
        <v>0.0072</v>
      </c>
      <c r="K182" s="24" t="n">
        <v>0.0072</v>
      </c>
      <c r="L182" s="24" t="n">
        <v>0.7361</v>
      </c>
      <c r="M182" s="24" t="n">
        <v>0.5825</v>
      </c>
      <c r="N182" s="24" t="n">
        <v>0.242</v>
      </c>
      <c r="O182" s="24" t="n">
        <v>1.0269</v>
      </c>
      <c r="P182" s="24" t="n">
        <v>0.8773</v>
      </c>
      <c r="Q182" s="24" t="n">
        <v>0.0333</v>
      </c>
      <c r="R182" s="24" t="n">
        <v>-0.0601</v>
      </c>
      <c r="S182" s="24" t="n">
        <v>-0.0602</v>
      </c>
      <c r="T182" s="24" t="n">
        <v>8.2173</v>
      </c>
      <c r="U182" s="24" t="n">
        <v>0.29</v>
      </c>
      <c r="V182" s="24" t="n">
        <v>0.233</v>
      </c>
    </row>
    <row r="183" customFormat="false" ht="15" hidden="false" customHeight="false" outlineLevel="0" collapsed="false">
      <c r="A183" s="9" t="s">
        <v>1050</v>
      </c>
      <c r="B183" s="9" t="s">
        <v>1051</v>
      </c>
      <c r="C183" s="9" t="s">
        <v>699</v>
      </c>
      <c r="D183" s="23" t="n">
        <v>0.105</v>
      </c>
      <c r="E183" s="24" t="n">
        <v>1.433</v>
      </c>
      <c r="F183" s="24" t="n">
        <v>0.0063</v>
      </c>
      <c r="G183" s="24" t="n">
        <v>0.0372</v>
      </c>
      <c r="H183" s="24" t="n">
        <v>0.031</v>
      </c>
      <c r="I183" s="24" t="n">
        <v>0.0115</v>
      </c>
      <c r="J183" s="24" t="n">
        <v>0.0074</v>
      </c>
      <c r="K183" s="24" t="n">
        <v>0.0074</v>
      </c>
      <c r="L183" s="24" t="n">
        <v>0.7221</v>
      </c>
      <c r="M183" s="24" t="n">
        <v>0.5113</v>
      </c>
      <c r="N183" s="24" t="n">
        <v>0.1708</v>
      </c>
      <c r="O183" s="24" t="n">
        <v>1.1718</v>
      </c>
      <c r="P183" s="24" t="n">
        <v>1.0136</v>
      </c>
      <c r="Q183" s="24" t="n">
        <v>0.0366</v>
      </c>
      <c r="R183" s="24" t="n">
        <v>-0.0826</v>
      </c>
      <c r="S183" s="24" t="n">
        <v>-0.0832</v>
      </c>
      <c r="T183" s="24" t="n">
        <v>9.6293</v>
      </c>
      <c r="U183" s="24" t="n">
        <v>0.366</v>
      </c>
      <c r="V183" s="24" t="n">
        <v>0.375</v>
      </c>
    </row>
    <row r="184" customFormat="false" ht="15" hidden="false" customHeight="false" outlineLevel="0" collapsed="false">
      <c r="A184" s="9" t="s">
        <v>1052</v>
      </c>
      <c r="B184" s="9" t="s">
        <v>1053</v>
      </c>
      <c r="C184" s="9" t="s">
        <v>699</v>
      </c>
      <c r="D184" s="23" t="n">
        <v>0.105</v>
      </c>
      <c r="E184" s="24" t="n">
        <v>1.3496</v>
      </c>
      <c r="F184" s="24" t="n">
        <v>0.0042</v>
      </c>
      <c r="G184" s="24" t="n">
        <v>0.0223</v>
      </c>
      <c r="H184" s="24" t="n">
        <v>0.0181</v>
      </c>
      <c r="I184" s="24" t="n">
        <v>0.0015</v>
      </c>
      <c r="J184" s="24" t="n">
        <v>-0.0017</v>
      </c>
      <c r="K184" s="24" t="n">
        <v>-0.0018</v>
      </c>
      <c r="L184" s="24" t="n">
        <v>0.4543</v>
      </c>
      <c r="M184" s="24" t="n">
        <v>0.3903</v>
      </c>
      <c r="N184" s="24" t="n">
        <v>0.0981</v>
      </c>
      <c r="O184" s="24" t="n">
        <v>0.777</v>
      </c>
      <c r="P184" s="24" t="n">
        <v>0.6644</v>
      </c>
      <c r="Q184" s="24" t="n">
        <v>-0.0484</v>
      </c>
      <c r="R184" s="24" t="n">
        <v>-0.2045</v>
      </c>
      <c r="S184" s="24" t="n">
        <v>-0.211</v>
      </c>
      <c r="T184" s="24" t="n">
        <v>5.791</v>
      </c>
      <c r="U184" s="24" t="n">
        <v>0.3504</v>
      </c>
      <c r="V184" s="24" t="n">
        <v>0.083</v>
      </c>
    </row>
    <row r="185" customFormat="false" ht="15" hidden="false" customHeight="false" outlineLevel="0" collapsed="false">
      <c r="A185" s="9" t="s">
        <v>1054</v>
      </c>
      <c r="B185" s="9" t="s">
        <v>1055</v>
      </c>
      <c r="C185" s="9" t="s">
        <v>699</v>
      </c>
      <c r="D185" s="23" t="n">
        <v>0.105</v>
      </c>
      <c r="E185" s="24" t="n">
        <v>1.1755</v>
      </c>
      <c r="F185" s="24" t="n">
        <v>0.0084</v>
      </c>
      <c r="G185" s="24" t="n">
        <v>0.0481</v>
      </c>
      <c r="H185" s="24" t="n">
        <v>0.0397</v>
      </c>
      <c r="I185" s="24" t="n">
        <v>0.0183</v>
      </c>
      <c r="J185" s="24" t="n">
        <v>0.0106</v>
      </c>
      <c r="K185" s="24" t="n">
        <v>0.0106</v>
      </c>
      <c r="L185" s="24" t="n">
        <v>0.7195</v>
      </c>
      <c r="M185" s="24" t="n">
        <v>0.6709</v>
      </c>
      <c r="N185" s="24" t="n">
        <v>0.1326</v>
      </c>
      <c r="O185" s="24" t="n">
        <v>1.4606</v>
      </c>
      <c r="P185" s="24" t="n">
        <v>1.2691</v>
      </c>
      <c r="Q185" s="24" t="n">
        <v>0.1306</v>
      </c>
      <c r="R185" s="24" t="n">
        <v>-0.0002</v>
      </c>
      <c r="S185" s="24" t="n">
        <v>-0.0002</v>
      </c>
      <c r="T185" s="24" t="n">
        <v>6.7216</v>
      </c>
      <c r="U185" s="24" t="n">
        <v>0.6558</v>
      </c>
      <c r="V185" s="24" t="n">
        <v>0.096</v>
      </c>
    </row>
    <row r="186" customFormat="false" ht="15" hidden="false" customHeight="false" outlineLevel="0" collapsed="false">
      <c r="A186" s="9" t="s">
        <v>1056</v>
      </c>
      <c r="B186" s="9" t="s">
        <v>1057</v>
      </c>
      <c r="C186" s="9" t="s">
        <v>699</v>
      </c>
      <c r="D186" s="23" t="n">
        <v>0.105</v>
      </c>
      <c r="E186" s="24" t="n">
        <v>1.0034</v>
      </c>
      <c r="F186" s="24" t="n">
        <v>0.0023</v>
      </c>
      <c r="G186" s="24" t="n">
        <v>0.0274</v>
      </c>
      <c r="H186" s="24" t="n">
        <v>0.0251</v>
      </c>
      <c r="I186" s="24" t="n">
        <v>0.0171</v>
      </c>
      <c r="J186" s="24" t="n">
        <v>0.0146</v>
      </c>
      <c r="K186" s="24" t="n">
        <v>0.0146</v>
      </c>
      <c r="L186" s="24" t="n">
        <v>0.5264</v>
      </c>
      <c r="M186" s="24" t="n">
        <v>0.278</v>
      </c>
      <c r="N186" s="24" t="n">
        <v>0.086</v>
      </c>
      <c r="O186" s="24" t="n">
        <v>0.9302</v>
      </c>
      <c r="P186" s="24" t="n">
        <v>0.8603</v>
      </c>
      <c r="Q186" s="24" t="n">
        <v>0.1251</v>
      </c>
      <c r="R186" s="24" t="n">
        <v>0.1206</v>
      </c>
      <c r="S186" s="24" t="n">
        <v>0.1206</v>
      </c>
      <c r="T186" s="24" t="n">
        <v>8.6734</v>
      </c>
      <c r="U186" s="24" t="n">
        <v>0.1979</v>
      </c>
      <c r="V186" s="24" t="n">
        <v>0.153</v>
      </c>
    </row>
    <row r="187" customFormat="false" ht="15" hidden="false" customHeight="false" outlineLevel="0" collapsed="false">
      <c r="A187" s="9" t="s">
        <v>1058</v>
      </c>
      <c r="B187" s="9" t="s">
        <v>1059</v>
      </c>
      <c r="C187" s="9" t="s">
        <v>699</v>
      </c>
      <c r="D187" s="23" t="n">
        <v>0.105</v>
      </c>
      <c r="E187" s="24" t="n">
        <v>0.8398</v>
      </c>
      <c r="F187" s="24" t="n">
        <v>0.0034</v>
      </c>
      <c r="G187" s="24" t="n">
        <v>0.0178</v>
      </c>
      <c r="H187" s="24" t="n">
        <v>0.0144</v>
      </c>
      <c r="I187" s="24" t="n">
        <v>0.0011</v>
      </c>
      <c r="J187" s="24" t="n">
        <v>-0.0014</v>
      </c>
      <c r="K187" s="24" t="n">
        <v>-0.0014</v>
      </c>
      <c r="L187" s="24" t="n">
        <v>0.3835</v>
      </c>
      <c r="M187" s="24" t="n">
        <v>0.3191</v>
      </c>
      <c r="N187" s="24" t="n">
        <v>0.081</v>
      </c>
      <c r="O187" s="24" t="n">
        <v>0.6383</v>
      </c>
      <c r="P187" s="24" t="n">
        <v>0.5417</v>
      </c>
      <c r="Q187" s="24" t="n">
        <v>-0.0236</v>
      </c>
      <c r="R187" s="24" t="n">
        <v>-0.1311</v>
      </c>
      <c r="S187" s="24" t="n">
        <v>-0.1311</v>
      </c>
      <c r="T187" s="24" t="n">
        <v>5.1334</v>
      </c>
      <c r="U187" s="24" t="n">
        <v>0.2732</v>
      </c>
      <c r="V187" s="24" t="n">
        <v>0.07</v>
      </c>
    </row>
    <row r="188" customFormat="false" ht="15" hidden="false" customHeight="false" outlineLevel="0" collapsed="false">
      <c r="A188" s="9" t="s">
        <v>1060</v>
      </c>
      <c r="B188" s="9" t="s">
        <v>1061</v>
      </c>
      <c r="C188" s="9" t="s">
        <v>699</v>
      </c>
      <c r="D188" s="23" t="n">
        <v>0.105</v>
      </c>
      <c r="E188" s="24" t="n">
        <v>0.7484</v>
      </c>
      <c r="F188" s="24" t="n">
        <v>0.0032</v>
      </c>
      <c r="G188" s="24" t="n">
        <v>0.0164</v>
      </c>
      <c r="H188" s="24" t="n">
        <v>0.0132</v>
      </c>
      <c r="I188" s="24" t="n">
        <v>0.0032</v>
      </c>
      <c r="J188" s="24" t="n">
        <v>0.0011</v>
      </c>
      <c r="K188" s="24" t="n">
        <v>0.0011</v>
      </c>
      <c r="L188" s="24" t="n">
        <v>0.3288</v>
      </c>
      <c r="M188" s="24" t="n">
        <v>0.2725</v>
      </c>
      <c r="N188" s="24" t="n">
        <v>0.0856</v>
      </c>
      <c r="O188" s="24" t="n">
        <v>0.5395</v>
      </c>
      <c r="P188" s="24" t="n">
        <v>0.4581</v>
      </c>
      <c r="Q188" s="24" t="n">
        <v>-0.0067</v>
      </c>
      <c r="R188" s="24" t="n">
        <v>-0.0863</v>
      </c>
      <c r="S188" s="24" t="n">
        <v>-0.0865</v>
      </c>
      <c r="T188" s="24" t="n">
        <v>3.8052</v>
      </c>
      <c r="U188" s="24" t="n">
        <v>0.2021</v>
      </c>
      <c r="V188" s="24" t="n">
        <v>0.177</v>
      </c>
    </row>
    <row r="189" customFormat="false" ht="15" hidden="false" customHeight="false" outlineLevel="0" collapsed="false">
      <c r="A189" s="9" t="s">
        <v>1062</v>
      </c>
      <c r="B189" s="9" t="s">
        <v>1063</v>
      </c>
      <c r="C189" s="9" t="s">
        <v>699</v>
      </c>
      <c r="D189" s="23" t="n">
        <v>0.105</v>
      </c>
      <c r="E189" s="24" t="n">
        <v>0.3977</v>
      </c>
      <c r="F189" s="24" t="n">
        <v>0.0044</v>
      </c>
      <c r="G189" s="24" t="n">
        <v>0.0446</v>
      </c>
      <c r="H189" s="24" t="n">
        <v>0.0401</v>
      </c>
      <c r="I189" s="24" t="n">
        <v>0.0262</v>
      </c>
      <c r="J189" s="24" t="n">
        <v>0.0226</v>
      </c>
      <c r="K189" s="24" t="n">
        <v>0.0226</v>
      </c>
      <c r="L189" s="24" t="n">
        <v>1.4346</v>
      </c>
      <c r="M189" s="24" t="n">
        <v>1.1899</v>
      </c>
      <c r="N189" s="24" t="n">
        <v>0.2901</v>
      </c>
      <c r="O189" s="24" t="n">
        <v>1.8996</v>
      </c>
      <c r="P189" s="24" t="n">
        <v>1.8005</v>
      </c>
      <c r="Q189" s="24" t="n">
        <v>0.2784</v>
      </c>
      <c r="R189" s="24" t="n">
        <v>0.3917</v>
      </c>
      <c r="S189" s="24" t="n">
        <v>0.3917</v>
      </c>
      <c r="T189" s="24" t="n">
        <v>15.5675</v>
      </c>
      <c r="U189" s="24" t="n">
        <v>0.278</v>
      </c>
      <c r="V189" s="24" t="n">
        <v>1.341</v>
      </c>
    </row>
    <row r="190" customFormat="false" ht="15" hidden="false" customHeight="false" outlineLevel="0" collapsed="false">
      <c r="A190" s="9" t="s">
        <v>1064</v>
      </c>
      <c r="B190" s="9" t="s">
        <v>1065</v>
      </c>
      <c r="C190" s="9" t="s">
        <v>699</v>
      </c>
      <c r="D190" s="23" t="n">
        <v>0.105</v>
      </c>
      <c r="E190" s="24" t="n">
        <v>0.192</v>
      </c>
      <c r="F190" s="24" t="n">
        <v>0.0024</v>
      </c>
      <c r="G190" s="24" t="n">
        <v>0.0142</v>
      </c>
      <c r="H190" s="24" t="n">
        <v>0.0117</v>
      </c>
      <c r="I190" s="24" t="n">
        <v>0.0061</v>
      </c>
      <c r="J190" s="24" t="n">
        <v>0.0039</v>
      </c>
      <c r="K190" s="24" t="n">
        <v>0.0039</v>
      </c>
      <c r="L190" s="24" t="n">
        <v>0.1354</v>
      </c>
      <c r="M190" s="24" t="n">
        <v>0.1303</v>
      </c>
      <c r="N190" s="24" t="n">
        <v>0.0289</v>
      </c>
      <c r="O190" s="24" t="n">
        <v>0.513</v>
      </c>
      <c r="P190" s="24" t="n">
        <v>0.4462</v>
      </c>
      <c r="Q190" s="24" t="n">
        <v>0.0661</v>
      </c>
      <c r="R190" s="24" t="n">
        <v>0.0512</v>
      </c>
      <c r="S190" s="24" t="n">
        <v>0.0512</v>
      </c>
      <c r="T190" s="24" t="n">
        <v>1.2898</v>
      </c>
      <c r="U190" s="24" t="n">
        <v>0.1323</v>
      </c>
      <c r="V190" s="24" t="n">
        <v>0.101</v>
      </c>
    </row>
  </sheetData>
  <autoFilter ref="A4:V1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s>
  <sheetData>
    <row r="1" customFormat="false" ht="17.35" hidden="false" customHeight="false" outlineLevel="0" collapsed="false">
      <c r="A1" s="1" t="s">
        <v>1066</v>
      </c>
      <c r="B1" s="2"/>
      <c r="C1" s="2"/>
      <c r="D1" s="2"/>
      <c r="E1" s="2"/>
      <c r="F1" s="2"/>
      <c r="G1" s="2"/>
      <c r="H1" s="2"/>
      <c r="I1" s="2"/>
      <c r="J1" s="2"/>
      <c r="K1" s="2"/>
      <c r="L1" s="2"/>
      <c r="M1" s="2"/>
      <c r="N1" s="2"/>
      <c r="O1" s="2"/>
      <c r="P1" s="2"/>
      <c r="Q1" s="2"/>
      <c r="R1" s="2"/>
      <c r="S1" s="2"/>
    </row>
    <row r="2" customFormat="false" ht="15" hidden="false" customHeight="false" outlineLevel="0" collapsed="false">
      <c r="A2" s="6" t="s">
        <v>1067</v>
      </c>
    </row>
    <row r="3" customFormat="false" ht="15" hidden="false" customHeight="false" outlineLevel="0" collapsed="false">
      <c r="A3" s="3" t="s">
        <v>1068</v>
      </c>
      <c r="B3" s="25" t="n">
        <f aca="false">MAX(MAX(L6:P21),-MIN(L6:P21))</f>
        <v>4.81660026707687E-006</v>
      </c>
    </row>
    <row r="5" customFormat="false" ht="15" hidden="false" customHeight="false" outlineLevel="0" collapsed="false">
      <c r="A5" s="7" t="s">
        <v>1069</v>
      </c>
      <c r="B5" s="7" t="s">
        <v>1070</v>
      </c>
      <c r="C5" s="7" t="s">
        <v>1071</v>
      </c>
      <c r="D5" s="7" t="s">
        <v>1072</v>
      </c>
      <c r="E5" s="7" t="s">
        <v>1073</v>
      </c>
      <c r="F5" s="7" t="s">
        <v>1074</v>
      </c>
      <c r="G5" s="7" t="s">
        <v>1075</v>
      </c>
      <c r="H5" s="7" t="s">
        <v>1076</v>
      </c>
      <c r="I5" s="7" t="s">
        <v>1077</v>
      </c>
      <c r="J5" s="7" t="s">
        <v>1078</v>
      </c>
      <c r="K5" s="7" t="s">
        <v>1079</v>
      </c>
      <c r="L5" s="7" t="s">
        <v>1080</v>
      </c>
      <c r="M5" s="7" t="s">
        <v>1081</v>
      </c>
      <c r="N5" s="7" t="s">
        <v>1082</v>
      </c>
      <c r="O5" s="7" t="s">
        <v>1083</v>
      </c>
      <c r="P5" s="7" t="s">
        <v>1084</v>
      </c>
    </row>
    <row r="6" customFormat="false" ht="15" hidden="false" customHeight="false" outlineLevel="0" collapsed="false">
      <c r="A6" s="9" t="s">
        <v>428</v>
      </c>
      <c r="B6" s="17" t="n">
        <f aca="false">Mitigation!N48</f>
        <v>3760.814</v>
      </c>
      <c r="C6" s="17" t="n">
        <f aca="false">Mitigation!O48</f>
        <v>4047.31281052</v>
      </c>
      <c r="D6" s="17" t="n">
        <f aca="false">Mitigation!T48</f>
        <v>5447.89571738922</v>
      </c>
      <c r="E6" s="17" t="n">
        <f aca="false">Mitigation!AD48</f>
        <v>8702.52867453375</v>
      </c>
      <c r="F6" s="17" t="n">
        <f aca="false">Mitigation!AN48</f>
        <v>12881.8683348166</v>
      </c>
      <c r="G6" s="17" t="n">
        <f aca="false">INDEX(PyKey!D$3:D$2978,MATCH(Settings!$C$4&amp;"|mit.gdp.lvl",PyKey!$A$3:$A$2978,0))</f>
        <v>3760.814</v>
      </c>
      <c r="H6" s="17" t="n">
        <f aca="false">INDEX(PyKey!E$3:E$2978,MATCH(Settings!$C$4&amp;"|mit.gdp.lvl",PyKey!$A$3:$A$2978,0))</f>
        <v>4047.312811</v>
      </c>
      <c r="I6" s="17" t="n">
        <f aca="false">INDEX(PyKey!F$3:F$2978,MATCH(Settings!$C$4&amp;"|mit.gdp.lvl",PyKey!$A$3:$A$2978,0))</f>
        <v>5447.895717</v>
      </c>
      <c r="J6" s="17" t="n">
        <f aca="false">INDEX(PyKey!G$3:G$2978,MATCH(Settings!$C$4&amp;"|mit.gdp.lvl",PyKey!$A$3:$A$2978,0))</f>
        <v>8702.528675</v>
      </c>
      <c r="K6" s="17" t="n">
        <f aca="false">INDEX(PyKey!H$3:H$2978,MATCH(Settings!$C$4&amp;"|mit.gdp.lvl",PyKey!$A$3:$A$2978,0))</f>
        <v>12881.86833</v>
      </c>
      <c r="L6" s="17" t="n">
        <f aca="false">B6-G6</f>
        <v>0</v>
      </c>
      <c r="M6" s="17" t="n">
        <f aca="false">C6-H6</f>
        <v>-4.80000380775891E-007</v>
      </c>
      <c r="N6" s="17" t="n">
        <f aca="false">D6-I6</f>
        <v>3.8922098610783E-007</v>
      </c>
      <c r="O6" s="17" t="n">
        <f aca="false">E6-J6</f>
        <v>-4.66248820885085E-007</v>
      </c>
      <c r="P6" s="17" t="n">
        <f aca="false">F6-K6</f>
        <v>4.81660026707687E-006</v>
      </c>
    </row>
    <row r="7" customFormat="false" ht="15" hidden="false" customHeight="false" outlineLevel="0" collapsed="false">
      <c r="A7" s="9" t="s">
        <v>449</v>
      </c>
      <c r="B7" s="17" t="n">
        <f aca="false">Mitigation!N56</f>
        <v>1506.90576128458</v>
      </c>
      <c r="C7" s="17" t="n">
        <f aca="false">Mitigation!O56</f>
        <v>1590.11291492747</v>
      </c>
      <c r="D7" s="17" t="n">
        <f aca="false">Mitigation!T56</f>
        <v>1967.19434592906</v>
      </c>
      <c r="E7" s="17" t="n">
        <f aca="false">Mitigation!AD56</f>
        <v>2722.1997617661</v>
      </c>
      <c r="F7" s="17" t="n">
        <f aca="false">Mitigation!AN56</f>
        <v>3544.26420361346</v>
      </c>
      <c r="G7" s="17" t="n">
        <f aca="false">INDEX(PyKey!D$3:D$2978,MATCH(Settings!$C$4&amp;"|mit.act.ecy.res",PyKey!$A$3:$A$2978,0))</f>
        <v>1506.905761</v>
      </c>
      <c r="H7" s="17" t="n">
        <f aca="false">INDEX(PyKey!E$3:E$2978,MATCH(Settings!$C$4&amp;"|mit.act.ecy.res",PyKey!$A$3:$A$2978,0))</f>
        <v>1590.112915</v>
      </c>
      <c r="I7" s="17" t="n">
        <f aca="false">INDEX(PyKey!F$3:F$2978,MATCH(Settings!$C$4&amp;"|mit.act.ecy.res",PyKey!$A$3:$A$2978,0))</f>
        <v>1967.194346</v>
      </c>
      <c r="J7" s="17" t="n">
        <f aca="false">INDEX(PyKey!G$3:G$2978,MATCH(Settings!$C$4&amp;"|mit.act.ecy.res",PyKey!$A$3:$A$2978,0))</f>
        <v>2722.199762</v>
      </c>
      <c r="K7" s="17" t="n">
        <f aca="false">INDEX(PyKey!H$3:H$2978,MATCH(Settings!$C$4&amp;"|mit.act.ecy.res",PyKey!$A$3:$A$2978,0))</f>
        <v>3544.264204</v>
      </c>
      <c r="L7" s="17" t="n">
        <f aca="false">B7-G7</f>
        <v>2.84574980469188E-007</v>
      </c>
      <c r="M7" s="17" t="n">
        <f aca="false">C7-H7</f>
        <v>-7.25337940821191E-008</v>
      </c>
      <c r="N7" s="17" t="n">
        <f aca="false">D7-I7</f>
        <v>-7.09401319909375E-008</v>
      </c>
      <c r="O7" s="17" t="n">
        <f aca="false">E7-J7</f>
        <v>-2.33898845181102E-007</v>
      </c>
      <c r="P7" s="17" t="n">
        <f aca="false">F7-K7</f>
        <v>-3.86539795727003E-007</v>
      </c>
    </row>
    <row r="8" customFormat="false" ht="15" hidden="false" customHeight="false" outlineLevel="0" collapsed="false">
      <c r="A8" s="9" t="s">
        <v>570</v>
      </c>
      <c r="B8" s="17" t="n">
        <f aca="false">Mitigation!N131</f>
        <v>2085.90586282925</v>
      </c>
      <c r="C8" s="17" t="n">
        <f aca="false">Mitigation!O131</f>
        <v>2272.15549476803</v>
      </c>
      <c r="D8" s="17" t="n">
        <f aca="false">Mitigation!T131</f>
        <v>3255.26598845343</v>
      </c>
      <c r="E8" s="17" t="n">
        <f aca="false">Mitigation!AD131</f>
        <v>5716.35541078341</v>
      </c>
      <c r="F8" s="17" t="n">
        <f aca="false">Mitigation!AN131</f>
        <v>8752.02541023223</v>
      </c>
      <c r="G8" s="17" t="n">
        <f aca="false">INDEX(PyKey!D$3:D$2978,MATCH(Settings!$C$4&amp;"|mit.gen.tot.2",PyKey!$A$3:$A$2978,0))</f>
        <v>2085.905863</v>
      </c>
      <c r="H8" s="17" t="n">
        <f aca="false">INDEX(PyKey!E$3:E$2978,MATCH(Settings!$C$4&amp;"|mit.gen.tot.2",PyKey!$A$3:$A$2978,0))</f>
        <v>2272.155495</v>
      </c>
      <c r="I8" s="17" t="n">
        <f aca="false">INDEX(PyKey!F$3:F$2978,MATCH(Settings!$C$4&amp;"|mit.gen.tot.2",PyKey!$A$3:$A$2978,0))</f>
        <v>3255.265988</v>
      </c>
      <c r="J8" s="17" t="n">
        <f aca="false">INDEX(PyKey!G$3:G$2978,MATCH(Settings!$C$4&amp;"|mit.gen.tot.2",PyKey!$A$3:$A$2978,0))</f>
        <v>5716.355411</v>
      </c>
      <c r="K8" s="17" t="n">
        <f aca="false">INDEX(PyKey!H$3:H$2978,MATCH(Settings!$C$4&amp;"|mit.gen.tot.2",PyKey!$A$3:$A$2978,0))</f>
        <v>8752.02541</v>
      </c>
      <c r="L8" s="17" t="n">
        <f aca="false">B8-G8</f>
        <v>-1.70750809047604E-007</v>
      </c>
      <c r="M8" s="17" t="n">
        <f aca="false">C8-H8</f>
        <v>-2.31969806918642E-007</v>
      </c>
      <c r="N8" s="17" t="n">
        <f aca="false">D8-I8</f>
        <v>4.53434495284455E-007</v>
      </c>
      <c r="O8" s="17" t="n">
        <f aca="false">E8-J8</f>
        <v>-2.16590706259012E-007</v>
      </c>
      <c r="P8" s="17" t="n">
        <f aca="false">F8-K8</f>
        <v>2.32226739171892E-007</v>
      </c>
    </row>
    <row r="9" customFormat="false" ht="15" hidden="false" customHeight="false" outlineLevel="0" collapsed="false">
      <c r="A9" s="9" t="s">
        <v>535</v>
      </c>
      <c r="B9" s="17" t="n">
        <f aca="false">Mitigation!N112</f>
        <v>1529.94821882642</v>
      </c>
      <c r="C9" s="17" t="n">
        <f aca="false">Mitigation!O112</f>
        <v>1586.57286411414</v>
      </c>
      <c r="D9" s="17" t="n">
        <f aca="false">Mitigation!T112</f>
        <v>1792.81047582326</v>
      </c>
      <c r="E9" s="17" t="n">
        <f aca="false">Mitigation!AD112</f>
        <v>2007.58833319353</v>
      </c>
      <c r="F9" s="17" t="n">
        <f aca="false">Mitigation!AN112</f>
        <v>1971.94264667432</v>
      </c>
      <c r="G9" s="17" t="n">
        <f aca="false">INDEX(PyKey!D$3:D$2978,MATCH(Settings!$C$4&amp;"|mit.gen.fos.1",PyKey!$A$3:$A$2978,0))</f>
        <v>1529.948219</v>
      </c>
      <c r="H9" s="17" t="n">
        <f aca="false">INDEX(PyKey!E$3:E$2978,MATCH(Settings!$C$4&amp;"|mit.gen.fos.1",PyKey!$A$3:$A$2978,0))</f>
        <v>1586.572864</v>
      </c>
      <c r="I9" s="17" t="n">
        <f aca="false">INDEX(PyKey!F$3:F$2978,MATCH(Settings!$C$4&amp;"|mit.gen.fos.1",PyKey!$A$3:$A$2978,0))</f>
        <v>1792.810476</v>
      </c>
      <c r="J9" s="17" t="n">
        <f aca="false">INDEX(PyKey!G$3:G$2978,MATCH(Settings!$C$4&amp;"|mit.gen.fos.1",PyKey!$A$3:$A$2978,0))</f>
        <v>2007.588333</v>
      </c>
      <c r="K9" s="17" t="n">
        <f aca="false">INDEX(PyKey!H$3:H$2978,MATCH(Settings!$C$4&amp;"|mit.gen.fos.1",PyKey!$A$3:$A$2978,0))</f>
        <v>1971.942647</v>
      </c>
      <c r="L9" s="17" t="n">
        <f aca="false">B9-G9</f>
        <v>-1.73583430296276E-007</v>
      </c>
      <c r="M9" s="17" t="n">
        <f aca="false">C9-H9</f>
        <v>1.14142949314555E-007</v>
      </c>
      <c r="N9" s="17" t="n">
        <f aca="false">D9-I9</f>
        <v>-1.76738012669375E-007</v>
      </c>
      <c r="O9" s="17" t="n">
        <f aca="false">E9-J9</f>
        <v>1.935254658747E-007</v>
      </c>
      <c r="P9" s="17" t="n">
        <f aca="false">F9-K9</f>
        <v>-3.25684140989324E-007</v>
      </c>
    </row>
    <row r="10" customFormat="false" ht="15" hidden="false" customHeight="false" outlineLevel="0" collapsed="false">
      <c r="A10" s="9" t="s">
        <v>583</v>
      </c>
      <c r="B10" s="17" t="n">
        <f aca="false">Mitigation!N144</f>
        <v>0</v>
      </c>
      <c r="C10" s="17" t="n">
        <f aca="false">Mitigation!O144</f>
        <v>51.203563690385</v>
      </c>
      <c r="D10" s="17" t="n">
        <f aca="false">Mitigation!T144</f>
        <v>67.427457734821</v>
      </c>
      <c r="E10" s="17" t="n">
        <f aca="false">Mitigation!AD144</f>
        <v>107.827923984594</v>
      </c>
      <c r="F10" s="17" t="n">
        <f aca="false">Mitigation!AN144</f>
        <v>100.47504465722</v>
      </c>
      <c r="G10" s="17" t="n">
        <f aca="false">INDEX(PyKey!D$3:D$2978,MATCH(Settings!$C$4&amp;"|mit.inv.gen.2",PyKey!$A$3:$A$2978,0))</f>
        <v>0</v>
      </c>
      <c r="H10" s="17" t="n">
        <f aca="false">INDEX(PyKey!E$3:E$2978,MATCH(Settings!$C$4&amp;"|mit.inv.gen.2",PyKey!$A$3:$A$2978,0))</f>
        <v>51.20356369</v>
      </c>
      <c r="I10" s="17" t="n">
        <f aca="false">INDEX(PyKey!F$3:F$2978,MATCH(Settings!$C$4&amp;"|mit.inv.gen.2",PyKey!$A$3:$A$2978,0))</f>
        <v>67.42745773</v>
      </c>
      <c r="J10" s="17" t="n">
        <f aca="false">INDEX(PyKey!G$3:G$2978,MATCH(Settings!$C$4&amp;"|mit.inv.gen.2",PyKey!$A$3:$A$2978,0))</f>
        <v>107.827924</v>
      </c>
      <c r="K10" s="17" t="n">
        <f aca="false">INDEX(PyKey!H$3:H$2978,MATCH(Settings!$C$4&amp;"|mit.inv.gen.2",PyKey!$A$3:$A$2978,0))</f>
        <v>100.4750447</v>
      </c>
      <c r="L10" s="17" t="n">
        <f aca="false">B10-G10</f>
        <v>0</v>
      </c>
      <c r="M10" s="17" t="n">
        <f aca="false">C10-H10</f>
        <v>3.84943632525392E-010</v>
      </c>
      <c r="N10" s="17" t="n">
        <f aca="false">D10-I10</f>
        <v>4.82103246213228E-009</v>
      </c>
      <c r="O10" s="17" t="n">
        <f aca="false">E10-J10</f>
        <v>-1.54064281332467E-008</v>
      </c>
      <c r="P10" s="17" t="n">
        <f aca="false">F10-K10</f>
        <v>-4.27803286129347E-008</v>
      </c>
    </row>
    <row r="11" customFormat="false" ht="15" hidden="false" customHeight="false" outlineLevel="0" collapsed="false">
      <c r="A11" s="9" t="s">
        <v>585</v>
      </c>
      <c r="B11" s="17" t="n">
        <f aca="false">Mitigation!N146</f>
        <v>0</v>
      </c>
      <c r="C11" s="17" t="n">
        <f aca="false">Mitigation!O146</f>
        <v>30.722138214231</v>
      </c>
      <c r="D11" s="17" t="n">
        <f aca="false">Mitigation!T146</f>
        <v>51.0163198845748</v>
      </c>
      <c r="E11" s="17" t="n">
        <f aca="false">Mitigation!AD146</f>
        <v>116.764295564754</v>
      </c>
      <c r="F11" s="17" t="n">
        <f aca="false">Mitigation!AN146</f>
        <v>106.611671362445</v>
      </c>
      <c r="G11" s="17" t="n">
        <f aca="false">INDEX(PyKey!D$3:D$2978,MATCH(Settings!$C$4&amp;"|mit.inv.grid.2",PyKey!$A$3:$A$2978,0))</f>
        <v>0</v>
      </c>
      <c r="H11" s="17" t="n">
        <f aca="false">INDEX(PyKey!E$3:E$2978,MATCH(Settings!$C$4&amp;"|mit.inv.grid.2",PyKey!$A$3:$A$2978,0))</f>
        <v>30.72213821</v>
      </c>
      <c r="I11" s="17" t="n">
        <f aca="false">INDEX(PyKey!F$3:F$2978,MATCH(Settings!$C$4&amp;"|mit.inv.grid.2",PyKey!$A$3:$A$2978,0))</f>
        <v>51.01631988</v>
      </c>
      <c r="J11" s="17" t="n">
        <f aca="false">INDEX(PyKey!G$3:G$2978,MATCH(Settings!$C$4&amp;"|mit.inv.grid.2",PyKey!$A$3:$A$2978,0))</f>
        <v>116.7642956</v>
      </c>
      <c r="K11" s="17" t="n">
        <f aca="false">INDEX(PyKey!H$3:H$2978,MATCH(Settings!$C$4&amp;"|mit.inv.grid.2",PyKey!$A$3:$A$2978,0))</f>
        <v>106.6116714</v>
      </c>
      <c r="L11" s="17" t="n">
        <f aca="false">B11-G11</f>
        <v>0</v>
      </c>
      <c r="M11" s="17" t="n">
        <f aca="false">C11-H11</f>
        <v>4.23096579993398E-009</v>
      </c>
      <c r="N11" s="17" t="n">
        <f aca="false">D11-I11</f>
        <v>4.57475124449047E-009</v>
      </c>
      <c r="O11" s="17" t="n">
        <f aca="false">E11-J11</f>
        <v>-3.52459039731912E-008</v>
      </c>
      <c r="P11" s="17" t="n">
        <f aca="false">F11-K11</f>
        <v>-3.75552531295398E-008</v>
      </c>
    </row>
    <row r="12" customFormat="false" ht="15" hidden="false" customHeight="false" outlineLevel="0" collapsed="false">
      <c r="A12" s="9" t="s">
        <v>482</v>
      </c>
      <c r="B12" s="17" t="n">
        <f aca="false">Mitigation!N77</f>
        <v>0</v>
      </c>
      <c r="C12" s="17" t="n">
        <f aca="false">Mitigation!O77</f>
        <v>6.83523691472578</v>
      </c>
      <c r="D12" s="17" t="n">
        <f aca="false">Mitigation!T77</f>
        <v>11.166359725928</v>
      </c>
      <c r="E12" s="17" t="n">
        <f aca="false">Mitigation!AD77</f>
        <v>8.9378185825138</v>
      </c>
      <c r="F12" s="17" t="n">
        <f aca="false">Mitigation!AN77</f>
        <v>10.402260304964</v>
      </c>
      <c r="G12" s="17" t="n">
        <f aca="false">INDEX(PyKey!D$3:D$2978,MATCH(Settings!$C$4&amp;"|mit.inv.trn.2",PyKey!$A$3:$A$2978,0))</f>
        <v>0</v>
      </c>
      <c r="H12" s="17" t="n">
        <f aca="false">INDEX(PyKey!E$3:E$2978,MATCH(Settings!$C$4&amp;"|mit.inv.trn.2",PyKey!$A$3:$A$2978,0))</f>
        <v>6.835236915</v>
      </c>
      <c r="I12" s="17" t="n">
        <f aca="false">INDEX(PyKey!F$3:F$2978,MATCH(Settings!$C$4&amp;"|mit.inv.trn.2",PyKey!$A$3:$A$2978,0))</f>
        <v>11.16635973</v>
      </c>
      <c r="J12" s="17" t="n">
        <f aca="false">INDEX(PyKey!G$3:G$2978,MATCH(Settings!$C$4&amp;"|mit.inv.trn.2",PyKey!$A$3:$A$2978,0))</f>
        <v>8.937818583</v>
      </c>
      <c r="K12" s="17" t="n">
        <f aca="false">INDEX(PyKey!H$3:H$2978,MATCH(Settings!$C$4&amp;"|mit.inv.trn.2",PyKey!$A$3:$A$2978,0))</f>
        <v>10.4022603</v>
      </c>
      <c r="L12" s="17" t="n">
        <f aca="false">B12-G12</f>
        <v>0</v>
      </c>
      <c r="M12" s="17" t="n">
        <f aca="false">C12-H12</f>
        <v>-2.74224198903994E-010</v>
      </c>
      <c r="N12" s="17" t="n">
        <f aca="false">D12-I12</f>
        <v>-4.07197120466662E-009</v>
      </c>
      <c r="O12" s="17" t="n">
        <f aca="false">E12-J12</f>
        <v>-4.86197748728046E-010</v>
      </c>
      <c r="P12" s="17" t="n">
        <f aca="false">F12-K12</f>
        <v>4.9639794497125E-009</v>
      </c>
    </row>
    <row r="13" customFormat="false" ht="15" hidden="false" customHeight="false" outlineLevel="0" collapsed="false">
      <c r="A13" s="9" t="s">
        <v>500</v>
      </c>
      <c r="B13" s="17" t="n">
        <f aca="false">Mitigation!N91</f>
        <v>0</v>
      </c>
      <c r="C13" s="17" t="n">
        <f aca="false">Mitigation!O91</f>
        <v>9.92982195826413</v>
      </c>
      <c r="D13" s="17" t="n">
        <f aca="false">Mitigation!T91</f>
        <v>12.1294470412152</v>
      </c>
      <c r="E13" s="17" t="n">
        <f aca="false">Mitigation!AD91</f>
        <v>15.3371197209462</v>
      </c>
      <c r="F13" s="17" t="n">
        <f aca="false">Mitigation!AN91</f>
        <v>19.2623572821495</v>
      </c>
      <c r="G13" s="17" t="n">
        <f aca="false">INDEX(PyKey!D$3:D$2978,MATCH(Settings!$C$4&amp;"|mit.inv.bld.2",PyKey!$A$3:$A$2978,0))</f>
        <v>0</v>
      </c>
      <c r="H13" s="17" t="n">
        <f aca="false">INDEX(PyKey!E$3:E$2978,MATCH(Settings!$C$4&amp;"|mit.inv.bld.2",PyKey!$A$3:$A$2978,0))</f>
        <v>9.929821958</v>
      </c>
      <c r="I13" s="17" t="n">
        <f aca="false">INDEX(PyKey!F$3:F$2978,MATCH(Settings!$C$4&amp;"|mit.inv.bld.2",PyKey!$A$3:$A$2978,0))</f>
        <v>12.12944704</v>
      </c>
      <c r="J13" s="17" t="n">
        <f aca="false">INDEX(PyKey!G$3:G$2978,MATCH(Settings!$C$4&amp;"|mit.inv.bld.2",PyKey!$A$3:$A$2978,0))</f>
        <v>15.33711972</v>
      </c>
      <c r="K13" s="17" t="n">
        <f aca="false">INDEX(PyKey!H$3:H$2978,MATCH(Settings!$C$4&amp;"|mit.inv.bld.2",PyKey!$A$3:$A$2978,0))</f>
        <v>19.26235728</v>
      </c>
      <c r="L13" s="17" t="n">
        <f aca="false">B13-G13</f>
        <v>0</v>
      </c>
      <c r="M13" s="17" t="n">
        <f aca="false">C13-H13</f>
        <v>2.64130051164102E-010</v>
      </c>
      <c r="N13" s="17" t="n">
        <f aca="false">D13-I13</f>
        <v>1.21518617390848E-009</v>
      </c>
      <c r="O13" s="17" t="n">
        <f aca="false">E13-J13</f>
        <v>9.46222655784368E-010</v>
      </c>
      <c r="P13" s="17" t="n">
        <f aca="false">F13-K13</f>
        <v>2.14949125165731E-009</v>
      </c>
    </row>
    <row r="14" customFormat="false" ht="15" hidden="false" customHeight="false" outlineLevel="0" collapsed="false">
      <c r="A14" s="9" t="s">
        <v>519</v>
      </c>
      <c r="B14" s="17" t="n">
        <f aca="false">Mitigation!N104</f>
        <v>0</v>
      </c>
      <c r="C14" s="17" t="n">
        <f aca="false">Mitigation!O104</f>
        <v>27.1777209485278</v>
      </c>
      <c r="D14" s="17" t="n">
        <f aca="false">Mitigation!T104</f>
        <v>38.6771523893038</v>
      </c>
      <c r="E14" s="17" t="n">
        <f aca="false">Mitigation!AD104</f>
        <v>53.6587000612199</v>
      </c>
      <c r="F14" s="17" t="n">
        <f aca="false">Mitigation!AN104</f>
        <v>76.1710673672293</v>
      </c>
      <c r="G14" s="17" t="n">
        <f aca="false">INDEX(PyKey!D$3:D$2978,MATCH(Settings!$C$4&amp;"|mit.inv.ind.2",PyKey!$A$3:$A$2978,0))</f>
        <v>0</v>
      </c>
      <c r="H14" s="17" t="n">
        <f aca="false">INDEX(PyKey!E$3:E$2978,MATCH(Settings!$C$4&amp;"|mit.inv.ind.2",PyKey!$A$3:$A$2978,0))</f>
        <v>27.17772095</v>
      </c>
      <c r="I14" s="17" t="n">
        <f aca="false">INDEX(PyKey!F$3:F$2978,MATCH(Settings!$C$4&amp;"|mit.inv.ind.2",PyKey!$A$3:$A$2978,0))</f>
        <v>38.67715239</v>
      </c>
      <c r="J14" s="17" t="n">
        <f aca="false">INDEX(PyKey!G$3:G$2978,MATCH(Settings!$C$4&amp;"|mit.inv.ind.2",PyKey!$A$3:$A$2978,0))</f>
        <v>53.65870006</v>
      </c>
      <c r="K14" s="17" t="n">
        <f aca="false">INDEX(PyKey!H$3:H$2978,MATCH(Settings!$C$4&amp;"|mit.inv.ind.2",PyKey!$A$3:$A$2978,0))</f>
        <v>76.17106737</v>
      </c>
      <c r="L14" s="17" t="n">
        <f aca="false">B14-G14</f>
        <v>0</v>
      </c>
      <c r="M14" s="17" t="n">
        <f aca="false">C14-H14</f>
        <v>-1.47221967949918E-009</v>
      </c>
      <c r="N14" s="17" t="n">
        <f aca="false">D14-I14</f>
        <v>-6.96246615916607E-010</v>
      </c>
      <c r="O14" s="17" t="n">
        <f aca="false">E14-J14</f>
        <v>1.21990950674444E-009</v>
      </c>
      <c r="P14" s="17" t="n">
        <f aca="false">F14-K14</f>
        <v>-2.77069034382293E-009</v>
      </c>
    </row>
    <row r="15" customFormat="false" ht="15" hidden="false" customHeight="false" outlineLevel="0" collapsed="false">
      <c r="A15" s="9" t="s">
        <v>632</v>
      </c>
      <c r="B15" s="17" t="n">
        <f aca="false">Mitigation!N175</f>
        <v>0</v>
      </c>
      <c r="C15" s="17" t="n">
        <f aca="false">Mitigation!O175</f>
        <v>55.1638248026058</v>
      </c>
      <c r="D15" s="17" t="n">
        <f aca="false">Mitigation!T175</f>
        <v>59.5844522146807</v>
      </c>
      <c r="E15" s="17" t="n">
        <f aca="false">Mitigation!AD175</f>
        <v>67.5449388438725</v>
      </c>
      <c r="F15" s="17" t="n">
        <f aca="false">Mitigation!AN175</f>
        <v>81.977408306751</v>
      </c>
      <c r="G15" s="17" t="n">
        <f aca="false">INDEX(PyKey!D$3:D$2978,MATCH(Settings!$C$4&amp;"|mit.inv.tot.1",PyKey!$A$3:$A$2978,0))</f>
        <v>0</v>
      </c>
      <c r="H15" s="17" t="n">
        <f aca="false">INDEX(PyKey!E$3:E$2978,MATCH(Settings!$C$4&amp;"|mit.inv.tot.1",PyKey!$A$3:$A$2978,0))</f>
        <v>55.1638248</v>
      </c>
      <c r="I15" s="17" t="n">
        <f aca="false">INDEX(PyKey!F$3:F$2978,MATCH(Settings!$C$4&amp;"|mit.inv.tot.1",PyKey!$A$3:$A$2978,0))</f>
        <v>59.58445221</v>
      </c>
      <c r="J15" s="17" t="n">
        <f aca="false">INDEX(PyKey!G$3:G$2978,MATCH(Settings!$C$4&amp;"|mit.inv.tot.1",PyKey!$A$3:$A$2978,0))</f>
        <v>67.54493884</v>
      </c>
      <c r="K15" s="17" t="n">
        <f aca="false">INDEX(PyKey!H$3:H$2978,MATCH(Settings!$C$4&amp;"|mit.inv.tot.1",PyKey!$A$3:$A$2978,0))</f>
        <v>81.97740831</v>
      </c>
      <c r="L15" s="17" t="n">
        <f aca="false">B15-G15</f>
        <v>0</v>
      </c>
      <c r="M15" s="17" t="n">
        <f aca="false">C15-H15</f>
        <v>2.60583732369923E-009</v>
      </c>
      <c r="N15" s="17" t="n">
        <f aca="false">D15-I15</f>
        <v>4.68068606096495E-009</v>
      </c>
      <c r="O15" s="17" t="n">
        <f aca="false">E15-J15</f>
        <v>3.87245790989255E-009</v>
      </c>
      <c r="P15" s="17" t="n">
        <f aca="false">F15-K15</f>
        <v>-3.2489992918272E-009</v>
      </c>
    </row>
    <row r="16" customFormat="false" ht="15" hidden="false" customHeight="false" outlineLevel="0" collapsed="false">
      <c r="A16" s="9" t="s">
        <v>634</v>
      </c>
      <c r="B16" s="17" t="n">
        <f aca="false">Mitigation!N176</f>
        <v>0</v>
      </c>
      <c r="C16" s="17" t="n">
        <f aca="false">Mitigation!O176</f>
        <v>129.903749465809</v>
      </c>
      <c r="D16" s="17" t="n">
        <f aca="false">Mitigation!T176</f>
        <v>204.628343213896</v>
      </c>
      <c r="E16" s="17" t="n">
        <f aca="false">Mitigation!AD176</f>
        <v>348.084788853691</v>
      </c>
      <c r="F16" s="17" t="n">
        <f aca="false">Mitigation!AN176</f>
        <v>379.82865641528</v>
      </c>
      <c r="G16" s="17" t="n">
        <f aca="false">INDEX(PyKey!D$3:D$2978,MATCH(Settings!$C$4&amp;"|mit.inv.tot.2",PyKey!$A$3:$A$2978,0))</f>
        <v>0</v>
      </c>
      <c r="H16" s="17" t="n">
        <f aca="false">INDEX(PyKey!E$3:E$2978,MATCH(Settings!$C$4&amp;"|mit.inv.tot.2",PyKey!$A$3:$A$2978,0))</f>
        <v>129.9037495</v>
      </c>
      <c r="I16" s="17" t="n">
        <f aca="false">INDEX(PyKey!F$3:F$2978,MATCH(Settings!$C$4&amp;"|mit.inv.tot.2",PyKey!$A$3:$A$2978,0))</f>
        <v>204.6283432</v>
      </c>
      <c r="J16" s="17" t="n">
        <f aca="false">INDEX(PyKey!G$3:G$2978,MATCH(Settings!$C$4&amp;"|mit.inv.tot.2",PyKey!$A$3:$A$2978,0))</f>
        <v>348.0847889</v>
      </c>
      <c r="K16" s="17" t="n">
        <f aca="false">INDEX(PyKey!H$3:H$2978,MATCH(Settings!$C$4&amp;"|mit.inv.tot.2",PyKey!$A$3:$A$2978,0))</f>
        <v>379.8286564</v>
      </c>
      <c r="L16" s="17" t="n">
        <f aca="false">B16-G16</f>
        <v>0</v>
      </c>
      <c r="M16" s="17" t="n">
        <f aca="false">C16-H16</f>
        <v>-3.41908616974251E-008</v>
      </c>
      <c r="N16" s="17" t="n">
        <f aca="false">D16-I16</f>
        <v>1.3895800066166E-008</v>
      </c>
      <c r="O16" s="17" t="n">
        <f aca="false">E16-J16</f>
        <v>-4.63093670077797E-008</v>
      </c>
      <c r="P16" s="17" t="n">
        <f aca="false">F16-K16</f>
        <v>1.52803067976492E-008</v>
      </c>
    </row>
    <row r="17" customFormat="false" ht="15" hidden="false" customHeight="false" outlineLevel="0" collapsed="false">
      <c r="A17" s="9" t="s">
        <v>603</v>
      </c>
      <c r="B17" s="17" t="n">
        <f aca="false">Mitigation!N158</f>
        <v>4131.845</v>
      </c>
      <c r="C17" s="17" t="n">
        <f aca="false">Mitigation!O158</f>
        <v>4236.58326070727</v>
      </c>
      <c r="D17" s="17" t="n">
        <f aca="false">Mitigation!T158</f>
        <v>4680.06157200812</v>
      </c>
      <c r="E17" s="17" t="n">
        <f aca="false">Mitigation!AD158</f>
        <v>5220.03556057116</v>
      </c>
      <c r="F17" s="17" t="n">
        <f aca="false">Mitigation!AN158</f>
        <v>5596.83035486449</v>
      </c>
      <c r="G17" s="17" t="n">
        <f aca="false">INDEX(PyKey!D$3:D$2978,MATCH(Settings!$C$4&amp;"|mit.ghg.tot.1",PyKey!$A$3:$A$2978,0))</f>
        <v>4131.845</v>
      </c>
      <c r="H17" s="17" t="n">
        <f aca="false">INDEX(PyKey!E$3:E$2978,MATCH(Settings!$C$4&amp;"|mit.ghg.tot.1",PyKey!$A$3:$A$2978,0))</f>
        <v>4236.583261</v>
      </c>
      <c r="I17" s="17" t="n">
        <f aca="false">INDEX(PyKey!F$3:F$2978,MATCH(Settings!$C$4&amp;"|mit.ghg.tot.1",PyKey!$A$3:$A$2978,0))</f>
        <v>4680.061572</v>
      </c>
      <c r="J17" s="17" t="n">
        <f aca="false">INDEX(PyKey!G$3:G$2978,MATCH(Settings!$C$4&amp;"|mit.ghg.tot.1",PyKey!$A$3:$A$2978,0))</f>
        <v>5220.035561</v>
      </c>
      <c r="K17" s="17" t="n">
        <f aca="false">INDEX(PyKey!H$3:H$2978,MATCH(Settings!$C$4&amp;"|mit.ghg.tot.1",PyKey!$A$3:$A$2978,0))</f>
        <v>5596.830355</v>
      </c>
      <c r="L17" s="17" t="n">
        <f aca="false">B17-G17</f>
        <v>0</v>
      </c>
      <c r="M17" s="17" t="n">
        <f aca="false">C17-H17</f>
        <v>-2.92728145723231E-007</v>
      </c>
      <c r="N17" s="17" t="n">
        <f aca="false">D17-I17</f>
        <v>8.11542122391984E-009</v>
      </c>
      <c r="O17" s="17" t="n">
        <f aca="false">E17-J17</f>
        <v>-4.28838575317059E-007</v>
      </c>
      <c r="P17" s="17" t="n">
        <f aca="false">F17-K17</f>
        <v>-1.3550652511185E-007</v>
      </c>
    </row>
    <row r="18" customFormat="false" ht="15" hidden="false" customHeight="false" outlineLevel="0" collapsed="false">
      <c r="A18" s="9" t="s">
        <v>613</v>
      </c>
      <c r="B18" s="17" t="n">
        <f aca="false">Mitigation!N164</f>
        <v>4131.845</v>
      </c>
      <c r="C18" s="17" t="n">
        <f aca="false">Mitigation!O164</f>
        <v>4126.19492000292</v>
      </c>
      <c r="D18" s="17" t="n">
        <f aca="false">Mitigation!T164</f>
        <v>3882.64819696741</v>
      </c>
      <c r="E18" s="17" t="n">
        <f aca="false">Mitigation!AD164</f>
        <v>2659.75371947242</v>
      </c>
      <c r="F18" s="17" t="n">
        <f aca="false">Mitigation!AN164</f>
        <v>1010.26990416594</v>
      </c>
      <c r="G18" s="17" t="n">
        <f aca="false">INDEX(PyKey!D$3:D$2978,MATCH(Settings!$C$4&amp;"|mit.ghg.tot.2",PyKey!$A$3:$A$2978,0))</f>
        <v>4131.845</v>
      </c>
      <c r="H18" s="17" t="n">
        <f aca="false">INDEX(PyKey!E$3:E$2978,MATCH(Settings!$C$4&amp;"|mit.ghg.tot.2",PyKey!$A$3:$A$2978,0))</f>
        <v>4126.19492</v>
      </c>
      <c r="I18" s="17" t="n">
        <f aca="false">INDEX(PyKey!F$3:F$2978,MATCH(Settings!$C$4&amp;"|mit.ghg.tot.2",PyKey!$A$3:$A$2978,0))</f>
        <v>3882.648197</v>
      </c>
      <c r="J18" s="17" t="n">
        <f aca="false">INDEX(PyKey!G$3:G$2978,MATCH(Settings!$C$4&amp;"|mit.ghg.tot.2",PyKey!$A$3:$A$2978,0))</f>
        <v>2659.753719</v>
      </c>
      <c r="K18" s="17" t="n">
        <f aca="false">INDEX(PyKey!H$3:H$2978,MATCH(Settings!$C$4&amp;"|mit.ghg.tot.2",PyKey!$A$3:$A$2978,0))</f>
        <v>1010.269904</v>
      </c>
      <c r="L18" s="17" t="n">
        <f aca="false">B18-G18</f>
        <v>0</v>
      </c>
      <c r="M18" s="17" t="n">
        <f aca="false">C18-H18</f>
        <v>2.92129698209465E-009</v>
      </c>
      <c r="N18" s="17" t="n">
        <f aca="false">D18-I18</f>
        <v>-3.25921973853838E-008</v>
      </c>
      <c r="O18" s="17" t="n">
        <f aca="false">E18-J18</f>
        <v>4.7242292566807E-007</v>
      </c>
      <c r="P18" s="17" t="n">
        <f aca="false">F18-K18</f>
        <v>1.65937422025308E-007</v>
      </c>
    </row>
    <row r="19" customFormat="false" ht="15" hidden="false" customHeight="false" outlineLevel="0" collapsed="false">
      <c r="A19" s="9" t="s">
        <v>659</v>
      </c>
      <c r="B19" s="17" t="n">
        <f aca="false">Mitigation!N189</f>
        <v>0</v>
      </c>
      <c r="C19" s="17" t="n">
        <f aca="false">Mitigation!O189</f>
        <v>7.78868634730166</v>
      </c>
      <c r="D19" s="17" t="n">
        <f aca="false">Mitigation!T189</f>
        <v>51.3650788839421</v>
      </c>
      <c r="E19" s="17" t="n">
        <f aca="false">Mitigation!AD189</f>
        <v>122.815452825681</v>
      </c>
      <c r="F19" s="17" t="n">
        <f aca="false">Mitigation!AN189</f>
        <v>228.576778003516</v>
      </c>
      <c r="G19" s="17" t="n">
        <f aca="false">INDEX(PyKey!D$3:D$2978,MATCH(Settings!$C$4&amp;"|mit.ic.a",PyKey!$A$3:$A$2978,0))</f>
        <v>0</v>
      </c>
      <c r="H19" s="17" t="n">
        <f aca="false">INDEX(PyKey!E$3:E$2978,MATCH(Settings!$C$4&amp;"|mit.ic.a",PyKey!$A$3:$A$2978,0))</f>
        <v>7.788686347</v>
      </c>
      <c r="I19" s="17" t="n">
        <f aca="false">INDEX(PyKey!F$3:F$2978,MATCH(Settings!$C$4&amp;"|mit.ic.a",PyKey!$A$3:$A$2978,0))</f>
        <v>51.36507888</v>
      </c>
      <c r="J19" s="17" t="n">
        <f aca="false">INDEX(PyKey!G$3:G$2978,MATCH(Settings!$C$4&amp;"|mit.ic.a",PyKey!$A$3:$A$2978,0))</f>
        <v>122.8154528</v>
      </c>
      <c r="K19" s="17" t="n">
        <f aca="false">INDEX(PyKey!H$3:H$2978,MATCH(Settings!$C$4&amp;"|mit.ic.a",PyKey!$A$3:$A$2978,0))</f>
        <v>228.576778</v>
      </c>
      <c r="L19" s="17" t="n">
        <f aca="false">B19-G19</f>
        <v>0</v>
      </c>
      <c r="M19" s="17" t="n">
        <f aca="false">C19-H19</f>
        <v>3.01660030288531E-010</v>
      </c>
      <c r="N19" s="17" t="n">
        <f aca="false">D19-I19</f>
        <v>3.94210530885175E-009</v>
      </c>
      <c r="O19" s="17" t="n">
        <f aca="false">E19-J19</f>
        <v>2.56814871590905E-008</v>
      </c>
      <c r="P19" s="17" t="n">
        <f aca="false">F19-K19</f>
        <v>3.51599283021642E-009</v>
      </c>
    </row>
    <row r="20" customFormat="false" ht="15" hidden="false" customHeight="false" outlineLevel="0" collapsed="false">
      <c r="A20" s="9" t="s">
        <v>661</v>
      </c>
      <c r="B20" s="17" t="n">
        <f aca="false">Mitigation!N190</f>
        <v>0</v>
      </c>
      <c r="C20" s="17" t="n">
        <f aca="false">Mitigation!O190</f>
        <v>5.80421177722918</v>
      </c>
      <c r="D20" s="17" t="n">
        <f aca="false">Mitigation!T190</f>
        <v>35.0490961063516</v>
      </c>
      <c r="E20" s="17" t="n">
        <f aca="false">Mitigation!AD190</f>
        <v>56.6300972182185</v>
      </c>
      <c r="F20" s="17" t="n">
        <f aca="false">Mitigation!AN190</f>
        <v>94.2342137206063</v>
      </c>
      <c r="G20" s="17" t="n">
        <f aca="false">INDEX(PyKey!D$3:D$2978,MATCH(Settings!$C$4&amp;"|mit.ic.b",PyKey!$A$3:$A$2978,0))</f>
        <v>0</v>
      </c>
      <c r="H20" s="17" t="n">
        <f aca="false">INDEX(PyKey!E$3:E$2978,MATCH(Settings!$C$4&amp;"|mit.ic.b",PyKey!$A$3:$A$2978,0))</f>
        <v>5.804211777</v>
      </c>
      <c r="I20" s="17" t="n">
        <f aca="false">INDEX(PyKey!F$3:F$2978,MATCH(Settings!$C$4&amp;"|mit.ic.b",PyKey!$A$3:$A$2978,0))</f>
        <v>35.04909611</v>
      </c>
      <c r="J20" s="17" t="n">
        <f aca="false">INDEX(PyKey!G$3:G$2978,MATCH(Settings!$C$4&amp;"|mit.ic.b",PyKey!$A$3:$A$2978,0))</f>
        <v>56.63009722</v>
      </c>
      <c r="K20" s="17" t="n">
        <f aca="false">INDEX(PyKey!H$3:H$2978,MATCH(Settings!$C$4&amp;"|mit.ic.b",PyKey!$A$3:$A$2978,0))</f>
        <v>94.23421372</v>
      </c>
      <c r="L20" s="17" t="n">
        <f aca="false">B20-G20</f>
        <v>0</v>
      </c>
      <c r="M20" s="17" t="n">
        <f aca="false">C20-H20</f>
        <v>2.29177565813643E-010</v>
      </c>
      <c r="N20" s="17" t="n">
        <f aca="false">D20-I20</f>
        <v>-3.64840246902531E-009</v>
      </c>
      <c r="O20" s="17" t="n">
        <f aca="false">E20-J20</f>
        <v>-1.78146564167037E-009</v>
      </c>
      <c r="P20" s="17" t="n">
        <f aca="false">F20-K20</f>
        <v>6.06249273005233E-010</v>
      </c>
    </row>
    <row r="21" customFormat="false" ht="15" hidden="false" customHeight="false" outlineLevel="0" collapsed="false">
      <c r="A21" s="9" t="s">
        <v>663</v>
      </c>
      <c r="B21" s="17" t="n">
        <f aca="false">Mitigation!N191</f>
        <v>0</v>
      </c>
      <c r="C21" s="17" t="n">
        <f aca="false">Mitigation!O191</f>
        <v>1.7731670444498</v>
      </c>
      <c r="D21" s="17" t="n">
        <f aca="false">Mitigation!T191</f>
        <v>1.89276264437892</v>
      </c>
      <c r="E21" s="17" t="n">
        <f aca="false">Mitigation!AD191</f>
        <v>-83.2816036408889</v>
      </c>
      <c r="F21" s="17" t="n">
        <f aca="false">Mitigation!AN191</f>
        <v>-179.926779440011</v>
      </c>
      <c r="G21" s="17" t="n">
        <f aca="false">INDEX(PyKey!D$3:D$2978,MATCH(Settings!$C$4&amp;"|mit.ic.c",PyKey!$A$3:$A$2978,0))</f>
        <v>0</v>
      </c>
      <c r="H21" s="17" t="n">
        <f aca="false">INDEX(PyKey!E$3:E$2978,MATCH(Settings!$C$4&amp;"|mit.ic.c",PyKey!$A$3:$A$2978,0))</f>
        <v>1.773167044</v>
      </c>
      <c r="I21" s="17" t="n">
        <f aca="false">INDEX(PyKey!F$3:F$2978,MATCH(Settings!$C$4&amp;"|mit.ic.c",PyKey!$A$3:$A$2978,0))</f>
        <v>1.892762644</v>
      </c>
      <c r="J21" s="17" t="n">
        <f aca="false">INDEX(PyKey!G$3:G$2978,MATCH(Settings!$C$4&amp;"|mit.ic.c",PyKey!$A$3:$A$2978,0))</f>
        <v>-83.28160364</v>
      </c>
      <c r="K21" s="17" t="n">
        <f aca="false">INDEX(PyKey!H$3:H$2978,MATCH(Settings!$C$4&amp;"|mit.ic.c",PyKey!$A$3:$A$2978,0))</f>
        <v>-179.9267794</v>
      </c>
      <c r="L21" s="17" t="n">
        <f aca="false">B21-G21</f>
        <v>0</v>
      </c>
      <c r="M21" s="17" t="n">
        <f aca="false">C21-H21</f>
        <v>4.49799308910315E-010</v>
      </c>
      <c r="N21" s="17" t="n">
        <f aca="false">D21-I21</f>
        <v>3.78919340349171E-010</v>
      </c>
      <c r="O21" s="17" t="n">
        <f aca="false">E21-J21</f>
        <v>-8.8887475158117E-010</v>
      </c>
      <c r="P21" s="17" t="n">
        <f aca="false">F21-K21</f>
        <v>-4.00105477638135E-008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O1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sheetData>
    <row r="1" customFormat="false" ht="15" hidden="false" customHeight="false" outlineLevel="0" collapsed="false">
      <c r="A1" s="3" t="s">
        <v>1085</v>
      </c>
    </row>
    <row r="3" customFormat="false" ht="15" hidden="false" customHeight="false" outlineLevel="0" collapsed="false">
      <c r="A3" s="3" t="s">
        <v>1086</v>
      </c>
      <c r="B3" s="26" t="s">
        <v>1087</v>
      </c>
      <c r="C3" s="26" t="s">
        <v>1088</v>
      </c>
      <c r="D3" s="26" t="s">
        <v>1089</v>
      </c>
      <c r="E3" s="26" t="s">
        <v>1090</v>
      </c>
      <c r="F3" s="26" t="s">
        <v>1091</v>
      </c>
      <c r="G3" s="26" t="s">
        <v>1092</v>
      </c>
      <c r="H3" s="26" t="s">
        <v>1093</v>
      </c>
      <c r="I3" s="26" t="s">
        <v>1094</v>
      </c>
      <c r="J3" s="26" t="s">
        <v>1095</v>
      </c>
      <c r="K3" s="26" t="s">
        <v>1096</v>
      </c>
      <c r="L3" s="26" t="s">
        <v>1097</v>
      </c>
      <c r="M3" s="26" t="s">
        <v>1098</v>
      </c>
      <c r="N3" s="26" t="s">
        <v>1099</v>
      </c>
      <c r="O3" s="26" t="s">
        <v>1100</v>
      </c>
      <c r="P3" s="26" t="s">
        <v>1101</v>
      </c>
      <c r="Q3" s="26" t="s">
        <v>1102</v>
      </c>
      <c r="R3" s="26" t="s">
        <v>1103</v>
      </c>
      <c r="S3" s="26" t="s">
        <v>1104</v>
      </c>
      <c r="T3" s="26" t="s">
        <v>1105</v>
      </c>
      <c r="U3" s="26" t="s">
        <v>1106</v>
      </c>
      <c r="V3" s="26" t="s">
        <v>1107</v>
      </c>
      <c r="W3" s="26" t="s">
        <v>1108</v>
      </c>
      <c r="X3" s="26" t="s">
        <v>1109</v>
      </c>
      <c r="Y3" s="26" t="s">
        <v>1110</v>
      </c>
      <c r="Z3" s="26" t="s">
        <v>1111</v>
      </c>
      <c r="AA3" s="26" t="s">
        <v>1112</v>
      </c>
      <c r="AB3" s="26" t="s">
        <v>1113</v>
      </c>
      <c r="AC3" s="26" t="s">
        <v>391</v>
      </c>
      <c r="AD3" s="26" t="s">
        <v>388</v>
      </c>
      <c r="AE3" s="26" t="s">
        <v>1114</v>
      </c>
      <c r="AF3" s="26" t="s">
        <v>1115</v>
      </c>
      <c r="AG3" s="26" t="s">
        <v>1116</v>
      </c>
      <c r="AH3" s="26" t="s">
        <v>1117</v>
      </c>
      <c r="AI3" s="26" t="s">
        <v>1118</v>
      </c>
      <c r="AJ3" s="26" t="s">
        <v>1119</v>
      </c>
      <c r="AK3" s="26" t="s">
        <v>1120</v>
      </c>
      <c r="AL3" s="26" t="s">
        <v>1121</v>
      </c>
      <c r="AM3" s="26" t="s">
        <v>1122</v>
      </c>
      <c r="AN3" s="26" t="s">
        <v>1123</v>
      </c>
      <c r="AO3" s="26" t="s">
        <v>1124</v>
      </c>
      <c r="AP3" s="26" t="s">
        <v>1125</v>
      </c>
      <c r="AQ3" s="26" t="s">
        <v>1126</v>
      </c>
      <c r="AR3" s="26" t="s">
        <v>1127</v>
      </c>
      <c r="AS3" s="26" t="s">
        <v>1128</v>
      </c>
      <c r="AT3" s="26" t="s">
        <v>1129</v>
      </c>
      <c r="AU3" s="26" t="s">
        <v>1130</v>
      </c>
      <c r="AV3" s="26" t="s">
        <v>1131</v>
      </c>
      <c r="AW3" s="26" t="s">
        <v>1132</v>
      </c>
      <c r="AX3" s="26" t="s">
        <v>1133</v>
      </c>
      <c r="AY3" s="26" t="s">
        <v>1134</v>
      </c>
      <c r="AZ3" s="26" t="s">
        <v>1135</v>
      </c>
      <c r="BA3" s="26" t="s">
        <v>1136</v>
      </c>
      <c r="BB3" s="26" t="s">
        <v>1137</v>
      </c>
      <c r="BC3" s="26" t="s">
        <v>1138</v>
      </c>
      <c r="BD3" s="26" t="s">
        <v>1139</v>
      </c>
      <c r="BE3" s="26" t="s">
        <v>1140</v>
      </c>
      <c r="BF3" s="26" t="s">
        <v>1141</v>
      </c>
      <c r="BG3" s="26" t="s">
        <v>1142</v>
      </c>
      <c r="BH3" s="26" t="s">
        <v>1143</v>
      </c>
      <c r="BI3" s="26" t="s">
        <v>1144</v>
      </c>
      <c r="BJ3" s="26" t="s">
        <v>1145</v>
      </c>
      <c r="BK3" s="26" t="s">
        <v>1146</v>
      </c>
      <c r="BL3" s="26" t="s">
        <v>1147</v>
      </c>
      <c r="BM3" s="26" t="s">
        <v>1148</v>
      </c>
      <c r="BN3" s="26" t="s">
        <v>1149</v>
      </c>
      <c r="BO3" s="26" t="s">
        <v>1150</v>
      </c>
      <c r="BP3" s="26" t="s">
        <v>1151</v>
      </c>
      <c r="BQ3" s="26" t="s">
        <v>1152</v>
      </c>
      <c r="BR3" s="26" t="s">
        <v>1153</v>
      </c>
      <c r="BS3" s="26" t="s">
        <v>1154</v>
      </c>
      <c r="BT3" s="26" t="s">
        <v>1155</v>
      </c>
      <c r="BU3" s="26" t="s">
        <v>1156</v>
      </c>
      <c r="BV3" s="26" t="s">
        <v>1157</v>
      </c>
      <c r="BW3" s="26" t="s">
        <v>1158</v>
      </c>
      <c r="BX3" s="26" t="s">
        <v>1159</v>
      </c>
      <c r="BY3" s="26" t="s">
        <v>1160</v>
      </c>
      <c r="BZ3" s="26" t="s">
        <v>1161</v>
      </c>
      <c r="CA3" s="26" t="s">
        <v>1162</v>
      </c>
      <c r="CB3" s="26" t="s">
        <v>306</v>
      </c>
      <c r="CC3" s="26" t="s">
        <v>309</v>
      </c>
      <c r="CD3" s="26" t="s">
        <v>302</v>
      </c>
      <c r="CE3" s="26" t="s">
        <v>353</v>
      </c>
      <c r="CF3" s="26" t="s">
        <v>1163</v>
      </c>
      <c r="CG3" s="26" t="s">
        <v>1164</v>
      </c>
      <c r="CH3" s="26" t="s">
        <v>1165</v>
      </c>
      <c r="CI3" s="26" t="s">
        <v>1166</v>
      </c>
      <c r="CJ3" s="26" t="s">
        <v>1167</v>
      </c>
      <c r="CK3" s="26" t="s">
        <v>1168</v>
      </c>
      <c r="CL3" s="26" t="s">
        <v>1169</v>
      </c>
      <c r="CM3" s="26" t="s">
        <v>1170</v>
      </c>
      <c r="CN3" s="26" t="s">
        <v>1171</v>
      </c>
      <c r="CO3" s="26" t="s">
        <v>295</v>
      </c>
      <c r="CP3" s="26" t="s">
        <v>298</v>
      </c>
      <c r="CQ3" s="26" t="s">
        <v>1172</v>
      </c>
      <c r="CR3" s="26" t="s">
        <v>1173</v>
      </c>
      <c r="CS3" s="26" t="s">
        <v>1174</v>
      </c>
      <c r="CT3" s="26" t="s">
        <v>1175</v>
      </c>
      <c r="CU3" s="26" t="s">
        <v>1176</v>
      </c>
      <c r="CV3" s="26" t="s">
        <v>1177</v>
      </c>
      <c r="CW3" s="26" t="s">
        <v>1178</v>
      </c>
      <c r="CX3" s="26" t="s">
        <v>1179</v>
      </c>
      <c r="CY3" s="26" t="s">
        <v>1180</v>
      </c>
      <c r="CZ3" s="26" t="s">
        <v>1181</v>
      </c>
      <c r="DA3" s="26" t="s">
        <v>1182</v>
      </c>
      <c r="DB3" s="26" t="s">
        <v>1183</v>
      </c>
      <c r="DC3" s="26" t="s">
        <v>1184</v>
      </c>
      <c r="DD3" s="26" t="s">
        <v>1185</v>
      </c>
      <c r="DE3" s="26" t="s">
        <v>1186</v>
      </c>
      <c r="DF3" s="26" t="s">
        <v>1187</v>
      </c>
      <c r="DG3" s="26" t="s">
        <v>1188</v>
      </c>
      <c r="DH3" s="26" t="s">
        <v>1189</v>
      </c>
      <c r="DI3" s="26" t="s">
        <v>1190</v>
      </c>
      <c r="DJ3" s="26" t="s">
        <v>1191</v>
      </c>
      <c r="DK3" s="26" t="s">
        <v>1192</v>
      </c>
      <c r="DL3" s="26" t="s">
        <v>1193</v>
      </c>
      <c r="DM3" s="26" t="s">
        <v>1194</v>
      </c>
      <c r="DN3" s="26" t="s">
        <v>1195</v>
      </c>
      <c r="DO3" s="26" t="s">
        <v>319</v>
      </c>
    </row>
    <row r="4" customFormat="false" ht="15" hidden="false" customHeight="false" outlineLevel="0" collapsed="false">
      <c r="A4" s="9" t="s">
        <v>1018</v>
      </c>
      <c r="B4" s="9" t="s">
        <v>1019</v>
      </c>
      <c r="C4" s="9" t="n">
        <v>0.005</v>
      </c>
      <c r="D4" s="9" t="n">
        <v>0.005</v>
      </c>
      <c r="E4" s="9" t="n">
        <v>0.01</v>
      </c>
      <c r="F4" s="9" t="n">
        <v>0.005</v>
      </c>
      <c r="G4" s="9" t="n">
        <v>0.005</v>
      </c>
      <c r="H4" s="9" t="n">
        <v>0.01</v>
      </c>
      <c r="I4" s="9" t="n">
        <v>0.005</v>
      </c>
      <c r="J4" s="9" t="n">
        <v>0.005</v>
      </c>
      <c r="K4" s="9" t="n">
        <v>0.01</v>
      </c>
      <c r="L4" s="9" t="n">
        <v>0.01</v>
      </c>
      <c r="M4" s="9" t="n">
        <v>0.005</v>
      </c>
      <c r="N4" s="9" t="n">
        <v>0</v>
      </c>
      <c r="O4" s="9" t="n">
        <v>0</v>
      </c>
      <c r="P4" s="9" t="n">
        <v>0</v>
      </c>
      <c r="Q4" s="9" t="n">
        <v>0</v>
      </c>
      <c r="R4" s="9" t="n">
        <v>0</v>
      </c>
      <c r="S4" s="9" t="n">
        <v>0</v>
      </c>
      <c r="T4" s="9" t="n">
        <v>0</v>
      </c>
      <c r="U4" s="9" t="n">
        <v>0</v>
      </c>
      <c r="V4" s="9" t="n">
        <v>0</v>
      </c>
      <c r="W4" s="9" t="n">
        <v>0</v>
      </c>
      <c r="X4" s="9" t="n">
        <v>0</v>
      </c>
      <c r="Y4" s="9" t="n">
        <v>0</v>
      </c>
      <c r="Z4" s="9" t="n">
        <v>0.24</v>
      </c>
      <c r="AA4" s="9" t="n">
        <v>0.01</v>
      </c>
      <c r="AB4" s="9" t="n">
        <v>0.03</v>
      </c>
      <c r="AC4" s="9" t="n">
        <v>0</v>
      </c>
      <c r="AD4" s="9" t="n">
        <v>0</v>
      </c>
      <c r="AE4" s="9" t="n">
        <v>0.429</v>
      </c>
      <c r="AF4" s="9" t="n">
        <v>0</v>
      </c>
      <c r="AG4" s="9" t="n">
        <v>0</v>
      </c>
      <c r="AH4" s="9" t="n">
        <v>0</v>
      </c>
      <c r="AI4" s="9" t="n">
        <v>0</v>
      </c>
      <c r="AJ4" s="9" t="n">
        <v>0</v>
      </c>
      <c r="AK4" s="9" t="n">
        <v>0</v>
      </c>
      <c r="AL4" s="9" t="n">
        <v>0</v>
      </c>
      <c r="AM4" s="9" t="n">
        <v>0</v>
      </c>
      <c r="AN4" s="9" t="n">
        <v>0</v>
      </c>
      <c r="AO4" s="9" t="n">
        <v>0.672651700332481</v>
      </c>
      <c r="AP4" s="9" t="n">
        <v>0.646407133583043</v>
      </c>
      <c r="AQ4" s="9" t="n">
        <v>0.646407133583043</v>
      </c>
      <c r="AR4" s="9" t="n">
        <v>0.646407133583043</v>
      </c>
      <c r="AS4" s="9" t="n">
        <v>1.77363582385302</v>
      </c>
      <c r="AT4" s="9" t="n">
        <v>1.58558040486145</v>
      </c>
      <c r="AU4" s="9" t="n">
        <v>1.74369977107207</v>
      </c>
      <c r="AV4" s="9" t="n">
        <v>1.80230561116981</v>
      </c>
      <c r="AW4" s="9" t="n">
        <v>1.33290332165226</v>
      </c>
      <c r="AX4" s="9" t="n">
        <v>1.23154198777771</v>
      </c>
      <c r="AY4" s="9" t="n">
        <v>1.31040610793327</v>
      </c>
      <c r="AZ4" s="9" t="n">
        <v>1.35444892545192</v>
      </c>
      <c r="BA4" s="9" t="n">
        <v>3.18588800724844</v>
      </c>
      <c r="BB4" s="9" t="n">
        <v>2.9833028958056</v>
      </c>
      <c r="BC4" s="9" t="n">
        <v>3.15565796451635</v>
      </c>
      <c r="BD4" s="9" t="n">
        <v>3.06827045296297</v>
      </c>
      <c r="BE4" s="9" t="n">
        <v>0</v>
      </c>
      <c r="BF4" s="9" t="n">
        <v>0</v>
      </c>
      <c r="BG4" s="9" t="n">
        <v>0</v>
      </c>
      <c r="BH4" s="9" t="n">
        <v>0</v>
      </c>
      <c r="BI4" s="9" t="n">
        <v>0.383903395512227</v>
      </c>
      <c r="BJ4" s="9" t="n">
        <v>0.370329244275337</v>
      </c>
      <c r="BK4" s="9" t="n">
        <v>0.370329244275337</v>
      </c>
      <c r="BL4" s="9" t="n">
        <v>0.370329244275337</v>
      </c>
      <c r="BM4" s="9" t="n">
        <v>0</v>
      </c>
      <c r="BN4" s="9" t="n">
        <v>0</v>
      </c>
      <c r="BO4" s="9" t="n">
        <v>0</v>
      </c>
      <c r="BP4" s="9" t="n">
        <v>0</v>
      </c>
      <c r="BQ4" s="9" t="n">
        <v>0</v>
      </c>
      <c r="BR4" s="9" t="n">
        <v>0</v>
      </c>
      <c r="BS4" s="9" t="n">
        <v>0</v>
      </c>
      <c r="BT4" s="9" t="n">
        <v>0</v>
      </c>
      <c r="BU4" s="9" t="n">
        <v>0</v>
      </c>
      <c r="BV4" s="9" t="n">
        <v>11.1626861212088</v>
      </c>
      <c r="BW4" s="9" t="n">
        <v>11.5883582682792</v>
      </c>
      <c r="BX4" s="9" t="n">
        <v>11.5010699949143</v>
      </c>
      <c r="BY4" s="9" t="n">
        <v>11.2827272971159</v>
      </c>
      <c r="BZ4" s="9" t="n">
        <v>0.862927540418132</v>
      </c>
      <c r="CA4" s="9" t="n">
        <v>0</v>
      </c>
      <c r="CB4" s="9" t="n">
        <v>5.608</v>
      </c>
      <c r="CC4" s="9" t="n">
        <v>2.25</v>
      </c>
      <c r="CD4" s="9" t="n">
        <v>4.285</v>
      </c>
      <c r="CE4" s="9" t="n">
        <v>0</v>
      </c>
      <c r="CF4" s="9" t="n">
        <v>0</v>
      </c>
      <c r="CG4" s="9" t="n">
        <v>0.83</v>
      </c>
      <c r="CH4" s="9" t="n">
        <v>0</v>
      </c>
      <c r="CI4" s="9" t="n">
        <v>0.83</v>
      </c>
      <c r="CJ4" s="9" t="n">
        <v>0.03</v>
      </c>
      <c r="CK4" s="9" t="n">
        <v>1</v>
      </c>
      <c r="CL4" s="9" t="n">
        <v>0.14</v>
      </c>
      <c r="CM4" s="9" t="n">
        <v>0.47</v>
      </c>
      <c r="CN4" s="9" t="n">
        <v>0.47</v>
      </c>
      <c r="CO4" s="9" t="n">
        <v>3</v>
      </c>
      <c r="CP4" s="9" t="n">
        <v>4</v>
      </c>
      <c r="CQ4" s="9" t="n">
        <v>0.5</v>
      </c>
      <c r="CR4" s="9" t="n">
        <v>0.3</v>
      </c>
      <c r="CS4" s="9" t="n">
        <v>0.6</v>
      </c>
      <c r="CT4" s="9" t="n">
        <v>0.8</v>
      </c>
      <c r="CU4" s="9" t="n">
        <v>0.8</v>
      </c>
      <c r="CV4" s="9" t="n">
        <v>0.7</v>
      </c>
      <c r="CW4" s="9" t="n">
        <v>0.5</v>
      </c>
      <c r="CX4" s="9" t="n">
        <v>0.5</v>
      </c>
      <c r="CY4" s="9" t="n">
        <v>1</v>
      </c>
      <c r="CZ4" s="9" t="n">
        <v>0.3</v>
      </c>
      <c r="DA4" s="9" t="n">
        <v>0.8</v>
      </c>
      <c r="DB4" s="9" t="n">
        <v>0.76805879189819</v>
      </c>
      <c r="DC4" s="9" t="n">
        <v>7.124</v>
      </c>
      <c r="DD4" s="9" t="n">
        <v>5.575</v>
      </c>
      <c r="DE4" s="9" t="n">
        <v>12.375895</v>
      </c>
      <c r="DF4" s="9" t="n">
        <v>17.653885125669</v>
      </c>
      <c r="DG4" s="9" t="n">
        <v>21.9246125364387</v>
      </c>
      <c r="DH4" s="9" t="n">
        <v>15.0468241052648</v>
      </c>
      <c r="DI4" s="9" t="n">
        <v>20.9722083747162</v>
      </c>
      <c r="DJ4" s="9" t="n">
        <v>8.176</v>
      </c>
      <c r="DK4" s="9" t="n">
        <v>6.853</v>
      </c>
      <c r="DL4" s="9" t="n">
        <v>16.35977</v>
      </c>
      <c r="DM4" s="9" t="n">
        <v>13.4974730016208</v>
      </c>
      <c r="DN4" s="9" t="n">
        <v>13.4974730016208</v>
      </c>
      <c r="DO4" s="9" t="n">
        <v>0.105</v>
      </c>
    </row>
    <row r="5" customFormat="false" ht="15" hidden="false" customHeight="false" outlineLevel="0" collapsed="false">
      <c r="A5" s="9" t="s">
        <v>962</v>
      </c>
      <c r="B5" s="9" t="s">
        <v>963</v>
      </c>
      <c r="C5" s="9" t="n">
        <v>0.005</v>
      </c>
      <c r="D5" s="9" t="n">
        <v>0.005</v>
      </c>
      <c r="E5" s="9" t="n">
        <v>0.01</v>
      </c>
      <c r="F5" s="9" t="n">
        <v>0.005</v>
      </c>
      <c r="G5" s="9" t="n">
        <v>0.005</v>
      </c>
      <c r="H5" s="9" t="n">
        <v>0.01</v>
      </c>
      <c r="I5" s="9" t="n">
        <v>0.005</v>
      </c>
      <c r="J5" s="9" t="n">
        <v>0.005</v>
      </c>
      <c r="K5" s="9" t="n">
        <v>0.01</v>
      </c>
      <c r="L5" s="9" t="n">
        <v>0.01</v>
      </c>
      <c r="M5" s="9" t="n">
        <v>0.005</v>
      </c>
      <c r="N5" s="9" t="n">
        <v>0.725007</v>
      </c>
      <c r="O5" s="9" t="n">
        <v>0.004124</v>
      </c>
      <c r="P5" s="9" t="n">
        <v>1.988039</v>
      </c>
      <c r="Q5" s="9" t="n">
        <v>0.601712982290746</v>
      </c>
      <c r="R5" s="9" t="n">
        <v>0.169060450549532</v>
      </c>
      <c r="S5" s="9" t="n">
        <v>0.261491550603994</v>
      </c>
      <c r="T5" s="9" t="n">
        <v>0.0871228523992337</v>
      </c>
      <c r="U5" s="9" t="n">
        <v>0.043622</v>
      </c>
      <c r="V5" s="9" t="n">
        <v>0.002521</v>
      </c>
      <c r="W5" s="9" t="n">
        <v>0.010402</v>
      </c>
      <c r="X5" s="9" t="n">
        <v>0.868130364419962</v>
      </c>
      <c r="Y5" s="9" t="n">
        <v>0.868130364419962</v>
      </c>
      <c r="Z5" s="9" t="n">
        <v>0.28</v>
      </c>
      <c r="AA5" s="9" t="n">
        <v>0.06</v>
      </c>
      <c r="AB5" s="9" t="n">
        <v>0</v>
      </c>
      <c r="AC5" s="9" t="n">
        <v>0</v>
      </c>
      <c r="AD5" s="9" t="n">
        <v>0</v>
      </c>
      <c r="AE5" s="9" t="n">
        <v>5.893</v>
      </c>
      <c r="AF5" s="9" t="n">
        <v>37.2627375805809</v>
      </c>
      <c r="AG5" s="9" t="n">
        <v>34.32841056</v>
      </c>
      <c r="AH5" s="9" t="n">
        <v>34.6716946656</v>
      </c>
      <c r="AI5" s="9" t="n">
        <v>34.6716946656</v>
      </c>
      <c r="AJ5" s="9" t="n">
        <v>1.38762838939224</v>
      </c>
      <c r="AK5" s="9" t="n">
        <v>0</v>
      </c>
      <c r="AL5" s="9" t="n">
        <v>0</v>
      </c>
      <c r="AM5" s="9" t="n">
        <v>0</v>
      </c>
      <c r="AN5" s="9" t="n">
        <v>0</v>
      </c>
      <c r="AO5" s="9" t="n">
        <v>23.1034968699273</v>
      </c>
      <c r="AP5" s="9" t="n">
        <v>22.0305591</v>
      </c>
      <c r="AQ5" s="9" t="n">
        <v>22.250864691</v>
      </c>
      <c r="AR5" s="9" t="n">
        <v>22.250864691</v>
      </c>
      <c r="AS5" s="9" t="n">
        <v>8.03690646297975</v>
      </c>
      <c r="AT5" s="9" t="n">
        <v>8.3715065616687</v>
      </c>
      <c r="AU5" s="9" t="n">
        <v>8.07954150099205</v>
      </c>
      <c r="AV5" s="9" t="n">
        <v>8.05224368974833</v>
      </c>
      <c r="AW5" s="9" t="n">
        <v>11.8857309809446</v>
      </c>
      <c r="AX5" s="9" t="n">
        <v>12.328618752</v>
      </c>
      <c r="AY5" s="9" t="n">
        <v>11.9487836734838</v>
      </c>
      <c r="AZ5" s="9" t="n">
        <v>11.9084131102196</v>
      </c>
      <c r="BA5" s="9" t="n">
        <v>42.4142368764626</v>
      </c>
      <c r="BB5" s="9" t="n">
        <v>43.2229093883995</v>
      </c>
      <c r="BC5" s="9" t="n">
        <v>39.1928416137695</v>
      </c>
      <c r="BD5" s="9" t="n">
        <v>41.36386017</v>
      </c>
      <c r="BE5" s="9" t="n">
        <v>2.60718223736192</v>
      </c>
      <c r="BF5" s="9" t="n">
        <v>2.58604162544643</v>
      </c>
      <c r="BG5" s="9" t="n">
        <v>2.61190204170089</v>
      </c>
      <c r="BH5" s="9" t="n">
        <v>2.61190204170089</v>
      </c>
      <c r="BI5" s="9" t="n">
        <v>28.4213590791113</v>
      </c>
      <c r="BJ5" s="9" t="n">
        <v>27.42355</v>
      </c>
      <c r="BK5" s="9" t="n">
        <v>27.6977855</v>
      </c>
      <c r="BL5" s="9" t="n">
        <v>27.6977855</v>
      </c>
      <c r="BM5" s="9" t="n">
        <v>2.87982003060738</v>
      </c>
      <c r="BN5" s="9" t="n">
        <v>2.86648968924</v>
      </c>
      <c r="BO5" s="9" t="n">
        <v>2.8951545861324</v>
      </c>
      <c r="BP5" s="9" t="n">
        <v>2.8951545861324</v>
      </c>
      <c r="BQ5" s="9" t="n">
        <v>0</v>
      </c>
      <c r="BR5" s="9" t="n">
        <v>0</v>
      </c>
      <c r="BS5" s="9" t="n">
        <v>0</v>
      </c>
      <c r="BT5" s="9" t="n">
        <v>0</v>
      </c>
      <c r="BU5" s="9" t="n">
        <v>0</v>
      </c>
      <c r="BV5" s="9" t="n">
        <v>1.55191219682831</v>
      </c>
      <c r="BW5" s="9" t="n">
        <v>3.2424263323205</v>
      </c>
      <c r="BX5" s="9" t="n">
        <v>1.51529810391891</v>
      </c>
      <c r="BY5" s="9" t="n">
        <v>1.51535616165219</v>
      </c>
      <c r="BZ5" s="9" t="n">
        <v>5.53406595664564</v>
      </c>
      <c r="CA5" s="9" t="n">
        <v>-0.289054062638969</v>
      </c>
      <c r="CB5" s="9" t="n">
        <v>3.004</v>
      </c>
      <c r="CC5" s="9" t="n">
        <v>3</v>
      </c>
      <c r="CD5" s="9" t="n">
        <v>17.817</v>
      </c>
      <c r="CE5" s="9" t="n">
        <v>0.75</v>
      </c>
      <c r="CF5" s="9" t="n">
        <v>0.03</v>
      </c>
      <c r="CG5" s="9" t="n">
        <v>0.13</v>
      </c>
      <c r="CH5" s="9" t="n">
        <v>0</v>
      </c>
      <c r="CI5" s="9" t="n">
        <v>0.1</v>
      </c>
      <c r="CJ5" s="9" t="n">
        <v>0.11</v>
      </c>
      <c r="CK5" s="9" t="n">
        <v>0.99</v>
      </c>
      <c r="CL5" s="9" t="n">
        <v>0</v>
      </c>
      <c r="CM5" s="9" t="n">
        <v>29.715</v>
      </c>
      <c r="CN5" s="9" t="n">
        <v>29.862</v>
      </c>
      <c r="CO5" s="9" t="n">
        <v>3</v>
      </c>
      <c r="CP5" s="9" t="n">
        <v>1</v>
      </c>
      <c r="CQ5" s="9" t="n">
        <v>0.5</v>
      </c>
      <c r="CR5" s="9" t="n">
        <v>0.3</v>
      </c>
      <c r="CS5" s="9" t="n">
        <v>0.6</v>
      </c>
      <c r="CT5" s="9" t="n">
        <v>0.8</v>
      </c>
      <c r="CU5" s="9" t="n">
        <v>0.8</v>
      </c>
      <c r="CV5" s="9" t="n">
        <v>0.7</v>
      </c>
      <c r="CW5" s="9" t="n">
        <v>0.5</v>
      </c>
      <c r="CX5" s="9" t="n">
        <v>0.5</v>
      </c>
      <c r="CY5" s="9" t="n">
        <v>1</v>
      </c>
      <c r="CZ5" s="9" t="n">
        <v>0.3</v>
      </c>
      <c r="DA5" s="9" t="n">
        <v>0.8</v>
      </c>
      <c r="DB5" s="9" t="n">
        <v>0.186823672510695</v>
      </c>
      <c r="DC5" s="9" t="n">
        <v>7.124</v>
      </c>
      <c r="DD5" s="9" t="n">
        <v>4.833</v>
      </c>
      <c r="DE5" s="9" t="n">
        <v>12.5961</v>
      </c>
      <c r="DF5" s="9" t="n">
        <v>20.3004462505755</v>
      </c>
      <c r="DG5" s="9" t="n">
        <v>22.6481523740239</v>
      </c>
      <c r="DH5" s="9" t="n">
        <v>18.9992645216477</v>
      </c>
      <c r="DI5" s="9" t="n">
        <v>21.6876941327321</v>
      </c>
      <c r="DJ5" s="9" t="n">
        <v>6.449</v>
      </c>
      <c r="DK5" s="9" t="n">
        <v>5.125</v>
      </c>
      <c r="DL5" s="9" t="n">
        <v>15.829</v>
      </c>
      <c r="DM5" s="9" t="n">
        <v>14.1151698941595</v>
      </c>
      <c r="DN5" s="9" t="n">
        <v>14.1151698941595</v>
      </c>
      <c r="DO5" s="9" t="n">
        <v>0.105</v>
      </c>
    </row>
    <row r="6" customFormat="false" ht="15" hidden="false" customHeight="false" outlineLevel="0" collapsed="false">
      <c r="A6" s="9" t="s">
        <v>828</v>
      </c>
      <c r="B6" s="9" t="s">
        <v>829</v>
      </c>
      <c r="C6" s="9" t="n">
        <v>0.005</v>
      </c>
      <c r="D6" s="9" t="n">
        <v>0.005</v>
      </c>
      <c r="E6" s="9" t="n">
        <v>0.01</v>
      </c>
      <c r="F6" s="9" t="n">
        <v>0.005</v>
      </c>
      <c r="G6" s="9" t="n">
        <v>0.005</v>
      </c>
      <c r="H6" s="9" t="n">
        <v>0.01</v>
      </c>
      <c r="I6" s="9" t="n">
        <v>0.005</v>
      </c>
      <c r="J6" s="9" t="n">
        <v>0.005</v>
      </c>
      <c r="K6" s="9" t="n">
        <v>0.01</v>
      </c>
      <c r="L6" s="9" t="n">
        <v>0.01</v>
      </c>
      <c r="M6" s="9" t="n">
        <v>0.005</v>
      </c>
      <c r="N6" s="9" t="n">
        <v>0.282221</v>
      </c>
      <c r="O6" s="9" t="n">
        <v>0.199568</v>
      </c>
      <c r="P6" s="9" t="n">
        <v>7.193399</v>
      </c>
      <c r="Q6" s="9" t="n">
        <v>2.82226742912424</v>
      </c>
      <c r="R6" s="9" t="n">
        <v>0.64461445810006</v>
      </c>
      <c r="S6" s="9" t="n">
        <v>0.584468451117002</v>
      </c>
      <c r="T6" s="9" t="n">
        <v>0.2070622378037</v>
      </c>
      <c r="U6" s="9" t="n">
        <v>0.012474</v>
      </c>
      <c r="V6" s="9" t="n">
        <v>0.011921</v>
      </c>
      <c r="W6" s="9" t="n">
        <v>0.017842</v>
      </c>
      <c r="X6" s="9" t="n">
        <v>0.570209573541995</v>
      </c>
      <c r="Y6" s="9" t="n">
        <v>0.570209573541995</v>
      </c>
      <c r="Z6" s="9" t="n">
        <v>2.36</v>
      </c>
      <c r="AA6" s="9" t="n">
        <v>0.36</v>
      </c>
      <c r="AB6" s="9" t="n">
        <v>0</v>
      </c>
      <c r="AC6" s="9" t="n">
        <v>0</v>
      </c>
      <c r="AD6" s="9" t="n">
        <v>0</v>
      </c>
      <c r="AE6" s="9" t="n">
        <v>19.873</v>
      </c>
      <c r="AF6" s="9" t="n">
        <v>0</v>
      </c>
      <c r="AG6" s="9" t="n">
        <v>0</v>
      </c>
      <c r="AH6" s="9" t="n">
        <v>0</v>
      </c>
      <c r="AI6" s="9" t="n">
        <v>0</v>
      </c>
      <c r="AJ6" s="9" t="n">
        <v>0</v>
      </c>
      <c r="AK6" s="9" t="n">
        <v>0</v>
      </c>
      <c r="AL6" s="9" t="n">
        <v>0</v>
      </c>
      <c r="AM6" s="9" t="n">
        <v>0</v>
      </c>
      <c r="AN6" s="9" t="n">
        <v>0</v>
      </c>
      <c r="AO6" s="9" t="n">
        <v>52.3231026042953</v>
      </c>
      <c r="AP6" s="9" t="n">
        <v>55.3656125</v>
      </c>
      <c r="AQ6" s="9" t="n">
        <v>50.9333707641892</v>
      </c>
      <c r="AR6" s="9" t="n">
        <v>51.4427044718311</v>
      </c>
      <c r="AS6" s="9" t="n">
        <v>18.0114540828934</v>
      </c>
      <c r="AT6" s="9" t="n">
        <v>16.0100008164</v>
      </c>
      <c r="AU6" s="9" t="n">
        <v>16.1649244140471</v>
      </c>
      <c r="AV6" s="9" t="n">
        <v>14.5163932328114</v>
      </c>
      <c r="AW6" s="9" t="n">
        <v>35.3368906309402</v>
      </c>
      <c r="AX6" s="9" t="n">
        <v>31.4102151468</v>
      </c>
      <c r="AY6" s="9" t="n">
        <v>31.714161635574</v>
      </c>
      <c r="AZ6" s="9" t="n">
        <v>28.4798882790242</v>
      </c>
      <c r="BA6" s="9" t="n">
        <v>41.4113219310071</v>
      </c>
      <c r="BB6" s="9" t="n">
        <v>34.2626940723474</v>
      </c>
      <c r="BC6" s="9" t="n">
        <v>49.7212310188792</v>
      </c>
      <c r="BD6" s="9" t="n">
        <v>39.9838140689361</v>
      </c>
      <c r="BE6" s="9" t="n">
        <v>0</v>
      </c>
      <c r="BF6" s="9" t="n">
        <v>0</v>
      </c>
      <c r="BG6" s="9" t="n">
        <v>0</v>
      </c>
      <c r="BH6" s="9" t="n">
        <v>0</v>
      </c>
      <c r="BI6" s="9" t="n">
        <v>81.8539584753504</v>
      </c>
      <c r="BJ6" s="9" t="n">
        <v>80.3369272899999</v>
      </c>
      <c r="BK6" s="9" t="n">
        <v>73.9056305701897</v>
      </c>
      <c r="BL6" s="9" t="n">
        <v>74.6446868758915</v>
      </c>
      <c r="BM6" s="9" t="n">
        <v>25.8874094117745</v>
      </c>
      <c r="BN6" s="9" t="n">
        <v>27.1973565036</v>
      </c>
      <c r="BO6" s="9" t="n">
        <v>25.0200978559334</v>
      </c>
      <c r="BP6" s="9" t="n">
        <v>25.2702988344928</v>
      </c>
      <c r="BQ6" s="9" t="n">
        <v>37.6942768605852</v>
      </c>
      <c r="BR6" s="9" t="n">
        <v>0</v>
      </c>
      <c r="BS6" s="9" t="n">
        <v>0</v>
      </c>
      <c r="BT6" s="9" t="n">
        <v>0</v>
      </c>
      <c r="BU6" s="9" t="n">
        <v>0</v>
      </c>
      <c r="BV6" s="9" t="n">
        <v>41.1628268956314</v>
      </c>
      <c r="BW6" s="9" t="n">
        <v>82.1666544349773</v>
      </c>
      <c r="BX6" s="9" t="n">
        <v>60.1611639102454</v>
      </c>
      <c r="BY6" s="9" t="n">
        <v>39.4015422544266</v>
      </c>
      <c r="BZ6" s="9" t="n">
        <v>14.8189846427315</v>
      </c>
      <c r="CA6" s="9" t="n">
        <v>-0.576392206574379</v>
      </c>
      <c r="CB6" s="9" t="n">
        <v>3.13</v>
      </c>
      <c r="CC6" s="9" t="n">
        <v>2.294</v>
      </c>
      <c r="CD6" s="9" t="n">
        <v>119.574</v>
      </c>
      <c r="CE6" s="9" t="n">
        <v>11.05</v>
      </c>
      <c r="CF6" s="9" t="n">
        <v>0</v>
      </c>
      <c r="CG6" s="9" t="n">
        <v>4.1</v>
      </c>
      <c r="CH6" s="9" t="n">
        <v>1.4</v>
      </c>
      <c r="CI6" s="9" t="n">
        <v>2.7</v>
      </c>
      <c r="CJ6" s="9" t="n">
        <v>0.44</v>
      </c>
      <c r="CK6" s="9" t="n">
        <v>15.59</v>
      </c>
      <c r="CL6" s="9" t="n">
        <v>0</v>
      </c>
      <c r="CM6" s="9" t="n">
        <v>70.933</v>
      </c>
      <c r="CN6" s="9" t="n">
        <v>113.459</v>
      </c>
      <c r="CO6" s="9" t="n">
        <v>3</v>
      </c>
      <c r="CP6" s="9" t="n">
        <v>2</v>
      </c>
      <c r="CQ6" s="9" t="n">
        <v>0.5</v>
      </c>
      <c r="CR6" s="9" t="n">
        <v>0.3</v>
      </c>
      <c r="CS6" s="9" t="n">
        <v>0.6</v>
      </c>
      <c r="CT6" s="9" t="n">
        <v>0.8</v>
      </c>
      <c r="CU6" s="9" t="n">
        <v>0.8</v>
      </c>
      <c r="CV6" s="9" t="n">
        <v>0.7</v>
      </c>
      <c r="CW6" s="9" t="n">
        <v>0.5</v>
      </c>
      <c r="CX6" s="9" t="n">
        <v>0.5</v>
      </c>
      <c r="CY6" s="9" t="n">
        <v>1</v>
      </c>
      <c r="CZ6" s="9" t="n">
        <v>0.3</v>
      </c>
      <c r="DA6" s="9" t="n">
        <v>0.8</v>
      </c>
      <c r="DB6" s="9" t="n">
        <v>0.314756221472305</v>
      </c>
      <c r="DC6" s="9" t="n">
        <v>7.124</v>
      </c>
      <c r="DD6" s="9" t="n">
        <v>5.575</v>
      </c>
      <c r="DE6" s="9" t="n">
        <v>13.90002</v>
      </c>
      <c r="DF6" s="9" t="n">
        <v>20.8891012487133</v>
      </c>
      <c r="DG6" s="9" t="n">
        <v>23.3714348462414</v>
      </c>
      <c r="DH6" s="9" t="n">
        <v>15.656114517978</v>
      </c>
      <c r="DI6" s="9" t="n">
        <v>22.525485480069</v>
      </c>
      <c r="DJ6" s="9" t="n">
        <v>6.696</v>
      </c>
      <c r="DK6" s="9" t="n">
        <v>6.034</v>
      </c>
      <c r="DL6" s="9" t="n">
        <v>12.16038</v>
      </c>
      <c r="DM6" s="9" t="n">
        <v>13.4947462084719</v>
      </c>
      <c r="DN6" s="9" t="n">
        <v>13.4947462084719</v>
      </c>
      <c r="DO6" s="9" t="n">
        <v>0.105</v>
      </c>
    </row>
    <row r="7" customFormat="false" ht="15" hidden="false" customHeight="false" outlineLevel="0" collapsed="false">
      <c r="A7" s="9" t="s">
        <v>926</v>
      </c>
      <c r="B7" s="9" t="s">
        <v>927</v>
      </c>
      <c r="C7" s="9" t="n">
        <v>0.005</v>
      </c>
      <c r="D7" s="9" t="n">
        <v>0.005</v>
      </c>
      <c r="E7" s="9" t="n">
        <v>0.01</v>
      </c>
      <c r="F7" s="9" t="n">
        <v>0.005</v>
      </c>
      <c r="G7" s="9" t="n">
        <v>0.005</v>
      </c>
      <c r="H7" s="9" t="n">
        <v>0.01</v>
      </c>
      <c r="I7" s="9" t="n">
        <v>0.005</v>
      </c>
      <c r="J7" s="9" t="n">
        <v>0.005</v>
      </c>
      <c r="K7" s="9" t="n">
        <v>0.01</v>
      </c>
      <c r="L7" s="9" t="n">
        <v>0.01</v>
      </c>
      <c r="M7" s="9" t="n">
        <v>0.005</v>
      </c>
      <c r="N7" s="9" t="n">
        <v>0.854677</v>
      </c>
      <c r="O7" s="9" t="n">
        <v>0.895432</v>
      </c>
      <c r="P7" s="9" t="n">
        <v>66.69538</v>
      </c>
      <c r="Q7" s="9" t="n">
        <v>12.628384518218</v>
      </c>
      <c r="R7" s="9" t="n">
        <v>1.36280681526371</v>
      </c>
      <c r="S7" s="9" t="n">
        <v>4.13292283298359</v>
      </c>
      <c r="T7" s="9" t="n">
        <v>4.78849850279422</v>
      </c>
      <c r="U7" s="9" t="n">
        <v>0.552136</v>
      </c>
      <c r="V7" s="9" t="n">
        <v>0.090351</v>
      </c>
      <c r="W7" s="9" t="n">
        <v>0.198232</v>
      </c>
      <c r="X7" s="9" t="n">
        <v>8.99269448693404</v>
      </c>
      <c r="Y7" s="9" t="n">
        <v>8.99269448693404</v>
      </c>
      <c r="Z7" s="9" t="n">
        <v>0</v>
      </c>
      <c r="AA7" s="9" t="n">
        <v>0</v>
      </c>
      <c r="AB7" s="9" t="n">
        <v>0</v>
      </c>
      <c r="AC7" s="9" t="n">
        <v>3.2</v>
      </c>
      <c r="AD7" s="9" t="n">
        <v>0</v>
      </c>
      <c r="AE7" s="9" t="n">
        <v>4.479</v>
      </c>
      <c r="AF7" s="9" t="n">
        <v>9.97487854267697</v>
      </c>
      <c r="AG7" s="9" t="n">
        <v>9.370351476</v>
      </c>
      <c r="AH7" s="9" t="n">
        <v>9.726424832088</v>
      </c>
      <c r="AI7" s="9" t="n">
        <v>9.35682068846866</v>
      </c>
      <c r="AJ7" s="9" t="n">
        <v>0</v>
      </c>
      <c r="AK7" s="9" t="n">
        <v>0.148804118247981</v>
      </c>
      <c r="AL7" s="9" t="n">
        <v>0.1366529652</v>
      </c>
      <c r="AM7" s="9" t="n">
        <v>0.1418457778776</v>
      </c>
      <c r="AN7" s="9" t="n">
        <v>0.136455638318251</v>
      </c>
      <c r="AO7" s="9" t="n">
        <v>20.5965809763196</v>
      </c>
      <c r="AP7" s="9" t="n">
        <v>20.44319436</v>
      </c>
      <c r="AQ7" s="9" t="n">
        <v>21.22003574568</v>
      </c>
      <c r="AR7" s="9" t="n">
        <v>20.4136743873442</v>
      </c>
      <c r="AS7" s="9" t="n">
        <v>12.7454619098858</v>
      </c>
      <c r="AT7" s="9" t="n">
        <v>11.3797391472</v>
      </c>
      <c r="AU7" s="9" t="n">
        <v>12.2743682984316</v>
      </c>
      <c r="AV7" s="9" t="n">
        <v>12.9295518294378</v>
      </c>
      <c r="AW7" s="9" t="n">
        <v>14.0308456059169</v>
      </c>
      <c r="AX7" s="9" t="n">
        <v>12.6167417676</v>
      </c>
      <c r="AY7" s="9" t="n">
        <v>13.5124101646102</v>
      </c>
      <c r="AZ7" s="9" t="n">
        <v>14.2338085184506</v>
      </c>
      <c r="BA7" s="9" t="n">
        <v>3.10989478635522</v>
      </c>
      <c r="BB7" s="9" t="n">
        <v>3.08675624</v>
      </c>
      <c r="BC7" s="9" t="n">
        <v>3.17044114028001</v>
      </c>
      <c r="BD7" s="9" t="n">
        <v>3.08229896398944</v>
      </c>
      <c r="BE7" s="9" t="n">
        <v>0</v>
      </c>
      <c r="BF7" s="9" t="n">
        <v>0</v>
      </c>
      <c r="BG7" s="9" t="n">
        <v>0</v>
      </c>
      <c r="BH7" s="9" t="n">
        <v>0</v>
      </c>
      <c r="BI7" s="9" t="n">
        <v>5.42520198172018</v>
      </c>
      <c r="BJ7" s="9" t="n">
        <v>5.11917439999999</v>
      </c>
      <c r="BK7" s="9" t="n">
        <v>5.31370302719999</v>
      </c>
      <c r="BL7" s="9" t="n">
        <v>5.11178231216639</v>
      </c>
      <c r="BM7" s="9" t="n">
        <v>1.615326743173</v>
      </c>
      <c r="BN7" s="9" t="n">
        <v>1.5822000936</v>
      </c>
      <c r="BO7" s="9" t="n">
        <v>1.6423236971568</v>
      </c>
      <c r="BP7" s="9" t="n">
        <v>1.57991539666484</v>
      </c>
      <c r="BQ7" s="9" t="n">
        <v>0</v>
      </c>
      <c r="BR7" s="9" t="n">
        <v>0.276937947836834</v>
      </c>
      <c r="BS7" s="9" t="n">
        <v>0.2712585852</v>
      </c>
      <c r="BT7" s="9" t="n">
        <v>0.2815664114376</v>
      </c>
      <c r="BU7" s="9" t="n">
        <v>0.270866887802971</v>
      </c>
      <c r="BV7" s="9" t="n">
        <v>12.71096421317</v>
      </c>
      <c r="BW7" s="9" t="n">
        <v>12.2765943320446</v>
      </c>
      <c r="BX7" s="9" t="n">
        <v>12.7372056268683</v>
      </c>
      <c r="BY7" s="9" t="n">
        <v>12.2588669908356</v>
      </c>
      <c r="BZ7" s="9" t="n">
        <v>7.43786319883408</v>
      </c>
      <c r="CA7" s="9" t="n">
        <v>0</v>
      </c>
      <c r="CB7" s="9" t="n">
        <v>3.705</v>
      </c>
      <c r="CC7" s="9" t="n">
        <v>3.409</v>
      </c>
      <c r="CD7" s="9" t="n">
        <v>27.084</v>
      </c>
      <c r="CE7" s="9" t="n">
        <v>6.707</v>
      </c>
      <c r="CF7" s="9" t="n">
        <v>0</v>
      </c>
      <c r="CG7" s="9" t="n">
        <v>0</v>
      </c>
      <c r="CH7" s="9" t="n">
        <v>0</v>
      </c>
      <c r="CI7" s="9" t="n">
        <v>0</v>
      </c>
      <c r="CJ7" s="9" t="n">
        <v>0.404</v>
      </c>
      <c r="CK7" s="9" t="n">
        <v>7.111</v>
      </c>
      <c r="CL7" s="9" t="n">
        <v>0</v>
      </c>
      <c r="CM7" s="9" t="n">
        <v>8.074</v>
      </c>
      <c r="CN7" s="9" t="n">
        <v>7.828</v>
      </c>
      <c r="CO7" s="9" t="n">
        <v>3</v>
      </c>
      <c r="CP7" s="9" t="n">
        <v>3</v>
      </c>
      <c r="CQ7" s="9" t="n">
        <v>0.5</v>
      </c>
      <c r="CR7" s="9" t="n">
        <v>0.3</v>
      </c>
      <c r="CS7" s="9" t="n">
        <v>0.6</v>
      </c>
      <c r="CT7" s="9" t="n">
        <v>0.8</v>
      </c>
      <c r="CU7" s="9" t="n">
        <v>0.8</v>
      </c>
      <c r="CV7" s="9" t="n">
        <v>0.7</v>
      </c>
      <c r="CW7" s="9" t="n">
        <v>0.5</v>
      </c>
      <c r="CX7" s="9" t="n">
        <v>0.5</v>
      </c>
      <c r="CY7" s="9" t="n">
        <v>1</v>
      </c>
      <c r="CZ7" s="9" t="n">
        <v>0.3</v>
      </c>
      <c r="DA7" s="9" t="n">
        <v>0.8</v>
      </c>
      <c r="DB7" s="9" t="n">
        <v>0.456082446450222</v>
      </c>
      <c r="DC7" s="9" t="n">
        <v>5.333</v>
      </c>
      <c r="DD7" s="9" t="n">
        <v>3.252</v>
      </c>
      <c r="DE7" s="9" t="n">
        <v>9.9468</v>
      </c>
      <c r="DF7" s="9" t="n">
        <v>21.5940178880976</v>
      </c>
      <c r="DG7" s="9" t="n">
        <v>23.9347790403932</v>
      </c>
      <c r="DH7" s="9" t="n">
        <v>15.656114517978</v>
      </c>
      <c r="DI7" s="9" t="n">
        <v>22.2650090981185</v>
      </c>
      <c r="DJ7" s="9" t="n">
        <v>6.853</v>
      </c>
      <c r="DK7" s="9" t="n">
        <v>6.191</v>
      </c>
      <c r="DL7" s="9" t="n">
        <v>12.9876</v>
      </c>
      <c r="DM7" s="9" t="n">
        <v>13.4947462084719</v>
      </c>
      <c r="DN7" s="9" t="n">
        <v>13.4947462084719</v>
      </c>
      <c r="DO7" s="9" t="n">
        <v>0.105</v>
      </c>
    </row>
    <row r="8" customFormat="false" ht="15" hidden="false" customHeight="false" outlineLevel="0" collapsed="false">
      <c r="A8" s="9" t="s">
        <v>748</v>
      </c>
      <c r="B8" s="9" t="s">
        <v>749</v>
      </c>
      <c r="C8" s="9" t="n">
        <v>0.005</v>
      </c>
      <c r="D8" s="9" t="n">
        <v>0.005</v>
      </c>
      <c r="E8" s="9" t="n">
        <v>0.01</v>
      </c>
      <c r="F8" s="9" t="n">
        <v>0.005</v>
      </c>
      <c r="G8" s="9" t="n">
        <v>0.005</v>
      </c>
      <c r="H8" s="9" t="n">
        <v>0.01</v>
      </c>
      <c r="I8" s="9" t="n">
        <v>0.005</v>
      </c>
      <c r="J8" s="9" t="n">
        <v>0.005</v>
      </c>
      <c r="K8" s="9" t="n">
        <v>0.01</v>
      </c>
      <c r="L8" s="9" t="n">
        <v>0.01</v>
      </c>
      <c r="M8" s="9" t="n">
        <v>0.005</v>
      </c>
      <c r="N8" s="9" t="n">
        <v>4.186571</v>
      </c>
      <c r="O8" s="9" t="n">
        <v>1.405832</v>
      </c>
      <c r="P8" s="9" t="n">
        <v>10.854225</v>
      </c>
      <c r="Q8" s="9" t="n">
        <v>6.44630044785936</v>
      </c>
      <c r="R8" s="9" t="n">
        <v>1.45397134779956</v>
      </c>
      <c r="S8" s="9" t="n">
        <v>1.94109329135418</v>
      </c>
      <c r="T8" s="9" t="n">
        <v>2.63653301635063</v>
      </c>
      <c r="U8" s="9" t="n">
        <v>0.238403</v>
      </c>
      <c r="V8" s="9" t="n">
        <v>0.22187</v>
      </c>
      <c r="W8" s="9" t="n">
        <v>0.020982</v>
      </c>
      <c r="X8" s="9" t="n">
        <v>5.66906491196066</v>
      </c>
      <c r="Y8" s="9" t="n">
        <v>5.66906491196066</v>
      </c>
      <c r="Z8" s="9" t="n">
        <v>41.7</v>
      </c>
      <c r="AA8" s="9" t="n">
        <v>6.5</v>
      </c>
      <c r="AB8" s="9" t="n">
        <v>0.11</v>
      </c>
      <c r="AC8" s="9" t="n">
        <v>3</v>
      </c>
      <c r="AD8" s="9" t="n">
        <v>4.26254690681819</v>
      </c>
      <c r="AE8" s="9" t="n">
        <v>230.363</v>
      </c>
      <c r="AF8" s="9" t="n">
        <v>96.9384440651994</v>
      </c>
      <c r="AG8" s="9" t="n">
        <v>86.409857952</v>
      </c>
      <c r="AH8" s="9" t="n">
        <v>87.27395653152</v>
      </c>
      <c r="AI8" s="9" t="n">
        <v>89.69823310184</v>
      </c>
      <c r="AJ8" s="9" t="n">
        <v>5.38750387861316</v>
      </c>
      <c r="AK8" s="9" t="n">
        <v>0</v>
      </c>
      <c r="AL8" s="9" t="n">
        <v>0</v>
      </c>
      <c r="AM8" s="9" t="n">
        <v>0</v>
      </c>
      <c r="AN8" s="9" t="n">
        <v>0</v>
      </c>
      <c r="AO8" s="9" t="n">
        <v>143.662926910226</v>
      </c>
      <c r="AP8" s="9" t="n">
        <v>131.30044618</v>
      </c>
      <c r="AQ8" s="9" t="n">
        <v>132.6134506418</v>
      </c>
      <c r="AR8" s="9" t="n">
        <v>136.297157604072</v>
      </c>
      <c r="AS8" s="9" t="n">
        <v>393.282411055476</v>
      </c>
      <c r="AT8" s="9" t="n">
        <v>330.5355340608</v>
      </c>
      <c r="AU8" s="9" t="n">
        <v>357.791463576954</v>
      </c>
      <c r="AV8" s="9" t="n">
        <v>382.694346758473</v>
      </c>
      <c r="AW8" s="9" t="n">
        <v>180.251711908122</v>
      </c>
      <c r="AX8" s="9" t="n">
        <v>154.5886888632</v>
      </c>
      <c r="AY8" s="9" t="n">
        <v>163.98527369372</v>
      </c>
      <c r="AZ8" s="9" t="n">
        <v>175.398922508753</v>
      </c>
      <c r="BA8" s="9" t="n">
        <v>366.236139116346</v>
      </c>
      <c r="BB8" s="9" t="n">
        <v>322.848792274079</v>
      </c>
      <c r="BC8" s="9" t="n">
        <v>349.82194356</v>
      </c>
      <c r="BD8" s="9" t="n">
        <v>347.122701790794</v>
      </c>
      <c r="BE8" s="9" t="n">
        <v>0</v>
      </c>
      <c r="BF8" s="9" t="n">
        <v>0</v>
      </c>
      <c r="BG8" s="9" t="n">
        <v>0</v>
      </c>
      <c r="BH8" s="9" t="n">
        <v>0</v>
      </c>
      <c r="BI8" s="9" t="n">
        <v>9.93200999117625</v>
      </c>
      <c r="BJ8" s="9" t="n">
        <v>9.17246726999998</v>
      </c>
      <c r="BK8" s="9" t="n">
        <v>9.26419194269998</v>
      </c>
      <c r="BL8" s="9" t="n">
        <v>9.52153060777498</v>
      </c>
      <c r="BM8" s="9" t="n">
        <v>1201.58195533496</v>
      </c>
      <c r="BN8" s="9" t="n">
        <v>1057.54464936</v>
      </c>
      <c r="BO8" s="9" t="n">
        <v>1068.1200958536</v>
      </c>
      <c r="BP8" s="9" t="n">
        <v>1097.7900985162</v>
      </c>
      <c r="BQ8" s="9" t="n">
        <v>1240.16238402117</v>
      </c>
      <c r="BR8" s="9" t="n">
        <v>0</v>
      </c>
      <c r="BS8" s="9" t="n">
        <v>0</v>
      </c>
      <c r="BT8" s="9" t="n">
        <v>0</v>
      </c>
      <c r="BU8" s="9" t="n">
        <v>0</v>
      </c>
      <c r="BV8" s="9" t="n">
        <v>104.191365404468</v>
      </c>
      <c r="BW8" s="9" t="n">
        <v>105.491638439751</v>
      </c>
      <c r="BX8" s="9" t="n">
        <v>97.9926030742982</v>
      </c>
      <c r="BY8" s="9" t="n">
        <v>100.718146087599</v>
      </c>
      <c r="BZ8" s="9" t="n">
        <v>159.315034156555</v>
      </c>
      <c r="CA8" s="9" t="n">
        <v>6.82055401990636</v>
      </c>
      <c r="CB8" s="9" t="n">
        <v>5.804</v>
      </c>
      <c r="CC8" s="9" t="n">
        <v>3.143</v>
      </c>
      <c r="CD8" s="9" t="n">
        <v>552.325</v>
      </c>
      <c r="CE8" s="9" t="n">
        <v>40.84</v>
      </c>
      <c r="CF8" s="9" t="n">
        <v>0</v>
      </c>
      <c r="CG8" s="9" t="n">
        <v>121.01</v>
      </c>
      <c r="CH8" s="9" t="n">
        <v>121.01</v>
      </c>
      <c r="CI8" s="9" t="n">
        <v>0</v>
      </c>
      <c r="CJ8" s="9" t="n">
        <v>15.21</v>
      </c>
      <c r="CK8" s="9" t="n">
        <v>177.26</v>
      </c>
      <c r="CL8" s="9" t="n">
        <v>0.2</v>
      </c>
      <c r="CM8" s="9" t="n">
        <v>313.523</v>
      </c>
      <c r="CN8" s="9" t="n">
        <v>313.523</v>
      </c>
      <c r="CO8" s="9" t="n">
        <v>3</v>
      </c>
      <c r="CP8" s="9" t="n">
        <v>4</v>
      </c>
      <c r="CQ8" s="9" t="n">
        <v>0.5</v>
      </c>
      <c r="CR8" s="9" t="n">
        <v>0.3</v>
      </c>
      <c r="CS8" s="9" t="n">
        <v>0.6</v>
      </c>
      <c r="CT8" s="9" t="n">
        <v>0.8</v>
      </c>
      <c r="CU8" s="9" t="n">
        <v>0.8</v>
      </c>
      <c r="CV8" s="9" t="n">
        <v>0.7</v>
      </c>
      <c r="CW8" s="9" t="n">
        <v>0.5</v>
      </c>
      <c r="CX8" s="9" t="n">
        <v>0.5</v>
      </c>
      <c r="CY8" s="9" t="n">
        <v>1</v>
      </c>
      <c r="CZ8" s="9" t="n">
        <v>0.3</v>
      </c>
      <c r="DA8" s="9" t="n">
        <v>0.8</v>
      </c>
      <c r="DB8" s="9" t="n">
        <v>0.633616763526985</v>
      </c>
      <c r="DC8" s="9" t="n">
        <v>7.124</v>
      </c>
      <c r="DD8" s="9" t="n">
        <v>5.575</v>
      </c>
      <c r="DE8" s="9" t="n">
        <v>12.80265</v>
      </c>
      <c r="DF8" s="9" t="n">
        <v>20.1507218491178</v>
      </c>
      <c r="DG8" s="9" t="n">
        <v>21.6186909024774</v>
      </c>
      <c r="DH8" s="9" t="n">
        <v>17.2720586560434</v>
      </c>
      <c r="DI8" s="9" t="n">
        <v>20.4046297565926</v>
      </c>
      <c r="DJ8" s="9" t="n">
        <v>6.831</v>
      </c>
      <c r="DK8" s="9" t="n">
        <v>5.975</v>
      </c>
      <c r="DL8" s="9" t="n">
        <v>12.5643</v>
      </c>
      <c r="DM8" s="9" t="n">
        <v>14.1151698941595</v>
      </c>
      <c r="DN8" s="9" t="n">
        <v>14.1151698941595</v>
      </c>
      <c r="DO8" s="9" t="n">
        <v>0.0535</v>
      </c>
    </row>
    <row r="9" customFormat="false" ht="15" hidden="false" customHeight="false" outlineLevel="0" collapsed="false">
      <c r="A9" s="9" t="s">
        <v>736</v>
      </c>
      <c r="B9" s="9" t="s">
        <v>737</v>
      </c>
      <c r="C9" s="9" t="n">
        <v>0.005</v>
      </c>
      <c r="D9" s="9" t="n">
        <v>0.005</v>
      </c>
      <c r="E9" s="9" t="n">
        <v>0.01</v>
      </c>
      <c r="F9" s="9" t="n">
        <v>0.005</v>
      </c>
      <c r="G9" s="9" t="n">
        <v>0.005</v>
      </c>
      <c r="H9" s="9" t="n">
        <v>0.01</v>
      </c>
      <c r="I9" s="9" t="n">
        <v>0.005</v>
      </c>
      <c r="J9" s="9" t="n">
        <v>0.005</v>
      </c>
      <c r="K9" s="9" t="n">
        <v>0.01</v>
      </c>
      <c r="L9" s="9" t="n">
        <v>0.01</v>
      </c>
      <c r="M9" s="9" t="n">
        <v>0.005</v>
      </c>
      <c r="N9" s="9" t="n">
        <v>3.013924</v>
      </c>
      <c r="O9" s="9" t="n">
        <v>1.427653</v>
      </c>
      <c r="P9" s="9" t="n">
        <v>49.865627</v>
      </c>
      <c r="Q9" s="9" t="n">
        <v>16.4953174926847</v>
      </c>
      <c r="R9" s="9" t="n">
        <v>2.56985039065203</v>
      </c>
      <c r="S9" s="9" t="n">
        <v>1.93913296567849</v>
      </c>
      <c r="T9" s="9" t="n">
        <v>1.67147093049109</v>
      </c>
      <c r="U9" s="9" t="n">
        <v>0.096787</v>
      </c>
      <c r="V9" s="9" t="n">
        <v>0.090456</v>
      </c>
      <c r="W9" s="9" t="n">
        <v>0.07618</v>
      </c>
      <c r="X9" s="9" t="n">
        <v>7.32220959974661</v>
      </c>
      <c r="Y9" s="9" t="n">
        <v>7.32220959974661</v>
      </c>
      <c r="Z9" s="9" t="n">
        <v>28.04</v>
      </c>
      <c r="AA9" s="9" t="n">
        <v>2.59</v>
      </c>
      <c r="AB9" s="9" t="n">
        <v>4.5</v>
      </c>
      <c r="AC9" s="9" t="n">
        <v>3.6</v>
      </c>
      <c r="AD9" s="9" t="n">
        <v>0.203583143867623</v>
      </c>
      <c r="AE9" s="9" t="n">
        <v>169.164</v>
      </c>
      <c r="AF9" s="9" t="n">
        <v>21.6795065662164</v>
      </c>
      <c r="AG9" s="9" t="n">
        <v>20.0191674528</v>
      </c>
      <c r="AH9" s="9" t="n">
        <v>20.7398574811008</v>
      </c>
      <c r="AI9" s="9" t="n">
        <v>20.4702393338465</v>
      </c>
      <c r="AJ9" s="9" t="n">
        <v>66.214919243572</v>
      </c>
      <c r="AK9" s="9" t="n">
        <v>0</v>
      </c>
      <c r="AL9" s="9" t="n">
        <v>0</v>
      </c>
      <c r="AM9" s="9" t="n">
        <v>0</v>
      </c>
      <c r="AN9" s="9" t="n">
        <v>0</v>
      </c>
      <c r="AO9" s="9" t="n">
        <v>284.367209169207</v>
      </c>
      <c r="AP9" s="9" t="n">
        <v>296.81961676</v>
      </c>
      <c r="AQ9" s="9" t="n">
        <v>307.50512296336</v>
      </c>
      <c r="AR9" s="9" t="n">
        <v>303.507556364836</v>
      </c>
      <c r="AS9" s="9" t="n">
        <v>282.981208333429</v>
      </c>
      <c r="AT9" s="9" t="n">
        <v>292.076066556</v>
      </c>
      <c r="AU9" s="9" t="n">
        <v>346.242928628353</v>
      </c>
      <c r="AV9" s="9" t="n">
        <v>280.944663508357</v>
      </c>
      <c r="AW9" s="9" t="n">
        <v>162.246793049466</v>
      </c>
      <c r="AX9" s="9" t="n">
        <v>172.6584319944</v>
      </c>
      <c r="AY9" s="9" t="n">
        <v>198.533449771882</v>
      </c>
      <c r="AZ9" s="9" t="n">
        <v>161.061335756082</v>
      </c>
      <c r="BA9" s="9" t="n">
        <v>224.389934096604</v>
      </c>
      <c r="BB9" s="9" t="n">
        <v>233.179494587703</v>
      </c>
      <c r="BC9" s="9" t="n">
        <v>275.96727728</v>
      </c>
      <c r="BD9" s="9" t="n">
        <v>254.841999020932</v>
      </c>
      <c r="BE9" s="9" t="n">
        <v>8.6041300993218</v>
      </c>
      <c r="BF9" s="9" t="n">
        <v>9.57949643999999</v>
      </c>
      <c r="BG9" s="9" t="n">
        <v>9.92435831183999</v>
      </c>
      <c r="BH9" s="9" t="n">
        <v>9.79534165378607</v>
      </c>
      <c r="BI9" s="9" t="n">
        <v>51.2273595603457</v>
      </c>
      <c r="BJ9" s="9" t="n">
        <v>56.5137311599999</v>
      </c>
      <c r="BK9" s="9" t="n">
        <v>58.5482254817599</v>
      </c>
      <c r="BL9" s="9" t="n">
        <v>57.787098550497</v>
      </c>
      <c r="BM9" s="9" t="n">
        <v>477.05652093435</v>
      </c>
      <c r="BN9" s="9" t="n">
        <v>474.6249803772</v>
      </c>
      <c r="BO9" s="9" t="n">
        <v>491.711479670779</v>
      </c>
      <c r="BP9" s="9" t="n">
        <v>485.319230435059</v>
      </c>
      <c r="BQ9" s="9" t="n">
        <v>548.046686392616</v>
      </c>
      <c r="BR9" s="9" t="n">
        <v>419.696591422532</v>
      </c>
      <c r="BS9" s="9" t="n">
        <v>424.6207300692</v>
      </c>
      <c r="BT9" s="9" t="n">
        <v>439.907076351691</v>
      </c>
      <c r="BU9" s="9" t="n">
        <v>434.188284359119</v>
      </c>
      <c r="BV9" s="9" t="n">
        <v>250.883750314047</v>
      </c>
      <c r="BW9" s="9" t="n">
        <v>355.808492898192</v>
      </c>
      <c r="BX9" s="9" t="n">
        <v>260.517612847826</v>
      </c>
      <c r="BY9" s="9" t="n">
        <v>258.299348977798</v>
      </c>
      <c r="BZ9" s="9" t="n">
        <v>123.674444828582</v>
      </c>
      <c r="CA9" s="9" t="n">
        <v>2.48398689968143</v>
      </c>
      <c r="CB9" s="9" t="n">
        <v>4.367</v>
      </c>
      <c r="CC9" s="9" t="n">
        <v>3.5</v>
      </c>
      <c r="CD9" s="9" t="n">
        <v>637.234</v>
      </c>
      <c r="CE9" s="9" t="n">
        <v>39.96</v>
      </c>
      <c r="CF9" s="9" t="n">
        <v>1.34</v>
      </c>
      <c r="CG9" s="9" t="n">
        <v>89.41</v>
      </c>
      <c r="CH9" s="9" t="n">
        <v>82.15</v>
      </c>
      <c r="CI9" s="9" t="n">
        <v>5.92</v>
      </c>
      <c r="CJ9" s="9" t="n">
        <v>5.14</v>
      </c>
      <c r="CK9" s="9" t="n">
        <v>153.13</v>
      </c>
      <c r="CL9" s="9" t="n">
        <v>18.62</v>
      </c>
      <c r="CM9" s="9" t="n">
        <v>370.869</v>
      </c>
      <c r="CN9" s="9" t="n">
        <v>404.174</v>
      </c>
      <c r="CO9" s="9" t="n">
        <v>3</v>
      </c>
      <c r="CP9" s="9" t="n">
        <v>4</v>
      </c>
      <c r="CQ9" s="9" t="n">
        <v>0.5</v>
      </c>
      <c r="CR9" s="9" t="n">
        <v>0.3</v>
      </c>
      <c r="CS9" s="9" t="n">
        <v>0.6</v>
      </c>
      <c r="CT9" s="9" t="n">
        <v>0.8</v>
      </c>
      <c r="CU9" s="9" t="n">
        <v>0.8</v>
      </c>
      <c r="CV9" s="9" t="n">
        <v>0.7</v>
      </c>
      <c r="CW9" s="9" t="n">
        <v>0.5</v>
      </c>
      <c r="CX9" s="9" t="n">
        <v>0.5</v>
      </c>
      <c r="CY9" s="9" t="n">
        <v>1</v>
      </c>
      <c r="CZ9" s="9" t="n">
        <v>0.3</v>
      </c>
      <c r="DA9" s="9" t="n">
        <v>0.8</v>
      </c>
      <c r="DB9" s="9" t="n">
        <v>0.45758351063868</v>
      </c>
      <c r="DC9" s="9" t="n">
        <v>7.084</v>
      </c>
      <c r="DD9" s="9" t="n">
        <v>5.538</v>
      </c>
      <c r="DE9" s="9" t="n">
        <v>14.66641</v>
      </c>
      <c r="DF9" s="9" t="n">
        <v>18.6779313900801</v>
      </c>
      <c r="DG9" s="9" t="n">
        <v>26.1586159919977</v>
      </c>
      <c r="DH9" s="9" t="n">
        <v>18.2066571673704</v>
      </c>
      <c r="DI9" s="9" t="n">
        <v>23.8784498473143</v>
      </c>
      <c r="DJ9" s="9" t="n">
        <v>8.851</v>
      </c>
      <c r="DK9" s="9" t="n">
        <v>8.117</v>
      </c>
      <c r="DL9" s="9" t="n">
        <v>16.04097</v>
      </c>
      <c r="DM9" s="9" t="n">
        <v>13.4947462084719</v>
      </c>
      <c r="DN9" s="9" t="n">
        <v>13.4947462084719</v>
      </c>
      <c r="DO9" s="9" t="n">
        <v>0.12688</v>
      </c>
    </row>
    <row r="10" customFormat="false" ht="15" hidden="false" customHeight="false" outlineLevel="0" collapsed="false">
      <c r="A10" s="9" t="s">
        <v>920</v>
      </c>
      <c r="B10" s="9" t="s">
        <v>921</v>
      </c>
      <c r="C10" s="9" t="n">
        <v>0.005</v>
      </c>
      <c r="D10" s="9" t="n">
        <v>0.005</v>
      </c>
      <c r="E10" s="9" t="n">
        <v>0.01</v>
      </c>
      <c r="F10" s="9" t="n">
        <v>0.005</v>
      </c>
      <c r="G10" s="9" t="n">
        <v>0.005</v>
      </c>
      <c r="H10" s="9" t="n">
        <v>0.01</v>
      </c>
      <c r="I10" s="9" t="n">
        <v>0.005</v>
      </c>
      <c r="J10" s="9" t="n">
        <v>0.005</v>
      </c>
      <c r="K10" s="9" t="n">
        <v>0.01</v>
      </c>
      <c r="L10" s="9" t="n">
        <v>0.01</v>
      </c>
      <c r="M10" s="9" t="n">
        <v>0.005</v>
      </c>
      <c r="N10" s="9" t="n">
        <v>0</v>
      </c>
      <c r="O10" s="9" t="n">
        <v>0</v>
      </c>
      <c r="P10" s="9" t="n">
        <v>110.464475</v>
      </c>
      <c r="Q10" s="9" t="n">
        <v>35.9450642294623</v>
      </c>
      <c r="R10" s="9" t="n">
        <v>10.8694259665642</v>
      </c>
      <c r="S10" s="9" t="n">
        <v>0</v>
      </c>
      <c r="T10" s="9" t="n">
        <v>0</v>
      </c>
      <c r="U10" s="9" t="n">
        <v>0</v>
      </c>
      <c r="V10" s="9" t="n">
        <v>0</v>
      </c>
      <c r="W10" s="9" t="n">
        <v>0.233965</v>
      </c>
      <c r="X10" s="9" t="n">
        <v>0</v>
      </c>
      <c r="Y10" s="9" t="n">
        <v>0</v>
      </c>
      <c r="Z10" s="9" t="n">
        <v>1.83</v>
      </c>
      <c r="AA10" s="9" t="n">
        <v>0.71</v>
      </c>
      <c r="AB10" s="9" t="n">
        <v>0</v>
      </c>
      <c r="AC10" s="9" t="n">
        <v>0</v>
      </c>
      <c r="AD10" s="9" t="n">
        <v>0</v>
      </c>
      <c r="AE10" s="9" t="n">
        <v>6.321</v>
      </c>
      <c r="AF10" s="9" t="n">
        <v>0</v>
      </c>
      <c r="AG10" s="9" t="n">
        <v>0</v>
      </c>
      <c r="AH10" s="9" t="n">
        <v>0</v>
      </c>
      <c r="AI10" s="9" t="n">
        <v>0</v>
      </c>
      <c r="AJ10" s="9" t="n">
        <v>0</v>
      </c>
      <c r="AK10" s="9" t="n">
        <v>0.438152335086524</v>
      </c>
      <c r="AL10" s="9" t="n">
        <v>0.4774584852</v>
      </c>
      <c r="AM10" s="9" t="n">
        <v>0.423476444220245</v>
      </c>
      <c r="AN10" s="9" t="n">
        <v>0.415947974100774</v>
      </c>
      <c r="AO10" s="9" t="n">
        <v>6.29958771198798</v>
      </c>
      <c r="AP10" s="9" t="n">
        <v>7.00433082</v>
      </c>
      <c r="AQ10" s="9" t="n">
        <v>6.21241260075918</v>
      </c>
      <c r="AR10" s="9" t="n">
        <v>6.10196971007902</v>
      </c>
      <c r="AS10" s="9" t="n">
        <v>14.6975919387473</v>
      </c>
      <c r="AT10" s="9" t="n">
        <v>15.268401306</v>
      </c>
      <c r="AU10" s="9" t="n">
        <v>14.8779272913473</v>
      </c>
      <c r="AV10" s="9" t="n">
        <v>14.5665241530566</v>
      </c>
      <c r="AW10" s="9" t="n">
        <v>7.25599876541104</v>
      </c>
      <c r="AX10" s="9" t="n">
        <v>7.5654387432</v>
      </c>
      <c r="AY10" s="9" t="n">
        <v>7.35291047352617</v>
      </c>
      <c r="AZ10" s="9" t="n">
        <v>7.1941530708733</v>
      </c>
      <c r="BA10" s="9" t="n">
        <v>8.32530668240033</v>
      </c>
      <c r="BB10" s="9" t="n">
        <v>8.83202550100946</v>
      </c>
      <c r="BC10" s="9" t="n">
        <v>9.84082218088771</v>
      </c>
      <c r="BD10" s="9" t="n">
        <v>8.62343737580778</v>
      </c>
      <c r="BE10" s="9" t="n">
        <v>0</v>
      </c>
      <c r="BF10" s="9" t="n">
        <v>0</v>
      </c>
      <c r="BG10" s="9" t="n">
        <v>0</v>
      </c>
      <c r="BH10" s="9" t="n">
        <v>0</v>
      </c>
      <c r="BI10" s="9" t="n">
        <v>0.0154485413962477</v>
      </c>
      <c r="BJ10" s="9" t="n">
        <v>0.016296759707958</v>
      </c>
      <c r="BK10" s="9" t="n">
        <v>0.0144542281001603</v>
      </c>
      <c r="BL10" s="9" t="n">
        <v>0.0141972640450463</v>
      </c>
      <c r="BM10" s="9" t="n">
        <v>27.8723028032627</v>
      </c>
      <c r="BN10" s="9" t="n">
        <v>31.0011940944</v>
      </c>
      <c r="BO10" s="9" t="n">
        <v>27.4961611294413</v>
      </c>
      <c r="BP10" s="9" t="n">
        <v>27.0073404871401</v>
      </c>
      <c r="BQ10" s="9" t="n">
        <v>27.2888381198715</v>
      </c>
      <c r="BR10" s="9" t="n">
        <v>30.7325984602606</v>
      </c>
      <c r="BS10" s="9" t="n">
        <v>34.16795145</v>
      </c>
      <c r="BT10" s="9" t="n">
        <v>30.3048810207551</v>
      </c>
      <c r="BU10" s="9" t="n">
        <v>29.7661275803861</v>
      </c>
      <c r="BV10" s="9" t="n">
        <v>4.61028203201886</v>
      </c>
      <c r="BW10" s="9" t="n">
        <v>4.92863827874264</v>
      </c>
      <c r="BX10" s="9" t="n">
        <v>4.38404094457211</v>
      </c>
      <c r="BY10" s="9" t="n">
        <v>4.29954133031268</v>
      </c>
      <c r="BZ10" s="9" t="n">
        <v>6.09821964004399</v>
      </c>
      <c r="CA10" s="9" t="n">
        <v>0.290727711658225</v>
      </c>
      <c r="CB10" s="9" t="n">
        <v>7.162</v>
      </c>
      <c r="CC10" s="9" t="n">
        <v>5.3</v>
      </c>
      <c r="CD10" s="9" t="n">
        <v>25.955</v>
      </c>
      <c r="CE10" s="9" t="n">
        <v>4.58</v>
      </c>
      <c r="CF10" s="9" t="n">
        <v>0</v>
      </c>
      <c r="CG10" s="9" t="n">
        <v>3.31</v>
      </c>
      <c r="CH10" s="9" t="n">
        <v>3.31</v>
      </c>
      <c r="CI10" s="9" t="n">
        <v>0</v>
      </c>
      <c r="CJ10" s="9" t="n">
        <v>0.73</v>
      </c>
      <c r="CK10" s="9" t="n">
        <v>8.62</v>
      </c>
      <c r="CL10" s="9" t="n">
        <v>0</v>
      </c>
      <c r="CM10" s="9" t="n">
        <v>9.564</v>
      </c>
      <c r="CN10" s="9" t="n">
        <v>9.609</v>
      </c>
      <c r="CO10" s="9" t="n">
        <v>3</v>
      </c>
      <c r="CP10" s="9" t="n">
        <v>3</v>
      </c>
      <c r="CQ10" s="9" t="n">
        <v>0.5</v>
      </c>
      <c r="CR10" s="9" t="n">
        <v>0.3</v>
      </c>
      <c r="CS10" s="9" t="n">
        <v>0.6</v>
      </c>
      <c r="CT10" s="9" t="n">
        <v>0.8</v>
      </c>
      <c r="CU10" s="9" t="n">
        <v>0.8</v>
      </c>
      <c r="CV10" s="9" t="n">
        <v>0.7</v>
      </c>
      <c r="CW10" s="9" t="n">
        <v>0.5</v>
      </c>
      <c r="CX10" s="9" t="n">
        <v>0.5</v>
      </c>
      <c r="CY10" s="9" t="n">
        <v>1</v>
      </c>
      <c r="CZ10" s="9" t="n">
        <v>0.3</v>
      </c>
      <c r="DA10" s="9" t="n">
        <v>0.8</v>
      </c>
      <c r="DB10" s="9" t="n">
        <v>0.37443917076619</v>
      </c>
      <c r="DC10" s="9" t="n">
        <v>7.123</v>
      </c>
      <c r="DD10" s="9" t="n">
        <v>4.35</v>
      </c>
      <c r="DE10" s="9" t="n">
        <v>13.1604</v>
      </c>
      <c r="DF10" s="9" t="n">
        <v>22.5916532400023</v>
      </c>
      <c r="DG10" s="9" t="n">
        <v>24.818428732956</v>
      </c>
      <c r="DH10" s="9" t="n">
        <v>15.656114517978</v>
      </c>
      <c r="DI10" s="9" t="n">
        <v>19.9179287641379</v>
      </c>
      <c r="DJ10" s="9" t="n">
        <v>3.922</v>
      </c>
      <c r="DK10" s="9" t="n">
        <v>2.599</v>
      </c>
      <c r="DL10" s="9" t="n">
        <v>14.2368</v>
      </c>
      <c r="DM10" s="9" t="n">
        <v>13.4947462084719</v>
      </c>
      <c r="DN10" s="9" t="n">
        <v>13.4947462084719</v>
      </c>
      <c r="DO10" s="9" t="n">
        <v>0.105</v>
      </c>
    </row>
    <row r="11" customFormat="false" ht="15" hidden="false" customHeight="false" outlineLevel="0" collapsed="false">
      <c r="A11" s="9" t="s">
        <v>1038</v>
      </c>
      <c r="B11" s="9" t="s">
        <v>1039</v>
      </c>
      <c r="C11" s="9" t="n">
        <v>0.005</v>
      </c>
      <c r="D11" s="9" t="n">
        <v>0.005</v>
      </c>
      <c r="E11" s="9" t="n">
        <v>0.01</v>
      </c>
      <c r="F11" s="9" t="n">
        <v>0.005</v>
      </c>
      <c r="G11" s="9" t="n">
        <v>0.005</v>
      </c>
      <c r="H11" s="9" t="n">
        <v>0.01</v>
      </c>
      <c r="I11" s="9" t="n">
        <v>0.005</v>
      </c>
      <c r="J11" s="9" t="n">
        <v>0.005</v>
      </c>
      <c r="K11" s="9" t="n">
        <v>0.01</v>
      </c>
      <c r="L11" s="9" t="n">
        <v>0.01</v>
      </c>
      <c r="M11" s="9" t="n">
        <v>0.005</v>
      </c>
      <c r="N11" s="9" t="n">
        <v>0</v>
      </c>
      <c r="O11" s="9" t="n">
        <v>0</v>
      </c>
      <c r="P11" s="9" t="n">
        <v>0</v>
      </c>
      <c r="Q11" s="9" t="n">
        <v>0</v>
      </c>
      <c r="R11" s="9" t="n">
        <v>0</v>
      </c>
      <c r="S11" s="9" t="n">
        <v>0</v>
      </c>
      <c r="T11" s="9" t="n">
        <v>0</v>
      </c>
      <c r="U11" s="9" t="n">
        <v>0</v>
      </c>
      <c r="V11" s="9" t="n">
        <v>0</v>
      </c>
      <c r="W11" s="9" t="n">
        <v>0</v>
      </c>
      <c r="X11" s="9" t="n">
        <v>0</v>
      </c>
      <c r="Y11" s="9" t="n">
        <v>0</v>
      </c>
      <c r="Z11" s="9" t="n">
        <v>0</v>
      </c>
      <c r="AA11" s="9" t="n">
        <v>0.02</v>
      </c>
      <c r="AB11" s="9" t="n">
        <v>0</v>
      </c>
      <c r="AC11" s="9" t="n">
        <v>0</v>
      </c>
      <c r="AD11" s="9" t="n">
        <v>0</v>
      </c>
      <c r="AE11" s="9" t="n">
        <v>0.265</v>
      </c>
      <c r="AF11" s="9" t="n">
        <v>0</v>
      </c>
      <c r="AG11" s="9" t="n">
        <v>0</v>
      </c>
      <c r="AH11" s="9" t="n">
        <v>0</v>
      </c>
      <c r="AI11" s="9" t="n">
        <v>0</v>
      </c>
      <c r="AJ11" s="9" t="n">
        <v>0</v>
      </c>
      <c r="AK11" s="9" t="n">
        <v>0</v>
      </c>
      <c r="AL11" s="9" t="n">
        <v>0</v>
      </c>
      <c r="AM11" s="9" t="n">
        <v>0</v>
      </c>
      <c r="AN11" s="9" t="n">
        <v>0</v>
      </c>
      <c r="AO11" s="9" t="n">
        <v>1.11888310937285</v>
      </c>
      <c r="AP11" s="9" t="n">
        <v>1.09719114638979</v>
      </c>
      <c r="AQ11" s="9" t="n">
        <v>1.09719114638979</v>
      </c>
      <c r="AR11" s="9" t="n">
        <v>1.09719114638979</v>
      </c>
      <c r="AS11" s="9" t="n">
        <v>0.794263440206947</v>
      </c>
      <c r="AT11" s="9" t="n">
        <v>0.720719981359717</v>
      </c>
      <c r="AU11" s="9" t="n">
        <v>0.757377287186725</v>
      </c>
      <c r="AV11" s="9" t="n">
        <v>0.775273247074465</v>
      </c>
      <c r="AW11" s="9" t="n">
        <v>0.40605478465523</v>
      </c>
      <c r="AX11" s="9" t="n">
        <v>0.373680013458252</v>
      </c>
      <c r="AY11" s="9" t="n">
        <v>0.387197314748918</v>
      </c>
      <c r="AZ11" s="9" t="n">
        <v>0.396346344869858</v>
      </c>
      <c r="BA11" s="9" t="n">
        <v>2.5765005638379</v>
      </c>
      <c r="BB11" s="9" t="n">
        <v>2.5245264430746</v>
      </c>
      <c r="BC11" s="9" t="n">
        <v>2.52452643534841</v>
      </c>
      <c r="BD11" s="9" t="n">
        <v>2.5245264430746</v>
      </c>
      <c r="BE11" s="9" t="n">
        <v>0</v>
      </c>
      <c r="BF11" s="9" t="n">
        <v>0</v>
      </c>
      <c r="BG11" s="9" t="n">
        <v>0</v>
      </c>
      <c r="BH11" s="9" t="n">
        <v>0</v>
      </c>
      <c r="BI11" s="9" t="n">
        <v>0.145658208847887</v>
      </c>
      <c r="BJ11" s="9" t="n">
        <v>0.142251958972244</v>
      </c>
      <c r="BK11" s="9" t="n">
        <v>0.142251958972244</v>
      </c>
      <c r="BL11" s="9" t="n">
        <v>0.142251958972244</v>
      </c>
      <c r="BM11" s="9" t="n">
        <v>0</v>
      </c>
      <c r="BN11" s="9" t="n">
        <v>0</v>
      </c>
      <c r="BO11" s="9" t="n">
        <v>0</v>
      </c>
      <c r="BP11" s="9" t="n">
        <v>0</v>
      </c>
      <c r="BQ11" s="9" t="n">
        <v>0</v>
      </c>
      <c r="BR11" s="9" t="n">
        <v>0</v>
      </c>
      <c r="BS11" s="9" t="n">
        <v>0</v>
      </c>
      <c r="BT11" s="9" t="n">
        <v>0</v>
      </c>
      <c r="BU11" s="9" t="n">
        <v>0</v>
      </c>
      <c r="BV11" s="9" t="n">
        <v>8.75792067457771</v>
      </c>
      <c r="BW11" s="9" t="n">
        <v>8.9060001560161</v>
      </c>
      <c r="BX11" s="9" t="n">
        <v>8.80049829151212</v>
      </c>
      <c r="BY11" s="9" t="n">
        <v>8.69803539636095</v>
      </c>
      <c r="BZ11" s="9" t="n">
        <v>0.333421729128382</v>
      </c>
      <c r="CA11" s="9" t="n">
        <v>0.797940797940799</v>
      </c>
      <c r="CB11" s="9" t="n">
        <v>3.039</v>
      </c>
      <c r="CC11" s="9" t="n">
        <v>2.593</v>
      </c>
      <c r="CD11" s="9" t="n">
        <v>2.162</v>
      </c>
      <c r="CE11" s="9" t="n">
        <v>0</v>
      </c>
      <c r="CF11" s="9" t="n">
        <v>0</v>
      </c>
      <c r="CG11" s="9" t="n">
        <v>0.34</v>
      </c>
      <c r="CH11" s="9" t="n">
        <v>0</v>
      </c>
      <c r="CI11" s="9" t="n">
        <v>0.34</v>
      </c>
      <c r="CJ11" s="9" t="n">
        <v>0.03</v>
      </c>
      <c r="CK11" s="9" t="n">
        <v>0.37</v>
      </c>
      <c r="CL11" s="9" t="n">
        <v>0</v>
      </c>
      <c r="CM11" s="9" t="n">
        <v>0.348</v>
      </c>
      <c r="CN11" s="9" t="n">
        <v>0.348</v>
      </c>
      <c r="CO11" s="9" t="n">
        <v>3</v>
      </c>
      <c r="CP11" s="9" t="n">
        <v>4</v>
      </c>
      <c r="CQ11" s="9" t="n">
        <v>0.5</v>
      </c>
      <c r="CR11" s="9" t="n">
        <v>0.3</v>
      </c>
      <c r="CS11" s="9" t="n">
        <v>0.6</v>
      </c>
      <c r="CT11" s="9" t="n">
        <v>0.8</v>
      </c>
      <c r="CU11" s="9" t="n">
        <v>0.8</v>
      </c>
      <c r="CV11" s="9" t="n">
        <v>0.7</v>
      </c>
      <c r="CW11" s="9" t="n">
        <v>0.5</v>
      </c>
      <c r="CX11" s="9" t="n">
        <v>0.5</v>
      </c>
      <c r="CY11" s="9" t="n">
        <v>1</v>
      </c>
      <c r="CZ11" s="9" t="n">
        <v>0.3</v>
      </c>
      <c r="DA11" s="9" t="n">
        <v>0.8</v>
      </c>
      <c r="DB11" s="9" t="n">
        <v>0.691397505596418</v>
      </c>
      <c r="DC11" s="9" t="n">
        <v>7.124</v>
      </c>
      <c r="DD11" s="9" t="n">
        <v>5.575</v>
      </c>
      <c r="DE11" s="9" t="n">
        <v>14.02195</v>
      </c>
      <c r="DF11" s="9" t="n">
        <v>18.1533597227954</v>
      </c>
      <c r="DG11" s="9" t="n">
        <v>24.6779072420899</v>
      </c>
      <c r="DH11" s="9" t="n">
        <v>15.0468241052648</v>
      </c>
      <c r="DI11" s="9" t="n">
        <v>23.2960921522699</v>
      </c>
      <c r="DJ11" s="9" t="n">
        <v>12.771</v>
      </c>
      <c r="DK11" s="9" t="n">
        <v>11.447</v>
      </c>
      <c r="DL11" s="9" t="n">
        <v>23.8188</v>
      </c>
      <c r="DM11" s="9" t="n">
        <v>13.8335961925958</v>
      </c>
      <c r="DN11" s="9" t="n">
        <v>13.8335961925958</v>
      </c>
      <c r="DO11" s="9" t="n">
        <v>0.105</v>
      </c>
    </row>
    <row r="12" customFormat="false" ht="15" hidden="false" customHeight="false" outlineLevel="0" collapsed="false">
      <c r="A12" s="9" t="s">
        <v>718</v>
      </c>
      <c r="B12" s="9" t="s">
        <v>719</v>
      </c>
      <c r="C12" s="9" t="n">
        <v>0.005</v>
      </c>
      <c r="D12" s="9" t="n">
        <v>0.005</v>
      </c>
      <c r="E12" s="9" t="n">
        <v>0.01</v>
      </c>
      <c r="F12" s="9" t="n">
        <v>0.005</v>
      </c>
      <c r="G12" s="9" t="n">
        <v>0.005</v>
      </c>
      <c r="H12" s="9" t="n">
        <v>0.01</v>
      </c>
      <c r="I12" s="9" t="n">
        <v>0.005</v>
      </c>
      <c r="J12" s="9" t="n">
        <v>0.005</v>
      </c>
      <c r="K12" s="9" t="n">
        <v>0.01</v>
      </c>
      <c r="L12" s="9" t="n">
        <v>0.01</v>
      </c>
      <c r="M12" s="9" t="n">
        <v>0.005</v>
      </c>
      <c r="N12" s="9" t="n">
        <v>1.190358</v>
      </c>
      <c r="O12" s="9" t="n">
        <v>1.043582</v>
      </c>
      <c r="P12" s="9" t="n">
        <v>69.0966</v>
      </c>
      <c r="Q12" s="9" t="n">
        <v>5.14784882447308</v>
      </c>
      <c r="R12" s="9" t="n">
        <v>0.616247075328556</v>
      </c>
      <c r="S12" s="9" t="n">
        <v>1.7170863465758</v>
      </c>
      <c r="T12" s="9" t="n">
        <v>0.965139666315821</v>
      </c>
      <c r="U12" s="9" t="n">
        <v>0.08416</v>
      </c>
      <c r="V12" s="9" t="n">
        <v>0.125549</v>
      </c>
      <c r="W12" s="9" t="n">
        <v>0.070985</v>
      </c>
      <c r="X12" s="9" t="n">
        <v>2.95740875630725</v>
      </c>
      <c r="Y12" s="9" t="n">
        <v>2.95740875630725</v>
      </c>
      <c r="Z12" s="9" t="n">
        <v>49.98</v>
      </c>
      <c r="AA12" s="9" t="n">
        <v>41.07</v>
      </c>
      <c r="AB12" s="9" t="n">
        <v>16.35</v>
      </c>
      <c r="AC12" s="9" t="n">
        <v>2</v>
      </c>
      <c r="AD12" s="9" t="n">
        <v>2.436623189527</v>
      </c>
      <c r="AE12" s="9" t="n">
        <v>386.813</v>
      </c>
      <c r="AF12" s="9" t="n">
        <v>133.101159565046</v>
      </c>
      <c r="AG12" s="9" t="n">
        <v>142.256724858</v>
      </c>
      <c r="AH12" s="9" t="n">
        <v>160.488538882484</v>
      </c>
      <c r="AI12" s="9" t="n">
        <v>171.378832592367</v>
      </c>
      <c r="AJ12" s="9" t="n">
        <v>191.878207703934</v>
      </c>
      <c r="AK12" s="9" t="n">
        <v>5.33998098877511</v>
      </c>
      <c r="AL12" s="9" t="n">
        <v>5.7206634876</v>
      </c>
      <c r="AM12" s="9" t="n">
        <v>6.45383144789635</v>
      </c>
      <c r="AN12" s="9" t="n">
        <v>6.89177001043218</v>
      </c>
      <c r="AO12" s="9" t="n">
        <v>795.296536956813</v>
      </c>
      <c r="AP12" s="9" t="n">
        <v>633.558005509756</v>
      </c>
      <c r="AQ12" s="9" t="n">
        <v>714.755655334093</v>
      </c>
      <c r="AR12" s="9" t="n">
        <v>763.256931946049</v>
      </c>
      <c r="AS12" s="9" t="n">
        <v>683.432976408866</v>
      </c>
      <c r="AT12" s="9" t="n">
        <v>542.8655791488</v>
      </c>
      <c r="AU12" s="9" t="n">
        <v>625.310011892786</v>
      </c>
      <c r="AV12" s="9" t="n">
        <v>693.631246774105</v>
      </c>
      <c r="AW12" s="9" t="n">
        <v>295.988300106702</v>
      </c>
      <c r="AX12" s="9" t="n">
        <v>236.08799982</v>
      </c>
      <c r="AY12" s="9" t="n">
        <v>270.799499388182</v>
      </c>
      <c r="AZ12" s="9" t="n">
        <v>300.428731560999</v>
      </c>
      <c r="BA12" s="9" t="n">
        <v>636.105350944729</v>
      </c>
      <c r="BB12" s="9" t="n">
        <v>626.694836610868</v>
      </c>
      <c r="BC12" s="9" t="n">
        <v>471.615964309705</v>
      </c>
      <c r="BD12" s="9" t="n">
        <v>616.629603916206</v>
      </c>
      <c r="BE12" s="9" t="n">
        <v>0</v>
      </c>
      <c r="BF12" s="9" t="n">
        <v>0</v>
      </c>
      <c r="BG12" s="9" t="n">
        <v>0</v>
      </c>
      <c r="BH12" s="9" t="n">
        <v>0</v>
      </c>
      <c r="BI12" s="9" t="n">
        <v>18.9662575749347</v>
      </c>
      <c r="BJ12" s="9" t="n">
        <v>15.17656548</v>
      </c>
      <c r="BK12" s="9" t="n">
        <v>17.1216146130934</v>
      </c>
      <c r="BL12" s="9" t="n">
        <v>18.283438461839</v>
      </c>
      <c r="BM12" s="9" t="n">
        <v>732.513288815831</v>
      </c>
      <c r="BN12" s="9" t="n">
        <v>638.6689080864</v>
      </c>
      <c r="BO12" s="9" t="n">
        <v>720.521578088993</v>
      </c>
      <c r="BP12" s="9" t="n">
        <v>769.414113745032</v>
      </c>
      <c r="BQ12" s="9" t="n">
        <v>1294.29555691717</v>
      </c>
      <c r="BR12" s="9" t="n">
        <v>264.405320188817</v>
      </c>
      <c r="BS12" s="9" t="n">
        <v>221.9847179652</v>
      </c>
      <c r="BT12" s="9" t="n">
        <v>250.434579286406</v>
      </c>
      <c r="BU12" s="9" t="n">
        <v>267.428354309412</v>
      </c>
      <c r="BV12" s="9" t="n">
        <v>1292.41612068375</v>
      </c>
      <c r="BW12" s="9" t="n">
        <v>663.18269424298</v>
      </c>
      <c r="BX12" s="9" t="n">
        <v>1076.72064097727</v>
      </c>
      <c r="BY12" s="9" t="n">
        <v>1216.14811197756</v>
      </c>
      <c r="BZ12" s="9" t="n">
        <v>272.061465698769</v>
      </c>
      <c r="CA12" s="9" t="n">
        <v>2.2221612820765</v>
      </c>
      <c r="CB12" s="9" t="n">
        <v>1.971</v>
      </c>
      <c r="CC12" s="9" t="n">
        <v>2.009</v>
      </c>
      <c r="CD12" s="9" t="n">
        <v>1799.418</v>
      </c>
      <c r="CE12" s="9" t="n">
        <v>15.25</v>
      </c>
      <c r="CF12" s="9" t="n">
        <v>122.31</v>
      </c>
      <c r="CG12" s="9" t="n">
        <v>175.72</v>
      </c>
      <c r="CH12" s="9" t="n">
        <v>47.05</v>
      </c>
      <c r="CI12" s="9" t="n">
        <v>6.36</v>
      </c>
      <c r="CJ12" s="9" t="n">
        <v>56.42</v>
      </c>
      <c r="CK12" s="9" t="n">
        <v>286.68</v>
      </c>
      <c r="CL12" s="9" t="n">
        <v>39.29</v>
      </c>
      <c r="CM12" s="9" t="n">
        <v>517.295</v>
      </c>
      <c r="CN12" s="9" t="n">
        <v>464.132</v>
      </c>
      <c r="CO12" s="9" t="n">
        <v>1</v>
      </c>
      <c r="CP12" s="9" t="n">
        <v>4</v>
      </c>
      <c r="CQ12" s="9" t="n">
        <v>0.5</v>
      </c>
      <c r="CR12" s="9" t="n">
        <v>0.3</v>
      </c>
      <c r="CS12" s="9" t="n">
        <v>0.6</v>
      </c>
      <c r="CT12" s="9" t="n">
        <v>0.8</v>
      </c>
      <c r="CU12" s="9" t="n">
        <v>0.8</v>
      </c>
      <c r="CV12" s="9" t="n">
        <v>0.7</v>
      </c>
      <c r="CW12" s="9" t="n">
        <v>0.5</v>
      </c>
      <c r="CX12" s="9" t="n">
        <v>0.5</v>
      </c>
      <c r="CY12" s="9" t="n">
        <v>1</v>
      </c>
      <c r="CZ12" s="9" t="n">
        <v>0.3</v>
      </c>
      <c r="DA12" s="9" t="n">
        <v>0.8</v>
      </c>
      <c r="DB12" s="9" t="n">
        <v>0.943347302884116</v>
      </c>
      <c r="DC12" s="9" t="n">
        <v>3.54</v>
      </c>
      <c r="DD12" s="9" t="n">
        <v>2.199</v>
      </c>
      <c r="DE12" s="9" t="n">
        <v>6.0962</v>
      </c>
      <c r="DF12" s="9" t="n">
        <v>20.0152083955062</v>
      </c>
      <c r="DG12" s="9" t="n">
        <v>22.5701134752503</v>
      </c>
      <c r="DH12" s="9" t="n">
        <v>17.2720586560434</v>
      </c>
      <c r="DI12" s="9" t="n">
        <v>20.6760837731063</v>
      </c>
      <c r="DJ12" s="9" t="n">
        <v>9.928</v>
      </c>
      <c r="DK12" s="9" t="n">
        <v>8.604</v>
      </c>
      <c r="DL12" s="9" t="n">
        <v>19.657</v>
      </c>
      <c r="DM12" s="9" t="n">
        <v>14.1151698941595</v>
      </c>
      <c r="DN12" s="9" t="n">
        <v>14.1151698941595</v>
      </c>
      <c r="DO12" s="9" t="n">
        <v>0.0502</v>
      </c>
    </row>
    <row r="13" customFormat="false" ht="15" hidden="false" customHeight="false" outlineLevel="0" collapsed="false">
      <c r="A13" s="9" t="s">
        <v>758</v>
      </c>
      <c r="B13" s="9" t="s">
        <v>759</v>
      </c>
      <c r="C13" s="9" t="n">
        <v>0.005</v>
      </c>
      <c r="D13" s="9" t="n">
        <v>0.005</v>
      </c>
      <c r="E13" s="9" t="n">
        <v>0.01</v>
      </c>
      <c r="F13" s="9" t="n">
        <v>0.005</v>
      </c>
      <c r="G13" s="9" t="n">
        <v>0.005</v>
      </c>
      <c r="H13" s="9" t="n">
        <v>0.01</v>
      </c>
      <c r="I13" s="9" t="n">
        <v>0.005</v>
      </c>
      <c r="J13" s="9" t="n">
        <v>0.005</v>
      </c>
      <c r="K13" s="9" t="n">
        <v>0.01</v>
      </c>
      <c r="L13" s="9" t="n">
        <v>0.01</v>
      </c>
      <c r="M13" s="9" t="n">
        <v>0.005</v>
      </c>
      <c r="N13" s="9" t="n">
        <v>2.58947</v>
      </c>
      <c r="O13" s="9" t="n">
        <v>0.002993</v>
      </c>
      <c r="P13" s="9" t="n">
        <v>70.933532</v>
      </c>
      <c r="Q13" s="9" t="n">
        <v>3.88849071421811</v>
      </c>
      <c r="R13" s="9" t="n">
        <v>0.929575112654541</v>
      </c>
      <c r="S13" s="9" t="n">
        <v>9.31544111997192</v>
      </c>
      <c r="T13" s="9" t="n">
        <v>14.1583556901227</v>
      </c>
      <c r="U13" s="9" t="n">
        <v>0.444925</v>
      </c>
      <c r="V13" s="9" t="n">
        <v>0.084597</v>
      </c>
      <c r="W13" s="9" t="n">
        <v>0.189354</v>
      </c>
      <c r="X13" s="9" t="n">
        <v>4.39310551343838</v>
      </c>
      <c r="Y13" s="9" t="n">
        <v>4.39310551343838</v>
      </c>
      <c r="Z13" s="9" t="n">
        <v>5.53</v>
      </c>
      <c r="AA13" s="9" t="n">
        <v>10.3</v>
      </c>
      <c r="AB13" s="9" t="n">
        <v>4.29</v>
      </c>
      <c r="AC13" s="9" t="n">
        <v>0</v>
      </c>
      <c r="AD13" s="9" t="n">
        <v>0</v>
      </c>
      <c r="AE13" s="9" t="n">
        <v>64.767</v>
      </c>
      <c r="AF13" s="9" t="n">
        <v>30.6594591962903</v>
      </c>
      <c r="AG13" s="9" t="n">
        <v>35.65928961</v>
      </c>
      <c r="AH13" s="9" t="n">
        <v>34.7204817693417</v>
      </c>
      <c r="AI13" s="9" t="n">
        <v>34.546879360495</v>
      </c>
      <c r="AJ13" s="9" t="n">
        <v>21.9735506007578</v>
      </c>
      <c r="AK13" s="9" t="n">
        <v>0.567604990944473</v>
      </c>
      <c r="AL13" s="9" t="n">
        <v>0.612905652</v>
      </c>
      <c r="AM13" s="9" t="n">
        <v>0.596769586532222</v>
      </c>
      <c r="AN13" s="9" t="n">
        <v>0.593785738599561</v>
      </c>
      <c r="AO13" s="9" t="n">
        <v>242.126573638093</v>
      </c>
      <c r="AP13" s="9" t="n">
        <v>245.468502618333</v>
      </c>
      <c r="AQ13" s="9" t="n">
        <v>239.006013953721</v>
      </c>
      <c r="AR13" s="9" t="n">
        <v>237.810983883953</v>
      </c>
      <c r="AS13" s="9" t="n">
        <v>150.839033708986</v>
      </c>
      <c r="AT13" s="9" t="n">
        <v>155.2611475584</v>
      </c>
      <c r="AU13" s="9" t="n">
        <v>151.803974456231</v>
      </c>
      <c r="AV13" s="9" t="n">
        <v>159.054026511824</v>
      </c>
      <c r="AW13" s="9" t="n">
        <v>74.6207407000669</v>
      </c>
      <c r="AX13" s="9" t="n">
        <v>76.77042084</v>
      </c>
      <c r="AY13" s="9" t="n">
        <v>75.0582059897129</v>
      </c>
      <c r="AZ13" s="9" t="n">
        <v>78.7180351278122</v>
      </c>
      <c r="BA13" s="9" t="n">
        <v>61.9875444617741</v>
      </c>
      <c r="BB13" s="9" t="n">
        <v>62.6630026464</v>
      </c>
      <c r="BC13" s="9" t="n">
        <v>65.2478089536</v>
      </c>
      <c r="BD13" s="9" t="n">
        <v>60.708201621772</v>
      </c>
      <c r="BE13" s="9" t="n">
        <v>0</v>
      </c>
      <c r="BF13" s="9" t="n">
        <v>0</v>
      </c>
      <c r="BG13" s="9" t="n">
        <v>0</v>
      </c>
      <c r="BH13" s="9" t="n">
        <v>0</v>
      </c>
      <c r="BI13" s="9" t="n">
        <v>1.49772831393902</v>
      </c>
      <c r="BJ13" s="9" t="n">
        <v>1.35210043</v>
      </c>
      <c r="BK13" s="9" t="n">
        <v>1.31650346497562</v>
      </c>
      <c r="BL13" s="9" t="n">
        <v>1.30992094765074</v>
      </c>
      <c r="BM13" s="9" t="n">
        <v>147.380720432172</v>
      </c>
      <c r="BN13" s="9" t="n">
        <v>126.495599994</v>
      </c>
      <c r="BO13" s="9" t="n">
        <v>123.165330031195</v>
      </c>
      <c r="BP13" s="9" t="n">
        <v>122.549503381039</v>
      </c>
      <c r="BQ13" s="9" t="n">
        <v>45.4486261744296</v>
      </c>
      <c r="BR13" s="9" t="n">
        <v>111.324275630962</v>
      </c>
      <c r="BS13" s="9" t="n">
        <v>99.013277322</v>
      </c>
      <c r="BT13" s="9" t="n">
        <v>96.4065388789239</v>
      </c>
      <c r="BU13" s="9" t="n">
        <v>95.9245061845293</v>
      </c>
      <c r="BV13" s="9" t="n">
        <v>90.7411346762334</v>
      </c>
      <c r="BW13" s="9" t="n">
        <v>101.806827317988</v>
      </c>
      <c r="BX13" s="9" t="n">
        <v>87.0866313502887</v>
      </c>
      <c r="BY13" s="9" t="n">
        <v>86.6299870810075</v>
      </c>
      <c r="BZ13" s="9" t="n">
        <v>62.6277151136259</v>
      </c>
      <c r="CA13" s="9" t="n">
        <v>1.77767555617719</v>
      </c>
      <c r="CB13" s="9" t="n">
        <v>0.616</v>
      </c>
      <c r="CC13" s="9" t="n">
        <v>0.682</v>
      </c>
      <c r="CD13" s="9" t="n">
        <v>534.63</v>
      </c>
      <c r="CE13" s="9" t="n">
        <v>42.59</v>
      </c>
      <c r="CF13" s="9" t="n">
        <v>0</v>
      </c>
      <c r="CG13" s="9" t="n">
        <v>12.07</v>
      </c>
      <c r="CH13" s="9" t="n">
        <v>8.8</v>
      </c>
      <c r="CI13" s="9" t="n">
        <v>3.27</v>
      </c>
      <c r="CJ13" s="9" t="n">
        <v>10.29</v>
      </c>
      <c r="CK13" s="9" t="n">
        <v>73.26</v>
      </c>
      <c r="CL13" s="9" t="n">
        <v>8.31</v>
      </c>
      <c r="CM13" s="9" t="n">
        <v>76.658</v>
      </c>
      <c r="CN13" s="9" t="n">
        <v>66.129</v>
      </c>
      <c r="CO13" s="9" t="n">
        <v>1</v>
      </c>
      <c r="CP13" s="9" t="n">
        <v>4</v>
      </c>
      <c r="CQ13" s="9" t="n">
        <v>0.5</v>
      </c>
      <c r="CR13" s="9" t="n">
        <v>0.3</v>
      </c>
      <c r="CS13" s="9" t="n">
        <v>0.6</v>
      </c>
      <c r="CT13" s="9" t="n">
        <v>0.8</v>
      </c>
      <c r="CU13" s="9" t="n">
        <v>0.8</v>
      </c>
      <c r="CV13" s="9" t="n">
        <v>0.7</v>
      </c>
      <c r="CW13" s="9" t="n">
        <v>0.5</v>
      </c>
      <c r="CX13" s="9" t="n">
        <v>0.5</v>
      </c>
      <c r="CY13" s="9" t="n">
        <v>1</v>
      </c>
      <c r="CZ13" s="9" t="n">
        <v>0.3</v>
      </c>
      <c r="DA13" s="9" t="n">
        <v>0.8</v>
      </c>
      <c r="DB13" s="9" t="n">
        <v>0.794567047678779</v>
      </c>
      <c r="DC13" s="9" t="n">
        <v>19.923</v>
      </c>
      <c r="DD13" s="9" t="n">
        <v>12.129</v>
      </c>
      <c r="DE13" s="9" t="n">
        <v>13.1628</v>
      </c>
      <c r="DF13" s="9" t="n">
        <v>22.8927108294662</v>
      </c>
      <c r="DG13" s="9" t="n">
        <v>24.8375881547875</v>
      </c>
      <c r="DH13" s="9" t="n">
        <v>15.656114517978</v>
      </c>
      <c r="DI13" s="9" t="n">
        <v>21.2587129997477</v>
      </c>
      <c r="DJ13" s="9" t="n">
        <v>15.793</v>
      </c>
      <c r="DK13" s="9" t="n">
        <v>15.793</v>
      </c>
      <c r="DL13" s="9" t="n">
        <v>35.6736</v>
      </c>
      <c r="DM13" s="9" t="n">
        <v>13.4947462084719</v>
      </c>
      <c r="DN13" s="9" t="n">
        <v>13.4947462084719</v>
      </c>
      <c r="DO13" s="9" t="n">
        <v>0.0611</v>
      </c>
    </row>
    <row r="14" customFormat="false" ht="15" hidden="false" customHeight="false" outlineLevel="0" collapsed="false">
      <c r="A14" s="9" t="s">
        <v>868</v>
      </c>
      <c r="B14" s="9" t="s">
        <v>869</v>
      </c>
      <c r="C14" s="9" t="n">
        <v>0.005</v>
      </c>
      <c r="D14" s="9" t="n">
        <v>0.005</v>
      </c>
      <c r="E14" s="9" t="n">
        <v>0.01</v>
      </c>
      <c r="F14" s="9" t="n">
        <v>0.005</v>
      </c>
      <c r="G14" s="9" t="n">
        <v>0.005</v>
      </c>
      <c r="H14" s="9" t="n">
        <v>0.01</v>
      </c>
      <c r="I14" s="9" t="n">
        <v>0.005</v>
      </c>
      <c r="J14" s="9" t="n">
        <v>0.005</v>
      </c>
      <c r="K14" s="9" t="n">
        <v>0.01</v>
      </c>
      <c r="L14" s="9" t="n">
        <v>0.01</v>
      </c>
      <c r="M14" s="9" t="n">
        <v>0.005</v>
      </c>
      <c r="N14" s="9" t="n">
        <v>0.502491</v>
      </c>
      <c r="O14" s="9" t="n">
        <v>0</v>
      </c>
      <c r="P14" s="9" t="n">
        <v>154.228114</v>
      </c>
      <c r="Q14" s="9" t="n">
        <v>15.0199529751692</v>
      </c>
      <c r="R14" s="9" t="n">
        <v>4.4558238065253</v>
      </c>
      <c r="S14" s="9" t="n">
        <v>0</v>
      </c>
      <c r="T14" s="9" t="n">
        <v>0</v>
      </c>
      <c r="U14" s="9" t="n">
        <v>0.498989</v>
      </c>
      <c r="V14" s="9" t="n">
        <v>0</v>
      </c>
      <c r="W14" s="9" t="n">
        <v>0.475882</v>
      </c>
      <c r="X14" s="9" t="n">
        <v>19.4789612077481</v>
      </c>
      <c r="Y14" s="9" t="n">
        <v>19.4789612077481</v>
      </c>
      <c r="Z14" s="9" t="n">
        <v>7.14</v>
      </c>
      <c r="AA14" s="9" t="n">
        <v>0.28</v>
      </c>
      <c r="AB14" s="9" t="n">
        <v>0.06</v>
      </c>
      <c r="AC14" s="9" t="n">
        <v>2.4</v>
      </c>
      <c r="AD14" s="9" t="n">
        <v>0</v>
      </c>
      <c r="AE14" s="9" t="n">
        <v>36.957</v>
      </c>
      <c r="AF14" s="9" t="n">
        <v>0</v>
      </c>
      <c r="AG14" s="9" t="n">
        <v>0</v>
      </c>
      <c r="AH14" s="9" t="n">
        <v>0</v>
      </c>
      <c r="AI14" s="9" t="n">
        <v>0</v>
      </c>
      <c r="AJ14" s="9" t="n">
        <v>0</v>
      </c>
      <c r="AK14" s="9" t="n">
        <v>0</v>
      </c>
      <c r="AL14" s="9" t="n">
        <v>0</v>
      </c>
      <c r="AM14" s="9" t="n">
        <v>0</v>
      </c>
      <c r="AN14" s="9" t="n">
        <v>0</v>
      </c>
      <c r="AO14" s="9" t="n">
        <v>37.1860100668311</v>
      </c>
      <c r="AP14" s="9" t="n">
        <v>40.81457212</v>
      </c>
      <c r="AQ14" s="9" t="n">
        <v>40.9166085503</v>
      </c>
      <c r="AR14" s="9" t="n">
        <v>40.3028594220455</v>
      </c>
      <c r="AS14" s="9" t="n">
        <v>50.0729520370952</v>
      </c>
      <c r="AT14" s="9" t="n">
        <v>48.3332439996</v>
      </c>
      <c r="AU14" s="9" t="n">
        <v>44.7738901780774</v>
      </c>
      <c r="AV14" s="9" t="n">
        <v>48.3153614831761</v>
      </c>
      <c r="AW14" s="9" t="n">
        <v>26.4624785949292</v>
      </c>
      <c r="AX14" s="9" t="n">
        <v>25.0570810908</v>
      </c>
      <c r="AY14" s="9" t="n">
        <v>23.6574162921703</v>
      </c>
      <c r="AZ14" s="9" t="n">
        <v>25.5352171827868</v>
      </c>
      <c r="BA14" s="9" t="n">
        <v>60.0146612044095</v>
      </c>
      <c r="BB14" s="9" t="n">
        <v>61.78799003</v>
      </c>
      <c r="BC14" s="9" t="n">
        <v>67.9435335800654</v>
      </c>
      <c r="BD14" s="9" t="n">
        <v>61.0133231049989</v>
      </c>
      <c r="BE14" s="9" t="n">
        <v>0</v>
      </c>
      <c r="BF14" s="9" t="n">
        <v>0</v>
      </c>
      <c r="BG14" s="9" t="n">
        <v>0</v>
      </c>
      <c r="BH14" s="9" t="n">
        <v>0</v>
      </c>
      <c r="BI14" s="9" t="n">
        <v>0.454715703905447</v>
      </c>
      <c r="BJ14" s="9" t="n">
        <v>0.38918396</v>
      </c>
      <c r="BK14" s="9" t="n">
        <v>0.390156919899999</v>
      </c>
      <c r="BL14" s="9" t="n">
        <v>0.3843045661015</v>
      </c>
      <c r="BM14" s="9" t="n">
        <v>46.7808230649508</v>
      </c>
      <c r="BN14" s="9" t="n">
        <v>45.3380449608</v>
      </c>
      <c r="BO14" s="9" t="n">
        <v>45.451390073202</v>
      </c>
      <c r="BP14" s="9" t="n">
        <v>44.769619222104</v>
      </c>
      <c r="BQ14" s="9" t="n">
        <v>223.394765936144</v>
      </c>
      <c r="BR14" s="9" t="n">
        <v>160.062719607278</v>
      </c>
      <c r="BS14" s="9" t="n">
        <v>158.0699711952</v>
      </c>
      <c r="BT14" s="9" t="n">
        <v>158.465146123188</v>
      </c>
      <c r="BU14" s="9" t="n">
        <v>156.08816893134</v>
      </c>
      <c r="BV14" s="9" t="n">
        <v>35.1462013555982</v>
      </c>
      <c r="BW14" s="9" t="n">
        <v>42.2674883391956</v>
      </c>
      <c r="BX14" s="9" t="n">
        <v>39.5138811200767</v>
      </c>
      <c r="BY14" s="9" t="n">
        <v>37.5254112373965</v>
      </c>
      <c r="BZ14" s="9" t="n">
        <v>21.259841842229</v>
      </c>
      <c r="CA14" s="9" t="n">
        <v>1.05063120276595</v>
      </c>
      <c r="CB14" s="9" t="n">
        <v>1.4</v>
      </c>
      <c r="CC14" s="9" t="n">
        <v>2.217</v>
      </c>
      <c r="CD14" s="9" t="n">
        <v>74.426</v>
      </c>
      <c r="CE14" s="9" t="n">
        <v>2.63</v>
      </c>
      <c r="CF14" s="9" t="n">
        <v>0</v>
      </c>
      <c r="CG14" s="9" t="n">
        <v>24.74</v>
      </c>
      <c r="CH14" s="9" t="n">
        <v>24.64</v>
      </c>
      <c r="CI14" s="9" t="n">
        <v>0.1</v>
      </c>
      <c r="CJ14" s="9" t="n">
        <v>0</v>
      </c>
      <c r="CK14" s="9" t="n">
        <v>27.34</v>
      </c>
      <c r="CL14" s="9" t="n">
        <v>0.09</v>
      </c>
      <c r="CM14" s="9" t="n">
        <v>70.588</v>
      </c>
      <c r="CN14" s="9" t="n">
        <v>68.695</v>
      </c>
      <c r="CO14" s="9" t="n">
        <v>3</v>
      </c>
      <c r="CP14" s="9" t="n">
        <v>3</v>
      </c>
      <c r="CQ14" s="9" t="n">
        <v>0.5</v>
      </c>
      <c r="CR14" s="9" t="n">
        <v>0.3</v>
      </c>
      <c r="CS14" s="9" t="n">
        <v>0.6</v>
      </c>
      <c r="CT14" s="9" t="n">
        <v>0.8</v>
      </c>
      <c r="CU14" s="9" t="n">
        <v>0.8</v>
      </c>
      <c r="CV14" s="9" t="n">
        <v>0.7</v>
      </c>
      <c r="CW14" s="9" t="n">
        <v>0.5</v>
      </c>
      <c r="CX14" s="9" t="n">
        <v>0.5</v>
      </c>
      <c r="CY14" s="9" t="n">
        <v>1</v>
      </c>
      <c r="CZ14" s="9" t="n">
        <v>0.3</v>
      </c>
      <c r="DA14" s="9" t="n">
        <v>0.8</v>
      </c>
      <c r="DB14" s="9" t="n">
        <v>0.290091986280013</v>
      </c>
      <c r="DC14" s="9" t="n">
        <v>7.124</v>
      </c>
      <c r="DD14" s="9" t="n">
        <v>4.351</v>
      </c>
      <c r="DE14" s="9" t="n">
        <v>12.94342</v>
      </c>
      <c r="DF14" s="9" t="n">
        <v>21.1202302495308</v>
      </c>
      <c r="DG14" s="9" t="n">
        <v>24.4167671821409</v>
      </c>
      <c r="DH14" s="9" t="n">
        <v>15.656114517978</v>
      </c>
      <c r="DI14" s="9" t="n">
        <v>21.0119295683301</v>
      </c>
      <c r="DJ14" s="9" t="n">
        <v>5.56</v>
      </c>
      <c r="DK14" s="9" t="n">
        <v>4.794</v>
      </c>
      <c r="DL14" s="9" t="n">
        <v>11.98054</v>
      </c>
      <c r="DM14" s="9" t="n">
        <v>13.4947462084719</v>
      </c>
      <c r="DN14" s="9" t="n">
        <v>13.4947462084719</v>
      </c>
      <c r="DO14" s="9" t="n">
        <v>0.0914000000000002</v>
      </c>
    </row>
    <row r="15" customFormat="false" ht="15" hidden="false" customHeight="false" outlineLevel="0" collapsed="false">
      <c r="A15" s="9" t="s">
        <v>1012</v>
      </c>
      <c r="B15" s="9" t="s">
        <v>1013</v>
      </c>
      <c r="C15" s="9" t="n">
        <v>0.005</v>
      </c>
      <c r="D15" s="9" t="n">
        <v>0.005</v>
      </c>
      <c r="E15" s="9" t="n">
        <v>0.01</v>
      </c>
      <c r="F15" s="9" t="n">
        <v>0.005</v>
      </c>
      <c r="G15" s="9" t="n">
        <v>0.005</v>
      </c>
      <c r="H15" s="9" t="n">
        <v>0.01</v>
      </c>
      <c r="I15" s="9" t="n">
        <v>0.005</v>
      </c>
      <c r="J15" s="9" t="n">
        <v>0.005</v>
      </c>
      <c r="K15" s="9" t="n">
        <v>0.01</v>
      </c>
      <c r="L15" s="9" t="n">
        <v>0.01</v>
      </c>
      <c r="M15" s="9" t="n">
        <v>0.005</v>
      </c>
      <c r="N15" s="9" t="n">
        <v>0.000803</v>
      </c>
      <c r="O15" s="9" t="n">
        <v>0.018305</v>
      </c>
      <c r="P15" s="9" t="n">
        <v>0.160135</v>
      </c>
      <c r="Q15" s="9" t="n">
        <v>0.142458048879762</v>
      </c>
      <c r="R15" s="9" t="n">
        <v>0.0294254403950386</v>
      </c>
      <c r="S15" s="9" t="n">
        <v>0.0254842337839167</v>
      </c>
      <c r="T15" s="9" t="n">
        <v>0.0066719192398344</v>
      </c>
      <c r="U15" s="9" t="n">
        <v>2.6E-005</v>
      </c>
      <c r="V15" s="9" t="n">
        <v>3.9E-005</v>
      </c>
      <c r="W15" s="9" t="n">
        <v>0.000166</v>
      </c>
      <c r="X15" s="9" t="n">
        <v>0.0005813172188652</v>
      </c>
      <c r="Y15" s="9" t="n">
        <v>0.0005813172188652</v>
      </c>
      <c r="Z15" s="9" t="n">
        <v>0.05</v>
      </c>
      <c r="AA15" s="9" t="n">
        <v>0.01</v>
      </c>
      <c r="AB15" s="9" t="n">
        <v>0</v>
      </c>
      <c r="AC15" s="9" t="n">
        <v>0</v>
      </c>
      <c r="AD15" s="9" t="n">
        <v>0</v>
      </c>
      <c r="AE15" s="9" t="n">
        <v>0.926</v>
      </c>
      <c r="AF15" s="9" t="n">
        <v>0.334248607584049</v>
      </c>
      <c r="AG15" s="9" t="n">
        <v>0.30650390496</v>
      </c>
      <c r="AH15" s="9" t="n">
        <v>0.3160395820032</v>
      </c>
      <c r="AI15" s="9" t="n">
        <v>0.307611859816448</v>
      </c>
      <c r="AJ15" s="9" t="n">
        <v>0</v>
      </c>
      <c r="AK15" s="9" t="n">
        <v>0.130012535497238</v>
      </c>
      <c r="AL15" s="9" t="n">
        <v>0.12476161584</v>
      </c>
      <c r="AM15" s="9" t="n">
        <v>0.1286430883328</v>
      </c>
      <c r="AN15" s="9" t="n">
        <v>0.125212605977259</v>
      </c>
      <c r="AO15" s="9" t="n">
        <v>4.08581939337812</v>
      </c>
      <c r="AP15" s="9" t="n">
        <v>3.98425005</v>
      </c>
      <c r="AQ15" s="9" t="n">
        <v>4.108204496</v>
      </c>
      <c r="AR15" s="9" t="n">
        <v>3.99865237610667</v>
      </c>
      <c r="AS15" s="9" t="n">
        <v>0.686310276209348</v>
      </c>
      <c r="AT15" s="9" t="n">
        <v>0.550899144</v>
      </c>
      <c r="AU15" s="9" t="n">
        <v>0.591187497809309</v>
      </c>
      <c r="AV15" s="9" t="n">
        <v>0.608564097249477</v>
      </c>
      <c r="AW15" s="9" t="n">
        <v>0.63196982855875</v>
      </c>
      <c r="AX15" s="9" t="n">
        <v>0.509491692</v>
      </c>
      <c r="AY15" s="9" t="n">
        <v>0.544378649989295</v>
      </c>
      <c r="AZ15" s="9" t="n">
        <v>0.560379410796477</v>
      </c>
      <c r="BA15" s="9" t="n">
        <v>4.96928727903409</v>
      </c>
      <c r="BB15" s="9" t="n">
        <v>4.91101100069091</v>
      </c>
      <c r="BC15" s="9" t="n">
        <v>5.084764863</v>
      </c>
      <c r="BD15" s="9" t="n">
        <v>4.93895667943822</v>
      </c>
      <c r="BE15" s="9" t="n">
        <v>8.67125580568765E-005</v>
      </c>
      <c r="BF15" s="9" t="n">
        <v>8.58949999999999E-005</v>
      </c>
      <c r="BG15" s="9" t="n">
        <v>8.85672888888887E-005</v>
      </c>
      <c r="BH15" s="9" t="n">
        <v>8.62054945185184E-005</v>
      </c>
      <c r="BI15" s="9" t="n">
        <v>9.68441161310018E-005</v>
      </c>
      <c r="BJ15" s="9" t="n">
        <v>9.21799999999999E-005</v>
      </c>
      <c r="BK15" s="9" t="n">
        <v>9.50478222222221E-005</v>
      </c>
      <c r="BL15" s="9" t="n">
        <v>9.25132136296295E-005</v>
      </c>
      <c r="BM15" s="9" t="n">
        <v>0</v>
      </c>
      <c r="BN15" s="9" t="n">
        <v>0</v>
      </c>
      <c r="BO15" s="9" t="n">
        <v>0</v>
      </c>
      <c r="BP15" s="9" t="n">
        <v>0</v>
      </c>
      <c r="BQ15" s="9" t="n">
        <v>0</v>
      </c>
      <c r="BR15" s="9" t="n">
        <v>0</v>
      </c>
      <c r="BS15" s="9" t="n">
        <v>0</v>
      </c>
      <c r="BT15" s="9" t="n">
        <v>0</v>
      </c>
      <c r="BU15" s="9" t="n">
        <v>0</v>
      </c>
      <c r="BV15" s="9" t="n">
        <v>1.31034225147996</v>
      </c>
      <c r="BW15" s="9" t="n">
        <v>1.33929221592049</v>
      </c>
      <c r="BX15" s="9" t="n">
        <v>1.30406429711839</v>
      </c>
      <c r="BY15" s="9" t="n">
        <v>1.26730987892312</v>
      </c>
      <c r="BZ15" s="9" t="n">
        <v>0.366188917991138</v>
      </c>
      <c r="CA15" s="9" t="n">
        <v>2.09314495028781</v>
      </c>
      <c r="CB15" s="9" t="n">
        <v>3.904</v>
      </c>
      <c r="CC15" s="9" t="n">
        <v>3.819</v>
      </c>
      <c r="CD15" s="9" t="n">
        <v>4.838</v>
      </c>
      <c r="CE15" s="9" t="n">
        <v>0.37</v>
      </c>
      <c r="CF15" s="9" t="n">
        <v>0</v>
      </c>
      <c r="CG15" s="9" t="n">
        <v>0.12</v>
      </c>
      <c r="CH15" s="9" t="n">
        <v>0</v>
      </c>
      <c r="CI15" s="9" t="n">
        <v>0.12</v>
      </c>
      <c r="CJ15" s="9" t="n">
        <v>0</v>
      </c>
      <c r="CK15" s="9" t="n">
        <v>0.49</v>
      </c>
      <c r="CL15" s="9" t="n">
        <v>0</v>
      </c>
      <c r="CM15" s="9" t="n">
        <v>7.661</v>
      </c>
      <c r="CN15" s="9" t="n">
        <v>10.53</v>
      </c>
      <c r="CO15" s="9" t="n">
        <v>3</v>
      </c>
      <c r="CP15" s="9" t="n">
        <v>1</v>
      </c>
      <c r="CQ15" s="9" t="n">
        <v>0.5</v>
      </c>
      <c r="CR15" s="9" t="n">
        <v>0.3</v>
      </c>
      <c r="CS15" s="9" t="n">
        <v>0.6</v>
      </c>
      <c r="CT15" s="9" t="n">
        <v>0.8</v>
      </c>
      <c r="CU15" s="9" t="n">
        <v>0.8</v>
      </c>
      <c r="CV15" s="9" t="n">
        <v>0.7</v>
      </c>
      <c r="CW15" s="9" t="n">
        <v>0.5</v>
      </c>
      <c r="CX15" s="9" t="n">
        <v>0.5</v>
      </c>
      <c r="CY15" s="9" t="n">
        <v>1</v>
      </c>
      <c r="CZ15" s="9" t="n">
        <v>0.3</v>
      </c>
      <c r="DA15" s="9" t="n">
        <v>0.8</v>
      </c>
      <c r="DB15" s="9" t="n">
        <v>0.359355269999257</v>
      </c>
      <c r="DC15" s="9" t="n">
        <v>7.124</v>
      </c>
      <c r="DD15" s="9" t="n">
        <v>5.575</v>
      </c>
      <c r="DE15" s="9" t="n">
        <v>14.38774</v>
      </c>
      <c r="DF15" s="9" t="n">
        <v>23.675224606712</v>
      </c>
      <c r="DG15" s="9" t="n">
        <v>24.430264565879</v>
      </c>
      <c r="DH15" s="9" t="n">
        <v>18.474215131214</v>
      </c>
      <c r="DI15" s="9" t="n">
        <v>23.4812767014035</v>
      </c>
      <c r="DJ15" s="9" t="n">
        <v>12.794</v>
      </c>
      <c r="DK15" s="9" t="n">
        <v>11.471</v>
      </c>
      <c r="DL15" s="9" t="n">
        <v>24.46848</v>
      </c>
      <c r="DM15" s="9" t="n">
        <v>13.4947462084719</v>
      </c>
      <c r="DN15" s="9" t="n">
        <v>13.4947462084719</v>
      </c>
      <c r="DO15" s="9" t="n">
        <v>0.105</v>
      </c>
    </row>
    <row r="16" customFormat="false" ht="15" hidden="false" customHeight="false" outlineLevel="0" collapsed="false">
      <c r="A16" s="9" t="s">
        <v>742</v>
      </c>
      <c r="B16" s="9" t="s">
        <v>743</v>
      </c>
      <c r="C16" s="9" t="n">
        <v>0.005</v>
      </c>
      <c r="D16" s="9" t="n">
        <v>0.005</v>
      </c>
      <c r="E16" s="9" t="n">
        <v>0.01</v>
      </c>
      <c r="F16" s="9" t="n">
        <v>0.005</v>
      </c>
      <c r="G16" s="9" t="n">
        <v>0.005</v>
      </c>
      <c r="H16" s="9" t="n">
        <v>0.01</v>
      </c>
      <c r="I16" s="9" t="n">
        <v>0.005</v>
      </c>
      <c r="J16" s="9" t="n">
        <v>0.005</v>
      </c>
      <c r="K16" s="9" t="n">
        <v>0.01</v>
      </c>
      <c r="L16" s="9" t="n">
        <v>0.01</v>
      </c>
      <c r="M16" s="9" t="n">
        <v>0.005</v>
      </c>
      <c r="N16" s="9" t="n">
        <v>5.15879</v>
      </c>
      <c r="O16" s="9" t="n">
        <v>2.604307</v>
      </c>
      <c r="P16" s="9" t="n">
        <v>44.502292</v>
      </c>
      <c r="Q16" s="9" t="n">
        <v>4.12693969383183</v>
      </c>
      <c r="R16" s="9" t="n">
        <v>0.72150951079419</v>
      </c>
      <c r="S16" s="9" t="n">
        <v>15.2934012862011</v>
      </c>
      <c r="T16" s="9" t="n">
        <v>15.8481743985233</v>
      </c>
      <c r="U16" s="9" t="n">
        <v>0.42675</v>
      </c>
      <c r="V16" s="9" t="n">
        <v>0.039657</v>
      </c>
      <c r="W16" s="9" t="n">
        <v>0.097185</v>
      </c>
      <c r="X16" s="9" t="n">
        <v>5.40689803468777</v>
      </c>
      <c r="Y16" s="9" t="n">
        <v>5.40689803468777</v>
      </c>
      <c r="Z16" s="9" t="n">
        <v>7.76</v>
      </c>
      <c r="AA16" s="9" t="n">
        <v>10.4</v>
      </c>
      <c r="AB16" s="9" t="n">
        <v>5.85</v>
      </c>
      <c r="AC16" s="9" t="n">
        <v>0</v>
      </c>
      <c r="AD16" s="9" t="n">
        <v>0</v>
      </c>
      <c r="AE16" s="9" t="n">
        <v>95.476</v>
      </c>
      <c r="AF16" s="9" t="n">
        <v>28.0762646183423</v>
      </c>
      <c r="AG16" s="9" t="n">
        <v>32.3332454484</v>
      </c>
      <c r="AH16" s="9" t="n">
        <v>30.5829440443908</v>
      </c>
      <c r="AI16" s="9" t="n">
        <v>30.2300639208016</v>
      </c>
      <c r="AJ16" s="9" t="n">
        <v>2.84424395709429</v>
      </c>
      <c r="AK16" s="9" t="n">
        <v>2.81675661609468</v>
      </c>
      <c r="AL16" s="9" t="n">
        <v>2.8617782832</v>
      </c>
      <c r="AM16" s="9" t="n">
        <v>2.70686112355261</v>
      </c>
      <c r="AN16" s="9" t="n">
        <v>2.67562811058854</v>
      </c>
      <c r="AO16" s="9" t="n">
        <v>222.852163476679</v>
      </c>
      <c r="AP16" s="9" t="n">
        <v>233.47746355</v>
      </c>
      <c r="AQ16" s="9" t="n">
        <v>220.838585930732</v>
      </c>
      <c r="AR16" s="9" t="n">
        <v>218.290448400762</v>
      </c>
      <c r="AS16" s="9" t="n">
        <v>199.462701586615</v>
      </c>
      <c r="AT16" s="9" t="n">
        <v>223.540913844</v>
      </c>
      <c r="AU16" s="9" t="n">
        <v>211.723151876259</v>
      </c>
      <c r="AV16" s="9" t="n">
        <v>199.936750440197</v>
      </c>
      <c r="AW16" s="9" t="n">
        <v>61.8765756769495</v>
      </c>
      <c r="AX16" s="9" t="n">
        <v>69.3630003024</v>
      </c>
      <c r="AY16" s="9" t="n">
        <v>65.6991939686369</v>
      </c>
      <c r="AZ16" s="9" t="n">
        <v>62.0230779182248</v>
      </c>
      <c r="BA16" s="9" t="n">
        <v>78.1998867061107</v>
      </c>
      <c r="BB16" s="9" t="n">
        <v>80.04769578</v>
      </c>
      <c r="BC16" s="9" t="n">
        <v>90.931047769954</v>
      </c>
      <c r="BD16" s="9" t="n">
        <v>74.840831057435</v>
      </c>
      <c r="BE16" s="9" t="n">
        <v>1.45630941278915</v>
      </c>
      <c r="BF16" s="9" t="n">
        <v>1.47043421780905</v>
      </c>
      <c r="BG16" s="9" t="n">
        <v>1.39083493724683</v>
      </c>
      <c r="BH16" s="9" t="n">
        <v>1.37478684181706</v>
      </c>
      <c r="BI16" s="9" t="n">
        <v>5.75517006780529</v>
      </c>
      <c r="BJ16" s="9" t="n">
        <v>6.37349767326089</v>
      </c>
      <c r="BK16" s="9" t="n">
        <v>6.02847997487483</v>
      </c>
      <c r="BL16" s="9" t="n">
        <v>5.95892059054936</v>
      </c>
      <c r="BM16" s="9" t="n">
        <v>176.54320744033</v>
      </c>
      <c r="BN16" s="9" t="n">
        <v>157.9351562352</v>
      </c>
      <c r="BO16" s="9" t="n">
        <v>149.3856239545</v>
      </c>
      <c r="BP16" s="9" t="n">
        <v>147.661943678102</v>
      </c>
      <c r="BQ16" s="9" t="n">
        <v>121.244408190249</v>
      </c>
      <c r="BR16" s="9" t="n">
        <v>330.650843817368</v>
      </c>
      <c r="BS16" s="9" t="n">
        <v>291.714745716</v>
      </c>
      <c r="BT16" s="9" t="n">
        <v>275.923298803819</v>
      </c>
      <c r="BU16" s="9" t="n">
        <v>272.739568433006</v>
      </c>
      <c r="BV16" s="9" t="n">
        <v>238.760192111947</v>
      </c>
      <c r="BW16" s="9" t="n">
        <v>241.084336847215</v>
      </c>
      <c r="BX16" s="9" t="n">
        <v>231.343310693436</v>
      </c>
      <c r="BY16" s="9" t="n">
        <v>227.237593208467</v>
      </c>
      <c r="BZ16" s="9" t="n">
        <v>72.5942436843234</v>
      </c>
      <c r="CA16" s="9" t="n">
        <v>0.355873375587042</v>
      </c>
      <c r="CB16" s="9" t="n">
        <v>0.972</v>
      </c>
      <c r="CC16" s="9" t="n">
        <v>0.661</v>
      </c>
      <c r="CD16" s="9" t="n">
        <v>671.168</v>
      </c>
      <c r="CE16" s="9" t="n">
        <v>29.94</v>
      </c>
      <c r="CF16" s="9" t="n">
        <v>0</v>
      </c>
      <c r="CG16" s="9" t="n">
        <v>19.41</v>
      </c>
      <c r="CH16" s="9" t="n">
        <v>19.05</v>
      </c>
      <c r="CI16" s="9" t="n">
        <v>0.36</v>
      </c>
      <c r="CJ16" s="9" t="n">
        <v>10.46</v>
      </c>
      <c r="CK16" s="9" t="n">
        <v>73.2</v>
      </c>
      <c r="CL16" s="9" t="n">
        <v>13.39</v>
      </c>
      <c r="CM16" s="9" t="n">
        <v>111.259</v>
      </c>
      <c r="CN16" s="9" t="n">
        <v>110.832</v>
      </c>
      <c r="CO16" s="9" t="n">
        <v>1</v>
      </c>
      <c r="CP16" s="9" t="n">
        <v>4</v>
      </c>
      <c r="CQ16" s="9" t="n">
        <v>0.5</v>
      </c>
      <c r="CR16" s="9" t="n">
        <v>0.3</v>
      </c>
      <c r="CS16" s="9" t="n">
        <v>0.6</v>
      </c>
      <c r="CT16" s="9" t="n">
        <v>0.8</v>
      </c>
      <c r="CU16" s="9" t="n">
        <v>0.8</v>
      </c>
      <c r="CV16" s="9" t="n">
        <v>0.7</v>
      </c>
      <c r="CW16" s="9" t="n">
        <v>0.5</v>
      </c>
      <c r="CX16" s="9" t="n">
        <v>0.5</v>
      </c>
      <c r="CY16" s="9" t="n">
        <v>1</v>
      </c>
      <c r="CZ16" s="9" t="n">
        <v>0.3</v>
      </c>
      <c r="DA16" s="9" t="n">
        <v>0.8</v>
      </c>
      <c r="DB16" s="9" t="n">
        <v>0.769548636829565</v>
      </c>
      <c r="DC16" s="9" t="n">
        <v>15.048</v>
      </c>
      <c r="DD16" s="9" t="n">
        <v>15.168</v>
      </c>
      <c r="DE16" s="9" t="n">
        <v>18.65336</v>
      </c>
      <c r="DF16" s="9" t="n">
        <v>23.22101053782</v>
      </c>
      <c r="DG16" s="9" t="n">
        <v>24.9518583781292</v>
      </c>
      <c r="DH16" s="9" t="n">
        <v>17.6227980066661</v>
      </c>
      <c r="DI16" s="9" t="n">
        <v>21.1659267740402</v>
      </c>
      <c r="DJ16" s="9" t="n">
        <v>14.196</v>
      </c>
      <c r="DK16" s="9" t="n">
        <v>14.196</v>
      </c>
      <c r="DL16" s="9" t="n">
        <v>22.07403</v>
      </c>
      <c r="DM16" s="9" t="n">
        <v>13.5038072370166</v>
      </c>
      <c r="DN16" s="9" t="n">
        <v>13.5038072370166</v>
      </c>
      <c r="DO16" s="9" t="n">
        <v>0.038</v>
      </c>
    </row>
    <row r="17" customFormat="false" ht="15" hidden="false" customHeight="false" outlineLevel="0" collapsed="false">
      <c r="A17" s="9" t="s">
        <v>934</v>
      </c>
      <c r="B17" s="9" t="s">
        <v>935</v>
      </c>
      <c r="C17" s="9" t="n">
        <v>0.005</v>
      </c>
      <c r="D17" s="9" t="n">
        <v>0.005</v>
      </c>
      <c r="E17" s="9" t="n">
        <v>0.01</v>
      </c>
      <c r="F17" s="9" t="n">
        <v>0.005</v>
      </c>
      <c r="G17" s="9" t="n">
        <v>0.005</v>
      </c>
      <c r="H17" s="9" t="n">
        <v>0.01</v>
      </c>
      <c r="I17" s="9" t="n">
        <v>0.005</v>
      </c>
      <c r="J17" s="9" t="n">
        <v>0.005</v>
      </c>
      <c r="K17" s="9" t="n">
        <v>0.01</v>
      </c>
      <c r="L17" s="9" t="n">
        <v>0.01</v>
      </c>
      <c r="M17" s="9" t="n">
        <v>0.005</v>
      </c>
      <c r="N17" s="9" t="n">
        <v>0.009147</v>
      </c>
      <c r="O17" s="9" t="n">
        <v>0.08111</v>
      </c>
      <c r="P17" s="9" t="n">
        <v>1.004574</v>
      </c>
      <c r="Q17" s="9" t="n">
        <v>0.602222431364474</v>
      </c>
      <c r="R17" s="9" t="n">
        <v>0.148356836510652</v>
      </c>
      <c r="S17" s="9" t="n">
        <v>0.0871815107930042</v>
      </c>
      <c r="T17" s="9" t="n">
        <v>0.0301787974918093</v>
      </c>
      <c r="U17" s="9" t="n">
        <v>0.000389</v>
      </c>
      <c r="V17" s="9" t="n">
        <v>0.001432</v>
      </c>
      <c r="W17" s="9" t="n">
        <v>0.001752</v>
      </c>
      <c r="X17" s="9" t="n">
        <v>0.0178278422327712</v>
      </c>
      <c r="Y17" s="9" t="n">
        <v>0.0178278422327712</v>
      </c>
      <c r="Z17" s="9" t="n">
        <v>0.3</v>
      </c>
      <c r="AA17" s="9" t="n">
        <v>0.04</v>
      </c>
      <c r="AB17" s="9" t="n">
        <v>0</v>
      </c>
      <c r="AC17" s="9" t="n">
        <v>0</v>
      </c>
      <c r="AD17" s="9" t="n">
        <v>0</v>
      </c>
      <c r="AE17" s="9" t="n">
        <v>9.722</v>
      </c>
      <c r="AF17" s="9" t="n">
        <v>3.65161848205005</v>
      </c>
      <c r="AG17" s="9" t="n">
        <v>3.243032478</v>
      </c>
      <c r="AH17" s="9" t="n">
        <v>3.38356388538</v>
      </c>
      <c r="AI17" s="9" t="n">
        <v>3.28544053270398</v>
      </c>
      <c r="AJ17" s="9" t="n">
        <v>0</v>
      </c>
      <c r="AK17" s="9" t="n">
        <v>0.0001414287062898</v>
      </c>
      <c r="AL17" s="9" t="n">
        <v>0.000125604</v>
      </c>
      <c r="AM17" s="9" t="n">
        <v>0.00013104684</v>
      </c>
      <c r="AN17" s="9" t="n">
        <v>0.0001272464816399</v>
      </c>
      <c r="AO17" s="9" t="n">
        <v>16.906512263424</v>
      </c>
      <c r="AP17" s="9" t="n">
        <v>15.91494404</v>
      </c>
      <c r="AQ17" s="9" t="n">
        <v>16.6045916150667</v>
      </c>
      <c r="AR17" s="9" t="n">
        <v>16.1230584582297</v>
      </c>
      <c r="AS17" s="9" t="n">
        <v>4.70751666163613</v>
      </c>
      <c r="AT17" s="9" t="n">
        <v>3.7985831568</v>
      </c>
      <c r="AU17" s="9" t="n">
        <v>4.01019862449542</v>
      </c>
      <c r="AV17" s="9" t="n">
        <v>4.44792164316554</v>
      </c>
      <c r="AW17" s="9" t="n">
        <v>1.57768262555584</v>
      </c>
      <c r="AX17" s="9" t="n">
        <v>1.2721340592</v>
      </c>
      <c r="AY17" s="9" t="n">
        <v>1.34398264512896</v>
      </c>
      <c r="AZ17" s="9" t="n">
        <v>1.49068164823385</v>
      </c>
      <c r="BA17" s="9" t="n">
        <v>46.775267652177</v>
      </c>
      <c r="BB17" s="9" t="n">
        <v>43.8669799354555</v>
      </c>
      <c r="BC17" s="9" t="n">
        <v>46.4619685829254</v>
      </c>
      <c r="BD17" s="9" t="n">
        <v>44.7763246477186</v>
      </c>
      <c r="BE17" s="9" t="n">
        <v>1.02553852581368</v>
      </c>
      <c r="BF17" s="9" t="n">
        <v>0.965370508832496</v>
      </c>
      <c r="BG17" s="9" t="n">
        <v>1.0072032308819</v>
      </c>
      <c r="BH17" s="9" t="n">
        <v>0.977994337186328</v>
      </c>
      <c r="BI17" s="9" t="n">
        <v>0.982651652199638</v>
      </c>
      <c r="BJ17" s="9" t="n">
        <v>0.926224639999999</v>
      </c>
      <c r="BK17" s="9" t="n">
        <v>0.966361041066665</v>
      </c>
      <c r="BL17" s="9" t="n">
        <v>0.938336570875732</v>
      </c>
      <c r="BM17" s="9" t="n">
        <v>0</v>
      </c>
      <c r="BN17" s="9" t="n">
        <v>0</v>
      </c>
      <c r="BO17" s="9" t="n">
        <v>0</v>
      </c>
      <c r="BP17" s="9" t="n">
        <v>0</v>
      </c>
      <c r="BQ17" s="9" t="n">
        <v>8.35469378174501</v>
      </c>
      <c r="BR17" s="9" t="n">
        <v>0</v>
      </c>
      <c r="BS17" s="9" t="n">
        <v>0</v>
      </c>
      <c r="BT17" s="9" t="n">
        <v>0</v>
      </c>
      <c r="BU17" s="9" t="n">
        <v>0</v>
      </c>
      <c r="BV17" s="9" t="n">
        <v>3.74001391087348</v>
      </c>
      <c r="BW17" s="9" t="n">
        <v>5.83188175204032</v>
      </c>
      <c r="BX17" s="9" t="n">
        <v>3.67542386408033</v>
      </c>
      <c r="BY17" s="9" t="n">
        <v>3.56874354861722</v>
      </c>
      <c r="BZ17" s="9" t="n">
        <v>1.74588869088666</v>
      </c>
      <c r="CA17" s="9" t="n">
        <v>0.730161511726402</v>
      </c>
      <c r="CB17" s="9" t="n">
        <v>7.5</v>
      </c>
      <c r="CC17" s="9" t="n">
        <v>6.972</v>
      </c>
      <c r="CD17" s="9" t="n">
        <v>21.487</v>
      </c>
      <c r="CE17" s="9" t="n">
        <v>0</v>
      </c>
      <c r="CF17" s="9" t="n">
        <v>0</v>
      </c>
      <c r="CG17" s="9" t="n">
        <v>0.97</v>
      </c>
      <c r="CH17" s="9" t="n">
        <v>0.73</v>
      </c>
      <c r="CI17" s="9" t="n">
        <v>0.24</v>
      </c>
      <c r="CJ17" s="9" t="n">
        <v>0.04</v>
      </c>
      <c r="CK17" s="9" t="n">
        <v>1.01</v>
      </c>
      <c r="CL17" s="9" t="n">
        <v>0</v>
      </c>
      <c r="CM17" s="9" t="n">
        <v>21.098</v>
      </c>
      <c r="CN17" s="9" t="n">
        <v>31.288</v>
      </c>
      <c r="CO17" s="9" t="n">
        <v>3</v>
      </c>
      <c r="CP17" s="9" t="n">
        <v>1</v>
      </c>
      <c r="CQ17" s="9" t="n">
        <v>0.5</v>
      </c>
      <c r="CR17" s="9" t="n">
        <v>0.3</v>
      </c>
      <c r="CS17" s="9" t="n">
        <v>0.6</v>
      </c>
      <c r="CT17" s="9" t="n">
        <v>0.8</v>
      </c>
      <c r="CU17" s="9" t="n">
        <v>0.8</v>
      </c>
      <c r="CV17" s="9" t="n">
        <v>0.7</v>
      </c>
      <c r="CW17" s="9" t="n">
        <v>0.5</v>
      </c>
      <c r="CX17" s="9" t="n">
        <v>0.5</v>
      </c>
      <c r="CY17" s="9" t="n">
        <v>1</v>
      </c>
      <c r="CZ17" s="9" t="n">
        <v>0.3</v>
      </c>
      <c r="DA17" s="9" t="n">
        <v>0.8</v>
      </c>
      <c r="DB17" s="9" t="n">
        <v>0.334537358514067</v>
      </c>
      <c r="DC17" s="9" t="n">
        <v>7.124</v>
      </c>
      <c r="DD17" s="9" t="n">
        <v>5.575</v>
      </c>
      <c r="DE17" s="9" t="n">
        <v>14.38774</v>
      </c>
      <c r="DF17" s="9" t="n">
        <v>21.5981202937966</v>
      </c>
      <c r="DG17" s="9" t="n">
        <v>24.4272619699203</v>
      </c>
      <c r="DH17" s="9" t="n">
        <v>18.3222104186858</v>
      </c>
      <c r="DI17" s="9" t="n">
        <v>22.1994148223362</v>
      </c>
      <c r="DJ17" s="9" t="n">
        <v>7.947</v>
      </c>
      <c r="DK17" s="9" t="n">
        <v>6.623</v>
      </c>
      <c r="DL17" s="9" t="n">
        <v>18.74784</v>
      </c>
      <c r="DM17" s="9" t="n">
        <v>13.4947462084719</v>
      </c>
      <c r="DN17" s="9" t="n">
        <v>13.4947462084719</v>
      </c>
      <c r="DO17" s="9" t="n">
        <v>0.105</v>
      </c>
    </row>
    <row r="18" customFormat="false" ht="15" hidden="false" customHeight="false" outlineLevel="0" collapsed="false">
      <c r="A18" s="9" t="s">
        <v>938</v>
      </c>
      <c r="B18" s="9" t="s">
        <v>939</v>
      </c>
      <c r="C18" s="9" t="n">
        <v>0.005</v>
      </c>
      <c r="D18" s="9" t="n">
        <v>0.005</v>
      </c>
      <c r="E18" s="9" t="n">
        <v>0.01</v>
      </c>
      <c r="F18" s="9" t="n">
        <v>0.005</v>
      </c>
      <c r="G18" s="9" t="n">
        <v>0.005</v>
      </c>
      <c r="H18" s="9" t="n">
        <v>0.01</v>
      </c>
      <c r="I18" s="9" t="n">
        <v>0.005</v>
      </c>
      <c r="J18" s="9" t="n">
        <v>0.005</v>
      </c>
      <c r="K18" s="9" t="n">
        <v>0.01</v>
      </c>
      <c r="L18" s="9" t="n">
        <v>0.01</v>
      </c>
      <c r="M18" s="9" t="n">
        <v>0.005</v>
      </c>
      <c r="N18" s="9" t="n">
        <v>0.005845</v>
      </c>
      <c r="O18" s="9" t="n">
        <v>0.027766</v>
      </c>
      <c r="P18" s="9" t="n">
        <v>0.276388</v>
      </c>
      <c r="Q18" s="9" t="n">
        <v>0.0450192102520459</v>
      </c>
      <c r="R18" s="9" t="n">
        <v>0.0086646340521834</v>
      </c>
      <c r="S18" s="9" t="n">
        <v>0.0541473740689458</v>
      </c>
      <c r="T18" s="9" t="n">
        <v>0.0172616515216647</v>
      </c>
      <c r="U18" s="9" t="n">
        <v>0.000259</v>
      </c>
      <c r="V18" s="9" t="n">
        <v>0.000103</v>
      </c>
      <c r="W18" s="9" t="n">
        <v>0.000497</v>
      </c>
      <c r="X18" s="9" t="n">
        <v>0.489042319095141</v>
      </c>
      <c r="Y18" s="9" t="n">
        <v>0.489042319095141</v>
      </c>
      <c r="Z18" s="9" t="n">
        <v>0.4</v>
      </c>
      <c r="AA18" s="9" t="n">
        <v>0.21</v>
      </c>
      <c r="AB18" s="9" t="n">
        <v>0</v>
      </c>
      <c r="AC18" s="9" t="n">
        <v>0</v>
      </c>
      <c r="AD18" s="9" t="n">
        <v>0</v>
      </c>
      <c r="AE18" s="9" t="n">
        <v>5.914</v>
      </c>
      <c r="AF18" s="9" t="n">
        <v>0</v>
      </c>
      <c r="AG18" s="9" t="n">
        <v>0</v>
      </c>
      <c r="AH18" s="9" t="n">
        <v>0</v>
      </c>
      <c r="AI18" s="9" t="n">
        <v>0</v>
      </c>
      <c r="AJ18" s="9" t="n">
        <v>0</v>
      </c>
      <c r="AK18" s="9" t="n">
        <v>0</v>
      </c>
      <c r="AL18" s="9" t="n">
        <v>0</v>
      </c>
      <c r="AM18" s="9" t="n">
        <v>0</v>
      </c>
      <c r="AN18" s="9" t="n">
        <v>0</v>
      </c>
      <c r="AO18" s="9" t="n">
        <v>23.5335740063599</v>
      </c>
      <c r="AP18" s="9" t="n">
        <v>21.83121147</v>
      </c>
      <c r="AQ18" s="9" t="n">
        <v>23.2229512012125</v>
      </c>
      <c r="AR18" s="9" t="n">
        <v>22.5843200431792</v>
      </c>
      <c r="AS18" s="9" t="n">
        <v>9.87553460673705</v>
      </c>
      <c r="AT18" s="9" t="n">
        <v>9.0436429116</v>
      </c>
      <c r="AU18" s="9" t="n">
        <v>8.67899602096407</v>
      </c>
      <c r="AV18" s="9" t="n">
        <v>9.41633286193308</v>
      </c>
      <c r="AW18" s="9" t="n">
        <v>1.72361338576142</v>
      </c>
      <c r="AX18" s="9" t="n">
        <v>1.5648416208</v>
      </c>
      <c r="AY18" s="9" t="n">
        <v>1.51477710447175</v>
      </c>
      <c r="AZ18" s="9" t="n">
        <v>1.64346721589541</v>
      </c>
      <c r="BA18" s="9" t="n">
        <v>23.8083170721125</v>
      </c>
      <c r="BB18" s="9" t="n">
        <v>23.0320278616574</v>
      </c>
      <c r="BC18" s="9" t="n">
        <v>22.42797222</v>
      </c>
      <c r="BD18" s="9" t="n">
        <v>22.7966215712054</v>
      </c>
      <c r="BE18" s="9" t="n">
        <v>0.0463100357418459</v>
      </c>
      <c r="BF18" s="9" t="n">
        <v>0.0426125495725855</v>
      </c>
      <c r="BG18" s="9" t="n">
        <v>0.0453290996078379</v>
      </c>
      <c r="BH18" s="9" t="n">
        <v>0.0440825493686223</v>
      </c>
      <c r="BI18" s="9" t="n">
        <v>4.37773088951925</v>
      </c>
      <c r="BJ18" s="9" t="n">
        <v>3.86693843</v>
      </c>
      <c r="BK18" s="9" t="n">
        <v>4.11345575491249</v>
      </c>
      <c r="BL18" s="9" t="n">
        <v>4.0003357216524</v>
      </c>
      <c r="BM18" s="9" t="n">
        <v>0</v>
      </c>
      <c r="BN18" s="9" t="n">
        <v>0</v>
      </c>
      <c r="BO18" s="9" t="n">
        <v>0</v>
      </c>
      <c r="BP18" s="9" t="n">
        <v>0</v>
      </c>
      <c r="BQ18" s="9" t="n">
        <v>0</v>
      </c>
      <c r="BR18" s="9" t="n">
        <v>0</v>
      </c>
      <c r="BS18" s="9" t="n">
        <v>0</v>
      </c>
      <c r="BT18" s="9" t="n">
        <v>0</v>
      </c>
      <c r="BU18" s="9" t="n">
        <v>0</v>
      </c>
      <c r="BV18" s="9" t="n">
        <v>25.0458307696966</v>
      </c>
      <c r="BW18" s="9" t="n">
        <v>24.6222230522242</v>
      </c>
      <c r="BX18" s="9" t="n">
        <v>24.9462805815667</v>
      </c>
      <c r="BY18" s="9" t="n">
        <v>24.4173672584581</v>
      </c>
      <c r="BZ18" s="9" t="n">
        <v>3.2219855534718</v>
      </c>
      <c r="CA18" s="9" t="n">
        <v>-0.322963885716924</v>
      </c>
      <c r="CB18" s="9" t="n">
        <v>4.995</v>
      </c>
      <c r="CC18" s="9" t="n">
        <v>4.858</v>
      </c>
      <c r="CD18" s="9" t="n">
        <v>23.13</v>
      </c>
      <c r="CE18" s="9" t="n">
        <v>0.18</v>
      </c>
      <c r="CF18" s="9" t="n">
        <v>0</v>
      </c>
      <c r="CG18" s="9" t="n">
        <v>1.4</v>
      </c>
      <c r="CH18" s="9" t="n">
        <v>0</v>
      </c>
      <c r="CI18" s="9" t="n">
        <v>1.4</v>
      </c>
      <c r="CJ18" s="9" t="n">
        <v>0.11</v>
      </c>
      <c r="CK18" s="9" t="n">
        <v>1.69</v>
      </c>
      <c r="CL18" s="9" t="n">
        <v>0</v>
      </c>
      <c r="CM18" s="9" t="n">
        <v>37.307</v>
      </c>
      <c r="CN18" s="9" t="n">
        <v>60.204</v>
      </c>
      <c r="CO18" s="9" t="n">
        <v>3</v>
      </c>
      <c r="CP18" s="9" t="n">
        <v>1</v>
      </c>
      <c r="CQ18" s="9" t="n">
        <v>0.5</v>
      </c>
      <c r="CR18" s="9" t="n">
        <v>0.3</v>
      </c>
      <c r="CS18" s="9" t="n">
        <v>0.6</v>
      </c>
      <c r="CT18" s="9" t="n">
        <v>0.8</v>
      </c>
      <c r="CU18" s="9" t="n">
        <v>0.8</v>
      </c>
      <c r="CV18" s="9" t="n">
        <v>0.7</v>
      </c>
      <c r="CW18" s="9" t="n">
        <v>0.5</v>
      </c>
      <c r="CX18" s="9" t="n">
        <v>0.5</v>
      </c>
      <c r="CY18" s="9" t="n">
        <v>1</v>
      </c>
      <c r="CZ18" s="9" t="n">
        <v>0.3</v>
      </c>
      <c r="DA18" s="9" t="n">
        <v>0.8</v>
      </c>
      <c r="DB18" s="9" t="n">
        <v>0.338682753975459</v>
      </c>
      <c r="DC18" s="9" t="n">
        <v>7.124</v>
      </c>
      <c r="DD18" s="9" t="n">
        <v>5.575</v>
      </c>
      <c r="DE18" s="9" t="n">
        <v>14.38774</v>
      </c>
      <c r="DF18" s="9" t="n">
        <v>21.2748614499618</v>
      </c>
      <c r="DG18" s="9" t="n">
        <v>24.430264565879</v>
      </c>
      <c r="DH18" s="9" t="n">
        <v>15.937739143089</v>
      </c>
      <c r="DI18" s="9" t="n">
        <v>22.0485208348771</v>
      </c>
      <c r="DJ18" s="9" t="n">
        <v>6.998</v>
      </c>
      <c r="DK18" s="9" t="n">
        <v>5.675</v>
      </c>
      <c r="DL18" s="9" t="n">
        <v>17.6292</v>
      </c>
      <c r="DM18" s="9" t="n">
        <v>13.4947462084719</v>
      </c>
      <c r="DN18" s="9" t="n">
        <v>13.4947462084719</v>
      </c>
      <c r="DO18" s="9" t="n">
        <v>0.0791600000000001</v>
      </c>
    </row>
    <row r="19" customFormat="false" ht="15" hidden="false" customHeight="false" outlineLevel="0" collapsed="false">
      <c r="A19" s="9" t="s">
        <v>756</v>
      </c>
      <c r="B19" s="9" t="s">
        <v>757</v>
      </c>
      <c r="C19" s="9" t="n">
        <v>0.005</v>
      </c>
      <c r="D19" s="9" t="n">
        <v>0.005</v>
      </c>
      <c r="E19" s="9" t="n">
        <v>0.01</v>
      </c>
      <c r="F19" s="9" t="n">
        <v>0.005</v>
      </c>
      <c r="G19" s="9" t="n">
        <v>0.005</v>
      </c>
      <c r="H19" s="9" t="n">
        <v>0.01</v>
      </c>
      <c r="I19" s="9" t="n">
        <v>0.005</v>
      </c>
      <c r="J19" s="9" t="n">
        <v>0.005</v>
      </c>
      <c r="K19" s="9" t="n">
        <v>0.01</v>
      </c>
      <c r="L19" s="9" t="n">
        <v>0.01</v>
      </c>
      <c r="M19" s="9" t="n">
        <v>0.005</v>
      </c>
      <c r="N19" s="9" t="n">
        <v>54.007956</v>
      </c>
      <c r="O19" s="9" t="n">
        <v>1.242126</v>
      </c>
      <c r="P19" s="9" t="n">
        <v>20.859483</v>
      </c>
      <c r="Q19" s="9" t="n">
        <v>18.149927644825</v>
      </c>
      <c r="R19" s="9" t="n">
        <v>4.91753727651392</v>
      </c>
      <c r="S19" s="9" t="n">
        <v>21.2457977459838</v>
      </c>
      <c r="T19" s="9" t="n">
        <v>7.07025609258946</v>
      </c>
      <c r="U19" s="9" t="n">
        <v>0.694104</v>
      </c>
      <c r="V19" s="9" t="n">
        <v>0.079822</v>
      </c>
      <c r="W19" s="9" t="n">
        <v>0.028342</v>
      </c>
      <c r="X19" s="9" t="n">
        <v>27.541983131062</v>
      </c>
      <c r="Y19" s="9" t="n">
        <v>27.541983131062</v>
      </c>
      <c r="Z19" s="9" t="n">
        <v>28.24</v>
      </c>
      <c r="AA19" s="9" t="n">
        <v>1.15</v>
      </c>
      <c r="AB19" s="9" t="n">
        <v>0.06</v>
      </c>
      <c r="AC19" s="9" t="n">
        <v>0</v>
      </c>
      <c r="AD19" s="9" t="n">
        <v>0</v>
      </c>
      <c r="AE19" s="9" t="n">
        <v>130.798</v>
      </c>
      <c r="AF19" s="9" t="n">
        <v>98.4576338016064</v>
      </c>
      <c r="AG19" s="9" t="n">
        <v>83.610249462</v>
      </c>
      <c r="AH19" s="9" t="n">
        <v>91.3935439785841</v>
      </c>
      <c r="AI19" s="9" t="n">
        <v>88.9563828058219</v>
      </c>
      <c r="AJ19" s="9" t="n">
        <v>222.008894925554</v>
      </c>
      <c r="AK19" s="9" t="n">
        <v>0</v>
      </c>
      <c r="AL19" s="9" t="n">
        <v>0</v>
      </c>
      <c r="AM19" s="9" t="n">
        <v>0</v>
      </c>
      <c r="AN19" s="9" t="n">
        <v>0</v>
      </c>
      <c r="AO19" s="9" t="n">
        <v>134.350321688215</v>
      </c>
      <c r="AP19" s="9" t="n">
        <v>114.52013725</v>
      </c>
      <c r="AQ19" s="9" t="n">
        <v>125.180839281531</v>
      </c>
      <c r="AR19" s="9" t="n">
        <v>121.842683567357</v>
      </c>
      <c r="AS19" s="9" t="n">
        <v>312.323148609931</v>
      </c>
      <c r="AT19" s="9" t="n">
        <v>180.2461319532</v>
      </c>
      <c r="AU19" s="9" t="n">
        <v>212.627579459054</v>
      </c>
      <c r="AV19" s="9" t="n">
        <v>244.266292116658</v>
      </c>
      <c r="AW19" s="9" t="n">
        <v>250.293077111662</v>
      </c>
      <c r="AX19" s="9" t="n">
        <v>145.1661782328</v>
      </c>
      <c r="AY19" s="9" t="n">
        <v>170.37615959089</v>
      </c>
      <c r="AZ19" s="9" t="n">
        <v>195.724858962031</v>
      </c>
      <c r="BA19" s="9" t="n">
        <v>31.4181626674757</v>
      </c>
      <c r="BB19" s="9" t="n">
        <v>26.8590608391053</v>
      </c>
      <c r="BC19" s="9" t="n">
        <v>37.391870053385</v>
      </c>
      <c r="BD19" s="9" t="n">
        <v>32.2495434594856</v>
      </c>
      <c r="BE19" s="9" t="n">
        <v>6.56426396793537</v>
      </c>
      <c r="BF19" s="9" t="n">
        <v>5.44741994347301</v>
      </c>
      <c r="BG19" s="9" t="n">
        <v>5.95452133413248</v>
      </c>
      <c r="BH19" s="9" t="n">
        <v>5.79573409855561</v>
      </c>
      <c r="BI19" s="9" t="n">
        <v>0.6398044482779</v>
      </c>
      <c r="BJ19" s="9" t="n">
        <v>0.567228384815617</v>
      </c>
      <c r="BK19" s="9" t="n">
        <v>0.620031786379355</v>
      </c>
      <c r="BL19" s="9" t="n">
        <v>0.603497605409239</v>
      </c>
      <c r="BM19" s="9" t="n">
        <v>268.096795828092</v>
      </c>
      <c r="BN19" s="9" t="n">
        <v>219.747379968</v>
      </c>
      <c r="BO19" s="9" t="n">
        <v>240.203706656943</v>
      </c>
      <c r="BP19" s="9" t="n">
        <v>233.798274479424</v>
      </c>
      <c r="BQ19" s="9" t="n">
        <v>936.809661069487</v>
      </c>
      <c r="BR19" s="9" t="n">
        <v>162.418290175255</v>
      </c>
      <c r="BS19" s="9" t="n">
        <v>138.7028308536</v>
      </c>
      <c r="BT19" s="9" t="n">
        <v>151.614704574395</v>
      </c>
      <c r="BU19" s="9" t="n">
        <v>147.571645785745</v>
      </c>
      <c r="BV19" s="9" t="n">
        <v>96.8735710783234</v>
      </c>
      <c r="BW19" s="9" t="n">
        <v>274.019564815568</v>
      </c>
      <c r="BX19" s="9" t="n">
        <v>84.441841421126</v>
      </c>
      <c r="BY19" s="9" t="n">
        <v>82.1519168037507</v>
      </c>
      <c r="BZ19" s="9" t="n">
        <v>156.282284922665</v>
      </c>
      <c r="CA19" s="9" t="n">
        <v>0.172007441520905</v>
      </c>
      <c r="CB19" s="9" t="n">
        <v>3.49</v>
      </c>
      <c r="CC19" s="9" t="n">
        <v>4.693</v>
      </c>
      <c r="CD19" s="9" t="n">
        <v>450.461</v>
      </c>
      <c r="CE19" s="9" t="n">
        <v>0.65</v>
      </c>
      <c r="CF19" s="9" t="n">
        <v>22.24</v>
      </c>
      <c r="CG19" s="9" t="n">
        <v>101.19</v>
      </c>
      <c r="CH19" s="9" t="n">
        <v>66.48</v>
      </c>
      <c r="CI19" s="9" t="n">
        <v>12.47</v>
      </c>
      <c r="CJ19" s="9" t="n">
        <v>1.56</v>
      </c>
      <c r="CK19" s="9" t="n">
        <v>103.33</v>
      </c>
      <c r="CL19" s="9" t="n">
        <v>0</v>
      </c>
      <c r="CM19" s="9" t="n">
        <v>309.657</v>
      </c>
      <c r="CN19" s="9" t="n">
        <v>326.847</v>
      </c>
      <c r="CO19" s="9" t="n">
        <v>3</v>
      </c>
      <c r="CP19" s="9" t="n">
        <v>2</v>
      </c>
      <c r="CQ19" s="9" t="n">
        <v>0.5</v>
      </c>
      <c r="CR19" s="9" t="n">
        <v>0.3</v>
      </c>
      <c r="CS19" s="9" t="n">
        <v>0.6</v>
      </c>
      <c r="CT19" s="9" t="n">
        <v>0.8</v>
      </c>
      <c r="CU19" s="9" t="n">
        <v>0.8</v>
      </c>
      <c r="CV19" s="9" t="n">
        <v>0.7</v>
      </c>
      <c r="CW19" s="9" t="n">
        <v>0.5</v>
      </c>
      <c r="CX19" s="9" t="n">
        <v>0.5</v>
      </c>
      <c r="CY19" s="9" t="n">
        <v>1</v>
      </c>
      <c r="CZ19" s="9" t="n">
        <v>0.3</v>
      </c>
      <c r="DA19" s="9" t="n">
        <v>0.8</v>
      </c>
      <c r="DB19" s="9" t="n">
        <v>0.268651740542849</v>
      </c>
      <c r="DC19" s="9" t="n">
        <v>6.683</v>
      </c>
      <c r="DD19" s="9" t="n">
        <v>4.506</v>
      </c>
      <c r="DE19" s="9" t="n">
        <v>12.34525</v>
      </c>
      <c r="DF19" s="9" t="n">
        <v>20.0440861140539</v>
      </c>
      <c r="DG19" s="9" t="n">
        <v>23.6473877129198</v>
      </c>
      <c r="DH19" s="9" t="n">
        <v>19.8096207705563</v>
      </c>
      <c r="DI19" s="9" t="n">
        <v>22.7504688032727</v>
      </c>
      <c r="DJ19" s="9" t="n">
        <v>4.869</v>
      </c>
      <c r="DK19" s="9" t="n">
        <v>4.036</v>
      </c>
      <c r="DL19" s="9" t="n">
        <v>11.34935</v>
      </c>
      <c r="DM19" s="9" t="n">
        <v>14.1151698941595</v>
      </c>
      <c r="DN19" s="9" t="n">
        <v>14.1151698941595</v>
      </c>
      <c r="DO19" s="9" t="n">
        <v>0.0893600000000001</v>
      </c>
    </row>
    <row r="20" customFormat="false" ht="15" hidden="false" customHeight="false" outlineLevel="0" collapsed="false">
      <c r="A20" s="9" t="s">
        <v>830</v>
      </c>
      <c r="B20" s="9" t="s">
        <v>831</v>
      </c>
      <c r="C20" s="9" t="n">
        <v>0.005</v>
      </c>
      <c r="D20" s="9" t="n">
        <v>0.005</v>
      </c>
      <c r="E20" s="9" t="n">
        <v>0.01</v>
      </c>
      <c r="F20" s="9" t="n">
        <v>0.005</v>
      </c>
      <c r="G20" s="9" t="n">
        <v>0.005</v>
      </c>
      <c r="H20" s="9" t="n">
        <v>0.01</v>
      </c>
      <c r="I20" s="9" t="n">
        <v>0.005</v>
      </c>
      <c r="J20" s="9" t="n">
        <v>0.005</v>
      </c>
      <c r="K20" s="9" t="n">
        <v>0.01</v>
      </c>
      <c r="L20" s="9" t="n">
        <v>0.01</v>
      </c>
      <c r="M20" s="9" t="n">
        <v>0.005</v>
      </c>
      <c r="N20" s="9" t="n">
        <v>31.510909</v>
      </c>
      <c r="O20" s="9" t="n">
        <v>3.687729</v>
      </c>
      <c r="P20" s="9" t="n">
        <v>95.273826</v>
      </c>
      <c r="Q20" s="9" t="n">
        <v>19.8931283095756</v>
      </c>
      <c r="R20" s="9" t="n">
        <v>2.10147401725034</v>
      </c>
      <c r="S20" s="9" t="n">
        <v>8.49578656954763</v>
      </c>
      <c r="T20" s="9" t="n">
        <v>8.32209433507747</v>
      </c>
      <c r="U20" s="9" t="n">
        <v>1.825269</v>
      </c>
      <c r="V20" s="9" t="n">
        <v>0.000445</v>
      </c>
      <c r="W20" s="9" t="n">
        <v>0.614313</v>
      </c>
      <c r="X20" s="9" t="n">
        <v>15.9885955186811</v>
      </c>
      <c r="Y20" s="9" t="n">
        <v>15.9885955186811</v>
      </c>
      <c r="Z20" s="9" t="n">
        <v>5.84</v>
      </c>
      <c r="AA20" s="9" t="n">
        <v>5.91</v>
      </c>
      <c r="AB20" s="9" t="n">
        <v>0.71</v>
      </c>
      <c r="AC20" s="9" t="n">
        <v>0</v>
      </c>
      <c r="AD20" s="9" t="n">
        <v>0</v>
      </c>
      <c r="AE20" s="9" t="n">
        <v>47.89</v>
      </c>
      <c r="AF20" s="9" t="n">
        <v>13.7719910879291</v>
      </c>
      <c r="AG20" s="9" t="n">
        <v>10.3866678684</v>
      </c>
      <c r="AH20" s="9" t="n">
        <v>13.1793916773558</v>
      </c>
      <c r="AI20" s="9" t="n">
        <v>11.8770245089145</v>
      </c>
      <c r="AJ20" s="9" t="n">
        <v>159.203634567418</v>
      </c>
      <c r="AK20" s="9" t="n">
        <v>7.45698056303182</v>
      </c>
      <c r="AL20" s="9" t="n">
        <v>6.3443166552</v>
      </c>
      <c r="AM20" s="9" t="n">
        <v>8.05014997913214</v>
      </c>
      <c r="AN20" s="9" t="n">
        <v>7.25464656816182</v>
      </c>
      <c r="AO20" s="9" t="n">
        <v>108.416234534779</v>
      </c>
      <c r="AP20" s="9" t="n">
        <v>91.01590487</v>
      </c>
      <c r="AQ20" s="9" t="n">
        <v>115.487880651321</v>
      </c>
      <c r="AR20" s="9" t="n">
        <v>104.075546319413</v>
      </c>
      <c r="AS20" s="9" t="n">
        <v>82.8195427473539</v>
      </c>
      <c r="AT20" s="9" t="n">
        <v>68.4592837092</v>
      </c>
      <c r="AU20" s="9" t="n">
        <v>86.1531847090847</v>
      </c>
      <c r="AV20" s="9" t="n">
        <v>82.853354066102</v>
      </c>
      <c r="AW20" s="9" t="n">
        <v>52.1688353992702</v>
      </c>
      <c r="AX20" s="9" t="n">
        <v>43.0318592244</v>
      </c>
      <c r="AY20" s="9" t="n">
        <v>54.2631334058096</v>
      </c>
      <c r="AZ20" s="9" t="n">
        <v>52.1965636077906</v>
      </c>
      <c r="BA20" s="9" t="n">
        <v>24.9460921760045</v>
      </c>
      <c r="BB20" s="9" t="n">
        <v>21.0038208399067</v>
      </c>
      <c r="BC20" s="9" t="n">
        <v>21.9625394254835</v>
      </c>
      <c r="BD20" s="9" t="n">
        <v>24.0204275367072</v>
      </c>
      <c r="BE20" s="9" t="n">
        <v>0</v>
      </c>
      <c r="BF20" s="9" t="n">
        <v>0</v>
      </c>
      <c r="BG20" s="9" t="n">
        <v>0</v>
      </c>
      <c r="BH20" s="9" t="n">
        <v>0</v>
      </c>
      <c r="BI20" s="9" t="n">
        <v>0.95467227854495</v>
      </c>
      <c r="BJ20" s="9" t="n">
        <v>0.862008699999999</v>
      </c>
      <c r="BK20" s="9" t="n">
        <v>1.09378199346797</v>
      </c>
      <c r="BL20" s="9" t="n">
        <v>0.985696143028265</v>
      </c>
      <c r="BM20" s="9" t="n">
        <v>72.4109514695409</v>
      </c>
      <c r="BN20" s="9" t="n">
        <v>48.91605912</v>
      </c>
      <c r="BO20" s="9" t="n">
        <v>62.0684044799906</v>
      </c>
      <c r="BP20" s="9" t="n">
        <v>55.9349004328223</v>
      </c>
      <c r="BQ20" s="9" t="n">
        <v>93.8007860994583</v>
      </c>
      <c r="BR20" s="9" t="n">
        <v>22.6537834291819</v>
      </c>
      <c r="BS20" s="9" t="n">
        <v>15.2269226784</v>
      </c>
      <c r="BT20" s="9" t="n">
        <v>19.3210739538511</v>
      </c>
      <c r="BU20" s="9" t="n">
        <v>17.4117952107543</v>
      </c>
      <c r="BV20" s="9" t="n">
        <v>68.8104612746368</v>
      </c>
      <c r="BW20" s="9" t="n">
        <v>54.2096989037213</v>
      </c>
      <c r="BX20" s="9" t="n">
        <v>80.2519525961735</v>
      </c>
      <c r="BY20" s="9" t="n">
        <v>69.4139600010984</v>
      </c>
      <c r="BZ20" s="9" t="n">
        <v>37.4967717073956</v>
      </c>
      <c r="CA20" s="9" t="n">
        <v>6.68105895034149</v>
      </c>
      <c r="CB20" s="9" t="n">
        <v>3.096</v>
      </c>
      <c r="CC20" s="9" t="n">
        <v>2.773</v>
      </c>
      <c r="CD20" s="9" t="n">
        <v>113.364</v>
      </c>
      <c r="CE20" s="9" t="n">
        <v>19.09</v>
      </c>
      <c r="CF20" s="9" t="n">
        <v>8.55</v>
      </c>
      <c r="CG20" s="9" t="n">
        <v>10.66</v>
      </c>
      <c r="CH20" s="9" t="n">
        <v>1.85</v>
      </c>
      <c r="CI20" s="9" t="n">
        <v>0.26</v>
      </c>
      <c r="CJ20" s="9" t="n">
        <v>6.91</v>
      </c>
      <c r="CK20" s="9" t="n">
        <v>37.98</v>
      </c>
      <c r="CL20" s="9" t="n">
        <v>1.32</v>
      </c>
      <c r="CM20" s="9" t="n">
        <v>59.772</v>
      </c>
      <c r="CN20" s="9" t="n">
        <v>50.266</v>
      </c>
      <c r="CO20" s="9" t="n">
        <v>3</v>
      </c>
      <c r="CP20" s="9" t="n">
        <v>3</v>
      </c>
      <c r="CQ20" s="9" t="n">
        <v>0.5</v>
      </c>
      <c r="CR20" s="9" t="n">
        <v>0.3</v>
      </c>
      <c r="CS20" s="9" t="n">
        <v>0.6</v>
      </c>
      <c r="CT20" s="9" t="n">
        <v>0.8</v>
      </c>
      <c r="CU20" s="9" t="n">
        <v>0.8</v>
      </c>
      <c r="CV20" s="9" t="n">
        <v>0.7</v>
      </c>
      <c r="CW20" s="9" t="n">
        <v>0.5</v>
      </c>
      <c r="CX20" s="9" t="n">
        <v>0.5</v>
      </c>
      <c r="CY20" s="9" t="n">
        <v>1</v>
      </c>
      <c r="CZ20" s="9" t="n">
        <v>0.3</v>
      </c>
      <c r="DA20" s="9" t="n">
        <v>0.8</v>
      </c>
      <c r="DB20" s="9" t="n">
        <v>0.448219009097703</v>
      </c>
      <c r="DC20" s="9" t="n">
        <v>6.545</v>
      </c>
      <c r="DD20" s="9" t="n">
        <v>6.181</v>
      </c>
      <c r="DE20" s="9" t="n">
        <v>6.7128</v>
      </c>
      <c r="DF20" s="9" t="n">
        <v>21.6625253819594</v>
      </c>
      <c r="DG20" s="9" t="n">
        <v>24.8438507120728</v>
      </c>
      <c r="DH20" s="9" t="n">
        <v>15.656114517978</v>
      </c>
      <c r="DI20" s="9" t="n">
        <v>20.0808477223199</v>
      </c>
      <c r="DJ20" s="9" t="n">
        <v>12.466</v>
      </c>
      <c r="DK20" s="9" t="n">
        <v>12.466</v>
      </c>
      <c r="DL20" s="9" t="n">
        <v>19.4856</v>
      </c>
      <c r="DM20" s="9" t="n">
        <v>13.4947462084719</v>
      </c>
      <c r="DN20" s="9" t="n">
        <v>13.4947462084719</v>
      </c>
      <c r="DO20" s="9" t="n">
        <v>0.0911</v>
      </c>
    </row>
    <row r="21" customFormat="false" ht="15" hidden="false" customHeight="false" outlineLevel="0" collapsed="false">
      <c r="A21" s="9" t="s">
        <v>898</v>
      </c>
      <c r="B21" s="9" t="s">
        <v>899</v>
      </c>
      <c r="C21" s="9" t="n">
        <v>0.005</v>
      </c>
      <c r="D21" s="9" t="n">
        <v>0.005</v>
      </c>
      <c r="E21" s="9" t="n">
        <v>0.01</v>
      </c>
      <c r="F21" s="9" t="n">
        <v>0.005</v>
      </c>
      <c r="G21" s="9" t="n">
        <v>0.005</v>
      </c>
      <c r="H21" s="9" t="n">
        <v>0.01</v>
      </c>
      <c r="I21" s="9" t="n">
        <v>0.005</v>
      </c>
      <c r="J21" s="9" t="n">
        <v>0.005</v>
      </c>
      <c r="K21" s="9" t="n">
        <v>0.01</v>
      </c>
      <c r="L21" s="9" t="n">
        <v>0.01</v>
      </c>
      <c r="M21" s="9" t="n">
        <v>0.005</v>
      </c>
      <c r="N21" s="9" t="n">
        <v>3.435224</v>
      </c>
      <c r="O21" s="9" t="n">
        <v>1.192033</v>
      </c>
      <c r="P21" s="9" t="n">
        <v>7.125465</v>
      </c>
      <c r="Q21" s="9" t="n">
        <v>6.43772025293342</v>
      </c>
      <c r="R21" s="9" t="n">
        <v>1.35582935417878</v>
      </c>
      <c r="S21" s="9" t="n">
        <v>1.05645659386965</v>
      </c>
      <c r="T21" s="9" t="n">
        <v>1.39260798040289</v>
      </c>
      <c r="U21" s="9" t="n">
        <v>0.214823</v>
      </c>
      <c r="V21" s="9" t="n">
        <v>0.006999</v>
      </c>
      <c r="W21" s="9" t="n">
        <v>0.013308</v>
      </c>
      <c r="X21" s="9" t="n">
        <v>4.73615025318224</v>
      </c>
      <c r="Y21" s="9" t="n">
        <v>4.73615025318224</v>
      </c>
      <c r="Z21" s="9" t="n">
        <v>9.28</v>
      </c>
      <c r="AA21" s="9" t="n">
        <v>0.07</v>
      </c>
      <c r="AB21" s="9" t="n">
        <v>0</v>
      </c>
      <c r="AC21" s="9" t="n">
        <v>2.6</v>
      </c>
      <c r="AD21" s="9" t="n">
        <v>2.46217877889512</v>
      </c>
      <c r="AE21" s="9" t="n">
        <v>39.42</v>
      </c>
      <c r="AF21" s="9" t="n">
        <v>0</v>
      </c>
      <c r="AG21" s="9" t="n">
        <v>0</v>
      </c>
      <c r="AH21" s="9" t="n">
        <v>0</v>
      </c>
      <c r="AI21" s="9" t="n">
        <v>0</v>
      </c>
      <c r="AJ21" s="9" t="n">
        <v>0</v>
      </c>
      <c r="AK21" s="9" t="n">
        <v>0</v>
      </c>
      <c r="AL21" s="9" t="n">
        <v>0</v>
      </c>
      <c r="AM21" s="9" t="n">
        <v>0</v>
      </c>
      <c r="AN21" s="9" t="n">
        <v>0</v>
      </c>
      <c r="AO21" s="9" t="n">
        <v>13.3266233463198</v>
      </c>
      <c r="AP21" s="9" t="n">
        <v>12.25182397</v>
      </c>
      <c r="AQ21" s="9" t="n">
        <v>12.3335027964667</v>
      </c>
      <c r="AR21" s="9" t="n">
        <v>13.0971141115812</v>
      </c>
      <c r="AS21" s="9" t="n">
        <v>106.202674423116</v>
      </c>
      <c r="AT21" s="9" t="n">
        <v>89.424249282</v>
      </c>
      <c r="AU21" s="9" t="n">
        <v>93.8361174768445</v>
      </c>
      <c r="AV21" s="9" t="n">
        <v>103.318150004831</v>
      </c>
      <c r="AW21" s="9" t="n">
        <v>36.4530395618174</v>
      </c>
      <c r="AX21" s="9" t="n">
        <v>30.876226488</v>
      </c>
      <c r="AY21" s="9" t="n">
        <v>32.2083386439301</v>
      </c>
      <c r="AZ21" s="9" t="n">
        <v>35.4629544880854</v>
      </c>
      <c r="BA21" s="9" t="n">
        <v>39.8081825000296</v>
      </c>
      <c r="BB21" s="9" t="n">
        <v>32.4958160119501</v>
      </c>
      <c r="BC21" s="9" t="n">
        <v>40.90469902</v>
      </c>
      <c r="BD21" s="9" t="n">
        <v>38.8447511157415</v>
      </c>
      <c r="BE21" s="9" t="n">
        <v>0</v>
      </c>
      <c r="BF21" s="9" t="n">
        <v>0</v>
      </c>
      <c r="BG21" s="9" t="n">
        <v>0</v>
      </c>
      <c r="BH21" s="9" t="n">
        <v>0</v>
      </c>
      <c r="BI21" s="9" t="n">
        <v>3.68106282612461</v>
      </c>
      <c r="BJ21" s="9" t="n">
        <v>3.37019297999999</v>
      </c>
      <c r="BK21" s="9" t="n">
        <v>3.39266093319999</v>
      </c>
      <c r="BL21" s="9" t="n">
        <v>3.60271271813824</v>
      </c>
      <c r="BM21" s="9" t="n">
        <v>99.2031154968755</v>
      </c>
      <c r="BN21" s="9" t="n">
        <v>89.5822842348</v>
      </c>
      <c r="BO21" s="9" t="n">
        <v>90.179499463032</v>
      </c>
      <c r="BP21" s="9" t="n">
        <v>95.7628351396629</v>
      </c>
      <c r="BQ21" s="9" t="n">
        <v>427.834282572958</v>
      </c>
      <c r="BR21" s="9" t="n">
        <v>0.0493318068846733</v>
      </c>
      <c r="BS21" s="9" t="n">
        <v>0.044547552</v>
      </c>
      <c r="BT21" s="9" t="n">
        <v>0.0448445356799999</v>
      </c>
      <c r="BU21" s="9" t="n">
        <v>0.0476210214384592</v>
      </c>
      <c r="BV21" s="9" t="n">
        <v>7.69462710668378</v>
      </c>
      <c r="BW21" s="9" t="n">
        <v>6.99695952234101</v>
      </c>
      <c r="BX21" s="9" t="n">
        <v>7.01105041134164</v>
      </c>
      <c r="BY21" s="9" t="n">
        <v>7.44512964359939</v>
      </c>
      <c r="BZ21" s="9" t="n">
        <v>39.6265872180369</v>
      </c>
      <c r="CA21" s="9" t="n">
        <v>0.0485151024301984</v>
      </c>
      <c r="CB21" s="9" t="n">
        <v>3.109</v>
      </c>
      <c r="CC21" s="9" t="n">
        <v>-0.499</v>
      </c>
      <c r="CD21" s="9" t="n">
        <v>47.21</v>
      </c>
      <c r="CE21" s="9" t="n">
        <v>0</v>
      </c>
      <c r="CF21" s="9" t="n">
        <v>0</v>
      </c>
      <c r="CG21" s="9" t="n">
        <v>37.85</v>
      </c>
      <c r="CH21" s="9" t="n">
        <v>37.85</v>
      </c>
      <c r="CI21" s="9" t="n">
        <v>0</v>
      </c>
      <c r="CJ21" s="9" t="n">
        <v>0.1</v>
      </c>
      <c r="CK21" s="9" t="n">
        <v>37.95</v>
      </c>
      <c r="CL21" s="9" t="n">
        <v>0</v>
      </c>
      <c r="CM21" s="9" t="n">
        <v>74.727</v>
      </c>
      <c r="CN21" s="9" t="n">
        <v>74.724</v>
      </c>
      <c r="CO21" s="9" t="n">
        <v>3</v>
      </c>
      <c r="CP21" s="9" t="n">
        <v>4</v>
      </c>
      <c r="CQ21" s="9" t="n">
        <v>0.5</v>
      </c>
      <c r="CR21" s="9" t="n">
        <v>0.3</v>
      </c>
      <c r="CS21" s="9" t="n">
        <v>0.6</v>
      </c>
      <c r="CT21" s="9" t="n">
        <v>0.8</v>
      </c>
      <c r="CU21" s="9" t="n">
        <v>0.8</v>
      </c>
      <c r="CV21" s="9" t="n">
        <v>0.7</v>
      </c>
      <c r="CW21" s="9" t="n">
        <v>0.5</v>
      </c>
      <c r="CX21" s="9" t="n">
        <v>0.5</v>
      </c>
      <c r="CY21" s="9" t="n">
        <v>1</v>
      </c>
      <c r="CZ21" s="9" t="n">
        <v>0.3</v>
      </c>
      <c r="DA21" s="9" t="n">
        <v>0.8</v>
      </c>
      <c r="DB21" s="9" t="n">
        <v>0.442016366121754</v>
      </c>
      <c r="DC21" s="9" t="n">
        <v>7.124</v>
      </c>
      <c r="DD21" s="9" t="n">
        <v>5.575</v>
      </c>
      <c r="DE21" s="9" t="n">
        <v>13.4123</v>
      </c>
      <c r="DF21" s="9" t="n">
        <v>20.5561092462594</v>
      </c>
      <c r="DG21" s="9" t="n">
        <v>22.6481523740239</v>
      </c>
      <c r="DH21" s="9" t="n">
        <v>17.2720586560434</v>
      </c>
      <c r="DI21" s="9" t="n">
        <v>21.7613179857392</v>
      </c>
      <c r="DJ21" s="9" t="n">
        <v>3.684</v>
      </c>
      <c r="DK21" s="9" t="n">
        <v>3.022</v>
      </c>
      <c r="DL21" s="9" t="n">
        <v>8.4205</v>
      </c>
      <c r="DM21" s="9" t="n">
        <v>14.1151698941595</v>
      </c>
      <c r="DN21" s="9" t="n">
        <v>14.1151698941595</v>
      </c>
      <c r="DO21" s="9" t="n">
        <v>0.105</v>
      </c>
    </row>
    <row r="22" customFormat="false" ht="15" hidden="false" customHeight="false" outlineLevel="0" collapsed="false">
      <c r="A22" s="9" t="s">
        <v>976</v>
      </c>
      <c r="B22" s="9" t="s">
        <v>977</v>
      </c>
      <c r="C22" s="9" t="n">
        <v>0.005</v>
      </c>
      <c r="D22" s="9" t="n">
        <v>0.005</v>
      </c>
      <c r="E22" s="9" t="n">
        <v>0.01</v>
      </c>
      <c r="F22" s="9" t="n">
        <v>0.005</v>
      </c>
      <c r="G22" s="9" t="n">
        <v>0.005</v>
      </c>
      <c r="H22" s="9" t="n">
        <v>0.01</v>
      </c>
      <c r="I22" s="9" t="n">
        <v>0.005</v>
      </c>
      <c r="J22" s="9" t="n">
        <v>0.005</v>
      </c>
      <c r="K22" s="9" t="n">
        <v>0.01</v>
      </c>
      <c r="L22" s="9" t="n">
        <v>0.01</v>
      </c>
      <c r="M22" s="9" t="n">
        <v>0.005</v>
      </c>
      <c r="N22" s="9" t="n">
        <v>0.713051</v>
      </c>
      <c r="O22" s="9" t="n">
        <v>1.288143</v>
      </c>
      <c r="P22" s="9" t="n">
        <v>9.871474</v>
      </c>
      <c r="Q22" s="9" t="n">
        <v>5.96363767016605</v>
      </c>
      <c r="R22" s="9" t="n">
        <v>0.864290097667298</v>
      </c>
      <c r="S22" s="9" t="n">
        <v>0.702114482545666</v>
      </c>
      <c r="T22" s="9" t="n">
        <v>0.707107068738037</v>
      </c>
      <c r="U22" s="9" t="n">
        <v>0.113204</v>
      </c>
      <c r="V22" s="9" t="n">
        <v>0.010755</v>
      </c>
      <c r="W22" s="9" t="n">
        <v>0.035516</v>
      </c>
      <c r="X22" s="9" t="n">
        <v>1.50151133998807</v>
      </c>
      <c r="Y22" s="9" t="n">
        <v>1.50151133998807</v>
      </c>
      <c r="Z22" s="9" t="n">
        <v>1.06</v>
      </c>
      <c r="AA22" s="9" t="n">
        <v>0.02</v>
      </c>
      <c r="AB22" s="9" t="n">
        <v>0</v>
      </c>
      <c r="AC22" s="9" t="n">
        <v>0</v>
      </c>
      <c r="AD22" s="9" t="n">
        <v>0</v>
      </c>
      <c r="AE22" s="9" t="n">
        <v>1.324</v>
      </c>
      <c r="AF22" s="9" t="n">
        <v>0.0610303781763219</v>
      </c>
      <c r="AG22" s="9" t="n">
        <v>0.0586151999999999</v>
      </c>
      <c r="AH22" s="9" t="n">
        <v>0.0580290479999999</v>
      </c>
      <c r="AI22" s="9" t="n">
        <v>0.05686846704</v>
      </c>
      <c r="AJ22" s="9" t="n">
        <v>0</v>
      </c>
      <c r="AK22" s="9" t="n">
        <v>0</v>
      </c>
      <c r="AL22" s="9" t="n">
        <v>0</v>
      </c>
      <c r="AM22" s="9" t="n">
        <v>0</v>
      </c>
      <c r="AN22" s="9" t="n">
        <v>0</v>
      </c>
      <c r="AO22" s="9" t="n">
        <v>2.17606215925397</v>
      </c>
      <c r="AP22" s="9" t="n">
        <v>2.2584519</v>
      </c>
      <c r="AQ22" s="9" t="n">
        <v>2.235867381</v>
      </c>
      <c r="AR22" s="9" t="n">
        <v>2.19115003338</v>
      </c>
      <c r="AS22" s="9" t="n">
        <v>3.42562130345235</v>
      </c>
      <c r="AT22" s="9" t="n">
        <v>3.35905163676</v>
      </c>
      <c r="AU22" s="9" t="n">
        <v>3.84603307465894</v>
      </c>
      <c r="AV22" s="9" t="n">
        <v>3.88108529304159</v>
      </c>
      <c r="AW22" s="9" t="n">
        <v>2.36086959100495</v>
      </c>
      <c r="AX22" s="9" t="n">
        <v>2.39784776748</v>
      </c>
      <c r="AY22" s="9" t="n">
        <v>2.6506089633465</v>
      </c>
      <c r="AZ22" s="9" t="n">
        <v>2.67476625019939</v>
      </c>
      <c r="BA22" s="9" t="n">
        <v>12.3462846450849</v>
      </c>
      <c r="BB22" s="9" t="n">
        <v>11.0127052560797</v>
      </c>
      <c r="BC22" s="9" t="n">
        <v>13.9531833435059</v>
      </c>
      <c r="BD22" s="9" t="n">
        <v>12.0872451494718</v>
      </c>
      <c r="BE22" s="9" t="n">
        <v>1.02872431874019</v>
      </c>
      <c r="BF22" s="9" t="n">
        <v>1.04271502</v>
      </c>
      <c r="BG22" s="9" t="n">
        <v>1.0322878698</v>
      </c>
      <c r="BH22" s="9" t="n">
        <v>1.011642112404</v>
      </c>
      <c r="BI22" s="9" t="n">
        <v>0.464889474753415</v>
      </c>
      <c r="BJ22" s="9" t="n">
        <v>0.460899999999998</v>
      </c>
      <c r="BK22" s="9" t="n">
        <v>0.456290999999998</v>
      </c>
      <c r="BL22" s="9" t="n">
        <v>0.447165179999998</v>
      </c>
      <c r="BM22" s="9" t="n">
        <v>0</v>
      </c>
      <c r="BN22" s="9" t="n">
        <v>0</v>
      </c>
      <c r="BO22" s="9" t="n">
        <v>0</v>
      </c>
      <c r="BP22" s="9" t="n">
        <v>0</v>
      </c>
      <c r="BQ22" s="9" t="n">
        <v>0</v>
      </c>
      <c r="BR22" s="9" t="n">
        <v>0</v>
      </c>
      <c r="BS22" s="9" t="n">
        <v>0</v>
      </c>
      <c r="BT22" s="9" t="n">
        <v>0</v>
      </c>
      <c r="BU22" s="9" t="n">
        <v>0</v>
      </c>
      <c r="BV22" s="9" t="n">
        <v>18.8588060741348</v>
      </c>
      <c r="BW22" s="9" t="n">
        <v>20.9353980062246</v>
      </c>
      <c r="BX22" s="9" t="n">
        <v>21.2981754431914</v>
      </c>
      <c r="BY22" s="9" t="n">
        <v>20.7592476075967</v>
      </c>
      <c r="BZ22" s="9" t="n">
        <v>1.60735858179369</v>
      </c>
      <c r="CA22" s="9" t="n">
        <v>0.132897603485838</v>
      </c>
      <c r="CB22" s="9" t="n">
        <v>2.8</v>
      </c>
      <c r="CC22" s="9" t="n">
        <v>2.1</v>
      </c>
      <c r="CD22" s="9" t="n">
        <v>15.833</v>
      </c>
      <c r="CE22" s="9" t="n">
        <v>0</v>
      </c>
      <c r="CF22" s="9" t="n">
        <v>0</v>
      </c>
      <c r="CG22" s="9" t="n">
        <v>2.23</v>
      </c>
      <c r="CH22" s="9" t="n">
        <v>0</v>
      </c>
      <c r="CI22" s="9" t="n">
        <v>2.23</v>
      </c>
      <c r="CJ22" s="9" t="n">
        <v>0.02</v>
      </c>
      <c r="CK22" s="9" t="n">
        <v>2.25</v>
      </c>
      <c r="CL22" s="9" t="n">
        <v>0</v>
      </c>
      <c r="CM22" s="9" t="n">
        <v>1.751</v>
      </c>
      <c r="CN22" s="9" t="n">
        <v>1.807</v>
      </c>
      <c r="CO22" s="9" t="n">
        <v>3</v>
      </c>
      <c r="CP22" s="9" t="n">
        <v>4</v>
      </c>
      <c r="CQ22" s="9" t="n">
        <v>0.5</v>
      </c>
      <c r="CR22" s="9" t="n">
        <v>0.3</v>
      </c>
      <c r="CS22" s="9" t="n">
        <v>0.6</v>
      </c>
      <c r="CT22" s="9" t="n">
        <v>0.8</v>
      </c>
      <c r="CU22" s="9" t="n">
        <v>0.8</v>
      </c>
      <c r="CV22" s="9" t="n">
        <v>0.7</v>
      </c>
      <c r="CW22" s="9" t="n">
        <v>0.5</v>
      </c>
      <c r="CX22" s="9" t="n">
        <v>0.5</v>
      </c>
      <c r="CY22" s="9" t="n">
        <v>1</v>
      </c>
      <c r="CZ22" s="9" t="n">
        <v>0.3</v>
      </c>
      <c r="DA22" s="9" t="n">
        <v>0.8</v>
      </c>
      <c r="DB22" s="9" t="n">
        <v>0.956330031408553</v>
      </c>
      <c r="DC22" s="9" t="n">
        <v>7.124</v>
      </c>
      <c r="DD22" s="9" t="n">
        <v>5.575</v>
      </c>
      <c r="DE22" s="9" t="n">
        <v>13.4123</v>
      </c>
      <c r="DF22" s="9" t="n">
        <v>17.6177410545435</v>
      </c>
      <c r="DG22" s="9" t="n">
        <v>23.2953118896509</v>
      </c>
      <c r="DH22" s="9" t="n">
        <v>16.5515065157913</v>
      </c>
      <c r="DI22" s="9" t="n">
        <v>22.5309936924647</v>
      </c>
      <c r="DJ22" s="9" t="n">
        <v>12.77</v>
      </c>
      <c r="DK22" s="9" t="n">
        <v>11.446</v>
      </c>
      <c r="DL22" s="9" t="n">
        <v>22.7832</v>
      </c>
      <c r="DM22" s="9" t="n">
        <v>13.4947462183142</v>
      </c>
      <c r="DN22" s="9" t="n">
        <v>13.4947462183142</v>
      </c>
      <c r="DO22" s="9" t="n">
        <v>0.105</v>
      </c>
    </row>
    <row r="23" customFormat="false" ht="15" hidden="false" customHeight="false" outlineLevel="0" collapsed="false">
      <c r="A23" s="9" t="s">
        <v>924</v>
      </c>
      <c r="B23" s="9" t="s">
        <v>925</v>
      </c>
      <c r="C23" s="9" t="n">
        <v>0.005</v>
      </c>
      <c r="D23" s="9" t="n">
        <v>0.005</v>
      </c>
      <c r="E23" s="9" t="n">
        <v>0.01</v>
      </c>
      <c r="F23" s="9" t="n">
        <v>0.005</v>
      </c>
      <c r="G23" s="9" t="n">
        <v>0.005</v>
      </c>
      <c r="H23" s="9" t="n">
        <v>0.01</v>
      </c>
      <c r="I23" s="9" t="n">
        <v>0.005</v>
      </c>
      <c r="J23" s="9" t="n">
        <v>0.005</v>
      </c>
      <c r="K23" s="9" t="n">
        <v>0.01</v>
      </c>
      <c r="L23" s="9" t="n">
        <v>0.01</v>
      </c>
      <c r="M23" s="9" t="n">
        <v>0.005</v>
      </c>
      <c r="N23" s="9" t="n">
        <v>5.886787</v>
      </c>
      <c r="O23" s="9" t="n">
        <v>2.149669</v>
      </c>
      <c r="P23" s="9" t="n">
        <v>93.895209</v>
      </c>
      <c r="Q23" s="9" t="n">
        <v>2.55008755820791</v>
      </c>
      <c r="R23" s="9" t="n">
        <v>0.348844458094341</v>
      </c>
      <c r="S23" s="9" t="n">
        <v>2.1752197551611</v>
      </c>
      <c r="T23" s="9" t="n">
        <v>1.72663063490414</v>
      </c>
      <c r="U23" s="9" t="n">
        <v>0.40046</v>
      </c>
      <c r="V23" s="9" t="n">
        <v>0.10075</v>
      </c>
      <c r="W23" s="9" t="n">
        <v>0.292683</v>
      </c>
      <c r="X23" s="9" t="n">
        <v>1.59593057507792</v>
      </c>
      <c r="Y23" s="9" t="n">
        <v>1.59593057507792</v>
      </c>
      <c r="Z23" s="9" t="n">
        <v>2.09</v>
      </c>
      <c r="AA23" s="9" t="n">
        <v>0.67</v>
      </c>
      <c r="AB23" s="9" t="n">
        <v>0.24</v>
      </c>
      <c r="AC23" s="9" t="n">
        <v>2.8</v>
      </c>
      <c r="AD23" s="9" t="n">
        <v>0.005277738</v>
      </c>
      <c r="AE23" s="9" t="n">
        <v>23.486</v>
      </c>
      <c r="AF23" s="9" t="n">
        <v>19.7427307805179</v>
      </c>
      <c r="AG23" s="9" t="n">
        <v>17.2530742968</v>
      </c>
      <c r="AH23" s="9" t="n">
        <v>18.288258754608</v>
      </c>
      <c r="AI23" s="9" t="n">
        <v>18.7155389818748</v>
      </c>
      <c r="AJ23" s="9" t="n">
        <v>127.783237813481</v>
      </c>
      <c r="AK23" s="9" t="n">
        <v>4.66989571387152</v>
      </c>
      <c r="AL23" s="9" t="n">
        <v>4.1514675948</v>
      </c>
      <c r="AM23" s="9" t="n">
        <v>4.400555650488</v>
      </c>
      <c r="AN23" s="9" t="n">
        <v>4.50336863250395</v>
      </c>
      <c r="AO23" s="9" t="n">
        <v>53.6312078902528</v>
      </c>
      <c r="AP23" s="9" t="n">
        <v>47.07790144</v>
      </c>
      <c r="AQ23" s="9" t="n">
        <v>49.9025755264</v>
      </c>
      <c r="AR23" s="9" t="n">
        <v>51.0684811546077</v>
      </c>
      <c r="AS23" s="9" t="n">
        <v>27.1924195341773</v>
      </c>
      <c r="AT23" s="9" t="n">
        <v>21.304803942</v>
      </c>
      <c r="AU23" s="9" t="n">
        <v>23.6374281393147</v>
      </c>
      <c r="AV23" s="9" t="n">
        <v>26.2587858540281</v>
      </c>
      <c r="AW23" s="9" t="n">
        <v>22.3792709479934</v>
      </c>
      <c r="AX23" s="9" t="n">
        <v>17.683201008</v>
      </c>
      <c r="AY23" s="9" t="n">
        <v>19.4515052025718</v>
      </c>
      <c r="AZ23" s="9" t="n">
        <v>21.6109229923202</v>
      </c>
      <c r="BA23" s="9" t="n">
        <v>8.24774088830459</v>
      </c>
      <c r="BB23" s="9" t="n">
        <v>8.29089891008777</v>
      </c>
      <c r="BC23" s="9" t="n">
        <v>6.71356711682023</v>
      </c>
      <c r="BD23" s="9" t="n">
        <v>7.86068496004618</v>
      </c>
      <c r="BE23" s="9" t="n">
        <v>0</v>
      </c>
      <c r="BF23" s="9" t="n">
        <v>0</v>
      </c>
      <c r="BG23" s="9" t="n">
        <v>0</v>
      </c>
      <c r="BH23" s="9" t="n">
        <v>0</v>
      </c>
      <c r="BI23" s="9" t="n">
        <v>0.321013014695253</v>
      </c>
      <c r="BJ23" s="9" t="n">
        <v>0.27963222</v>
      </c>
      <c r="BK23" s="9" t="n">
        <v>0.2964101532</v>
      </c>
      <c r="BL23" s="9" t="n">
        <v>0.303335372233854</v>
      </c>
      <c r="BM23" s="9" t="n">
        <v>5.90260755523613</v>
      </c>
      <c r="BN23" s="9" t="n">
        <v>5.0967088704</v>
      </c>
      <c r="BO23" s="9" t="n">
        <v>5.402511402624</v>
      </c>
      <c r="BP23" s="9" t="n">
        <v>5.52873371448531</v>
      </c>
      <c r="BQ23" s="9" t="n">
        <v>0</v>
      </c>
      <c r="BR23" s="9" t="n">
        <v>4.0016788474019</v>
      </c>
      <c r="BS23" s="9" t="n">
        <v>3.4577985708</v>
      </c>
      <c r="BT23" s="9" t="n">
        <v>3.665266485048</v>
      </c>
      <c r="BU23" s="9" t="n">
        <v>3.75090043838049</v>
      </c>
      <c r="BV23" s="9" t="n">
        <v>18.623750690158</v>
      </c>
      <c r="BW23" s="9" t="n">
        <v>12.7914710450934</v>
      </c>
      <c r="BX23" s="9" t="n">
        <v>13.3742247691305</v>
      </c>
      <c r="BY23" s="9" t="n">
        <v>15.995016267176</v>
      </c>
      <c r="BZ23" s="9" t="n">
        <v>13.7699140228252</v>
      </c>
      <c r="CA23" s="9" t="n">
        <v>3.75687652168052</v>
      </c>
      <c r="CB23" s="9" t="n">
        <v>2</v>
      </c>
      <c r="CC23" s="9" t="n">
        <v>2.2</v>
      </c>
      <c r="CD23" s="9" t="n">
        <v>29.738</v>
      </c>
      <c r="CE23" s="9" t="n">
        <v>5.33</v>
      </c>
      <c r="CF23" s="9" t="n">
        <v>8.08</v>
      </c>
      <c r="CG23" s="9" t="n">
        <v>8.23</v>
      </c>
      <c r="CH23" s="9" t="n">
        <v>0</v>
      </c>
      <c r="CI23" s="9" t="n">
        <v>0.15</v>
      </c>
      <c r="CJ23" s="9" t="n">
        <v>0.59</v>
      </c>
      <c r="CK23" s="9" t="n">
        <v>14.52</v>
      </c>
      <c r="CL23" s="9" t="n">
        <v>0.37</v>
      </c>
      <c r="CM23" s="9" t="n">
        <v>31.12</v>
      </c>
      <c r="CN23" s="9" t="n">
        <v>29.481</v>
      </c>
      <c r="CO23" s="9" t="n">
        <v>3</v>
      </c>
      <c r="CP23" s="9" t="n">
        <v>3</v>
      </c>
      <c r="CQ23" s="9" t="n">
        <v>0.5</v>
      </c>
      <c r="CR23" s="9" t="n">
        <v>0.3</v>
      </c>
      <c r="CS23" s="9" t="n">
        <v>0.6</v>
      </c>
      <c r="CT23" s="9" t="n">
        <v>0.8</v>
      </c>
      <c r="CU23" s="9" t="n">
        <v>0.8</v>
      </c>
      <c r="CV23" s="9" t="n">
        <v>0.7</v>
      </c>
      <c r="CW23" s="9" t="n">
        <v>0.5</v>
      </c>
      <c r="CX23" s="9" t="n">
        <v>0.5</v>
      </c>
      <c r="CY23" s="9" t="n">
        <v>1</v>
      </c>
      <c r="CZ23" s="9" t="n">
        <v>0.3</v>
      </c>
      <c r="DA23" s="9" t="n">
        <v>0.8</v>
      </c>
      <c r="DB23" s="9" t="n">
        <v>0.395609950778236</v>
      </c>
      <c r="DC23" s="9" t="n">
        <v>4.194</v>
      </c>
      <c r="DD23" s="9" t="n">
        <v>2.553</v>
      </c>
      <c r="DE23" s="9" t="n">
        <v>7.70562</v>
      </c>
      <c r="DF23" s="9" t="n">
        <v>21.7841764581438</v>
      </c>
      <c r="DG23" s="9" t="n">
        <v>24.1280032393721</v>
      </c>
      <c r="DH23" s="9" t="n">
        <v>15.656114517978</v>
      </c>
      <c r="DI23" s="9" t="n">
        <v>20.1140521576065</v>
      </c>
      <c r="DJ23" s="9" t="n">
        <v>15.707</v>
      </c>
      <c r="DK23" s="9" t="n">
        <v>15.707</v>
      </c>
      <c r="DL23" s="9" t="n">
        <v>23.96043</v>
      </c>
      <c r="DM23" s="9" t="n">
        <v>13.4947462084719</v>
      </c>
      <c r="DN23" s="9" t="n">
        <v>13.4947462084719</v>
      </c>
      <c r="DO23" s="9" t="n">
        <v>0.12608</v>
      </c>
    </row>
    <row r="24" customFormat="false" ht="15" hidden="false" customHeight="false" outlineLevel="0" collapsed="false">
      <c r="A24" s="9" t="s">
        <v>864</v>
      </c>
      <c r="B24" s="9" t="s">
        <v>865</v>
      </c>
      <c r="C24" s="9" t="n">
        <v>0.005</v>
      </c>
      <c r="D24" s="9" t="n">
        <v>0.005</v>
      </c>
      <c r="E24" s="9" t="n">
        <v>0.01</v>
      </c>
      <c r="F24" s="9" t="n">
        <v>0.005</v>
      </c>
      <c r="G24" s="9" t="n">
        <v>0.005</v>
      </c>
      <c r="H24" s="9" t="n">
        <v>0.01</v>
      </c>
      <c r="I24" s="9" t="n">
        <v>0.005</v>
      </c>
      <c r="J24" s="9" t="n">
        <v>0.005</v>
      </c>
      <c r="K24" s="9" t="n">
        <v>0.01</v>
      </c>
      <c r="L24" s="9" t="n">
        <v>0.01</v>
      </c>
      <c r="M24" s="9" t="n">
        <v>0.005</v>
      </c>
      <c r="N24" s="9" t="n">
        <v>7.25415</v>
      </c>
      <c r="O24" s="9" t="n">
        <v>0.034919</v>
      </c>
      <c r="P24" s="9" t="n">
        <v>162.279637</v>
      </c>
      <c r="Q24" s="9" t="n">
        <v>21.6643486733812</v>
      </c>
      <c r="R24" s="9" t="n">
        <v>4.49159759266154</v>
      </c>
      <c r="S24" s="9" t="n">
        <v>9.36336313547619</v>
      </c>
      <c r="T24" s="9" t="n">
        <v>9.30860741709765</v>
      </c>
      <c r="U24" s="9" t="n">
        <v>0.859847</v>
      </c>
      <c r="V24" s="9" t="n">
        <v>0.983207</v>
      </c>
      <c r="W24" s="9" t="n">
        <v>0.63009</v>
      </c>
      <c r="X24" s="9" t="n">
        <v>12.1361135380246</v>
      </c>
      <c r="Y24" s="9" t="n">
        <v>12.1361135380246</v>
      </c>
      <c r="Z24" s="9" t="n">
        <v>9.76</v>
      </c>
      <c r="AA24" s="9" t="n">
        <v>0.28</v>
      </c>
      <c r="AB24" s="9" t="n">
        <v>0.12</v>
      </c>
      <c r="AC24" s="9" t="n">
        <v>1</v>
      </c>
      <c r="AD24" s="9" t="n">
        <v>0.0303469935</v>
      </c>
      <c r="AE24" s="9" t="n">
        <v>57.927</v>
      </c>
      <c r="AF24" s="9" t="n">
        <v>25.1199316130686</v>
      </c>
      <c r="AG24" s="9" t="n">
        <v>24.4193309676</v>
      </c>
      <c r="AH24" s="9" t="n">
        <v>23.9531437400367</v>
      </c>
      <c r="AI24" s="9" t="n">
        <v>23.1318930975212</v>
      </c>
      <c r="AJ24" s="9" t="n">
        <v>0</v>
      </c>
      <c r="AK24" s="9" t="n">
        <v>5.7039783809209</v>
      </c>
      <c r="AL24" s="9" t="n">
        <v>5.8568852124</v>
      </c>
      <c r="AM24" s="9" t="n">
        <v>5.74507194925418</v>
      </c>
      <c r="AN24" s="9" t="n">
        <v>5.54809805385118</v>
      </c>
      <c r="AO24" s="9" t="n">
        <v>84.4845717788576</v>
      </c>
      <c r="AP24" s="9" t="n">
        <v>84.38491562</v>
      </c>
      <c r="AQ24" s="9" t="n">
        <v>82.7739308672546</v>
      </c>
      <c r="AR24" s="9" t="n">
        <v>79.9359675232344</v>
      </c>
      <c r="AS24" s="9" t="n">
        <v>86.1389545587976</v>
      </c>
      <c r="AT24" s="9" t="n">
        <v>93.6033288228</v>
      </c>
      <c r="AU24" s="9" t="n">
        <v>84.3628714378433</v>
      </c>
      <c r="AV24" s="9" t="n">
        <v>93.6716132719737</v>
      </c>
      <c r="AW24" s="9" t="n">
        <v>23.481157574067</v>
      </c>
      <c r="AX24" s="9" t="n">
        <v>25.2252020448</v>
      </c>
      <c r="AY24" s="9" t="n">
        <v>23.0058074567513</v>
      </c>
      <c r="AZ24" s="9" t="n">
        <v>25.5542555669224</v>
      </c>
      <c r="BA24" s="9" t="n">
        <v>46.768536012471</v>
      </c>
      <c r="BB24" s="9" t="n">
        <v>47.2238495768812</v>
      </c>
      <c r="BC24" s="9" t="n">
        <v>43.9190355790443</v>
      </c>
      <c r="BD24" s="9" t="n">
        <v>43.5582202475295</v>
      </c>
      <c r="BE24" s="9" t="n">
        <v>0</v>
      </c>
      <c r="BF24" s="9" t="n">
        <v>0</v>
      </c>
      <c r="BG24" s="9" t="n">
        <v>0</v>
      </c>
      <c r="BH24" s="9" t="n">
        <v>0</v>
      </c>
      <c r="BI24" s="9" t="n">
        <v>2.03184429408465</v>
      </c>
      <c r="BJ24" s="9" t="n">
        <v>1.97951103</v>
      </c>
      <c r="BK24" s="9" t="n">
        <v>1.94172036488182</v>
      </c>
      <c r="BL24" s="9" t="n">
        <v>1.87514709522873</v>
      </c>
      <c r="BM24" s="9" t="n">
        <v>134.075604381149</v>
      </c>
      <c r="BN24" s="9" t="n">
        <v>129.4967568492</v>
      </c>
      <c r="BO24" s="9" t="n">
        <v>127.024546036624</v>
      </c>
      <c r="BP24" s="9" t="n">
        <v>122.66941874394</v>
      </c>
      <c r="BQ24" s="9" t="n">
        <v>345.418422493374</v>
      </c>
      <c r="BR24" s="9" t="n">
        <v>77.9192703635263</v>
      </c>
      <c r="BS24" s="9" t="n">
        <v>83.5344013932</v>
      </c>
      <c r="BT24" s="9" t="n">
        <v>81.9396537302389</v>
      </c>
      <c r="BU24" s="9" t="n">
        <v>79.1302941737736</v>
      </c>
      <c r="BV24" s="9" t="n">
        <v>89.2947078917616</v>
      </c>
      <c r="BW24" s="9" t="n">
        <v>100.158977466653</v>
      </c>
      <c r="BX24" s="9" t="n">
        <v>88.3214276438003</v>
      </c>
      <c r="BY24" s="9" t="n">
        <v>85.1470235190485</v>
      </c>
      <c r="BZ24" s="9" t="n">
        <v>30.4500311480179</v>
      </c>
      <c r="CA24" s="9" t="n">
        <v>8.22918968466367</v>
      </c>
      <c r="CB24" s="9" t="n">
        <v>1.263</v>
      </c>
      <c r="CC24" s="9" t="n">
        <v>1.22</v>
      </c>
      <c r="CD24" s="9" t="n">
        <v>78.847</v>
      </c>
      <c r="CE24" s="9" t="n">
        <v>18.24</v>
      </c>
      <c r="CF24" s="9" t="n">
        <v>0.02</v>
      </c>
      <c r="CG24" s="9" t="n">
        <v>27.17</v>
      </c>
      <c r="CH24" s="9" t="n">
        <v>25.25</v>
      </c>
      <c r="CI24" s="9" t="n">
        <v>1.9</v>
      </c>
      <c r="CJ24" s="9" t="n">
        <v>0</v>
      </c>
      <c r="CK24" s="9" t="n">
        <v>45.79</v>
      </c>
      <c r="CL24" s="9" t="n">
        <v>0.41</v>
      </c>
      <c r="CM24" s="9" t="n">
        <v>88.447</v>
      </c>
      <c r="CN24" s="9" t="n">
        <v>45.511</v>
      </c>
      <c r="CO24" s="9" t="n">
        <v>3</v>
      </c>
      <c r="CP24" s="9" t="n">
        <v>3</v>
      </c>
      <c r="CQ24" s="9" t="n">
        <v>0.5</v>
      </c>
      <c r="CR24" s="9" t="n">
        <v>0.3</v>
      </c>
      <c r="CS24" s="9" t="n">
        <v>0.6</v>
      </c>
      <c r="CT24" s="9" t="n">
        <v>0.8</v>
      </c>
      <c r="CU24" s="9" t="n">
        <v>0.8</v>
      </c>
      <c r="CV24" s="9" t="n">
        <v>0.7</v>
      </c>
      <c r="CW24" s="9" t="n">
        <v>0.5</v>
      </c>
      <c r="CX24" s="9" t="n">
        <v>0.5</v>
      </c>
      <c r="CY24" s="9" t="n">
        <v>1</v>
      </c>
      <c r="CZ24" s="9" t="n">
        <v>0.3</v>
      </c>
      <c r="DA24" s="9" t="n">
        <v>0.8</v>
      </c>
      <c r="DB24" s="9" t="n">
        <v>0.265481689989091</v>
      </c>
      <c r="DC24" s="9" t="n">
        <v>7.124</v>
      </c>
      <c r="DD24" s="9" t="n">
        <v>4.351</v>
      </c>
      <c r="DE24" s="9" t="n">
        <v>16.4424</v>
      </c>
      <c r="DF24" s="9" t="n">
        <v>21.9187514529354</v>
      </c>
      <c r="DG24" s="9" t="n">
        <v>24.7665267170988</v>
      </c>
      <c r="DH24" s="9" t="n">
        <v>15.656114517978</v>
      </c>
      <c r="DI24" s="9" t="n">
        <v>21.1968425858666</v>
      </c>
      <c r="DJ24" s="9" t="n">
        <v>8.164</v>
      </c>
      <c r="DK24" s="9" t="n">
        <v>6.846</v>
      </c>
      <c r="DL24" s="9" t="n">
        <v>19.2816</v>
      </c>
      <c r="DM24" s="9" t="n">
        <v>13.4947462084719</v>
      </c>
      <c r="DN24" s="9" t="n">
        <v>13.4947462084719</v>
      </c>
      <c r="DO24" s="9" t="n">
        <v>0.105</v>
      </c>
    </row>
    <row r="25" customFormat="false" ht="15" hidden="false" customHeight="false" outlineLevel="0" collapsed="false">
      <c r="A25" s="9" t="s">
        <v>1022</v>
      </c>
      <c r="B25" s="9" t="s">
        <v>1023</v>
      </c>
      <c r="C25" s="9" t="n">
        <v>0.005</v>
      </c>
      <c r="D25" s="9" t="n">
        <v>0.005</v>
      </c>
      <c r="E25" s="9" t="n">
        <v>0.01</v>
      </c>
      <c r="F25" s="9" t="n">
        <v>0.005</v>
      </c>
      <c r="G25" s="9" t="n">
        <v>0.005</v>
      </c>
      <c r="H25" s="9" t="n">
        <v>0.01</v>
      </c>
      <c r="I25" s="9" t="n">
        <v>0.005</v>
      </c>
      <c r="J25" s="9" t="n">
        <v>0.005</v>
      </c>
      <c r="K25" s="9" t="n">
        <v>0.01</v>
      </c>
      <c r="L25" s="9" t="n">
        <v>0.01</v>
      </c>
      <c r="M25" s="9" t="n">
        <v>0.005</v>
      </c>
      <c r="N25" s="9" t="n">
        <v>0.440048</v>
      </c>
      <c r="O25" s="9" t="n">
        <v>0.224793</v>
      </c>
      <c r="P25" s="9" t="n">
        <v>1.632402</v>
      </c>
      <c r="Q25" s="9" t="n">
        <v>0.876735042776294</v>
      </c>
      <c r="R25" s="9" t="n">
        <v>0.137833452579287</v>
      </c>
      <c r="S25" s="9" t="n">
        <v>0.118043394741303</v>
      </c>
      <c r="T25" s="9" t="n">
        <v>0.112530451829999</v>
      </c>
      <c r="U25" s="9" t="n">
        <v>0.016525</v>
      </c>
      <c r="V25" s="9" t="n">
        <v>0</v>
      </c>
      <c r="W25" s="9" t="n">
        <v>0.005643</v>
      </c>
      <c r="X25" s="9" t="n">
        <v>-0.677624925840498</v>
      </c>
      <c r="Y25" s="9" t="n">
        <v>-0.677624925840498</v>
      </c>
      <c r="Z25" s="9" t="n">
        <v>0.15</v>
      </c>
      <c r="AA25" s="9" t="n">
        <v>0.01</v>
      </c>
      <c r="AB25" s="9" t="n">
        <v>0</v>
      </c>
      <c r="AC25" s="9" t="n">
        <v>0</v>
      </c>
      <c r="AD25" s="9" t="n">
        <v>0</v>
      </c>
      <c r="AE25" s="9" t="n">
        <v>0.317</v>
      </c>
      <c r="AF25" s="9" t="n">
        <v>0</v>
      </c>
      <c r="AG25" s="9" t="n">
        <v>0</v>
      </c>
      <c r="AH25" s="9" t="n">
        <v>0</v>
      </c>
      <c r="AI25" s="9" t="n">
        <v>0</v>
      </c>
      <c r="AJ25" s="9" t="n">
        <v>0</v>
      </c>
      <c r="AK25" s="9" t="n">
        <v>0</v>
      </c>
      <c r="AL25" s="9" t="n">
        <v>0</v>
      </c>
      <c r="AM25" s="9" t="n">
        <v>0</v>
      </c>
      <c r="AN25" s="9" t="n">
        <v>0</v>
      </c>
      <c r="AO25" s="9" t="n">
        <v>2.68859330282464</v>
      </c>
      <c r="AP25" s="9" t="n">
        <v>2.372434984</v>
      </c>
      <c r="AQ25" s="9" t="n">
        <v>2.66569430841111</v>
      </c>
      <c r="AR25" s="9" t="n">
        <v>2.59372056208401</v>
      </c>
      <c r="AS25" s="9" t="n">
        <v>1.74782712293069</v>
      </c>
      <c r="AT25" s="9" t="n">
        <v>1.26634790158403</v>
      </c>
      <c r="AU25" s="9" t="n">
        <v>1.61854370597423</v>
      </c>
      <c r="AV25" s="9" t="n">
        <v>1.6851275736467</v>
      </c>
      <c r="AW25" s="9" t="n">
        <v>1.08856266482702</v>
      </c>
      <c r="AX25" s="9" t="n">
        <v>0.8187873552</v>
      </c>
      <c r="AY25" s="9" t="n">
        <v>1.00804377423784</v>
      </c>
      <c r="AZ25" s="9" t="n">
        <v>1.04951281398274</v>
      </c>
      <c r="BA25" s="9" t="n">
        <v>4.39688226084426</v>
      </c>
      <c r="BB25" s="9" t="n">
        <v>3.34915678941735</v>
      </c>
      <c r="BC25" s="9" t="n">
        <v>3.594512172</v>
      </c>
      <c r="BD25" s="9" t="n">
        <v>3.57856219661187</v>
      </c>
      <c r="BE25" s="9" t="n">
        <v>1.20224397462545</v>
      </c>
      <c r="BF25" s="9" t="n">
        <v>1.092885661</v>
      </c>
      <c r="BG25" s="9" t="n">
        <v>1.22797847187361</v>
      </c>
      <c r="BH25" s="9" t="n">
        <v>1.19482305313302</v>
      </c>
      <c r="BI25" s="9" t="n">
        <v>1.1288362275474</v>
      </c>
      <c r="BJ25" s="9" t="n">
        <v>0.980382065999996</v>
      </c>
      <c r="BK25" s="9" t="n">
        <v>1.10156818249166</v>
      </c>
      <c r="BL25" s="9" t="n">
        <v>1.07182584156439</v>
      </c>
      <c r="BM25" s="9" t="n">
        <v>0</v>
      </c>
      <c r="BN25" s="9" t="n">
        <v>0</v>
      </c>
      <c r="BO25" s="9" t="n">
        <v>0</v>
      </c>
      <c r="BP25" s="9" t="n">
        <v>0</v>
      </c>
      <c r="BQ25" s="9" t="n">
        <v>0</v>
      </c>
      <c r="BR25" s="9" t="n">
        <v>0</v>
      </c>
      <c r="BS25" s="9" t="n">
        <v>0</v>
      </c>
      <c r="BT25" s="9" t="n">
        <v>0</v>
      </c>
      <c r="BU25" s="9" t="n">
        <v>0</v>
      </c>
      <c r="BV25" s="9" t="n">
        <v>2.64978746355517</v>
      </c>
      <c r="BW25" s="9" t="n">
        <v>1.92758488948719</v>
      </c>
      <c r="BX25" s="9" t="n">
        <v>2.67790924500201</v>
      </c>
      <c r="BY25" s="9" t="n">
        <v>2.61884738052452</v>
      </c>
      <c r="BZ25" s="9" t="n">
        <v>0.787886052154918</v>
      </c>
      <c r="CA25" s="9" t="n">
        <v>0.37431048069346</v>
      </c>
      <c r="CB25" s="9" t="n">
        <v>2.747</v>
      </c>
      <c r="CC25" s="9" t="n">
        <v>2.192</v>
      </c>
      <c r="CD25" s="9" t="n">
        <v>3.204</v>
      </c>
      <c r="CE25" s="9" t="n">
        <v>0.4</v>
      </c>
      <c r="CF25" s="9" t="n">
        <v>0</v>
      </c>
      <c r="CG25" s="9" t="n">
        <v>0.06</v>
      </c>
      <c r="CH25" s="9" t="n">
        <v>0</v>
      </c>
      <c r="CI25" s="9" t="n">
        <v>0.06</v>
      </c>
      <c r="CJ25" s="9" t="n">
        <v>0.01</v>
      </c>
      <c r="CK25" s="9" t="n">
        <v>0.47</v>
      </c>
      <c r="CL25" s="9" t="n">
        <v>0</v>
      </c>
      <c r="CM25" s="9" t="n">
        <v>1.038</v>
      </c>
      <c r="CN25" s="9" t="n">
        <v>6.385</v>
      </c>
      <c r="CO25" s="9" t="n">
        <v>3</v>
      </c>
      <c r="CP25" s="9" t="n">
        <v>3</v>
      </c>
      <c r="CQ25" s="9" t="n">
        <v>0.5</v>
      </c>
      <c r="CR25" s="9" t="n">
        <v>0.3</v>
      </c>
      <c r="CS25" s="9" t="n">
        <v>0.6</v>
      </c>
      <c r="CT25" s="9" t="n">
        <v>0.8</v>
      </c>
      <c r="CU25" s="9" t="n">
        <v>0.8</v>
      </c>
      <c r="CV25" s="9" t="n">
        <v>0.7</v>
      </c>
      <c r="CW25" s="9" t="n">
        <v>0.5</v>
      </c>
      <c r="CX25" s="9" t="n">
        <v>0.5</v>
      </c>
      <c r="CY25" s="9" t="n">
        <v>1</v>
      </c>
      <c r="CZ25" s="9" t="n">
        <v>0.3</v>
      </c>
      <c r="DA25" s="9" t="n">
        <v>0.8</v>
      </c>
      <c r="DB25" s="9" t="n">
        <v>0.534712950600801</v>
      </c>
      <c r="DC25" s="9" t="n">
        <v>7.124</v>
      </c>
      <c r="DD25" s="9" t="n">
        <v>5.575</v>
      </c>
      <c r="DE25" s="9" t="n">
        <v>13.717125</v>
      </c>
      <c r="DF25" s="9" t="n">
        <v>17.6979926902102</v>
      </c>
      <c r="DG25" s="9" t="n">
        <v>24.3210272652871</v>
      </c>
      <c r="DH25" s="9" t="n">
        <v>16.9276771184229</v>
      </c>
      <c r="DI25" s="9" t="n">
        <v>23.0155612223718</v>
      </c>
      <c r="DJ25" s="9" t="n">
        <v>5.164</v>
      </c>
      <c r="DK25" s="9" t="n">
        <v>3.841</v>
      </c>
      <c r="DL25" s="9" t="n">
        <v>14.74425</v>
      </c>
      <c r="DM25" s="9" t="n">
        <v>13.4947462084719</v>
      </c>
      <c r="DN25" s="9" t="n">
        <v>13.4947462084719</v>
      </c>
      <c r="DO25" s="9" t="n">
        <v>0.105</v>
      </c>
    </row>
    <row r="26" customFormat="false" ht="15" hidden="false" customHeight="false" outlineLevel="0" collapsed="false">
      <c r="A26" s="9" t="s">
        <v>896</v>
      </c>
      <c r="B26" s="9" t="s">
        <v>897</v>
      </c>
      <c r="C26" s="9" t="n">
        <v>0.005</v>
      </c>
      <c r="D26" s="9" t="n">
        <v>0.005</v>
      </c>
      <c r="E26" s="9" t="n">
        <v>0.01</v>
      </c>
      <c r="F26" s="9" t="n">
        <v>0.005</v>
      </c>
      <c r="G26" s="9" t="n">
        <v>0.005</v>
      </c>
      <c r="H26" s="9" t="n">
        <v>0.01</v>
      </c>
      <c r="I26" s="9" t="n">
        <v>0.005</v>
      </c>
      <c r="J26" s="9" t="n">
        <v>0.005</v>
      </c>
      <c r="K26" s="9" t="n">
        <v>0.01</v>
      </c>
      <c r="L26" s="9" t="n">
        <v>0.01</v>
      </c>
      <c r="M26" s="9" t="n">
        <v>0.005</v>
      </c>
      <c r="N26" s="9" t="n">
        <v>9.076891</v>
      </c>
      <c r="O26" s="9" t="n">
        <v>0.608889</v>
      </c>
      <c r="P26" s="9" t="n">
        <v>9.654694</v>
      </c>
      <c r="Q26" s="9" t="n">
        <v>2.29187731715538</v>
      </c>
      <c r="R26" s="9" t="n">
        <v>0.447243817082998</v>
      </c>
      <c r="S26" s="9" t="n">
        <v>0.53307612934902</v>
      </c>
      <c r="T26" s="9" t="n">
        <v>0.265868223661776</v>
      </c>
      <c r="U26" s="9" t="n">
        <v>0.079422</v>
      </c>
      <c r="V26" s="9" t="n">
        <v>0.008978</v>
      </c>
      <c r="W26" s="9" t="n">
        <v>0.017133</v>
      </c>
      <c r="X26" s="9" t="n">
        <v>12.7916004292009</v>
      </c>
      <c r="Y26" s="9" t="n">
        <v>12.7916004292009</v>
      </c>
      <c r="Z26" s="9" t="n">
        <v>2.39</v>
      </c>
      <c r="AA26" s="9" t="n">
        <v>0.19</v>
      </c>
      <c r="AB26" s="9" t="n">
        <v>0.14</v>
      </c>
      <c r="AC26" s="9" t="n">
        <v>0</v>
      </c>
      <c r="AD26" s="9" t="n">
        <v>0</v>
      </c>
      <c r="AE26" s="9" t="n">
        <v>22.924</v>
      </c>
      <c r="AF26" s="9" t="n">
        <v>0.272538433535989</v>
      </c>
      <c r="AG26" s="9" t="n">
        <v>0.2553068772</v>
      </c>
      <c r="AH26" s="9" t="n">
        <v>0.257292597356</v>
      </c>
      <c r="AI26" s="9" t="n">
        <v>0.250431461426507</v>
      </c>
      <c r="AJ26" s="9" t="n">
        <v>0</v>
      </c>
      <c r="AK26" s="9" t="n">
        <v>0</v>
      </c>
      <c r="AL26" s="9" t="n">
        <v>0</v>
      </c>
      <c r="AM26" s="9" t="n">
        <v>0</v>
      </c>
      <c r="AN26" s="9" t="n">
        <v>0</v>
      </c>
      <c r="AO26" s="9" t="n">
        <v>64.8673237096574</v>
      </c>
      <c r="AP26" s="9" t="n">
        <v>64.54047645</v>
      </c>
      <c r="AQ26" s="9" t="n">
        <v>65.0424579335</v>
      </c>
      <c r="AR26" s="9" t="n">
        <v>63.3079923886067</v>
      </c>
      <c r="AS26" s="9" t="n">
        <v>21.2527147134348</v>
      </c>
      <c r="AT26" s="9" t="n">
        <v>19.3456411236</v>
      </c>
      <c r="AU26" s="9" t="n">
        <v>20.8561284799729</v>
      </c>
      <c r="AV26" s="9" t="n">
        <v>21.0130602202908</v>
      </c>
      <c r="AW26" s="9" t="n">
        <v>14.2230382156505</v>
      </c>
      <c r="AX26" s="9" t="n">
        <v>13.0954814136</v>
      </c>
      <c r="AY26" s="9" t="n">
        <v>13.9576292441197</v>
      </c>
      <c r="AZ26" s="9" t="n">
        <v>14.0626532925713</v>
      </c>
      <c r="BA26" s="9" t="n">
        <v>67.8930427567081</v>
      </c>
      <c r="BB26" s="9" t="n">
        <v>64.1555362785458</v>
      </c>
      <c r="BC26" s="9" t="n">
        <v>73.76793747</v>
      </c>
      <c r="BD26" s="9" t="n">
        <v>67.2194377883751</v>
      </c>
      <c r="BE26" s="9" t="n">
        <v>0.828768119951881</v>
      </c>
      <c r="BF26" s="9" t="n">
        <v>0.823291318087518</v>
      </c>
      <c r="BG26" s="9" t="n">
        <v>0.829694695005977</v>
      </c>
      <c r="BH26" s="9" t="n">
        <v>0.807569503139151</v>
      </c>
      <c r="BI26" s="9" t="n">
        <v>22.0947902378111</v>
      </c>
      <c r="BJ26" s="9" t="n">
        <v>22.11876279</v>
      </c>
      <c r="BK26" s="9" t="n">
        <v>22.2907976117</v>
      </c>
      <c r="BL26" s="9" t="n">
        <v>21.6963763420546</v>
      </c>
      <c r="BM26" s="9" t="n">
        <v>78.7122240862877</v>
      </c>
      <c r="BN26" s="9" t="n">
        <v>68.12321346</v>
      </c>
      <c r="BO26" s="9" t="n">
        <v>68.6530606758</v>
      </c>
      <c r="BP26" s="9" t="n">
        <v>66.822312391112</v>
      </c>
      <c r="BQ26" s="9" t="n">
        <v>60.2419356596852</v>
      </c>
      <c r="BR26" s="9" t="n">
        <v>9.92934714590011</v>
      </c>
      <c r="BS26" s="9" t="n">
        <v>9.154312596</v>
      </c>
      <c r="BT26" s="9" t="n">
        <v>9.22551280508</v>
      </c>
      <c r="BU26" s="9" t="n">
        <v>8.97949913027787</v>
      </c>
      <c r="BV26" s="9" t="n">
        <v>23.5688926458492</v>
      </c>
      <c r="BW26" s="9" t="n">
        <v>25.5801177783862</v>
      </c>
      <c r="BX26" s="9" t="n">
        <v>23.2387812698875</v>
      </c>
      <c r="BY26" s="9" t="n">
        <v>22.6193053561101</v>
      </c>
      <c r="BZ26" s="9" t="n">
        <v>9.85437581363479</v>
      </c>
      <c r="CA26" s="9" t="n">
        <v>0.121399126504684</v>
      </c>
      <c r="CB26" s="9" t="n">
        <v>-1.2</v>
      </c>
      <c r="CC26" s="9" t="n">
        <v>-3.285</v>
      </c>
      <c r="CD26" s="9" t="n">
        <v>55.281</v>
      </c>
      <c r="CE26" s="9" t="n">
        <v>4.24</v>
      </c>
      <c r="CF26" s="9" t="n">
        <v>0</v>
      </c>
      <c r="CG26" s="9" t="n">
        <v>8.71</v>
      </c>
      <c r="CH26" s="9" t="n">
        <v>8.51</v>
      </c>
      <c r="CI26" s="9" t="n">
        <v>0.2</v>
      </c>
      <c r="CJ26" s="9" t="n">
        <v>0.4</v>
      </c>
      <c r="CK26" s="9" t="n">
        <v>13.63</v>
      </c>
      <c r="CL26" s="9" t="n">
        <v>0.28</v>
      </c>
      <c r="CM26" s="9" t="n">
        <v>60.352</v>
      </c>
      <c r="CN26" s="9" t="n">
        <v>127.921</v>
      </c>
      <c r="CO26" s="9" t="n">
        <v>3</v>
      </c>
      <c r="CP26" s="9" t="n">
        <v>2</v>
      </c>
      <c r="CQ26" s="9" t="n">
        <v>0.5</v>
      </c>
      <c r="CR26" s="9" t="n">
        <v>0.3</v>
      </c>
      <c r="CS26" s="9" t="n">
        <v>0.6</v>
      </c>
      <c r="CT26" s="9" t="n">
        <v>0.8</v>
      </c>
      <c r="CU26" s="9" t="n">
        <v>0.8</v>
      </c>
      <c r="CV26" s="9" t="n">
        <v>0.7</v>
      </c>
      <c r="CW26" s="9" t="n">
        <v>0.5</v>
      </c>
      <c r="CX26" s="9" t="n">
        <v>0.5</v>
      </c>
      <c r="CY26" s="9" t="n">
        <v>1</v>
      </c>
      <c r="CZ26" s="9" t="n">
        <v>0.3</v>
      </c>
      <c r="DA26" s="9" t="n">
        <v>0.8</v>
      </c>
      <c r="DB26" s="9" t="n">
        <v>0.345320640155916</v>
      </c>
      <c r="DC26" s="9" t="n">
        <v>7.124</v>
      </c>
      <c r="DD26" s="9" t="n">
        <v>5.575</v>
      </c>
      <c r="DE26" s="9" t="n">
        <v>14.009757</v>
      </c>
      <c r="DF26" s="9" t="n">
        <v>18.3035935733268</v>
      </c>
      <c r="DG26" s="9" t="n">
        <v>24.8398758469465</v>
      </c>
      <c r="DH26" s="9" t="n">
        <v>15.4467040522172</v>
      </c>
      <c r="DI26" s="9" t="n">
        <v>23.6701851124383</v>
      </c>
      <c r="DJ26" s="9" t="n">
        <v>8.922</v>
      </c>
      <c r="DK26" s="9" t="n">
        <v>8.26</v>
      </c>
      <c r="DL26" s="9" t="n">
        <v>14.812908</v>
      </c>
      <c r="DM26" s="9" t="n">
        <v>13.4947462084719</v>
      </c>
      <c r="DN26" s="9" t="n">
        <v>13.4947462084719</v>
      </c>
      <c r="DO26" s="9" t="n">
        <v>0.105</v>
      </c>
    </row>
    <row r="27" customFormat="false" ht="15" hidden="false" customHeight="false" outlineLevel="0" collapsed="false">
      <c r="A27" s="9" t="s">
        <v>710</v>
      </c>
      <c r="B27" s="9" t="s">
        <v>711</v>
      </c>
      <c r="C27" s="9" t="n">
        <v>0.005</v>
      </c>
      <c r="D27" s="9" t="n">
        <v>0.005</v>
      </c>
      <c r="E27" s="9" t="n">
        <v>0.01</v>
      </c>
      <c r="F27" s="9" t="n">
        <v>0.005</v>
      </c>
      <c r="G27" s="9" t="n">
        <v>0.005</v>
      </c>
      <c r="H27" s="9" t="n">
        <v>0.01</v>
      </c>
      <c r="I27" s="9" t="n">
        <v>0.005</v>
      </c>
      <c r="J27" s="9" t="n">
        <v>0.005</v>
      </c>
      <c r="K27" s="9" t="n">
        <v>0.01</v>
      </c>
      <c r="L27" s="9" t="n">
        <v>0.01</v>
      </c>
      <c r="M27" s="9" t="n">
        <v>0.005</v>
      </c>
      <c r="N27" s="9" t="n">
        <v>3.590356</v>
      </c>
      <c r="O27" s="9" t="n">
        <v>2.065699</v>
      </c>
      <c r="P27" s="9" t="n">
        <v>33.090679</v>
      </c>
      <c r="Q27" s="9" t="n">
        <v>10.5864321913898</v>
      </c>
      <c r="R27" s="9" t="n">
        <v>0.693771243366408</v>
      </c>
      <c r="S27" s="9" t="n">
        <v>2.64373759165003</v>
      </c>
      <c r="T27" s="9" t="n">
        <v>2.03249158377678</v>
      </c>
      <c r="U27" s="9" t="n">
        <v>0.073387</v>
      </c>
      <c r="V27" s="9" t="n">
        <v>0.228896</v>
      </c>
      <c r="W27" s="9" t="n">
        <v>0.062</v>
      </c>
      <c r="X27" s="9" t="n">
        <v>4.03039872893715</v>
      </c>
      <c r="Y27" s="9" t="n">
        <v>4.03039872893715</v>
      </c>
      <c r="Z27" s="9" t="n">
        <v>30.46</v>
      </c>
      <c r="AA27" s="9" t="n">
        <v>64.69</v>
      </c>
      <c r="AB27" s="9" t="n">
        <v>34.87</v>
      </c>
      <c r="AC27" s="9" t="n">
        <v>2.3</v>
      </c>
      <c r="AD27" s="9" t="n">
        <v>29.2625093111282</v>
      </c>
      <c r="AE27" s="9" t="n">
        <v>505.632</v>
      </c>
      <c r="AF27" s="9" t="n">
        <v>370.017479130748</v>
      </c>
      <c r="AG27" s="9" t="n">
        <v>343.833769638</v>
      </c>
      <c r="AH27" s="9" t="n">
        <v>326.165004743384</v>
      </c>
      <c r="AI27" s="9" t="n">
        <v>320.792875253493</v>
      </c>
      <c r="AJ27" s="9" t="n">
        <v>534.700079467993</v>
      </c>
      <c r="AK27" s="9" t="n">
        <v>1.01971061994648</v>
      </c>
      <c r="AL27" s="9" t="n">
        <v>0.9475523892</v>
      </c>
      <c r="AM27" s="9" t="n">
        <v>0.898860021351045</v>
      </c>
      <c r="AN27" s="9" t="n">
        <v>0.884055268058204</v>
      </c>
      <c r="AO27" s="9" t="n">
        <v>1563.82031845183</v>
      </c>
      <c r="AP27" s="9" t="n">
        <v>1608.59523536</v>
      </c>
      <c r="AQ27" s="9" t="n">
        <v>1525.9335146858</v>
      </c>
      <c r="AR27" s="9" t="n">
        <v>1500.80049209097</v>
      </c>
      <c r="AS27" s="9" t="n">
        <v>1360.02085959866</v>
      </c>
      <c r="AT27" s="9" t="n">
        <v>1375.6025438964</v>
      </c>
      <c r="AU27" s="9" t="n">
        <v>1294.58500449526</v>
      </c>
      <c r="AV27" s="9" t="n">
        <v>1322.86251934811</v>
      </c>
      <c r="AW27" s="9" t="n">
        <v>536.419288842516</v>
      </c>
      <c r="AX27" s="9" t="n">
        <v>541.703549556</v>
      </c>
      <c r="AY27" s="9" t="n">
        <v>510.613120602917</v>
      </c>
      <c r="AZ27" s="9" t="n">
        <v>521.762582075996</v>
      </c>
      <c r="BA27" s="9" t="n">
        <v>886.291886484921</v>
      </c>
      <c r="BB27" s="9" t="n">
        <v>926.00771951</v>
      </c>
      <c r="BC27" s="9" t="n">
        <v>1013.66702795</v>
      </c>
      <c r="BD27" s="9" t="n">
        <v>863.954343871733</v>
      </c>
      <c r="BE27" s="9" t="n">
        <v>62.3049525973405</v>
      </c>
      <c r="BF27" s="9" t="n">
        <v>66.8919176777672</v>
      </c>
      <c r="BG27" s="9" t="n">
        <v>63.4545078851142</v>
      </c>
      <c r="BH27" s="9" t="n">
        <v>62.4093748140652</v>
      </c>
      <c r="BI27" s="9" t="n">
        <v>273.425781624062</v>
      </c>
      <c r="BJ27" s="9" t="n">
        <v>273.26234317</v>
      </c>
      <c r="BK27" s="9" t="n">
        <v>259.220068901518</v>
      </c>
      <c r="BL27" s="9" t="n">
        <v>254.950561884317</v>
      </c>
      <c r="BM27" s="9" t="n">
        <v>652.654583266813</v>
      </c>
      <c r="BN27" s="9" t="n">
        <v>604.6480179864</v>
      </c>
      <c r="BO27" s="9" t="n">
        <v>573.57665555145</v>
      </c>
      <c r="BP27" s="9" t="n">
        <v>564.129510636485</v>
      </c>
      <c r="BQ27" s="9" t="n">
        <v>156.518634735986</v>
      </c>
      <c r="BR27" s="9" t="n">
        <v>66.2386012961551</v>
      </c>
      <c r="BS27" s="9" t="n">
        <v>61.8886788876</v>
      </c>
      <c r="BT27" s="9" t="n">
        <v>58.7083731309704</v>
      </c>
      <c r="BU27" s="9" t="n">
        <v>57.7414116911662</v>
      </c>
      <c r="BV27" s="9" t="n">
        <v>1138.25397143406</v>
      </c>
      <c r="BW27" s="9" t="n">
        <v>1084.39069913675</v>
      </c>
      <c r="BX27" s="9" t="n">
        <v>1031.94465810676</v>
      </c>
      <c r="BY27" s="9" t="n">
        <v>1066.15038770212</v>
      </c>
      <c r="BZ27" s="9" t="n">
        <v>526.78893012255</v>
      </c>
      <c r="CA27" s="9" t="n">
        <v>-0.370877734708949</v>
      </c>
      <c r="CB27" s="9" t="n">
        <v>2.286</v>
      </c>
      <c r="CC27" s="9" t="n">
        <v>1.911</v>
      </c>
      <c r="CD27" s="9" t="n">
        <v>2185.822</v>
      </c>
      <c r="CE27" s="9" t="n">
        <v>459.62</v>
      </c>
      <c r="CF27" s="9" t="n">
        <v>17.19</v>
      </c>
      <c r="CG27" s="9" t="n">
        <v>84.69</v>
      </c>
      <c r="CH27" s="9" t="n">
        <v>54.85</v>
      </c>
      <c r="CI27" s="9" t="n">
        <v>12.65</v>
      </c>
      <c r="CJ27" s="9" t="n">
        <v>90.28</v>
      </c>
      <c r="CK27" s="9" t="n">
        <v>752.17</v>
      </c>
      <c r="CL27" s="9" t="n">
        <v>117.58</v>
      </c>
      <c r="CM27" s="9" t="n">
        <v>1357.434</v>
      </c>
      <c r="CN27" s="9" t="n">
        <v>1767.337</v>
      </c>
      <c r="CO27" s="9" t="n">
        <v>3</v>
      </c>
      <c r="CP27" s="9" t="n">
        <v>3</v>
      </c>
      <c r="CQ27" s="9" t="n">
        <v>0.5</v>
      </c>
      <c r="CR27" s="9" t="n">
        <v>0.3</v>
      </c>
      <c r="CS27" s="9" t="n">
        <v>0.6</v>
      </c>
      <c r="CT27" s="9" t="n">
        <v>0.8</v>
      </c>
      <c r="CU27" s="9" t="n">
        <v>0.8</v>
      </c>
      <c r="CV27" s="9" t="n">
        <v>0.7</v>
      </c>
      <c r="CW27" s="9" t="n">
        <v>0.5</v>
      </c>
      <c r="CX27" s="9" t="n">
        <v>0.5</v>
      </c>
      <c r="CY27" s="9" t="n">
        <v>1</v>
      </c>
      <c r="CZ27" s="9" t="n">
        <v>0.3</v>
      </c>
      <c r="DA27" s="9" t="n">
        <v>0.8</v>
      </c>
      <c r="DB27" s="9" t="n">
        <v>0.46089107240754</v>
      </c>
      <c r="DC27" s="9" t="n">
        <v>6.222</v>
      </c>
      <c r="DD27" s="9" t="n">
        <v>6.222</v>
      </c>
      <c r="DE27" s="9" t="n">
        <v>12.95424</v>
      </c>
      <c r="DF27" s="9" t="n">
        <v>17.9637910411504</v>
      </c>
      <c r="DG27" s="9" t="n">
        <v>25.2938683558986</v>
      </c>
      <c r="DH27" s="9" t="n">
        <v>16.6451782940241</v>
      </c>
      <c r="DI27" s="9" t="n">
        <v>23.4817421841411</v>
      </c>
      <c r="DJ27" s="9" t="n">
        <v>17.367</v>
      </c>
      <c r="DK27" s="9" t="n">
        <v>17.661</v>
      </c>
      <c r="DL27" s="9" t="n">
        <v>53.76852</v>
      </c>
      <c r="DM27" s="9" t="n">
        <v>13.4947462084719</v>
      </c>
      <c r="DN27" s="9" t="n">
        <v>13.4947462084719</v>
      </c>
      <c r="DO27" s="9" t="n">
        <v>0.097755</v>
      </c>
    </row>
    <row r="28" customFormat="false" ht="15" hidden="false" customHeight="false" outlineLevel="0" collapsed="false">
      <c r="A28" s="9" t="s">
        <v>1000</v>
      </c>
      <c r="B28" s="9" t="s">
        <v>1001</v>
      </c>
      <c r="C28" s="9" t="n">
        <v>0.005</v>
      </c>
      <c r="D28" s="9" t="n">
        <v>0.005</v>
      </c>
      <c r="E28" s="9" t="n">
        <v>0.01</v>
      </c>
      <c r="F28" s="9" t="n">
        <v>0.005</v>
      </c>
      <c r="G28" s="9" t="n">
        <v>0.005</v>
      </c>
      <c r="H28" s="9" t="n">
        <v>0.01</v>
      </c>
      <c r="I28" s="9" t="n">
        <v>0.005</v>
      </c>
      <c r="J28" s="9" t="n">
        <v>0.005</v>
      </c>
      <c r="K28" s="9" t="n">
        <v>0.01</v>
      </c>
      <c r="L28" s="9" t="n">
        <v>0.01</v>
      </c>
      <c r="M28" s="9" t="n">
        <v>0.005</v>
      </c>
      <c r="N28" s="9" t="n">
        <v>0.161187</v>
      </c>
      <c r="O28" s="9" t="n">
        <v>0.912889</v>
      </c>
      <c r="P28" s="9" t="n">
        <v>7.9317</v>
      </c>
      <c r="Q28" s="9" t="n">
        <v>2.13566414328497</v>
      </c>
      <c r="R28" s="9" t="n">
        <v>0.30237571111481</v>
      </c>
      <c r="S28" s="9" t="n">
        <v>0.359799234150892</v>
      </c>
      <c r="T28" s="9" t="n">
        <v>0.316373100698197</v>
      </c>
      <c r="U28" s="9" t="n">
        <v>0.017345</v>
      </c>
      <c r="V28" s="9" t="n">
        <v>0</v>
      </c>
      <c r="W28" s="9" t="n">
        <v>0.027418</v>
      </c>
      <c r="X28" s="9" t="n">
        <v>0.325422528992586</v>
      </c>
      <c r="Y28" s="9" t="n">
        <v>0.325422528992586</v>
      </c>
      <c r="Z28" s="9" t="n">
        <v>0.3</v>
      </c>
      <c r="AA28" s="9" t="n">
        <v>0.07</v>
      </c>
      <c r="AB28" s="9" t="n">
        <v>0</v>
      </c>
      <c r="AC28" s="9" t="n">
        <v>0</v>
      </c>
      <c r="AD28" s="9" t="n">
        <v>0</v>
      </c>
      <c r="AE28" s="9" t="n">
        <v>0.66</v>
      </c>
      <c r="AF28" s="9" t="n">
        <v>0</v>
      </c>
      <c r="AG28" s="9" t="n">
        <v>0</v>
      </c>
      <c r="AH28" s="9" t="n">
        <v>0</v>
      </c>
      <c r="AI28" s="9" t="n">
        <v>0</v>
      </c>
      <c r="AJ28" s="9" t="n">
        <v>0</v>
      </c>
      <c r="AK28" s="9" t="n">
        <v>0</v>
      </c>
      <c r="AL28" s="9" t="n">
        <v>0</v>
      </c>
      <c r="AM28" s="9" t="n">
        <v>0</v>
      </c>
      <c r="AN28" s="9" t="n">
        <v>0</v>
      </c>
      <c r="AO28" s="9" t="n">
        <v>1.73610892574299</v>
      </c>
      <c r="AP28" s="9" t="n">
        <v>1.601583086</v>
      </c>
      <c r="AQ28" s="9" t="n">
        <v>1.72049781705046</v>
      </c>
      <c r="AR28" s="9" t="n">
        <v>1.6946903497947</v>
      </c>
      <c r="AS28" s="9" t="n">
        <v>2.10012731339576</v>
      </c>
      <c r="AT28" s="9" t="n">
        <v>1.82572866504</v>
      </c>
      <c r="AU28" s="9" t="n">
        <v>2.02166487711537</v>
      </c>
      <c r="AV28" s="9" t="n">
        <v>2.01558889271925</v>
      </c>
      <c r="AW28" s="9" t="n">
        <v>1.63875012020732</v>
      </c>
      <c r="AX28" s="9" t="n">
        <v>1.42605673704</v>
      </c>
      <c r="AY28" s="9" t="n">
        <v>1.5775251049113</v>
      </c>
      <c r="AZ28" s="9" t="n">
        <v>1.57278395417439</v>
      </c>
      <c r="BA28" s="9" t="n">
        <v>3.41795268378377</v>
      </c>
      <c r="BB28" s="9" t="n">
        <v>2.98271738564585</v>
      </c>
      <c r="BC28" s="9" t="n">
        <v>3.660927862</v>
      </c>
      <c r="BD28" s="9" t="n">
        <v>3.37357364384338</v>
      </c>
      <c r="BE28" s="9" t="n">
        <v>0.023456101641947</v>
      </c>
      <c r="BF28" s="9" t="n">
        <v>0.0223331189999999</v>
      </c>
      <c r="BG28" s="9" t="n">
        <v>0.02399131385896</v>
      </c>
      <c r="BH28" s="9" t="n">
        <v>0.0236314441510756</v>
      </c>
      <c r="BI28" s="9" t="n">
        <v>0.344279134539777</v>
      </c>
      <c r="BJ28" s="9" t="n">
        <v>0.317283559999999</v>
      </c>
      <c r="BK28" s="9" t="n">
        <v>0.340841307040374</v>
      </c>
      <c r="BL28" s="9" t="n">
        <v>0.335728687434768</v>
      </c>
      <c r="BM28" s="9" t="n">
        <v>0.139226279548764</v>
      </c>
      <c r="BN28" s="9" t="n">
        <v>0.12691572444</v>
      </c>
      <c r="BO28" s="9" t="n">
        <v>0.136338994059779</v>
      </c>
      <c r="BP28" s="9" t="n">
        <v>0.134293909148883</v>
      </c>
      <c r="BQ28" s="9" t="n">
        <v>0.743816738385745</v>
      </c>
      <c r="BR28" s="9" t="n">
        <v>0.352376518103599</v>
      </c>
      <c r="BS28" s="9" t="n">
        <v>0.32049367848</v>
      </c>
      <c r="BT28" s="9" t="n">
        <v>0.344289771179133</v>
      </c>
      <c r="BU28" s="9" t="n">
        <v>0.339125424611446</v>
      </c>
      <c r="BV28" s="9" t="n">
        <v>8.32575387481151</v>
      </c>
      <c r="BW28" s="9" t="n">
        <v>8.94293357226432</v>
      </c>
      <c r="BX28" s="9" t="n">
        <v>7.74948419158608</v>
      </c>
      <c r="BY28" s="9" t="n">
        <v>7.92754442290456</v>
      </c>
      <c r="BZ28" s="9" t="n">
        <v>1.03857706488974</v>
      </c>
      <c r="CA28" s="9" t="n">
        <v>0.487279732562751</v>
      </c>
      <c r="CB28" s="9" t="n">
        <v>2.743</v>
      </c>
      <c r="CC28" s="9" t="n">
        <v>2.465</v>
      </c>
      <c r="CD28" s="9" t="n">
        <v>7.598</v>
      </c>
      <c r="CE28" s="9" t="n">
        <v>0</v>
      </c>
      <c r="CF28" s="9" t="n">
        <v>0</v>
      </c>
      <c r="CG28" s="9" t="n">
        <v>1.01</v>
      </c>
      <c r="CH28" s="9" t="n">
        <v>0.03</v>
      </c>
      <c r="CI28" s="9" t="n">
        <v>0.98</v>
      </c>
      <c r="CJ28" s="9" t="n">
        <v>0.1</v>
      </c>
      <c r="CK28" s="9" t="n">
        <v>1.11</v>
      </c>
      <c r="CL28" s="9" t="n">
        <v>0</v>
      </c>
      <c r="CM28" s="9" t="n">
        <v>0.912</v>
      </c>
      <c r="CN28" s="9" t="n">
        <v>0.91</v>
      </c>
      <c r="CO28" s="9" t="n">
        <v>3</v>
      </c>
      <c r="CP28" s="9" t="n">
        <v>4</v>
      </c>
      <c r="CQ28" s="9" t="n">
        <v>0.5</v>
      </c>
      <c r="CR28" s="9" t="n">
        <v>0.3</v>
      </c>
      <c r="CS28" s="9" t="n">
        <v>0.6</v>
      </c>
      <c r="CT28" s="9" t="n">
        <v>0.8</v>
      </c>
      <c r="CU28" s="9" t="n">
        <v>0.8</v>
      </c>
      <c r="CV28" s="9" t="n">
        <v>0.7</v>
      </c>
      <c r="CW28" s="9" t="n">
        <v>0.5</v>
      </c>
      <c r="CX28" s="9" t="n">
        <v>0.5</v>
      </c>
      <c r="CY28" s="9" t="n">
        <v>1</v>
      </c>
      <c r="CZ28" s="9" t="n">
        <v>0.3</v>
      </c>
      <c r="DA28" s="9" t="n">
        <v>0.8</v>
      </c>
      <c r="DB28" s="9" t="n">
        <v>1.09607616849394</v>
      </c>
      <c r="DC28" s="9" t="n">
        <v>7.124</v>
      </c>
      <c r="DD28" s="9" t="n">
        <v>5.575</v>
      </c>
      <c r="DE28" s="9" t="n">
        <v>14.326775</v>
      </c>
      <c r="DF28" s="9" t="n">
        <v>18.3325249180927</v>
      </c>
      <c r="DG28" s="9" t="n">
        <v>25.401961810411</v>
      </c>
      <c r="DH28" s="9" t="n">
        <v>17.6800183236861</v>
      </c>
      <c r="DI28" s="9" t="n">
        <v>24.057234008805</v>
      </c>
      <c r="DJ28" s="9" t="n">
        <v>9.496</v>
      </c>
      <c r="DK28" s="9" t="n">
        <v>8.172</v>
      </c>
      <c r="DL28" s="9" t="n">
        <v>20.48965</v>
      </c>
      <c r="DM28" s="9" t="n">
        <v>13.4965060321561</v>
      </c>
      <c r="DN28" s="9" t="n">
        <v>13.4965060321561</v>
      </c>
      <c r="DO28" s="9" t="n">
        <v>0.105</v>
      </c>
    </row>
    <row r="29" customFormat="false" ht="15" hidden="false" customHeight="false" outlineLevel="0" collapsed="false">
      <c r="A29" s="9" t="s">
        <v>980</v>
      </c>
      <c r="B29" s="9" t="s">
        <v>981</v>
      </c>
      <c r="C29" s="9" t="n">
        <v>0.005</v>
      </c>
      <c r="D29" s="9" t="n">
        <v>0.005</v>
      </c>
      <c r="E29" s="9" t="n">
        <v>0.01</v>
      </c>
      <c r="F29" s="9" t="n">
        <v>0.005</v>
      </c>
      <c r="G29" s="9" t="n">
        <v>0.005</v>
      </c>
      <c r="H29" s="9" t="n">
        <v>0.01</v>
      </c>
      <c r="I29" s="9" t="n">
        <v>0.005</v>
      </c>
      <c r="J29" s="9" t="n">
        <v>0.005</v>
      </c>
      <c r="K29" s="9" t="n">
        <v>0.01</v>
      </c>
      <c r="L29" s="9" t="n">
        <v>0.01</v>
      </c>
      <c r="M29" s="9" t="n">
        <v>0.005</v>
      </c>
      <c r="N29" s="9" t="n">
        <v>0.633306</v>
      </c>
      <c r="O29" s="9" t="n">
        <v>0.020944</v>
      </c>
      <c r="P29" s="9" t="n">
        <v>2.919783</v>
      </c>
      <c r="Q29" s="9" t="n">
        <v>2.10801982775795</v>
      </c>
      <c r="R29" s="9" t="n">
        <v>0.674182879255036</v>
      </c>
      <c r="S29" s="9" t="n">
        <v>0.750645788462647</v>
      </c>
      <c r="T29" s="9" t="n">
        <v>0.120055756088882</v>
      </c>
      <c r="U29" s="9" t="n">
        <v>0.026363</v>
      </c>
      <c r="V29" s="9" t="n">
        <v>0.006566</v>
      </c>
      <c r="W29" s="9" t="n">
        <v>0.00629</v>
      </c>
      <c r="X29" s="9" t="n">
        <v>0.973524568916441</v>
      </c>
      <c r="Y29" s="9" t="n">
        <v>0.973524568916441</v>
      </c>
      <c r="Z29" s="9" t="n">
        <v>1.37</v>
      </c>
      <c r="AA29" s="9" t="n">
        <v>0.01</v>
      </c>
      <c r="AB29" s="9" t="n">
        <v>0</v>
      </c>
      <c r="AC29" s="9" t="n">
        <v>0</v>
      </c>
      <c r="AD29" s="9" t="n">
        <v>0</v>
      </c>
      <c r="AE29" s="9" t="n">
        <v>9.571</v>
      </c>
      <c r="AF29" s="9" t="n">
        <v>7.50853285188224</v>
      </c>
      <c r="AG29" s="9" t="n">
        <v>6.44411322</v>
      </c>
      <c r="AH29" s="9" t="n">
        <v>6.84917176525714</v>
      </c>
      <c r="AI29" s="9" t="n">
        <v>6.99471666526886</v>
      </c>
      <c r="AJ29" s="9" t="n">
        <v>5.86968260335008</v>
      </c>
      <c r="AK29" s="9" t="n">
        <v>0</v>
      </c>
      <c r="AL29" s="9" t="n">
        <v>0</v>
      </c>
      <c r="AM29" s="9" t="n">
        <v>0</v>
      </c>
      <c r="AN29" s="9" t="n">
        <v>0</v>
      </c>
      <c r="AO29" s="9" t="n">
        <v>5.33153827742513</v>
      </c>
      <c r="AP29" s="9" t="n">
        <v>4.90231676</v>
      </c>
      <c r="AQ29" s="9" t="n">
        <v>5.21046238491429</v>
      </c>
      <c r="AR29" s="9" t="n">
        <v>5.32118471059372</v>
      </c>
      <c r="AS29" s="9" t="n">
        <v>13.1249531515748</v>
      </c>
      <c r="AT29" s="9" t="n">
        <v>12.1562775036</v>
      </c>
      <c r="AU29" s="9" t="n">
        <v>12.6967754456174</v>
      </c>
      <c r="AV29" s="9" t="n">
        <v>13.0067597904425</v>
      </c>
      <c r="AW29" s="9" t="n">
        <v>5.53400416063308</v>
      </c>
      <c r="AX29" s="9" t="n">
        <v>5.1126103368</v>
      </c>
      <c r="AY29" s="9" t="n">
        <v>5.35346734812843</v>
      </c>
      <c r="AZ29" s="9" t="n">
        <v>5.48416912162674</v>
      </c>
      <c r="BA29" s="9" t="n">
        <v>12.4561432552253</v>
      </c>
      <c r="BB29" s="9" t="n">
        <v>11.5266563330621</v>
      </c>
      <c r="BC29" s="9" t="n">
        <v>11.97675047</v>
      </c>
      <c r="BD29" s="9" t="n">
        <v>12.3705978943136</v>
      </c>
      <c r="BE29" s="9" t="n">
        <v>0</v>
      </c>
      <c r="BF29" s="9" t="n">
        <v>0</v>
      </c>
      <c r="BG29" s="9" t="n">
        <v>0</v>
      </c>
      <c r="BH29" s="9" t="n">
        <v>0</v>
      </c>
      <c r="BI29" s="9" t="n">
        <v>0.860117348297183</v>
      </c>
      <c r="BJ29" s="9" t="n">
        <v>0.788490579090908</v>
      </c>
      <c r="BK29" s="9" t="n">
        <v>0.838052844062336</v>
      </c>
      <c r="BL29" s="9" t="n">
        <v>0.855861466998661</v>
      </c>
      <c r="BM29" s="9" t="n">
        <v>33.0814810957124</v>
      </c>
      <c r="BN29" s="9" t="n">
        <v>30.2341304664</v>
      </c>
      <c r="BO29" s="9" t="n">
        <v>32.134561524288</v>
      </c>
      <c r="BP29" s="9" t="n">
        <v>32.8174209566791</v>
      </c>
      <c r="BQ29" s="9" t="n">
        <v>55.5031928565475</v>
      </c>
      <c r="BR29" s="9" t="n">
        <v>0.810015486880608</v>
      </c>
      <c r="BS29" s="9" t="n">
        <v>0.748453302</v>
      </c>
      <c r="BT29" s="9" t="n">
        <v>0.795498938125715</v>
      </c>
      <c r="BU29" s="9" t="n">
        <v>0.812403290560886</v>
      </c>
      <c r="BV29" s="9" t="n">
        <v>18.5757025978135</v>
      </c>
      <c r="BW29" s="9" t="n">
        <v>16.7346336915969</v>
      </c>
      <c r="BX29" s="9" t="n">
        <v>17.7214265078204</v>
      </c>
      <c r="BY29" s="9" t="n">
        <v>18.0914095337198</v>
      </c>
      <c r="BZ29" s="9" t="n">
        <v>5.18304369783551</v>
      </c>
      <c r="CA29" s="9" t="n">
        <v>0.0599520383693041</v>
      </c>
      <c r="CB29" s="9" t="n">
        <v>0.6</v>
      </c>
      <c r="CC29" s="9" t="n">
        <v>2.6</v>
      </c>
      <c r="CD29" s="9" t="n">
        <v>15.334</v>
      </c>
      <c r="CE29" s="9" t="n">
        <v>0</v>
      </c>
      <c r="CF29" s="9" t="n">
        <v>1.1</v>
      </c>
      <c r="CG29" s="9" t="n">
        <v>5.55</v>
      </c>
      <c r="CH29" s="9" t="n">
        <v>4.4</v>
      </c>
      <c r="CI29" s="9" t="n">
        <v>0.05</v>
      </c>
      <c r="CJ29" s="9" t="n">
        <v>0.01</v>
      </c>
      <c r="CK29" s="9" t="n">
        <v>5.56</v>
      </c>
      <c r="CL29" s="9" t="n">
        <v>0</v>
      </c>
      <c r="CM29" s="9" t="n">
        <v>15.542</v>
      </c>
      <c r="CN29" s="9" t="n">
        <v>15.977</v>
      </c>
      <c r="CO29" s="9" t="n">
        <v>3</v>
      </c>
      <c r="CP29" s="9" t="n">
        <v>4</v>
      </c>
      <c r="CQ29" s="9" t="n">
        <v>0.5</v>
      </c>
      <c r="CR29" s="9" t="n">
        <v>0.3</v>
      </c>
      <c r="CS29" s="9" t="n">
        <v>0.6</v>
      </c>
      <c r="CT29" s="9" t="n">
        <v>0.8</v>
      </c>
      <c r="CU29" s="9" t="n">
        <v>0.8</v>
      </c>
      <c r="CV29" s="9" t="n">
        <v>0.7</v>
      </c>
      <c r="CW29" s="9" t="n">
        <v>0.5</v>
      </c>
      <c r="CX29" s="9" t="n">
        <v>0.5</v>
      </c>
      <c r="CY29" s="9" t="n">
        <v>1</v>
      </c>
      <c r="CZ29" s="9" t="n">
        <v>0.3</v>
      </c>
      <c r="DA29" s="9" t="n">
        <v>0.8</v>
      </c>
      <c r="DB29" s="9" t="n">
        <v>0.368172104972508</v>
      </c>
      <c r="DC29" s="9" t="n">
        <v>7.124</v>
      </c>
      <c r="DD29" s="9" t="n">
        <v>4.833</v>
      </c>
      <c r="DE29" s="9" t="n">
        <v>11.451</v>
      </c>
      <c r="DF29" s="9" t="n">
        <v>19.6808221113768</v>
      </c>
      <c r="DG29" s="9" t="n">
        <v>20.5892294309309</v>
      </c>
      <c r="DH29" s="9" t="n">
        <v>17.2720586560434</v>
      </c>
      <c r="DI29" s="9" t="n">
        <v>19.783016350672</v>
      </c>
      <c r="DJ29" s="9" t="n">
        <v>4.68</v>
      </c>
      <c r="DK29" s="9" t="n">
        <v>4.018</v>
      </c>
      <c r="DL29" s="9" t="n">
        <v>8.651</v>
      </c>
      <c r="DM29" s="9" t="n">
        <v>14.1151698941595</v>
      </c>
      <c r="DN29" s="9" t="n">
        <v>14.1151698941595</v>
      </c>
      <c r="DO29" s="9" t="n">
        <v>0.105</v>
      </c>
    </row>
    <row r="30" customFormat="false" ht="15" hidden="false" customHeight="false" outlineLevel="0" collapsed="false">
      <c r="A30" s="9" t="s">
        <v>1020</v>
      </c>
      <c r="B30" s="9" t="s">
        <v>1021</v>
      </c>
      <c r="C30" s="9" t="n">
        <v>0.005</v>
      </c>
      <c r="D30" s="9" t="n">
        <v>0.005</v>
      </c>
      <c r="E30" s="9" t="n">
        <v>0.01</v>
      </c>
      <c r="F30" s="9" t="n">
        <v>0.005</v>
      </c>
      <c r="G30" s="9" t="n">
        <v>0.005</v>
      </c>
      <c r="H30" s="9" t="n">
        <v>0.01</v>
      </c>
      <c r="I30" s="9" t="n">
        <v>0.005</v>
      </c>
      <c r="J30" s="9" t="n">
        <v>0.005</v>
      </c>
      <c r="K30" s="9" t="n">
        <v>0.01</v>
      </c>
      <c r="L30" s="9" t="n">
        <v>0.01</v>
      </c>
      <c r="M30" s="9" t="n">
        <v>0.005</v>
      </c>
      <c r="N30" s="9" t="n">
        <v>2.698067</v>
      </c>
      <c r="O30" s="9" t="n">
        <v>0.394398</v>
      </c>
      <c r="P30" s="9" t="n">
        <v>5.795841</v>
      </c>
      <c r="Q30" s="9" t="n">
        <v>0.789806942932856</v>
      </c>
      <c r="R30" s="9" t="n">
        <v>0.158680047378105</v>
      </c>
      <c r="S30" s="9" t="n">
        <v>1.00064029388762</v>
      </c>
      <c r="T30" s="9" t="n">
        <v>0.295969440697308</v>
      </c>
      <c r="U30" s="9" t="n">
        <v>0.091748</v>
      </c>
      <c r="V30" s="9" t="n">
        <v>0.008257</v>
      </c>
      <c r="W30" s="9" t="n">
        <v>0.015562</v>
      </c>
      <c r="X30" s="9" t="n">
        <v>0.877896804031554</v>
      </c>
      <c r="Y30" s="9" t="n">
        <v>0.877896804031554</v>
      </c>
      <c r="Z30" s="9" t="n">
        <v>0.01</v>
      </c>
      <c r="AA30" s="9" t="n">
        <v>0</v>
      </c>
      <c r="AB30" s="9" t="n">
        <v>0</v>
      </c>
      <c r="AC30" s="9" t="n">
        <v>0</v>
      </c>
      <c r="AD30" s="9" t="n">
        <v>0</v>
      </c>
      <c r="AE30" s="9" t="n">
        <v>1.921</v>
      </c>
      <c r="AF30" s="9" t="n">
        <v>9.27114321593546</v>
      </c>
      <c r="AG30" s="9" t="n">
        <v>8.148643236</v>
      </c>
      <c r="AH30" s="9" t="n">
        <v>8.4307116557077</v>
      </c>
      <c r="AI30" s="9" t="n">
        <v>8.4307116557077</v>
      </c>
      <c r="AJ30" s="9" t="n">
        <v>0</v>
      </c>
      <c r="AK30" s="9" t="n">
        <v>0</v>
      </c>
      <c r="AL30" s="9" t="n">
        <v>0</v>
      </c>
      <c r="AM30" s="9" t="n">
        <v>0</v>
      </c>
      <c r="AN30" s="9" t="n">
        <v>0</v>
      </c>
      <c r="AO30" s="9" t="n">
        <v>0</v>
      </c>
      <c r="AP30" s="9" t="n">
        <v>0</v>
      </c>
      <c r="AQ30" s="9" t="n">
        <v>0</v>
      </c>
      <c r="AR30" s="9" t="n">
        <v>0</v>
      </c>
      <c r="AS30" s="9" t="n">
        <v>8.8317815211397</v>
      </c>
      <c r="AT30" s="9" t="n">
        <v>6.75820025686147</v>
      </c>
      <c r="AU30" s="9" t="n">
        <v>7.41744265949721</v>
      </c>
      <c r="AV30" s="9" t="n">
        <v>8.1661868009161</v>
      </c>
      <c r="AW30" s="9" t="n">
        <v>2.71576825941629</v>
      </c>
      <c r="AX30" s="9" t="n">
        <v>2.08038240144</v>
      </c>
      <c r="AY30" s="9" t="n">
        <v>2.28085978944182</v>
      </c>
      <c r="AZ30" s="9" t="n">
        <v>2.51109822647994</v>
      </c>
      <c r="BA30" s="9" t="n">
        <v>1.17681843561341</v>
      </c>
      <c r="BB30" s="9" t="n">
        <v>0.755619875852591</v>
      </c>
      <c r="BC30" s="9" t="n">
        <v>1.61602224960327</v>
      </c>
      <c r="BD30" s="9" t="n">
        <v>1.12399614187308</v>
      </c>
      <c r="BE30" s="9" t="n">
        <v>0.0631358371463555</v>
      </c>
      <c r="BF30" s="9" t="n">
        <v>0.0595960369892471</v>
      </c>
      <c r="BG30" s="9" t="n">
        <v>0.0616589767311826</v>
      </c>
      <c r="BH30" s="9" t="n">
        <v>0.0616589767311826</v>
      </c>
      <c r="BI30" s="9" t="n">
        <v>0.418635231587359</v>
      </c>
      <c r="BJ30" s="9" t="n">
        <v>0.383448976344085</v>
      </c>
      <c r="BK30" s="9" t="n">
        <v>0.396722210140611</v>
      </c>
      <c r="BL30" s="9" t="n">
        <v>0.396722210140611</v>
      </c>
      <c r="BM30" s="9" t="n">
        <v>0</v>
      </c>
      <c r="BN30" s="9" t="n">
        <v>0</v>
      </c>
      <c r="BO30" s="9" t="n">
        <v>0</v>
      </c>
      <c r="BP30" s="9" t="n">
        <v>0</v>
      </c>
      <c r="BQ30" s="9" t="n">
        <v>0</v>
      </c>
      <c r="BR30" s="9" t="n">
        <v>0</v>
      </c>
      <c r="BS30" s="9" t="n">
        <v>0</v>
      </c>
      <c r="BT30" s="9" t="n">
        <v>0</v>
      </c>
      <c r="BU30" s="9" t="n">
        <v>0</v>
      </c>
      <c r="BV30" s="9" t="n">
        <v>5.16723347296218</v>
      </c>
      <c r="BW30" s="9" t="n">
        <v>4.24105102929526</v>
      </c>
      <c r="BX30" s="9" t="n">
        <v>4.38785397849149</v>
      </c>
      <c r="BY30" s="9" t="n">
        <v>4.91603147358011</v>
      </c>
      <c r="BZ30" s="9" t="n">
        <v>3.20765271682111</v>
      </c>
      <c r="CA30" s="9" t="n">
        <v>0</v>
      </c>
      <c r="CB30" s="9" t="n">
        <v>7.123</v>
      </c>
      <c r="CC30" s="9" t="n">
        <v>7.478</v>
      </c>
      <c r="CD30" s="9" t="n">
        <v>3.147</v>
      </c>
      <c r="CE30" s="9" t="n">
        <v>11</v>
      </c>
      <c r="CF30" s="9" t="n">
        <v>0</v>
      </c>
      <c r="CG30" s="9" t="n">
        <v>0</v>
      </c>
      <c r="CH30" s="9" t="n">
        <v>0</v>
      </c>
      <c r="CI30" s="9" t="n">
        <v>0</v>
      </c>
      <c r="CJ30" s="9" t="n">
        <v>0</v>
      </c>
      <c r="CK30" s="9" t="n">
        <v>11</v>
      </c>
      <c r="CL30" s="9" t="n">
        <v>0</v>
      </c>
      <c r="CM30" s="9" t="n">
        <v>3.509</v>
      </c>
      <c r="CN30" s="9" t="n">
        <v>2.204</v>
      </c>
      <c r="CO30" s="9" t="n">
        <v>3</v>
      </c>
      <c r="CP30" s="9" t="n">
        <v>2</v>
      </c>
      <c r="CQ30" s="9" t="n">
        <v>0.5</v>
      </c>
      <c r="CR30" s="9" t="n">
        <v>0.3</v>
      </c>
      <c r="CS30" s="9" t="n">
        <v>0.6</v>
      </c>
      <c r="CT30" s="9" t="n">
        <v>0.8</v>
      </c>
      <c r="CU30" s="9" t="n">
        <v>0.8</v>
      </c>
      <c r="CV30" s="9" t="n">
        <v>0.7</v>
      </c>
      <c r="CW30" s="9" t="n">
        <v>0.5</v>
      </c>
      <c r="CX30" s="9" t="n">
        <v>0.5</v>
      </c>
      <c r="CY30" s="9" t="n">
        <v>1</v>
      </c>
      <c r="CZ30" s="9" t="n">
        <v>0.3</v>
      </c>
      <c r="DA30" s="9" t="n">
        <v>0.8</v>
      </c>
      <c r="DB30" s="9" t="n">
        <v>0.240247347125735</v>
      </c>
      <c r="DC30" s="9" t="n">
        <v>7.124</v>
      </c>
      <c r="DD30" s="9" t="n">
        <v>4.833</v>
      </c>
      <c r="DE30" s="9" t="n">
        <v>12.5961</v>
      </c>
      <c r="DF30" s="9" t="n">
        <v>19.6808221113768</v>
      </c>
      <c r="DG30" s="9" t="n">
        <v>22.6481523740239</v>
      </c>
      <c r="DH30" s="9" t="n">
        <v>18.9992645216477</v>
      </c>
      <c r="DI30" s="9" t="n">
        <v>21.7613179857392</v>
      </c>
      <c r="DJ30" s="9" t="n">
        <v>13.439</v>
      </c>
      <c r="DK30" s="9" t="n">
        <v>12.116</v>
      </c>
      <c r="DL30" s="9" t="n">
        <v>23.5191</v>
      </c>
      <c r="DM30" s="9" t="n">
        <v>14.1151701137904</v>
      </c>
      <c r="DN30" s="9" t="n">
        <v>14.1151701137904</v>
      </c>
      <c r="DO30" s="9" t="n">
        <v>0.105</v>
      </c>
    </row>
    <row r="31" customFormat="false" ht="15" hidden="false" customHeight="false" outlineLevel="0" collapsed="false">
      <c r="A31" s="9" t="s">
        <v>952</v>
      </c>
      <c r="B31" s="9" t="s">
        <v>953</v>
      </c>
      <c r="C31" s="9" t="n">
        <v>0.005</v>
      </c>
      <c r="D31" s="9" t="n">
        <v>0.005</v>
      </c>
      <c r="E31" s="9" t="n">
        <v>0.01</v>
      </c>
      <c r="F31" s="9" t="n">
        <v>0.005</v>
      </c>
      <c r="G31" s="9" t="n">
        <v>0.005</v>
      </c>
      <c r="H31" s="9" t="n">
        <v>0.01</v>
      </c>
      <c r="I31" s="9" t="n">
        <v>0.005</v>
      </c>
      <c r="J31" s="9" t="n">
        <v>0.005</v>
      </c>
      <c r="K31" s="9" t="n">
        <v>0.01</v>
      </c>
      <c r="L31" s="9" t="n">
        <v>0.01</v>
      </c>
      <c r="M31" s="9" t="n">
        <v>0.005</v>
      </c>
      <c r="N31" s="9" t="n">
        <v>4.080418</v>
      </c>
      <c r="O31" s="9" t="n">
        <v>1.710211</v>
      </c>
      <c r="P31" s="9" t="n">
        <v>11.743219</v>
      </c>
      <c r="Q31" s="9" t="n">
        <v>5.05311810986886</v>
      </c>
      <c r="R31" s="9" t="n">
        <v>1.29606339652511</v>
      </c>
      <c r="S31" s="9" t="n">
        <v>1.74405407006023</v>
      </c>
      <c r="T31" s="9" t="n">
        <v>0.562923790746963</v>
      </c>
      <c r="U31" s="9" t="n">
        <v>0.106565</v>
      </c>
      <c r="V31" s="9" t="n">
        <v>0.001511</v>
      </c>
      <c r="W31" s="9" t="n">
        <v>0.026592</v>
      </c>
      <c r="X31" s="9" t="n">
        <v>7.84649606075648</v>
      </c>
      <c r="Y31" s="9" t="n">
        <v>7.84649606075648</v>
      </c>
      <c r="Z31" s="9" t="n">
        <v>0.8</v>
      </c>
      <c r="AA31" s="9" t="n">
        <v>0.07</v>
      </c>
      <c r="AB31" s="9" t="n">
        <v>0</v>
      </c>
      <c r="AC31" s="9" t="n">
        <v>0</v>
      </c>
      <c r="AD31" s="9" t="n">
        <v>0</v>
      </c>
      <c r="AE31" s="9" t="n">
        <v>8.276</v>
      </c>
      <c r="AF31" s="9" t="n">
        <v>2.17737692700947</v>
      </c>
      <c r="AG31" s="9" t="n">
        <v>1.8041088672</v>
      </c>
      <c r="AH31" s="9" t="n">
        <v>2.31277956243981</v>
      </c>
      <c r="AI31" s="9" t="n">
        <v>2.15323982316896</v>
      </c>
      <c r="AJ31" s="9" t="n">
        <v>42.9332052108983</v>
      </c>
      <c r="AK31" s="9" t="n">
        <v>0.195412999231403</v>
      </c>
      <c r="AL31" s="9" t="n">
        <v>0.161568612</v>
      </c>
      <c r="AM31" s="9" t="n">
        <v>0.207123079188293</v>
      </c>
      <c r="AN31" s="9" t="n">
        <v>0.192835352598468</v>
      </c>
      <c r="AO31" s="9" t="n">
        <v>13.7119766212052</v>
      </c>
      <c r="AP31" s="9" t="n">
        <v>11.10133377</v>
      </c>
      <c r="AQ31" s="9" t="n">
        <v>14.2313683646634</v>
      </c>
      <c r="AR31" s="9" t="n">
        <v>13.2496626996537</v>
      </c>
      <c r="AS31" s="9" t="n">
        <v>10.0383771281774</v>
      </c>
      <c r="AT31" s="9" t="n">
        <v>7.099200882</v>
      </c>
      <c r="AU31" s="9" t="n">
        <v>9.32747530321213</v>
      </c>
      <c r="AV31" s="9" t="n">
        <v>9.3342572411779</v>
      </c>
      <c r="AW31" s="9" t="n">
        <v>6.22139270653538</v>
      </c>
      <c r="AX31" s="9" t="n">
        <v>4.413598956</v>
      </c>
      <c r="AY31" s="9" t="n">
        <v>5.78080361803749</v>
      </c>
      <c r="AZ31" s="9" t="n">
        <v>5.78500679738189</v>
      </c>
      <c r="BA31" s="9" t="n">
        <v>24.2108367952329</v>
      </c>
      <c r="BB31" s="9" t="n">
        <v>24.4568559397013</v>
      </c>
      <c r="BC31" s="9" t="n">
        <v>20.78125194</v>
      </c>
      <c r="BD31" s="9" t="n">
        <v>23.7645764709525</v>
      </c>
      <c r="BE31" s="9" t="n">
        <v>0.154155256559266</v>
      </c>
      <c r="BF31" s="9" t="n">
        <v>0.1208396</v>
      </c>
      <c r="BG31" s="9" t="n">
        <v>0.154910472585366</v>
      </c>
      <c r="BH31" s="9" t="n">
        <v>0.144224466531022</v>
      </c>
      <c r="BI31" s="9" t="n">
        <v>0.731771702917491</v>
      </c>
      <c r="BJ31" s="9" t="n">
        <v>0.578115249999999</v>
      </c>
      <c r="BK31" s="9" t="n">
        <v>0.741115549756097</v>
      </c>
      <c r="BL31" s="9" t="n">
        <v>0.689992051651103</v>
      </c>
      <c r="BM31" s="9" t="n">
        <v>0</v>
      </c>
      <c r="BN31" s="9" t="n">
        <v>0</v>
      </c>
      <c r="BO31" s="9" t="n">
        <v>0</v>
      </c>
      <c r="BP31" s="9" t="n">
        <v>0</v>
      </c>
      <c r="BQ31" s="9" t="n">
        <v>0</v>
      </c>
      <c r="BR31" s="9" t="n">
        <v>0</v>
      </c>
      <c r="BS31" s="9" t="n">
        <v>0</v>
      </c>
      <c r="BT31" s="9" t="n">
        <v>0</v>
      </c>
      <c r="BU31" s="9" t="n">
        <v>0</v>
      </c>
      <c r="BV31" s="9" t="n">
        <v>8.66533803637769</v>
      </c>
      <c r="BW31" s="9" t="n">
        <v>8.32066988481453</v>
      </c>
      <c r="BX31" s="9" t="n">
        <v>8.77712506651868</v>
      </c>
      <c r="BY31" s="9" t="n">
        <v>8.17166302742099</v>
      </c>
      <c r="BZ31" s="9" t="n">
        <v>4.51660273186467</v>
      </c>
      <c r="CA31" s="9" t="n">
        <v>-0.036687078732811</v>
      </c>
      <c r="CB31" s="9" t="n">
        <v>-0.887</v>
      </c>
      <c r="CC31" s="9" t="n">
        <v>4.749</v>
      </c>
      <c r="CD31" s="9" t="n">
        <v>19.356</v>
      </c>
      <c r="CE31" s="9" t="n">
        <v>0</v>
      </c>
      <c r="CF31" s="9" t="n">
        <v>3.37</v>
      </c>
      <c r="CG31" s="9" t="n">
        <v>3.42</v>
      </c>
      <c r="CH31" s="9" t="n">
        <v>0</v>
      </c>
      <c r="CI31" s="9" t="n">
        <v>0.05</v>
      </c>
      <c r="CJ31" s="9" t="n">
        <v>0.01</v>
      </c>
      <c r="CK31" s="9" t="n">
        <v>3.43</v>
      </c>
      <c r="CL31" s="9" t="n">
        <v>0</v>
      </c>
      <c r="CM31" s="9" t="n">
        <v>13.09</v>
      </c>
      <c r="CN31" s="9" t="n">
        <v>52.183</v>
      </c>
      <c r="CO31" s="9" t="n">
        <v>3</v>
      </c>
      <c r="CP31" s="9" t="n">
        <v>3</v>
      </c>
      <c r="CQ31" s="9" t="n">
        <v>0.5</v>
      </c>
      <c r="CR31" s="9" t="n">
        <v>0.3</v>
      </c>
      <c r="CS31" s="9" t="n">
        <v>0.6</v>
      </c>
      <c r="CT31" s="9" t="n">
        <v>0.8</v>
      </c>
      <c r="CU31" s="9" t="n">
        <v>0.8</v>
      </c>
      <c r="CV31" s="9" t="n">
        <v>0.7</v>
      </c>
      <c r="CW31" s="9" t="n">
        <v>0.5</v>
      </c>
      <c r="CX31" s="9" t="n">
        <v>0.5</v>
      </c>
      <c r="CY31" s="9" t="n">
        <v>1</v>
      </c>
      <c r="CZ31" s="9" t="n">
        <v>0.3</v>
      </c>
      <c r="DA31" s="9" t="n">
        <v>0.8</v>
      </c>
      <c r="DB31" s="9" t="n">
        <v>0.37327162279433</v>
      </c>
      <c r="DC31" s="9" t="n">
        <v>3.373</v>
      </c>
      <c r="DD31" s="9" t="n">
        <v>2.049</v>
      </c>
      <c r="DE31" s="9" t="n">
        <v>6.00096</v>
      </c>
      <c r="DF31" s="9" t="n">
        <v>21.0089826596942</v>
      </c>
      <c r="DG31" s="9" t="n">
        <v>23.1880477235461</v>
      </c>
      <c r="DH31" s="9" t="n">
        <v>17.5348482601353</v>
      </c>
      <c r="DI31" s="9" t="n">
        <v>21.3919186431755</v>
      </c>
      <c r="DJ31" s="9" t="n">
        <v>12.08</v>
      </c>
      <c r="DK31" s="9" t="n">
        <v>10.757</v>
      </c>
      <c r="DL31" s="9" t="n">
        <v>22.42464</v>
      </c>
      <c r="DM31" s="9" t="n">
        <v>13.4947462084719</v>
      </c>
      <c r="DN31" s="9" t="n">
        <v>13.4947462084719</v>
      </c>
      <c r="DO31" s="9" t="n">
        <v>0.105</v>
      </c>
    </row>
    <row r="32" customFormat="false" ht="15" hidden="false" customHeight="false" outlineLevel="0" collapsed="false">
      <c r="A32" s="9" t="s">
        <v>1026</v>
      </c>
      <c r="B32" s="9" t="s">
        <v>1027</v>
      </c>
      <c r="C32" s="9" t="n">
        <v>0.005</v>
      </c>
      <c r="D32" s="9" t="n">
        <v>0.005</v>
      </c>
      <c r="E32" s="9" t="n">
        <v>0.01</v>
      </c>
      <c r="F32" s="9" t="n">
        <v>0.005</v>
      </c>
      <c r="G32" s="9" t="n">
        <v>0.005</v>
      </c>
      <c r="H32" s="9" t="n">
        <v>0.01</v>
      </c>
      <c r="I32" s="9" t="n">
        <v>0.005</v>
      </c>
      <c r="J32" s="9" t="n">
        <v>0.005</v>
      </c>
      <c r="K32" s="9" t="n">
        <v>0.01</v>
      </c>
      <c r="L32" s="9" t="n">
        <v>0.01</v>
      </c>
      <c r="M32" s="9" t="n">
        <v>0.005</v>
      </c>
      <c r="N32" s="9" t="n">
        <v>0.003088</v>
      </c>
      <c r="O32" s="9" t="n">
        <v>0.034279</v>
      </c>
      <c r="P32" s="9" t="n">
        <v>0.109144</v>
      </c>
      <c r="Q32" s="9" t="n">
        <v>0.0227375165537432</v>
      </c>
      <c r="R32" s="9" t="n">
        <v>0.0043752112540728</v>
      </c>
      <c r="S32" s="9" t="n">
        <v>0.0068346489773914</v>
      </c>
      <c r="T32" s="9" t="n">
        <v>0.0020946723194829</v>
      </c>
      <c r="U32" s="9" t="n">
        <v>0.000132</v>
      </c>
      <c r="V32" s="9" t="n">
        <v>0.000118</v>
      </c>
      <c r="W32" s="9" t="n">
        <v>0.000228</v>
      </c>
      <c r="X32" s="9" t="n">
        <v>0.0060619256639501</v>
      </c>
      <c r="Y32" s="9" t="n">
        <v>0.0060619256639501</v>
      </c>
      <c r="Z32" s="9" t="n">
        <v>0.07</v>
      </c>
      <c r="AA32" s="9" t="n">
        <v>0.04</v>
      </c>
      <c r="AB32" s="9" t="n">
        <v>0</v>
      </c>
      <c r="AC32" s="9" t="n">
        <v>0</v>
      </c>
      <c r="AD32" s="9" t="n">
        <v>0</v>
      </c>
      <c r="AE32" s="9" t="n">
        <v>0.283</v>
      </c>
      <c r="AF32" s="9" t="n">
        <v>0</v>
      </c>
      <c r="AG32" s="9" t="n">
        <v>0</v>
      </c>
      <c r="AH32" s="9" t="n">
        <v>0</v>
      </c>
      <c r="AI32" s="9" t="n">
        <v>0</v>
      </c>
      <c r="AJ32" s="9" t="n">
        <v>0</v>
      </c>
      <c r="AK32" s="9" t="n">
        <v>0</v>
      </c>
      <c r="AL32" s="9" t="n">
        <v>0</v>
      </c>
      <c r="AM32" s="9" t="n">
        <v>0</v>
      </c>
      <c r="AN32" s="9" t="n">
        <v>0</v>
      </c>
      <c r="AO32" s="9" t="n">
        <v>2.20291522095018</v>
      </c>
      <c r="AP32" s="9" t="n">
        <v>2.340693639</v>
      </c>
      <c r="AQ32" s="9" t="n">
        <v>2.1926159873131</v>
      </c>
      <c r="AR32" s="9" t="n">
        <v>2.13341535565565</v>
      </c>
      <c r="AS32" s="9" t="n">
        <v>0.195946798259871</v>
      </c>
      <c r="AT32" s="9" t="n">
        <v>0.22708533312</v>
      </c>
      <c r="AU32" s="9" t="n">
        <v>0.18294655685942</v>
      </c>
      <c r="AV32" s="9" t="n">
        <v>0.194131425679729</v>
      </c>
      <c r="AW32" s="9" t="n">
        <v>0.117392871694459</v>
      </c>
      <c r="AX32" s="9" t="n">
        <v>0.13077553536</v>
      </c>
      <c r="AY32" s="9" t="n">
        <v>0.109604351115031</v>
      </c>
      <c r="AZ32" s="9" t="n">
        <v>0.116305271375032</v>
      </c>
      <c r="BA32" s="9" t="n">
        <v>1.47938014674064</v>
      </c>
      <c r="BB32" s="9" t="n">
        <v>1.34409903766875</v>
      </c>
      <c r="BC32" s="9" t="n">
        <v>1.58004400672913</v>
      </c>
      <c r="BD32" s="9" t="n">
        <v>1.37237267210411</v>
      </c>
      <c r="BE32" s="9" t="n">
        <v>0.607657280634672</v>
      </c>
      <c r="BF32" s="9" t="n">
        <v>0.593852051999999</v>
      </c>
      <c r="BG32" s="9" t="n">
        <v>0.556283608251343</v>
      </c>
      <c r="BH32" s="9" t="n">
        <v>0.541263950828557</v>
      </c>
      <c r="BI32" s="9" t="n">
        <v>0.0016179010024237</v>
      </c>
      <c r="BJ32" s="9" t="n">
        <v>0.0017975099999999</v>
      </c>
      <c r="BK32" s="9" t="n">
        <v>0.0016837953919672</v>
      </c>
      <c r="BL32" s="9" t="n">
        <v>0.001638332916384</v>
      </c>
      <c r="BM32" s="9" t="n">
        <v>0</v>
      </c>
      <c r="BN32" s="9" t="n">
        <v>0</v>
      </c>
      <c r="BO32" s="9" t="n">
        <v>0</v>
      </c>
      <c r="BP32" s="9" t="n">
        <v>0</v>
      </c>
      <c r="BQ32" s="9" t="n">
        <v>0</v>
      </c>
      <c r="BR32" s="9" t="n">
        <v>0</v>
      </c>
      <c r="BS32" s="9" t="n">
        <v>0</v>
      </c>
      <c r="BT32" s="9" t="n">
        <v>0</v>
      </c>
      <c r="BU32" s="9" t="n">
        <v>0</v>
      </c>
      <c r="BV32" s="9" t="n">
        <v>0.699363527080925</v>
      </c>
      <c r="BW32" s="9" t="n">
        <v>0.728610794963844</v>
      </c>
      <c r="BX32" s="9" t="n">
        <v>0.674699232683789</v>
      </c>
      <c r="BY32" s="9" t="n">
        <v>0.656482353401327</v>
      </c>
      <c r="BZ32" s="9" t="n">
        <v>0.0870387972095361</v>
      </c>
      <c r="CA32" s="9" t="n">
        <v>0</v>
      </c>
      <c r="CB32" s="9" t="n">
        <v>4.801</v>
      </c>
      <c r="CC32" s="9" t="n">
        <v>2.613</v>
      </c>
      <c r="CD32" s="9" t="n">
        <v>2.868</v>
      </c>
      <c r="CE32" s="9" t="n">
        <v>0.14</v>
      </c>
      <c r="CF32" s="9" t="n">
        <v>0</v>
      </c>
      <c r="CG32" s="9" t="n">
        <v>0</v>
      </c>
      <c r="CH32" s="9" t="n">
        <v>0</v>
      </c>
      <c r="CI32" s="9" t="n">
        <v>0</v>
      </c>
      <c r="CJ32" s="9" t="n">
        <v>0</v>
      </c>
      <c r="CK32" s="9" t="n">
        <v>0.14</v>
      </c>
      <c r="CL32" s="9" t="n">
        <v>0</v>
      </c>
      <c r="CM32" s="9" t="n">
        <v>13.472</v>
      </c>
      <c r="CN32" s="9" t="n">
        <v>43.945</v>
      </c>
      <c r="CO32" s="9" t="n">
        <v>3</v>
      </c>
      <c r="CP32" s="9" t="n">
        <v>1</v>
      </c>
      <c r="CQ32" s="9" t="n">
        <v>0.5</v>
      </c>
      <c r="CR32" s="9" t="n">
        <v>0.3</v>
      </c>
      <c r="CS32" s="9" t="n">
        <v>0.6</v>
      </c>
      <c r="CT32" s="9" t="n">
        <v>0.8</v>
      </c>
      <c r="CU32" s="9" t="n">
        <v>0.8</v>
      </c>
      <c r="CV32" s="9" t="n">
        <v>0.7</v>
      </c>
      <c r="CW32" s="9" t="n">
        <v>0.5</v>
      </c>
      <c r="CX32" s="9" t="n">
        <v>0.5</v>
      </c>
      <c r="CY32" s="9" t="n">
        <v>1</v>
      </c>
      <c r="CZ32" s="9" t="n">
        <v>0.3</v>
      </c>
      <c r="DA32" s="9" t="n">
        <v>0.8</v>
      </c>
      <c r="DB32" s="9" t="n">
        <v>0.389938817131203</v>
      </c>
      <c r="DC32" s="9" t="n">
        <v>7.124</v>
      </c>
      <c r="DD32" s="9" t="n">
        <v>5.575</v>
      </c>
      <c r="DE32" s="9" t="n">
        <v>14.50967</v>
      </c>
      <c r="DF32" s="9" t="n">
        <v>21.4595233326335</v>
      </c>
      <c r="DG32" s="9" t="n">
        <v>24.6373007062678</v>
      </c>
      <c r="DH32" s="9" t="n">
        <v>18.6307762763938</v>
      </c>
      <c r="DI32" s="9" t="n">
        <v>21.5942484731463</v>
      </c>
      <c r="DJ32" s="9" t="n">
        <v>8.176</v>
      </c>
      <c r="DK32" s="9" t="n">
        <v>6.853</v>
      </c>
      <c r="DL32" s="9" t="n">
        <v>19.18042</v>
      </c>
      <c r="DM32" s="9" t="n">
        <v>13.494746211392</v>
      </c>
      <c r="DN32" s="9" t="n">
        <v>13.494746211392</v>
      </c>
      <c r="DO32" s="9" t="n">
        <v>0.105</v>
      </c>
    </row>
    <row r="33" customFormat="false" ht="15" hidden="false" customHeight="false" outlineLevel="0" collapsed="false">
      <c r="A33" s="9" t="s">
        <v>708</v>
      </c>
      <c r="B33" s="9" t="s">
        <v>709</v>
      </c>
      <c r="C33" s="9" t="n">
        <v>0.005</v>
      </c>
      <c r="D33" s="9" t="n">
        <v>0.005</v>
      </c>
      <c r="E33" s="9" t="n">
        <v>0.01</v>
      </c>
      <c r="F33" s="9" t="n">
        <v>0.005</v>
      </c>
      <c r="G33" s="9" t="n">
        <v>0.005</v>
      </c>
      <c r="H33" s="9" t="n">
        <v>0.01</v>
      </c>
      <c r="I33" s="9" t="n">
        <v>0.005</v>
      </c>
      <c r="J33" s="9" t="n">
        <v>0.005</v>
      </c>
      <c r="K33" s="9" t="n">
        <v>0.01</v>
      </c>
      <c r="L33" s="9" t="n">
        <v>0.01</v>
      </c>
      <c r="M33" s="9" t="n">
        <v>0.005</v>
      </c>
      <c r="N33" s="9" t="n">
        <v>0.832371</v>
      </c>
      <c r="O33" s="9" t="n">
        <v>1.047297</v>
      </c>
      <c r="P33" s="9" t="n">
        <v>46.452357</v>
      </c>
      <c r="Q33" s="9" t="n">
        <v>1.6296471475276</v>
      </c>
      <c r="R33" s="9" t="n">
        <v>0.524968158184762</v>
      </c>
      <c r="S33" s="9" t="n">
        <v>1.04554234821583</v>
      </c>
      <c r="T33" s="9" t="n">
        <v>0.776153674824696</v>
      </c>
      <c r="U33" s="9" t="n">
        <v>0.044593</v>
      </c>
      <c r="V33" s="9" t="n">
        <v>0.169866</v>
      </c>
      <c r="W33" s="9" t="n">
        <v>0.11927</v>
      </c>
      <c r="X33" s="9" t="n">
        <v>2.09152806198246</v>
      </c>
      <c r="Y33" s="9" t="n">
        <v>2.09152806198246</v>
      </c>
      <c r="Z33" s="9" t="n">
        <v>32.85</v>
      </c>
      <c r="AA33" s="9" t="n">
        <v>5.93</v>
      </c>
      <c r="AB33" s="9" t="n">
        <v>17.74</v>
      </c>
      <c r="AC33" s="9" t="n">
        <v>1.7</v>
      </c>
      <c r="AD33" s="9" t="n">
        <v>5.46944697594187</v>
      </c>
      <c r="AE33" s="9" t="n">
        <v>554.217</v>
      </c>
      <c r="AF33" s="9" t="n">
        <v>85.5627529715356</v>
      </c>
      <c r="AG33" s="9" t="n">
        <v>84.9380344668</v>
      </c>
      <c r="AH33" s="9" t="n">
        <v>88.8846502097018</v>
      </c>
      <c r="AI33" s="9" t="n">
        <v>87.6725867977514</v>
      </c>
      <c r="AJ33" s="9" t="n">
        <v>128.23314458222</v>
      </c>
      <c r="AK33" s="9" t="n">
        <v>0.54807210679821</v>
      </c>
      <c r="AL33" s="9" t="n">
        <v>0.5440704732</v>
      </c>
      <c r="AM33" s="9" t="n">
        <v>0.569350515389091</v>
      </c>
      <c r="AN33" s="9" t="n">
        <v>0.561586644724694</v>
      </c>
      <c r="AO33" s="9" t="n">
        <v>754.759006923152</v>
      </c>
      <c r="AP33" s="9" t="n">
        <v>707.74721304</v>
      </c>
      <c r="AQ33" s="9" t="n">
        <v>740.632437080242</v>
      </c>
      <c r="AR33" s="9" t="n">
        <v>730.53290384733</v>
      </c>
      <c r="AS33" s="9" t="n">
        <v>1304.47204827303</v>
      </c>
      <c r="AT33" s="9" t="n">
        <v>1257.199199316</v>
      </c>
      <c r="AU33" s="9" t="n">
        <v>1298.88309779145</v>
      </c>
      <c r="AV33" s="9" t="n">
        <v>1294.89055883995</v>
      </c>
      <c r="AW33" s="9" t="n">
        <v>661.881476855756</v>
      </c>
      <c r="AX33" s="9" t="n">
        <v>635.2632016812</v>
      </c>
      <c r="AY33" s="9" t="n">
        <v>659.030909447738</v>
      </c>
      <c r="AZ33" s="9" t="n">
        <v>657.013802790562</v>
      </c>
      <c r="BA33" s="9" t="n">
        <v>1334.25472892956</v>
      </c>
      <c r="BB33" s="9" t="n">
        <v>1269.32765771598</v>
      </c>
      <c r="BC33" s="9" t="n">
        <v>1291.69444739585</v>
      </c>
      <c r="BD33" s="9" t="n">
        <v>1310.74293888648</v>
      </c>
      <c r="BE33" s="9" t="n">
        <v>11.7982258337892</v>
      </c>
      <c r="BF33" s="9" t="n">
        <v>11.5493349960509</v>
      </c>
      <c r="BG33" s="9" t="n">
        <v>12.0859707635442</v>
      </c>
      <c r="BH33" s="9" t="n">
        <v>11.9211620713141</v>
      </c>
      <c r="BI33" s="9" t="n">
        <v>15.7468345302765</v>
      </c>
      <c r="BJ33" s="9" t="n">
        <v>14.91226028</v>
      </c>
      <c r="BK33" s="9" t="n">
        <v>15.605153181899</v>
      </c>
      <c r="BL33" s="9" t="n">
        <v>15.3923556385094</v>
      </c>
      <c r="BM33" s="9" t="n">
        <v>2482.66750001235</v>
      </c>
      <c r="BN33" s="9" t="n">
        <v>2235.2724017388</v>
      </c>
      <c r="BO33" s="9" t="n">
        <v>2339.13354363778</v>
      </c>
      <c r="BP33" s="9" t="n">
        <v>2307.23626804272</v>
      </c>
      <c r="BQ33" s="9" t="n">
        <v>690.457227665986</v>
      </c>
      <c r="BR33" s="9" t="n">
        <v>1390.56661753195</v>
      </c>
      <c r="BS33" s="9" t="n">
        <v>1229.5548014292</v>
      </c>
      <c r="BT33" s="9" t="n">
        <v>1286.68563058652</v>
      </c>
      <c r="BU33" s="9" t="n">
        <v>1269.13991744216</v>
      </c>
      <c r="BV33" s="9" t="n">
        <v>1303.64510782976</v>
      </c>
      <c r="BW33" s="9" t="n">
        <v>1240.34259170827</v>
      </c>
      <c r="BX33" s="9" t="n">
        <v>1239.52653838712</v>
      </c>
      <c r="BY33" s="9" t="n">
        <v>1225.23073592128</v>
      </c>
      <c r="BZ33" s="9" t="n">
        <v>546.209312535774</v>
      </c>
      <c r="CA33" s="9" t="n">
        <v>-1.40411142580822</v>
      </c>
      <c r="CB33" s="9" t="n">
        <v>1.743</v>
      </c>
      <c r="CC33" s="9" t="n">
        <v>1.5</v>
      </c>
      <c r="CD33" s="9" t="n">
        <v>2270.076</v>
      </c>
      <c r="CE33" s="9" t="n">
        <v>440.51</v>
      </c>
      <c r="CF33" s="9" t="n">
        <v>26.05</v>
      </c>
      <c r="CG33" s="9" t="n">
        <v>150.27</v>
      </c>
      <c r="CH33" s="9" t="n">
        <v>116.61</v>
      </c>
      <c r="CI33" s="9" t="n">
        <v>7.61</v>
      </c>
      <c r="CJ33" s="9" t="n">
        <v>10.17</v>
      </c>
      <c r="CK33" s="9" t="n">
        <v>652.43</v>
      </c>
      <c r="CL33" s="9" t="n">
        <v>51.48</v>
      </c>
      <c r="CM33" s="9" t="n">
        <v>692.775</v>
      </c>
      <c r="CN33" s="9" t="n">
        <v>674.974</v>
      </c>
      <c r="CO33" s="9" t="n">
        <v>1</v>
      </c>
      <c r="CP33" s="9" t="n">
        <v>4</v>
      </c>
      <c r="CQ33" s="9" t="n">
        <v>0.5</v>
      </c>
      <c r="CR33" s="9" t="n">
        <v>0.3</v>
      </c>
      <c r="CS33" s="9" t="n">
        <v>0.6</v>
      </c>
      <c r="CT33" s="9" t="n">
        <v>0.8</v>
      </c>
      <c r="CU33" s="9" t="n">
        <v>0.8</v>
      </c>
      <c r="CV33" s="9" t="n">
        <v>0.7</v>
      </c>
      <c r="CW33" s="9" t="n">
        <v>0.5</v>
      </c>
      <c r="CX33" s="9" t="n">
        <v>0.5</v>
      </c>
      <c r="CY33" s="9" t="n">
        <v>1</v>
      </c>
      <c r="CZ33" s="9" t="n">
        <v>0.3</v>
      </c>
      <c r="DA33" s="9" t="n">
        <v>0.8</v>
      </c>
      <c r="DB33" s="9" t="n">
        <v>0.851971045963988</v>
      </c>
      <c r="DC33" s="9" t="n">
        <v>5.678</v>
      </c>
      <c r="DD33" s="9" t="n">
        <v>4.055</v>
      </c>
      <c r="DE33" s="9" t="n">
        <v>9.8679</v>
      </c>
      <c r="DF33" s="9" t="n">
        <v>17.6011169268745</v>
      </c>
      <c r="DG33" s="9" t="n">
        <v>22.6270198177053</v>
      </c>
      <c r="DH33" s="9" t="n">
        <v>15.1395951933223</v>
      </c>
      <c r="DI33" s="9" t="n">
        <v>20.9084760298845</v>
      </c>
      <c r="DJ33" s="9" t="n">
        <v>5.223</v>
      </c>
      <c r="DK33" s="9" t="n">
        <v>5.223</v>
      </c>
      <c r="DL33" s="9" t="n">
        <v>8.75175</v>
      </c>
      <c r="DM33" s="9" t="n">
        <v>13.4947462084719</v>
      </c>
      <c r="DN33" s="9" t="n">
        <v>13.4947462084719</v>
      </c>
      <c r="DO33" s="9" t="n">
        <v>0.055</v>
      </c>
    </row>
    <row r="34" customFormat="false" ht="15" hidden="false" customHeight="false" outlineLevel="0" collapsed="false">
      <c r="A34" s="9" t="s">
        <v>734</v>
      </c>
      <c r="B34" s="9" t="s">
        <v>735</v>
      </c>
      <c r="C34" s="9" t="n">
        <v>0.005</v>
      </c>
      <c r="D34" s="9" t="n">
        <v>0.005</v>
      </c>
      <c r="E34" s="9" t="n">
        <v>0.01</v>
      </c>
      <c r="F34" s="9" t="n">
        <v>0.005</v>
      </c>
      <c r="G34" s="9" t="n">
        <v>0.005</v>
      </c>
      <c r="H34" s="9" t="n">
        <v>0.01</v>
      </c>
      <c r="I34" s="9" t="n">
        <v>0.005</v>
      </c>
      <c r="J34" s="9" t="n">
        <v>0.005</v>
      </c>
      <c r="K34" s="9" t="n">
        <v>0.01</v>
      </c>
      <c r="L34" s="9" t="n">
        <v>0.01</v>
      </c>
      <c r="M34" s="9" t="n">
        <v>0.005</v>
      </c>
      <c r="N34" s="9" t="n">
        <v>1.092053</v>
      </c>
      <c r="O34" s="9" t="n">
        <v>0.289363</v>
      </c>
      <c r="P34" s="9" t="n">
        <v>77.145991</v>
      </c>
      <c r="Q34" s="9" t="n">
        <v>13.1003756784722</v>
      </c>
      <c r="R34" s="9" t="n">
        <v>1.59363495410604</v>
      </c>
      <c r="S34" s="9" t="n">
        <v>5.80539852499378</v>
      </c>
      <c r="T34" s="9" t="n">
        <v>5.02391639736721</v>
      </c>
      <c r="U34" s="9" t="n">
        <v>0.787089</v>
      </c>
      <c r="V34" s="9" t="n">
        <v>0.116301</v>
      </c>
      <c r="W34" s="9" t="n">
        <v>0.348265</v>
      </c>
      <c r="X34" s="9" t="n">
        <v>1.68726781947826</v>
      </c>
      <c r="Y34" s="9" t="n">
        <v>1.68726781947826</v>
      </c>
      <c r="Z34" s="9" t="n">
        <v>0.49</v>
      </c>
      <c r="AA34" s="9" t="n">
        <v>9.11</v>
      </c>
      <c r="AB34" s="9" t="n">
        <v>0.11</v>
      </c>
      <c r="AC34" s="9" t="n">
        <v>0</v>
      </c>
      <c r="AD34" s="9" t="n">
        <v>0</v>
      </c>
      <c r="AE34" s="9" t="n">
        <v>35.583</v>
      </c>
      <c r="AF34" s="9" t="n">
        <v>4.09252624973603</v>
      </c>
      <c r="AG34" s="9" t="n">
        <v>3.5713487736</v>
      </c>
      <c r="AH34" s="9" t="n">
        <v>3.52920685807152</v>
      </c>
      <c r="AI34" s="9" t="n">
        <v>3.40231852578363</v>
      </c>
      <c r="AJ34" s="9" t="n">
        <v>0</v>
      </c>
      <c r="AK34" s="9" t="n">
        <v>0.126001817734984</v>
      </c>
      <c r="AL34" s="9" t="n">
        <v>0.1258677684</v>
      </c>
      <c r="AM34" s="9" t="n">
        <v>0.12438252873288</v>
      </c>
      <c r="AN34" s="9" t="n">
        <v>0.119910506470833</v>
      </c>
      <c r="AO34" s="9" t="n">
        <v>110.065074162752</v>
      </c>
      <c r="AP34" s="9" t="n">
        <v>113.725366784671</v>
      </c>
      <c r="AQ34" s="9" t="n">
        <v>112.383407456612</v>
      </c>
      <c r="AR34" s="9" t="n">
        <v>108.342798979274</v>
      </c>
      <c r="AS34" s="9" t="n">
        <v>120.300705628671</v>
      </c>
      <c r="AT34" s="9" t="n">
        <v>136.589995728</v>
      </c>
      <c r="AU34" s="9" t="n">
        <v>136.9010518623</v>
      </c>
      <c r="AV34" s="9" t="n">
        <v>132.364910061473</v>
      </c>
      <c r="AW34" s="9" t="n">
        <v>63.6501001622474</v>
      </c>
      <c r="AX34" s="9" t="n">
        <v>72.6199999452</v>
      </c>
      <c r="AY34" s="9" t="n">
        <v>72.5455472471176</v>
      </c>
      <c r="AZ34" s="9" t="n">
        <v>70.1586304680678</v>
      </c>
      <c r="BA34" s="9" t="n">
        <v>91.69016335311</v>
      </c>
      <c r="BB34" s="9" t="n">
        <v>95.3063127459677</v>
      </c>
      <c r="BC34" s="9" t="n">
        <v>92.468131432258</v>
      </c>
      <c r="BD34" s="9" t="n">
        <v>90.7955100539986</v>
      </c>
      <c r="BE34" s="9" t="n">
        <v>0</v>
      </c>
      <c r="BF34" s="9" t="n">
        <v>0</v>
      </c>
      <c r="BG34" s="9" t="n">
        <v>0</v>
      </c>
      <c r="BH34" s="9" t="n">
        <v>0</v>
      </c>
      <c r="BI34" s="9" t="n">
        <v>0</v>
      </c>
      <c r="BJ34" s="9" t="n">
        <v>0</v>
      </c>
      <c r="BK34" s="9" t="n">
        <v>0</v>
      </c>
      <c r="BL34" s="9" t="n">
        <v>0</v>
      </c>
      <c r="BM34" s="9" t="n">
        <v>40.1674598949547</v>
      </c>
      <c r="BN34" s="9" t="n">
        <v>36.9363305988</v>
      </c>
      <c r="BO34" s="9" t="n">
        <v>36.5004818977342</v>
      </c>
      <c r="BP34" s="9" t="n">
        <v>35.1881515464782</v>
      </c>
      <c r="BQ34" s="9" t="n">
        <v>0</v>
      </c>
      <c r="BR34" s="9" t="n">
        <v>95.9170694372707</v>
      </c>
      <c r="BS34" s="9" t="n">
        <v>90.3998699784</v>
      </c>
      <c r="BT34" s="9" t="n">
        <v>89.3331515126549</v>
      </c>
      <c r="BU34" s="9" t="n">
        <v>86.1212869013364</v>
      </c>
      <c r="BV34" s="9" t="n">
        <v>122.319615826694</v>
      </c>
      <c r="BW34" s="9" t="n">
        <v>124.518733253442</v>
      </c>
      <c r="BX34" s="9" t="n">
        <v>125.469132494203</v>
      </c>
      <c r="BY34" s="9" t="n">
        <v>118.191478007777</v>
      </c>
      <c r="BZ34" s="9" t="n">
        <v>51.0974460530328</v>
      </c>
      <c r="CA34" s="9" t="n">
        <v>0.0843218953385165</v>
      </c>
      <c r="CB34" s="9" t="n">
        <v>1.272</v>
      </c>
      <c r="CC34" s="9" t="n">
        <v>1.342</v>
      </c>
      <c r="CD34" s="9" t="n">
        <v>970.19</v>
      </c>
      <c r="CE34" s="9" t="n">
        <v>55.49</v>
      </c>
      <c r="CF34" s="9" t="n">
        <v>0</v>
      </c>
      <c r="CG34" s="9" t="n">
        <v>1.5</v>
      </c>
      <c r="CH34" s="9" t="n">
        <v>0.27</v>
      </c>
      <c r="CI34" s="9" t="n">
        <v>1.23</v>
      </c>
      <c r="CJ34" s="9" t="n">
        <v>7.89</v>
      </c>
      <c r="CK34" s="9" t="n">
        <v>65.02</v>
      </c>
      <c r="CL34" s="9" t="n">
        <v>0.14</v>
      </c>
      <c r="CM34" s="9" t="n">
        <v>45.202</v>
      </c>
      <c r="CN34" s="9" t="n">
        <v>43.278</v>
      </c>
      <c r="CO34" s="9" t="n">
        <v>1</v>
      </c>
      <c r="CP34" s="9" t="n">
        <v>4</v>
      </c>
      <c r="CQ34" s="9" t="n">
        <v>0.5</v>
      </c>
      <c r="CR34" s="9" t="n">
        <v>0.3</v>
      </c>
      <c r="CS34" s="9" t="n">
        <v>0.6</v>
      </c>
      <c r="CT34" s="9" t="n">
        <v>0.8</v>
      </c>
      <c r="CU34" s="9" t="n">
        <v>0.8</v>
      </c>
      <c r="CV34" s="9" t="n">
        <v>0.7</v>
      </c>
      <c r="CW34" s="9" t="n">
        <v>0.5</v>
      </c>
      <c r="CX34" s="9" t="n">
        <v>0.5</v>
      </c>
      <c r="CY34" s="9" t="n">
        <v>1</v>
      </c>
      <c r="CZ34" s="9" t="n">
        <v>0.3</v>
      </c>
      <c r="DA34" s="9" t="n">
        <v>0.8</v>
      </c>
      <c r="DB34" s="9" t="n">
        <v>1.09650024977227</v>
      </c>
      <c r="DC34" s="9" t="n">
        <v>7.124</v>
      </c>
      <c r="DD34" s="9" t="n">
        <v>5.47</v>
      </c>
      <c r="DE34" s="9" t="n">
        <v>13.360185</v>
      </c>
      <c r="DF34" s="9" t="n">
        <v>21.1693518654819</v>
      </c>
      <c r="DG34" s="9" t="n">
        <v>22.2886415512383</v>
      </c>
      <c r="DH34" s="9" t="n">
        <v>15.656114517978</v>
      </c>
      <c r="DI34" s="9" t="n">
        <v>19.8993870350877</v>
      </c>
      <c r="DJ34" s="9" t="n">
        <v>40.254</v>
      </c>
      <c r="DK34" s="9" t="n">
        <v>40.254</v>
      </c>
      <c r="DL34" s="9" t="n">
        <v>46.614714</v>
      </c>
      <c r="DM34" s="9" t="n">
        <v>13.4947462084719</v>
      </c>
      <c r="DN34" s="9" t="n">
        <v>13.4947462084719</v>
      </c>
      <c r="DO34" s="9" t="n">
        <v>0.0397</v>
      </c>
    </row>
    <row r="35" customFormat="false" ht="15" hidden="false" customHeight="false" outlineLevel="0" collapsed="false">
      <c r="A35" s="9" t="s">
        <v>782</v>
      </c>
      <c r="B35" s="9" t="s">
        <v>783</v>
      </c>
      <c r="C35" s="9" t="n">
        <v>0.005</v>
      </c>
      <c r="D35" s="9" t="n">
        <v>0.005</v>
      </c>
      <c r="E35" s="9" t="n">
        <v>0.01</v>
      </c>
      <c r="F35" s="9" t="n">
        <v>0.005</v>
      </c>
      <c r="G35" s="9" t="n">
        <v>0.005</v>
      </c>
      <c r="H35" s="9" t="n">
        <v>0.01</v>
      </c>
      <c r="I35" s="9" t="n">
        <v>0.005</v>
      </c>
      <c r="J35" s="9" t="n">
        <v>0.005</v>
      </c>
      <c r="K35" s="9" t="n">
        <v>0.01</v>
      </c>
      <c r="L35" s="9" t="n">
        <v>0.01</v>
      </c>
      <c r="M35" s="9" t="n">
        <v>0.005</v>
      </c>
      <c r="N35" s="9" t="n">
        <v>1.195574</v>
      </c>
      <c r="O35" s="9" t="n">
        <v>0.379918</v>
      </c>
      <c r="P35" s="9" t="n">
        <v>33.141697</v>
      </c>
      <c r="Q35" s="9" t="n">
        <v>16.1725949110328</v>
      </c>
      <c r="R35" s="9" t="n">
        <v>1.5648958213587</v>
      </c>
      <c r="S35" s="9" t="n">
        <v>1.71557636598777</v>
      </c>
      <c r="T35" s="9" t="n">
        <v>2.12605361404702</v>
      </c>
      <c r="U35" s="9" t="n">
        <v>0.09778</v>
      </c>
      <c r="V35" s="9" t="n">
        <v>0.046421</v>
      </c>
      <c r="W35" s="9" t="n">
        <v>0.073357</v>
      </c>
      <c r="X35" s="9" t="n">
        <v>1.02499532345298</v>
      </c>
      <c r="Y35" s="9" t="n">
        <v>1.02499532345298</v>
      </c>
      <c r="Z35" s="9" t="n">
        <v>10.11</v>
      </c>
      <c r="AA35" s="9" t="n">
        <v>12.14</v>
      </c>
      <c r="AB35" s="9" t="n">
        <v>5.88</v>
      </c>
      <c r="AC35" s="9" t="n">
        <v>2.4</v>
      </c>
      <c r="AD35" s="9" t="n">
        <v>0.03518492</v>
      </c>
      <c r="AE35" s="9" t="n">
        <v>93.038</v>
      </c>
      <c r="AF35" s="9" t="n">
        <v>11.2676631443397</v>
      </c>
      <c r="AG35" s="9" t="n">
        <v>11.1361260024</v>
      </c>
      <c r="AH35" s="9" t="n">
        <v>10.969084112364</v>
      </c>
      <c r="AI35" s="9" t="n">
        <v>10.7634137852572</v>
      </c>
      <c r="AJ35" s="9" t="n">
        <v>169.991992098538</v>
      </c>
      <c r="AK35" s="9" t="n">
        <v>1.92463770713748</v>
      </c>
      <c r="AL35" s="9" t="n">
        <v>1.9022055912</v>
      </c>
      <c r="AM35" s="9" t="n">
        <v>1.873672507332</v>
      </c>
      <c r="AN35" s="9" t="n">
        <v>1.83854114781953</v>
      </c>
      <c r="AO35" s="9" t="n">
        <v>220.166665471246</v>
      </c>
      <c r="AP35" s="9" t="n">
        <v>209.64525054</v>
      </c>
      <c r="AQ35" s="9" t="n">
        <v>206.5005717819</v>
      </c>
      <c r="AR35" s="9" t="n">
        <v>202.628686060989</v>
      </c>
      <c r="AS35" s="9" t="n">
        <v>235.22506413327</v>
      </c>
      <c r="AT35" s="9" t="n">
        <v>220.8982517388</v>
      </c>
      <c r="AU35" s="9" t="n">
        <v>217.50789035551</v>
      </c>
      <c r="AV35" s="9" t="n">
        <v>253.673632902914</v>
      </c>
      <c r="AW35" s="9" t="n">
        <v>57.3762494447531</v>
      </c>
      <c r="AX35" s="9" t="n">
        <v>53.85543642</v>
      </c>
      <c r="AY35" s="9" t="n">
        <v>53.0298305955022</v>
      </c>
      <c r="AZ35" s="9" t="n">
        <v>61.8994749240593</v>
      </c>
      <c r="BA35" s="9" t="n">
        <v>163.325002264694</v>
      </c>
      <c r="BB35" s="9" t="n">
        <v>137.423489459161</v>
      </c>
      <c r="BC35" s="9" t="n">
        <v>179.092164177586</v>
      </c>
      <c r="BD35" s="9" t="n">
        <v>152.780020253973</v>
      </c>
      <c r="BE35" s="9" t="n">
        <v>19.3208714725074</v>
      </c>
      <c r="BF35" s="9" t="n">
        <v>18.6855803273731</v>
      </c>
      <c r="BG35" s="9" t="n">
        <v>18.4052966224625</v>
      </c>
      <c r="BH35" s="9" t="n">
        <v>18.0601973107913</v>
      </c>
      <c r="BI35" s="9" t="n">
        <v>44.901556179675</v>
      </c>
      <c r="BJ35" s="9" t="n">
        <v>44.6697932107986</v>
      </c>
      <c r="BK35" s="9" t="n">
        <v>43.9997463126366</v>
      </c>
      <c r="BL35" s="9" t="n">
        <v>43.1747510692747</v>
      </c>
      <c r="BM35" s="9" t="n">
        <v>51.3852894305453</v>
      </c>
      <c r="BN35" s="9" t="n">
        <v>51.9644640132</v>
      </c>
      <c r="BO35" s="9" t="n">
        <v>51.184997053002</v>
      </c>
      <c r="BP35" s="9" t="n">
        <v>50.2252783582582</v>
      </c>
      <c r="BQ35" s="9" t="n">
        <v>63.7529095706023</v>
      </c>
      <c r="BR35" s="9" t="n">
        <v>28.749240721123</v>
      </c>
      <c r="BS35" s="9" t="n">
        <v>28.7180273844</v>
      </c>
      <c r="BT35" s="9" t="n">
        <v>28.287256973634</v>
      </c>
      <c r="BU35" s="9" t="n">
        <v>27.7568709053784</v>
      </c>
      <c r="BV35" s="9" t="n">
        <v>304.402293517839</v>
      </c>
      <c r="BW35" s="9" t="n">
        <v>237.628621720216</v>
      </c>
      <c r="BX35" s="9" t="n">
        <v>292.38313928124</v>
      </c>
      <c r="BY35" s="9" t="n">
        <v>289.447106582281</v>
      </c>
      <c r="BZ35" s="9" t="n">
        <v>81.2781426605619</v>
      </c>
      <c r="CA35" s="9" t="n">
        <v>3.68185090306117</v>
      </c>
      <c r="CB35" s="9" t="n">
        <v>2.292</v>
      </c>
      <c r="CC35" s="9" t="n">
        <v>2.396</v>
      </c>
      <c r="CD35" s="9" t="n">
        <v>330.21</v>
      </c>
      <c r="CE35" s="9" t="n">
        <v>24.98</v>
      </c>
      <c r="CF35" s="9" t="n">
        <v>15.72</v>
      </c>
      <c r="CG35" s="9" t="n">
        <v>29.76</v>
      </c>
      <c r="CH35" s="9" t="n">
        <v>13.54</v>
      </c>
      <c r="CI35" s="9" t="n">
        <v>0.5</v>
      </c>
      <c r="CJ35" s="9" t="n">
        <v>22.18</v>
      </c>
      <c r="CK35" s="9" t="n">
        <v>88.5</v>
      </c>
      <c r="CL35" s="9" t="n">
        <v>11.58</v>
      </c>
      <c r="CM35" s="9" t="n">
        <v>138.572</v>
      </c>
      <c r="CN35" s="9" t="n">
        <v>81.712</v>
      </c>
      <c r="CO35" s="9" t="n">
        <v>3</v>
      </c>
      <c r="CP35" s="9" t="n">
        <v>4</v>
      </c>
      <c r="CQ35" s="9" t="n">
        <v>0.5</v>
      </c>
      <c r="CR35" s="9" t="n">
        <v>0.3</v>
      </c>
      <c r="CS35" s="9" t="n">
        <v>0.6</v>
      </c>
      <c r="CT35" s="9" t="n">
        <v>0.8</v>
      </c>
      <c r="CU35" s="9" t="n">
        <v>0.8</v>
      </c>
      <c r="CV35" s="9" t="n">
        <v>0.7</v>
      </c>
      <c r="CW35" s="9" t="n">
        <v>0.5</v>
      </c>
      <c r="CX35" s="9" t="n">
        <v>0.5</v>
      </c>
      <c r="CY35" s="9" t="n">
        <v>1</v>
      </c>
      <c r="CZ35" s="9" t="n">
        <v>0.3</v>
      </c>
      <c r="DA35" s="9" t="n">
        <v>0.8</v>
      </c>
      <c r="DB35" s="9" t="n">
        <v>0.486299493686545</v>
      </c>
      <c r="DC35" s="9" t="n">
        <v>8.794</v>
      </c>
      <c r="DD35" s="9" t="n">
        <v>3.853</v>
      </c>
      <c r="DE35" s="9" t="n">
        <v>14.4109</v>
      </c>
      <c r="DF35" s="9" t="n">
        <v>18.2985527088078</v>
      </c>
      <c r="DG35" s="9" t="n">
        <v>25.7256702509084</v>
      </c>
      <c r="DH35" s="9" t="n">
        <v>17.4934694938459</v>
      </c>
      <c r="DI35" s="9" t="n">
        <v>23.1379056019208</v>
      </c>
      <c r="DJ35" s="9" t="n">
        <v>13.977</v>
      </c>
      <c r="DK35" s="9" t="n">
        <v>13.977</v>
      </c>
      <c r="DL35" s="9" t="n">
        <v>38.95346</v>
      </c>
      <c r="DM35" s="9" t="n">
        <v>13.4947462084719</v>
      </c>
      <c r="DN35" s="9" t="n">
        <v>13.4947462084719</v>
      </c>
      <c r="DO35" s="9" t="n">
        <v>0.0603</v>
      </c>
    </row>
    <row r="36" customFormat="false" ht="15" hidden="false" customHeight="false" outlineLevel="0" collapsed="false">
      <c r="A36" s="9" t="s">
        <v>696</v>
      </c>
      <c r="B36" s="9" t="s">
        <v>697</v>
      </c>
      <c r="C36" s="9" t="n">
        <v>0.005</v>
      </c>
      <c r="D36" s="9" t="n">
        <v>0.005</v>
      </c>
      <c r="E36" s="9" t="n">
        <v>0.01</v>
      </c>
      <c r="F36" s="9" t="n">
        <v>0.005</v>
      </c>
      <c r="G36" s="9" t="n">
        <v>0.005</v>
      </c>
      <c r="H36" s="9" t="n">
        <v>0.01</v>
      </c>
      <c r="I36" s="9" t="n">
        <v>0.005</v>
      </c>
      <c r="J36" s="9" t="n">
        <v>0.005</v>
      </c>
      <c r="K36" s="9" t="n">
        <v>0.01</v>
      </c>
      <c r="L36" s="9" t="n">
        <v>0.01</v>
      </c>
      <c r="M36" s="9" t="n">
        <v>0.005</v>
      </c>
      <c r="N36" s="9" t="n">
        <v>16.889941</v>
      </c>
      <c r="O36" s="9" t="n">
        <v>9.186285</v>
      </c>
      <c r="P36" s="9" t="n">
        <v>133.217277</v>
      </c>
      <c r="Q36" s="9" t="n">
        <v>48.2655270022756</v>
      </c>
      <c r="R36" s="9" t="n">
        <v>6.86547855374389</v>
      </c>
      <c r="S36" s="9" t="n">
        <v>33.030004145607</v>
      </c>
      <c r="T36" s="9" t="n">
        <v>20.3525732704306</v>
      </c>
      <c r="U36" s="9" t="n">
        <v>4.125949</v>
      </c>
      <c r="V36" s="9" t="n">
        <v>3.78587</v>
      </c>
      <c r="W36" s="9" t="n">
        <v>0.652311</v>
      </c>
      <c r="X36" s="9" t="n">
        <v>20.7207460838047</v>
      </c>
      <c r="Y36" s="9" t="n">
        <v>20.7207460838047</v>
      </c>
      <c r="Z36" s="9" t="n">
        <v>1420.37</v>
      </c>
      <c r="AA36" s="9" t="n">
        <v>1202.18</v>
      </c>
      <c r="AB36" s="9" t="n">
        <v>640.63</v>
      </c>
      <c r="AC36" s="9" t="n">
        <v>3.9</v>
      </c>
      <c r="AD36" s="9" t="n">
        <v>826.153816148531</v>
      </c>
      <c r="AE36" s="9" t="n">
        <v>13206.767</v>
      </c>
      <c r="AF36" s="9" t="n">
        <v>21743.8407102295</v>
      </c>
      <c r="AG36" s="9" t="n">
        <v>19354.5683776584</v>
      </c>
      <c r="AH36" s="9" t="n">
        <v>20327.5277609677</v>
      </c>
      <c r="AI36" s="9" t="n">
        <v>20980.912581856</v>
      </c>
      <c r="AJ36" s="9" t="n">
        <v>57938.197589929</v>
      </c>
      <c r="AK36" s="9" t="n">
        <v>2626.09005012589</v>
      </c>
      <c r="AL36" s="9" t="n">
        <v>2362.9506555024</v>
      </c>
      <c r="AM36" s="9" t="n">
        <v>2481.73682358982</v>
      </c>
      <c r="AN36" s="9" t="n">
        <v>2561.50693577663</v>
      </c>
      <c r="AO36" s="9" t="n">
        <v>5247.96132712881</v>
      </c>
      <c r="AP36" s="9" t="n">
        <v>4654.05887871</v>
      </c>
      <c r="AQ36" s="9" t="n">
        <v>4888.0196763965</v>
      </c>
      <c r="AR36" s="9" t="n">
        <v>5045.13459456639</v>
      </c>
      <c r="AS36" s="9" t="n">
        <v>27061.6423321835</v>
      </c>
      <c r="AT36" s="9" t="n">
        <v>21694.2973153992</v>
      </c>
      <c r="AU36" s="9" t="n">
        <v>22762.0761567445</v>
      </c>
      <c r="AV36" s="9" t="n">
        <v>25455.7541695385</v>
      </c>
      <c r="AW36" s="9" t="n">
        <v>5513.45536174728</v>
      </c>
      <c r="AX36" s="9" t="n">
        <v>4420.4040006876</v>
      </c>
      <c r="AY36" s="9" t="n">
        <v>4637.5163904648</v>
      </c>
      <c r="AZ36" s="9" t="n">
        <v>5186.34028768557</v>
      </c>
      <c r="BA36" s="9" t="n">
        <v>7137.69477389952</v>
      </c>
      <c r="BB36" s="9" t="n">
        <v>7150.17644868624</v>
      </c>
      <c r="BC36" s="9" t="n">
        <v>5734.46326218971</v>
      </c>
      <c r="BD36" s="9" t="n">
        <v>6772.87246243969</v>
      </c>
      <c r="BE36" s="9" t="n">
        <v>20.3674171545092</v>
      </c>
      <c r="BF36" s="9" t="n">
        <v>17.9445637754528</v>
      </c>
      <c r="BG36" s="9" t="n">
        <v>18.8466418463269</v>
      </c>
      <c r="BH36" s="9" t="n">
        <v>19.452426762816</v>
      </c>
      <c r="BI36" s="9" t="n">
        <v>1648.28096110898</v>
      </c>
      <c r="BJ36" s="9" t="n">
        <v>1466.09747996415</v>
      </c>
      <c r="BK36" s="9" t="n">
        <v>1539.79859652451</v>
      </c>
      <c r="BL36" s="9" t="n">
        <v>1589.29212284137</v>
      </c>
      <c r="BM36" s="9" t="n">
        <v>7955.45314344896</v>
      </c>
      <c r="BN36" s="9" t="n">
        <v>7116.175781118</v>
      </c>
      <c r="BO36" s="9" t="n">
        <v>7473.90786092555</v>
      </c>
      <c r="BP36" s="9" t="n">
        <v>7714.14061359816</v>
      </c>
      <c r="BQ36" s="9" t="n">
        <v>1105.04681901245</v>
      </c>
      <c r="BR36" s="9" t="n">
        <v>3256.32995222854</v>
      </c>
      <c r="BS36" s="9" t="n">
        <v>2934.3191233176</v>
      </c>
      <c r="BT36" s="9" t="n">
        <v>3081.828138706</v>
      </c>
      <c r="BU36" s="9" t="n">
        <v>3180.88690030726</v>
      </c>
      <c r="BV36" s="9" t="n">
        <v>10980.1701366423</v>
      </c>
      <c r="BW36" s="9" t="n">
        <v>9708.10705591187</v>
      </c>
      <c r="BX36" s="9" t="n">
        <v>10198.3071412507</v>
      </c>
      <c r="BY36" s="9" t="n">
        <v>10534.1501724548</v>
      </c>
      <c r="BZ36" s="9" t="n">
        <v>9048.6382483141</v>
      </c>
      <c r="CA36" s="9" t="n">
        <v>2.22805209771183</v>
      </c>
      <c r="CB36" s="9" t="n">
        <v>4.959</v>
      </c>
      <c r="CC36" s="9" t="n">
        <v>4.413</v>
      </c>
      <c r="CD36" s="9" t="n">
        <v>18945.112</v>
      </c>
      <c r="CE36" s="9" t="n">
        <v>2088.69</v>
      </c>
      <c r="CF36" s="9" t="n">
        <v>5772.37</v>
      </c>
      <c r="CG36" s="9" t="n">
        <v>6178.97</v>
      </c>
      <c r="CH36" s="9" t="n">
        <v>317.89</v>
      </c>
      <c r="CI36" s="9" t="n">
        <v>88.71</v>
      </c>
      <c r="CJ36" s="9" t="n">
        <v>1174.94</v>
      </c>
      <c r="CK36" s="9" t="n">
        <v>10578.05</v>
      </c>
      <c r="CL36" s="9" t="n">
        <v>1135.45</v>
      </c>
      <c r="CM36" s="9" t="n">
        <v>16257.103</v>
      </c>
      <c r="CN36" s="9" t="n">
        <v>15609.747</v>
      </c>
      <c r="CO36" s="9" t="n">
        <v>2</v>
      </c>
      <c r="CP36" s="9" t="n">
        <v>3</v>
      </c>
      <c r="CQ36" s="9" t="n">
        <v>0.5</v>
      </c>
      <c r="CR36" s="9" t="n">
        <v>0.3</v>
      </c>
      <c r="CS36" s="9" t="n">
        <v>0.6</v>
      </c>
      <c r="CT36" s="9" t="n">
        <v>0.8</v>
      </c>
      <c r="CU36" s="9" t="n">
        <v>0.8</v>
      </c>
      <c r="CV36" s="9" t="n">
        <v>0.7</v>
      </c>
      <c r="CW36" s="9" t="n">
        <v>0.5</v>
      </c>
      <c r="CX36" s="9" t="n">
        <v>0.5</v>
      </c>
      <c r="CY36" s="9" t="n">
        <v>1</v>
      </c>
      <c r="CZ36" s="9" t="n">
        <v>0.3</v>
      </c>
      <c r="DA36" s="9" t="n">
        <v>0.8</v>
      </c>
      <c r="DB36" s="9" t="n">
        <v>0.495821397944268</v>
      </c>
      <c r="DC36" s="9" t="n">
        <v>7.656</v>
      </c>
      <c r="DD36" s="9" t="n">
        <v>4.109</v>
      </c>
      <c r="DE36" s="9" t="n">
        <v>2.21593</v>
      </c>
      <c r="DF36" s="9" t="n">
        <v>19.739301502419</v>
      </c>
      <c r="DG36" s="9" t="n">
        <v>22.7312527916993</v>
      </c>
      <c r="DH36" s="9" t="n">
        <v>17.299450233728</v>
      </c>
      <c r="DI36" s="9" t="n">
        <v>23.1412803517689</v>
      </c>
      <c r="DJ36" s="9" t="n">
        <v>13.283</v>
      </c>
      <c r="DK36" s="9" t="n">
        <v>13.283</v>
      </c>
      <c r="DL36" s="9" t="n">
        <v>18.25741</v>
      </c>
      <c r="DM36" s="9" t="n">
        <v>14.1151698941595</v>
      </c>
      <c r="DN36" s="9" t="n">
        <v>14.1151698941595</v>
      </c>
      <c r="DO36" s="9" t="n">
        <v>0.0388999999999999</v>
      </c>
    </row>
    <row r="37" customFormat="false" ht="15" hidden="false" customHeight="false" outlineLevel="0" collapsed="false">
      <c r="A37" s="9" t="s">
        <v>836</v>
      </c>
      <c r="B37" s="9" t="s">
        <v>837</v>
      </c>
      <c r="C37" s="9" t="n">
        <v>0.005</v>
      </c>
      <c r="D37" s="9" t="n">
        <v>0.005</v>
      </c>
      <c r="E37" s="9" t="n">
        <v>0.01</v>
      </c>
      <c r="F37" s="9" t="n">
        <v>0.005</v>
      </c>
      <c r="G37" s="9" t="n">
        <v>0.005</v>
      </c>
      <c r="H37" s="9" t="n">
        <v>0.01</v>
      </c>
      <c r="I37" s="9" t="n">
        <v>0.005</v>
      </c>
      <c r="J37" s="9" t="n">
        <v>0.005</v>
      </c>
      <c r="K37" s="9" t="n">
        <v>0.01</v>
      </c>
      <c r="L37" s="9" t="n">
        <v>0.01</v>
      </c>
      <c r="M37" s="9" t="n">
        <v>0.005</v>
      </c>
      <c r="N37" s="9" t="n">
        <v>0.095431</v>
      </c>
      <c r="O37" s="9" t="n">
        <v>0.256046</v>
      </c>
      <c r="P37" s="9" t="n">
        <v>3.733767</v>
      </c>
      <c r="Q37" s="9" t="n">
        <v>3.90546341230598</v>
      </c>
      <c r="R37" s="9" t="n">
        <v>0.962260514376144</v>
      </c>
      <c r="S37" s="9" t="n">
        <v>0.482981861068993</v>
      </c>
      <c r="T37" s="9" t="n">
        <v>0.151398260424848</v>
      </c>
      <c r="U37" s="9" t="n">
        <v>0.004239</v>
      </c>
      <c r="V37" s="9" t="n">
        <v>0.007846</v>
      </c>
      <c r="W37" s="9" t="n">
        <v>0.006568</v>
      </c>
      <c r="X37" s="9" t="n">
        <v>0.183820403104534</v>
      </c>
      <c r="Y37" s="9" t="n">
        <v>0.183820403104534</v>
      </c>
      <c r="Z37" s="9" t="n">
        <v>1.67</v>
      </c>
      <c r="AA37" s="9" t="n">
        <v>0.04</v>
      </c>
      <c r="AB37" s="9" t="n">
        <v>0</v>
      </c>
      <c r="AC37" s="9" t="n">
        <v>0</v>
      </c>
      <c r="AD37" s="9" t="n">
        <v>0</v>
      </c>
      <c r="AE37" s="9" t="n">
        <v>13.981</v>
      </c>
      <c r="AF37" s="9" t="n">
        <v>0</v>
      </c>
      <c r="AG37" s="9" t="n">
        <v>0</v>
      </c>
      <c r="AH37" s="9" t="n">
        <v>0</v>
      </c>
      <c r="AI37" s="9" t="n">
        <v>0</v>
      </c>
      <c r="AJ37" s="9" t="n">
        <v>0</v>
      </c>
      <c r="AK37" s="9" t="n">
        <v>0</v>
      </c>
      <c r="AL37" s="9" t="n">
        <v>0</v>
      </c>
      <c r="AM37" s="9" t="n">
        <v>0</v>
      </c>
      <c r="AN37" s="9" t="n">
        <v>0</v>
      </c>
      <c r="AO37" s="9" t="n">
        <v>47.9464454624164</v>
      </c>
      <c r="AP37" s="9" t="n">
        <v>49.93528032</v>
      </c>
      <c r="AQ37" s="9" t="n">
        <v>50.212698544</v>
      </c>
      <c r="AR37" s="9" t="n">
        <v>47.0652196352664</v>
      </c>
      <c r="AS37" s="9" t="n">
        <v>18.4666237257445</v>
      </c>
      <c r="AT37" s="9" t="n">
        <v>15.0972993504</v>
      </c>
      <c r="AU37" s="9" t="n">
        <v>16.1903583531573</v>
      </c>
      <c r="AV37" s="9" t="n">
        <v>17.5957490264977</v>
      </c>
      <c r="AW37" s="9" t="n">
        <v>21.071483051288</v>
      </c>
      <c r="AX37" s="9" t="n">
        <v>17.3611565388</v>
      </c>
      <c r="AY37" s="9" t="n">
        <v>18.4741329384009</v>
      </c>
      <c r="AZ37" s="9" t="n">
        <v>20.077764776767</v>
      </c>
      <c r="BA37" s="9" t="n">
        <v>42.4873072891508</v>
      </c>
      <c r="BB37" s="9" t="n">
        <v>41.3849737191179</v>
      </c>
      <c r="BC37" s="9" t="n">
        <v>46.83927256</v>
      </c>
      <c r="BD37" s="9" t="n">
        <v>41.3824286858526</v>
      </c>
      <c r="BE37" s="9" t="n">
        <v>0.79690479200547</v>
      </c>
      <c r="BF37" s="9" t="n">
        <v>0.821671569999999</v>
      </c>
      <c r="BG37" s="9" t="n">
        <v>0.826236412055554</v>
      </c>
      <c r="BH37" s="9" t="n">
        <v>0.774445495494999</v>
      </c>
      <c r="BI37" s="9" t="n">
        <v>21.3276168488502</v>
      </c>
      <c r="BJ37" s="9" t="n">
        <v>21.52280233</v>
      </c>
      <c r="BK37" s="9" t="n">
        <v>21.6423734540555</v>
      </c>
      <c r="BL37" s="9" t="n">
        <v>20.2857661424233</v>
      </c>
      <c r="BM37" s="9" t="n">
        <v>10.8406824683056</v>
      </c>
      <c r="BN37" s="9" t="n">
        <v>10.7542521612</v>
      </c>
      <c r="BO37" s="9" t="n">
        <v>10.81399800654</v>
      </c>
      <c r="BP37" s="9" t="n">
        <v>10.1361449607642</v>
      </c>
      <c r="BQ37" s="9" t="n">
        <v>72.9097192925093</v>
      </c>
      <c r="BR37" s="9" t="n">
        <v>6.74610866836627</v>
      </c>
      <c r="BS37" s="9" t="n">
        <v>6.6923234712</v>
      </c>
      <c r="BT37" s="9" t="n">
        <v>6.72950304604</v>
      </c>
      <c r="BU37" s="9" t="n">
        <v>6.30767809900774</v>
      </c>
      <c r="BV37" s="9" t="n">
        <v>22.1410166685616</v>
      </c>
      <c r="BW37" s="9" t="n">
        <v>27.4113522012702</v>
      </c>
      <c r="BX37" s="9" t="n">
        <v>23.2125840820865</v>
      </c>
      <c r="BY37" s="9" t="n">
        <v>21.7602715617202</v>
      </c>
      <c r="BZ37" s="9" t="n">
        <v>10.9828074380646</v>
      </c>
      <c r="CA37" s="9" t="n">
        <v>1.67967022274118</v>
      </c>
      <c r="CB37" s="9" t="n">
        <v>6.5</v>
      </c>
      <c r="CC37" s="9" t="n">
        <v>6.2</v>
      </c>
      <c r="CD37" s="9" t="n">
        <v>87.132</v>
      </c>
      <c r="CE37" s="9" t="n">
        <v>3.1</v>
      </c>
      <c r="CF37" s="9" t="n">
        <v>0</v>
      </c>
      <c r="CG37" s="9" t="n">
        <v>7.67</v>
      </c>
      <c r="CH37" s="9" t="n">
        <v>7.65</v>
      </c>
      <c r="CI37" s="9" t="n">
        <v>0.02</v>
      </c>
      <c r="CJ37" s="9" t="n">
        <v>0.02</v>
      </c>
      <c r="CK37" s="9" t="n">
        <v>10.79</v>
      </c>
      <c r="CL37" s="9" t="n">
        <v>0</v>
      </c>
      <c r="CM37" s="9" t="n">
        <v>36.553</v>
      </c>
      <c r="CN37" s="9" t="n">
        <v>36.553</v>
      </c>
      <c r="CO37" s="9" t="n">
        <v>3</v>
      </c>
      <c r="CP37" s="9" t="n">
        <v>2</v>
      </c>
      <c r="CQ37" s="9" t="n">
        <v>0.5</v>
      </c>
      <c r="CR37" s="9" t="n">
        <v>0.3</v>
      </c>
      <c r="CS37" s="9" t="n">
        <v>0.6</v>
      </c>
      <c r="CT37" s="9" t="n">
        <v>0.8</v>
      </c>
      <c r="CU37" s="9" t="n">
        <v>0.8</v>
      </c>
      <c r="CV37" s="9" t="n">
        <v>0.7</v>
      </c>
      <c r="CW37" s="9" t="n">
        <v>0.5</v>
      </c>
      <c r="CX37" s="9" t="n">
        <v>0.5</v>
      </c>
      <c r="CY37" s="9" t="n">
        <v>1</v>
      </c>
      <c r="CZ37" s="9" t="n">
        <v>0.3</v>
      </c>
      <c r="DA37" s="9" t="n">
        <v>0.8</v>
      </c>
      <c r="DB37" s="9" t="n">
        <v>0.355255110777686</v>
      </c>
      <c r="DC37" s="9" t="n">
        <v>7.124</v>
      </c>
      <c r="DD37" s="9" t="n">
        <v>5.575</v>
      </c>
      <c r="DE37" s="9" t="n">
        <v>14.38774</v>
      </c>
      <c r="DF37" s="9" t="n">
        <v>17.0357893336916</v>
      </c>
      <c r="DG37" s="9" t="n">
        <v>24.430264565879</v>
      </c>
      <c r="DH37" s="9" t="n">
        <v>18.474215131214</v>
      </c>
      <c r="DI37" s="9" t="n">
        <v>23.065173924161</v>
      </c>
      <c r="DJ37" s="9" t="n">
        <v>9.011</v>
      </c>
      <c r="DK37" s="9" t="n">
        <v>6.224</v>
      </c>
      <c r="DL37" s="9" t="n">
        <v>15.31758</v>
      </c>
      <c r="DM37" s="9" t="n">
        <v>13.4947462084719</v>
      </c>
      <c r="DN37" s="9" t="n">
        <v>13.4947462084719</v>
      </c>
      <c r="DO37" s="9" t="n">
        <v>0.105</v>
      </c>
    </row>
    <row r="38" customFormat="false" ht="15" hidden="false" customHeight="false" outlineLevel="0" collapsed="false">
      <c r="A38" s="9" t="s">
        <v>880</v>
      </c>
      <c r="B38" s="9" t="s">
        <v>881</v>
      </c>
      <c r="C38" s="9" t="n">
        <v>0.005</v>
      </c>
      <c r="D38" s="9" t="n">
        <v>0.005</v>
      </c>
      <c r="E38" s="9" t="n">
        <v>0.01</v>
      </c>
      <c r="F38" s="9" t="n">
        <v>0.005</v>
      </c>
      <c r="G38" s="9" t="n">
        <v>0.005</v>
      </c>
      <c r="H38" s="9" t="n">
        <v>0.01</v>
      </c>
      <c r="I38" s="9" t="n">
        <v>0.005</v>
      </c>
      <c r="J38" s="9" t="n">
        <v>0.005</v>
      </c>
      <c r="K38" s="9" t="n">
        <v>0.01</v>
      </c>
      <c r="L38" s="9" t="n">
        <v>0.01</v>
      </c>
      <c r="M38" s="9" t="n">
        <v>0.005</v>
      </c>
      <c r="N38" s="9" t="n">
        <v>0.075885</v>
      </c>
      <c r="O38" s="9" t="n">
        <v>0.237828</v>
      </c>
      <c r="P38" s="9" t="n">
        <v>2.854809</v>
      </c>
      <c r="Q38" s="9" t="n">
        <v>1.6207183821828</v>
      </c>
      <c r="R38" s="9" t="n">
        <v>0.483475141651039</v>
      </c>
      <c r="S38" s="9" t="n">
        <v>0.309916892970938</v>
      </c>
      <c r="T38" s="9" t="n">
        <v>0.0925534843386338</v>
      </c>
      <c r="U38" s="9" t="n">
        <v>0.003342</v>
      </c>
      <c r="V38" s="9" t="n">
        <v>0.002314</v>
      </c>
      <c r="W38" s="9" t="n">
        <v>0.005478</v>
      </c>
      <c r="X38" s="9" t="n">
        <v>0.763589320818755</v>
      </c>
      <c r="Y38" s="9" t="n">
        <v>0.763589320818755</v>
      </c>
      <c r="Z38" s="9" t="n">
        <v>0.37</v>
      </c>
      <c r="AA38" s="9" t="n">
        <v>0.09</v>
      </c>
      <c r="AB38" s="9" t="n">
        <v>0</v>
      </c>
      <c r="AC38" s="9" t="n">
        <v>4</v>
      </c>
      <c r="AD38" s="9" t="n">
        <v>0</v>
      </c>
      <c r="AE38" s="9" t="n">
        <v>8.32</v>
      </c>
      <c r="AF38" s="9" t="n">
        <v>0</v>
      </c>
      <c r="AG38" s="9" t="n">
        <v>0</v>
      </c>
      <c r="AH38" s="9" t="n">
        <v>0</v>
      </c>
      <c r="AI38" s="9" t="n">
        <v>0</v>
      </c>
      <c r="AJ38" s="9" t="n">
        <v>0</v>
      </c>
      <c r="AK38" s="9" t="n">
        <v>0</v>
      </c>
      <c r="AL38" s="9" t="n">
        <v>0</v>
      </c>
      <c r="AM38" s="9" t="n">
        <v>0</v>
      </c>
      <c r="AN38" s="9" t="n">
        <v>0</v>
      </c>
      <c r="AO38" s="9" t="n">
        <v>21.7886777037575</v>
      </c>
      <c r="AP38" s="9" t="n">
        <v>25.70324075</v>
      </c>
      <c r="AQ38" s="9" t="n">
        <v>23.8572323258479</v>
      </c>
      <c r="AR38" s="9" t="n">
        <v>22.59514213361</v>
      </c>
      <c r="AS38" s="9" t="n">
        <v>17.5369397882033</v>
      </c>
      <c r="AT38" s="9" t="n">
        <v>20.5404659208</v>
      </c>
      <c r="AU38" s="9" t="n">
        <v>15.8302436291464</v>
      </c>
      <c r="AV38" s="9" t="n">
        <v>16.8626762960272</v>
      </c>
      <c r="AW38" s="9" t="n">
        <v>4.8072144529599</v>
      </c>
      <c r="AX38" s="9" t="n">
        <v>5.5735184016</v>
      </c>
      <c r="AY38" s="9" t="n">
        <v>4.33937601924707</v>
      </c>
      <c r="AZ38" s="9" t="n">
        <v>4.62238578593828</v>
      </c>
      <c r="BA38" s="9" t="n">
        <v>19.8867862962721</v>
      </c>
      <c r="BB38" s="9" t="n">
        <v>21.1543752164228</v>
      </c>
      <c r="BC38" s="9" t="n">
        <v>24.4588736</v>
      </c>
      <c r="BD38" s="9" t="n">
        <v>20.7553199985939</v>
      </c>
      <c r="BE38" s="9" t="n">
        <v>4.33660561984433</v>
      </c>
      <c r="BF38" s="9" t="n">
        <v>4.75534239472829</v>
      </c>
      <c r="BG38" s="9" t="n">
        <v>4.41381339432798</v>
      </c>
      <c r="BH38" s="9" t="n">
        <v>4.18031478395839</v>
      </c>
      <c r="BI38" s="9" t="n">
        <v>3.76821041937836</v>
      </c>
      <c r="BJ38" s="9" t="n">
        <v>4.17050393</v>
      </c>
      <c r="BK38" s="9" t="n">
        <v>3.87097806621414</v>
      </c>
      <c r="BL38" s="9" t="n">
        <v>3.66619641405058</v>
      </c>
      <c r="BM38" s="9" t="n">
        <v>0</v>
      </c>
      <c r="BN38" s="9" t="n">
        <v>0</v>
      </c>
      <c r="BO38" s="9" t="n">
        <v>0</v>
      </c>
      <c r="BP38" s="9" t="n">
        <v>0</v>
      </c>
      <c r="BQ38" s="9" t="n">
        <v>18.8925592841848</v>
      </c>
      <c r="BR38" s="9" t="n">
        <v>0</v>
      </c>
      <c r="BS38" s="9" t="n">
        <v>0</v>
      </c>
      <c r="BT38" s="9" t="n">
        <v>0</v>
      </c>
      <c r="BU38" s="9" t="n">
        <v>0</v>
      </c>
      <c r="BV38" s="9" t="n">
        <v>6.0136144737204</v>
      </c>
      <c r="BW38" s="9" t="n">
        <v>16.4227408350949</v>
      </c>
      <c r="BX38" s="9" t="n">
        <v>6.26298460951316</v>
      </c>
      <c r="BY38" s="9" t="n">
        <v>6.11794373600478</v>
      </c>
      <c r="BZ38" s="9" t="n">
        <v>6.20670951143421</v>
      </c>
      <c r="CA38" s="9" t="n">
        <v>3.41306263368743</v>
      </c>
      <c r="CB38" s="9" t="n">
        <v>3.073</v>
      </c>
      <c r="CC38" s="9" t="n">
        <v>3.344</v>
      </c>
      <c r="CD38" s="9" t="n">
        <v>53.308</v>
      </c>
      <c r="CE38" s="9" t="n">
        <v>5.27</v>
      </c>
      <c r="CF38" s="9" t="n">
        <v>0</v>
      </c>
      <c r="CG38" s="9" t="n">
        <v>1.95</v>
      </c>
      <c r="CH38" s="9" t="n">
        <v>1.6</v>
      </c>
      <c r="CI38" s="9" t="n">
        <v>0.35</v>
      </c>
      <c r="CJ38" s="9" t="n">
        <v>0.04</v>
      </c>
      <c r="CK38" s="9" t="n">
        <v>7.26</v>
      </c>
      <c r="CL38" s="9" t="n">
        <v>0</v>
      </c>
      <c r="CM38" s="9" t="n">
        <v>43.821</v>
      </c>
      <c r="CN38" s="9" t="n">
        <v>78.489</v>
      </c>
      <c r="CO38" s="9" t="n">
        <v>3</v>
      </c>
      <c r="CP38" s="9" t="n">
        <v>2</v>
      </c>
      <c r="CQ38" s="9" t="n">
        <v>0.5</v>
      </c>
      <c r="CR38" s="9" t="n">
        <v>0.3</v>
      </c>
      <c r="CS38" s="9" t="n">
        <v>0.6</v>
      </c>
      <c r="CT38" s="9" t="n">
        <v>0.8</v>
      </c>
      <c r="CU38" s="9" t="n">
        <v>0.8</v>
      </c>
      <c r="CV38" s="9" t="n">
        <v>0.7</v>
      </c>
      <c r="CW38" s="9" t="n">
        <v>0.5</v>
      </c>
      <c r="CX38" s="9" t="n">
        <v>0.5</v>
      </c>
      <c r="CY38" s="9" t="n">
        <v>1</v>
      </c>
      <c r="CZ38" s="9" t="n">
        <v>0.3</v>
      </c>
      <c r="DA38" s="9" t="n">
        <v>0.8</v>
      </c>
      <c r="DB38" s="9" t="n">
        <v>0.327026894385552</v>
      </c>
      <c r="DC38" s="9" t="n">
        <v>7.124</v>
      </c>
      <c r="DD38" s="9" t="n">
        <v>5.575</v>
      </c>
      <c r="DE38" s="9" t="n">
        <v>14.534056</v>
      </c>
      <c r="DF38" s="9" t="n">
        <v>21.4804375577655</v>
      </c>
      <c r="DG38" s="9" t="n">
        <v>24.6787079343455</v>
      </c>
      <c r="DH38" s="9" t="n">
        <v>18.4429029021781</v>
      </c>
      <c r="DI38" s="9" t="n">
        <v>22.6158667116319</v>
      </c>
      <c r="DJ38" s="9" t="n">
        <v>8.922</v>
      </c>
      <c r="DK38" s="9" t="n">
        <v>8.26</v>
      </c>
      <c r="DL38" s="9" t="n">
        <v>15.367264</v>
      </c>
      <c r="DM38" s="9" t="n">
        <v>13.4947462084719</v>
      </c>
      <c r="DN38" s="9" t="n">
        <v>13.4947462084719</v>
      </c>
      <c r="DO38" s="9" t="n">
        <v>0.105</v>
      </c>
    </row>
    <row r="39" customFormat="false" ht="15" hidden="false" customHeight="false" outlineLevel="0" collapsed="false">
      <c r="A39" s="9" t="s">
        <v>850</v>
      </c>
      <c r="B39" s="9" t="s">
        <v>851</v>
      </c>
      <c r="C39" s="9" t="n">
        <v>0.005</v>
      </c>
      <c r="D39" s="9" t="n">
        <v>0.005</v>
      </c>
      <c r="E39" s="9" t="n">
        <v>0.01</v>
      </c>
      <c r="F39" s="9" t="n">
        <v>0.005</v>
      </c>
      <c r="G39" s="9" t="n">
        <v>0.005</v>
      </c>
      <c r="H39" s="9" t="n">
        <v>0.01</v>
      </c>
      <c r="I39" s="9" t="n">
        <v>0.005</v>
      </c>
      <c r="J39" s="9" t="n">
        <v>0.005</v>
      </c>
      <c r="K39" s="9" t="n">
        <v>0.01</v>
      </c>
      <c r="L39" s="9" t="n">
        <v>0.01</v>
      </c>
      <c r="M39" s="9" t="n">
        <v>0.005</v>
      </c>
      <c r="N39" s="9" t="n">
        <v>0.118854</v>
      </c>
      <c r="O39" s="9" t="n">
        <v>0.033911</v>
      </c>
      <c r="P39" s="9" t="n">
        <v>0.309493</v>
      </c>
      <c r="Q39" s="9" t="n">
        <v>0.0686147462983832</v>
      </c>
      <c r="R39" s="9" t="n">
        <v>0.0132114222181806</v>
      </c>
      <c r="S39" s="9" t="n">
        <v>0.025510724671426</v>
      </c>
      <c r="T39" s="9" t="n">
        <v>0.007796835855853</v>
      </c>
      <c r="U39" s="9" t="n">
        <v>0.00087</v>
      </c>
      <c r="V39" s="9" t="n">
        <v>0.000467</v>
      </c>
      <c r="W39" s="9" t="n">
        <v>0.000552</v>
      </c>
      <c r="X39" s="9" t="n">
        <v>0.169886340531481</v>
      </c>
      <c r="Y39" s="9" t="n">
        <v>0.169886340531481</v>
      </c>
      <c r="Z39" s="9" t="n">
        <v>0.42</v>
      </c>
      <c r="AA39" s="9" t="n">
        <v>0.03</v>
      </c>
      <c r="AB39" s="9" t="n">
        <v>0</v>
      </c>
      <c r="AC39" s="9" t="n">
        <v>0</v>
      </c>
      <c r="AD39" s="9" t="n">
        <v>0</v>
      </c>
      <c r="AE39" s="9" t="n">
        <v>3.76</v>
      </c>
      <c r="AF39" s="9" t="n">
        <v>0</v>
      </c>
      <c r="AG39" s="9" t="n">
        <v>0</v>
      </c>
      <c r="AH39" s="9" t="n">
        <v>0</v>
      </c>
      <c r="AI39" s="9" t="n">
        <v>0</v>
      </c>
      <c r="AJ39" s="9" t="n">
        <v>0</v>
      </c>
      <c r="AK39" s="9" t="n">
        <v>0</v>
      </c>
      <c r="AL39" s="9" t="n">
        <v>0</v>
      </c>
      <c r="AM39" s="9" t="n">
        <v>0</v>
      </c>
      <c r="AN39" s="9" t="n">
        <v>0</v>
      </c>
      <c r="AO39" s="9" t="n">
        <v>30.228348172888</v>
      </c>
      <c r="AP39" s="9" t="n">
        <v>29.56612745</v>
      </c>
      <c r="AQ39" s="9" t="n">
        <v>29.0339371559</v>
      </c>
      <c r="AR39" s="9" t="n">
        <v>28.2500208526907</v>
      </c>
      <c r="AS39" s="9" t="n">
        <v>43.4827498208443</v>
      </c>
      <c r="AT39" s="9" t="n">
        <v>37.0382247504</v>
      </c>
      <c r="AU39" s="9" t="n">
        <v>34.3076178561018</v>
      </c>
      <c r="AV39" s="9" t="n">
        <v>38.9647122062108</v>
      </c>
      <c r="AW39" s="9" t="n">
        <v>7.38088385996048</v>
      </c>
      <c r="AX39" s="9" t="n">
        <v>6.2577420048</v>
      </c>
      <c r="AY39" s="9" t="n">
        <v>5.82343514066659</v>
      </c>
      <c r="AZ39" s="9" t="n">
        <v>6.61396824329996</v>
      </c>
      <c r="BA39" s="9" t="n">
        <v>16.7262675865176</v>
      </c>
      <c r="BB39" s="9" t="n">
        <v>15.086021398042</v>
      </c>
      <c r="BC39" s="9" t="n">
        <v>16.81656081</v>
      </c>
      <c r="BD39" s="9" t="n">
        <v>15.3576418338248</v>
      </c>
      <c r="BE39" s="9" t="n">
        <v>1.01597137300207</v>
      </c>
      <c r="BF39" s="9" t="n">
        <v>0.904688039999999</v>
      </c>
      <c r="BG39" s="9" t="n">
        <v>0.888403655279999</v>
      </c>
      <c r="BH39" s="9" t="n">
        <v>0.864416756587439</v>
      </c>
      <c r="BI39" s="9" t="n">
        <v>0</v>
      </c>
      <c r="BJ39" s="9" t="n">
        <v>0</v>
      </c>
      <c r="BK39" s="9" t="n">
        <v>0</v>
      </c>
      <c r="BL39" s="9" t="n">
        <v>0</v>
      </c>
      <c r="BM39" s="9" t="n">
        <v>0</v>
      </c>
      <c r="BN39" s="9" t="n">
        <v>0</v>
      </c>
      <c r="BO39" s="9" t="n">
        <v>0</v>
      </c>
      <c r="BP39" s="9" t="n">
        <v>0</v>
      </c>
      <c r="BQ39" s="9" t="n">
        <v>0</v>
      </c>
      <c r="BR39" s="9" t="n">
        <v>0</v>
      </c>
      <c r="BS39" s="9" t="n">
        <v>0</v>
      </c>
      <c r="BT39" s="9" t="n">
        <v>0</v>
      </c>
      <c r="BU39" s="9" t="n">
        <v>0</v>
      </c>
      <c r="BV39" s="9" t="n">
        <v>0.057161019927161</v>
      </c>
      <c r="BW39" s="9" t="n">
        <v>0.057017430135637</v>
      </c>
      <c r="BX39" s="9" t="n">
        <v>0.0298323380513021</v>
      </c>
      <c r="BY39" s="9" t="n">
        <v>0.0541665469687008</v>
      </c>
      <c r="BZ39" s="9" t="n">
        <v>14.1287871335569</v>
      </c>
      <c r="CA39" s="9" t="n">
        <v>0</v>
      </c>
      <c r="CB39" s="9" t="n">
        <v>5.746</v>
      </c>
      <c r="CC39" s="9" t="n">
        <v>5.901</v>
      </c>
      <c r="CD39" s="9" t="n">
        <v>76.731</v>
      </c>
      <c r="CE39" s="9" t="n">
        <v>13.41</v>
      </c>
      <c r="CF39" s="9" t="n">
        <v>0</v>
      </c>
      <c r="CG39" s="9" t="n">
        <v>0</v>
      </c>
      <c r="CH39" s="9" t="n">
        <v>0</v>
      </c>
      <c r="CI39" s="9" t="n">
        <v>0</v>
      </c>
      <c r="CJ39" s="9" t="n">
        <v>2.51</v>
      </c>
      <c r="CK39" s="9" t="n">
        <v>15.92</v>
      </c>
      <c r="CL39" s="9" t="n">
        <v>0</v>
      </c>
      <c r="CM39" s="9" t="n">
        <v>66.533</v>
      </c>
      <c r="CN39" s="9" t="n">
        <v>669.183</v>
      </c>
      <c r="CO39" s="9" t="n">
        <v>3</v>
      </c>
      <c r="CP39" s="9" t="n">
        <v>1</v>
      </c>
      <c r="CQ39" s="9" t="n">
        <v>0.5</v>
      </c>
      <c r="CR39" s="9" t="n">
        <v>0.3</v>
      </c>
      <c r="CS39" s="9" t="n">
        <v>0.6</v>
      </c>
      <c r="CT39" s="9" t="n">
        <v>0.8</v>
      </c>
      <c r="CU39" s="9" t="n">
        <v>0.8</v>
      </c>
      <c r="CV39" s="9" t="n">
        <v>0.7</v>
      </c>
      <c r="CW39" s="9" t="n">
        <v>0.5</v>
      </c>
      <c r="CX39" s="9" t="n">
        <v>0.5</v>
      </c>
      <c r="CY39" s="9" t="n">
        <v>1</v>
      </c>
      <c r="CZ39" s="9" t="n">
        <v>0.3</v>
      </c>
      <c r="DA39" s="9" t="n">
        <v>0.8</v>
      </c>
      <c r="DB39" s="9" t="n">
        <v>0.385257671915167</v>
      </c>
      <c r="DC39" s="9" t="n">
        <v>7.124</v>
      </c>
      <c r="DD39" s="9" t="n">
        <v>5.575</v>
      </c>
      <c r="DE39" s="9" t="n">
        <v>14.14388</v>
      </c>
      <c r="DF39" s="9" t="n">
        <v>21.170692520939</v>
      </c>
      <c r="DG39" s="9" t="n">
        <v>24.0161922851014</v>
      </c>
      <c r="DH39" s="9" t="n">
        <v>18.1610928408545</v>
      </c>
      <c r="DI39" s="9" t="n">
        <v>19.8993870350877</v>
      </c>
      <c r="DJ39" s="9" t="n">
        <v>6.853</v>
      </c>
      <c r="DK39" s="9" t="n">
        <v>6.191</v>
      </c>
      <c r="DL39" s="9" t="n">
        <v>12.55468</v>
      </c>
      <c r="DM39" s="9" t="n">
        <v>13.4947462084719</v>
      </c>
      <c r="DN39" s="9" t="n">
        <v>13.4947462084719</v>
      </c>
      <c r="DO39" s="9" t="n">
        <v>0.105</v>
      </c>
    </row>
    <row r="40" customFormat="false" ht="15" hidden="false" customHeight="false" outlineLevel="0" collapsed="false">
      <c r="A40" s="9" t="s">
        <v>978</v>
      </c>
      <c r="B40" s="9" t="s">
        <v>979</v>
      </c>
      <c r="C40" s="9" t="n">
        <v>0.005</v>
      </c>
      <c r="D40" s="9" t="n">
        <v>0.005</v>
      </c>
      <c r="E40" s="9" t="n">
        <v>0.01</v>
      </c>
      <c r="F40" s="9" t="n">
        <v>0.005</v>
      </c>
      <c r="G40" s="9" t="n">
        <v>0.005</v>
      </c>
      <c r="H40" s="9" t="n">
        <v>0.01</v>
      </c>
      <c r="I40" s="9" t="n">
        <v>0.005</v>
      </c>
      <c r="J40" s="9" t="n">
        <v>0.005</v>
      </c>
      <c r="K40" s="9" t="n">
        <v>0.01</v>
      </c>
      <c r="L40" s="9" t="n">
        <v>0.01</v>
      </c>
      <c r="M40" s="9" t="n">
        <v>0.005</v>
      </c>
      <c r="N40" s="9" t="n">
        <v>1.003451</v>
      </c>
      <c r="O40" s="9" t="n">
        <v>0.221172</v>
      </c>
      <c r="P40" s="9" t="n">
        <v>2.337487</v>
      </c>
      <c r="Q40" s="9" t="n">
        <v>1.25021484003701</v>
      </c>
      <c r="R40" s="9" t="n">
        <v>0.279241424157</v>
      </c>
      <c r="S40" s="9" t="n">
        <v>0.513605327029707</v>
      </c>
      <c r="T40" s="9" t="n">
        <v>0.159311466965117</v>
      </c>
      <c r="U40" s="9" t="n">
        <v>0.015818</v>
      </c>
      <c r="V40" s="9" t="n">
        <v>0.000992</v>
      </c>
      <c r="W40" s="9" t="n">
        <v>0.004549</v>
      </c>
      <c r="X40" s="9" t="n">
        <v>1.52628805527848</v>
      </c>
      <c r="Y40" s="9" t="n">
        <v>1.52628805527848</v>
      </c>
      <c r="Z40" s="9" t="n">
        <v>0.59</v>
      </c>
      <c r="AA40" s="9" t="n">
        <v>0</v>
      </c>
      <c r="AB40" s="9" t="n">
        <v>0</v>
      </c>
      <c r="AC40" s="9" t="n">
        <v>0</v>
      </c>
      <c r="AD40" s="9" t="n">
        <v>0</v>
      </c>
      <c r="AE40" s="9" t="n">
        <v>7.173</v>
      </c>
      <c r="AF40" s="9" t="n">
        <v>0</v>
      </c>
      <c r="AG40" s="9" t="n">
        <v>0</v>
      </c>
      <c r="AH40" s="9" t="n">
        <v>0</v>
      </c>
      <c r="AI40" s="9" t="n">
        <v>0</v>
      </c>
      <c r="AJ40" s="9" t="n">
        <v>0</v>
      </c>
      <c r="AK40" s="9" t="n">
        <v>0</v>
      </c>
      <c r="AL40" s="9" t="n">
        <v>0</v>
      </c>
      <c r="AM40" s="9" t="n">
        <v>0</v>
      </c>
      <c r="AN40" s="9" t="n">
        <v>0</v>
      </c>
      <c r="AO40" s="9" t="n">
        <v>10.1574481993598</v>
      </c>
      <c r="AP40" s="9" t="n">
        <v>10.08404367</v>
      </c>
      <c r="AQ40" s="9" t="n">
        <v>11.0670801298242</v>
      </c>
      <c r="AR40" s="9" t="n">
        <v>10.7350677259295</v>
      </c>
      <c r="AS40" s="9" t="n">
        <v>3.79650955113231</v>
      </c>
      <c r="AT40" s="9" t="n">
        <v>2.9617297596</v>
      </c>
      <c r="AU40" s="9" t="n">
        <v>3.32947267531646</v>
      </c>
      <c r="AV40" s="9" t="n">
        <v>3.63480842691981</v>
      </c>
      <c r="AW40" s="9" t="n">
        <v>3.39719939420351</v>
      </c>
      <c r="AX40" s="9" t="n">
        <v>2.67191109</v>
      </c>
      <c r="AY40" s="9" t="n">
        <v>2.97928463059673</v>
      </c>
      <c r="AZ40" s="9" t="n">
        <v>3.25250570811679</v>
      </c>
      <c r="BA40" s="9" t="n">
        <v>6.74939305450441</v>
      </c>
      <c r="BB40" s="9" t="n">
        <v>6.9577321919008</v>
      </c>
      <c r="BC40" s="9" t="n">
        <v>6.56574361760755</v>
      </c>
      <c r="BD40" s="9" t="n">
        <v>6.86825983786875</v>
      </c>
      <c r="BE40" s="9" t="n">
        <v>0.75745685376244</v>
      </c>
      <c r="BF40" s="9" t="n">
        <v>0.676606970262737</v>
      </c>
      <c r="BG40" s="9" t="n">
        <v>0.742565562123879</v>
      </c>
      <c r="BH40" s="9" t="n">
        <v>0.720288595260163</v>
      </c>
      <c r="BI40" s="9" t="n">
        <v>0.463767861925302</v>
      </c>
      <c r="BJ40" s="9" t="n">
        <v>0.42611881</v>
      </c>
      <c r="BK40" s="9" t="n">
        <v>0.467658725945931</v>
      </c>
      <c r="BL40" s="9" t="n">
        <v>0.453628964167553</v>
      </c>
      <c r="BM40" s="9" t="n">
        <v>0</v>
      </c>
      <c r="BN40" s="9" t="n">
        <v>0</v>
      </c>
      <c r="BO40" s="9" t="n">
        <v>0</v>
      </c>
      <c r="BP40" s="9" t="n">
        <v>0</v>
      </c>
      <c r="BQ40" s="9" t="n">
        <v>41.1032635479301</v>
      </c>
      <c r="BR40" s="9" t="n">
        <v>0</v>
      </c>
      <c r="BS40" s="9" t="n">
        <v>0</v>
      </c>
      <c r="BT40" s="9" t="n">
        <v>0</v>
      </c>
      <c r="BU40" s="9" t="n">
        <v>0</v>
      </c>
      <c r="BV40" s="9" t="n">
        <v>2.83758015797044</v>
      </c>
      <c r="BW40" s="9" t="n">
        <v>6.33267083362281</v>
      </c>
      <c r="BX40" s="9" t="n">
        <v>2.69770432727238</v>
      </c>
      <c r="BY40" s="9" t="n">
        <v>2.68087903669819</v>
      </c>
      <c r="BZ40" s="9" t="n">
        <v>1.9982524848155</v>
      </c>
      <c r="CA40" s="9" t="n">
        <v>-1.79941712788428</v>
      </c>
      <c r="CB40" s="9" t="n">
        <v>2.367</v>
      </c>
      <c r="CC40" s="9" t="n">
        <v>2.837</v>
      </c>
      <c r="CD40" s="9" t="n">
        <v>14.774</v>
      </c>
      <c r="CE40" s="9" t="n">
        <v>1.13</v>
      </c>
      <c r="CF40" s="9" t="n">
        <v>0</v>
      </c>
      <c r="CG40" s="9" t="n">
        <v>4.32</v>
      </c>
      <c r="CH40" s="9" t="n">
        <v>4.03</v>
      </c>
      <c r="CI40" s="9" t="n">
        <v>0.29</v>
      </c>
      <c r="CJ40" s="9" t="n">
        <v>0.01</v>
      </c>
      <c r="CK40" s="9" t="n">
        <v>5.46</v>
      </c>
      <c r="CL40" s="9" t="n">
        <v>0</v>
      </c>
      <c r="CM40" s="9" t="n">
        <v>26.776</v>
      </c>
      <c r="CN40" s="9" t="n">
        <v>36.275</v>
      </c>
      <c r="CO40" s="9" t="n">
        <v>3</v>
      </c>
      <c r="CP40" s="9" t="n">
        <v>2</v>
      </c>
      <c r="CQ40" s="9" t="n">
        <v>0.5</v>
      </c>
      <c r="CR40" s="9" t="n">
        <v>0.3</v>
      </c>
      <c r="CS40" s="9" t="n">
        <v>0.6</v>
      </c>
      <c r="CT40" s="9" t="n">
        <v>0.8</v>
      </c>
      <c r="CU40" s="9" t="n">
        <v>0.8</v>
      </c>
      <c r="CV40" s="9" t="n">
        <v>0.7</v>
      </c>
      <c r="CW40" s="9" t="n">
        <v>0.5</v>
      </c>
      <c r="CX40" s="9" t="n">
        <v>0.5</v>
      </c>
      <c r="CY40" s="9" t="n">
        <v>1</v>
      </c>
      <c r="CZ40" s="9" t="n">
        <v>0.3</v>
      </c>
      <c r="DA40" s="9" t="n">
        <v>0.8</v>
      </c>
      <c r="DB40" s="9" t="n">
        <v>0.367613028440618</v>
      </c>
      <c r="DC40" s="9" t="n">
        <v>7.124</v>
      </c>
      <c r="DD40" s="9" t="n">
        <v>5.575</v>
      </c>
      <c r="DE40" s="9" t="n">
        <v>14.38774</v>
      </c>
      <c r="DF40" s="9" t="n">
        <v>21.6686387708442</v>
      </c>
      <c r="DG40" s="9" t="n">
        <v>24.0459608793202</v>
      </c>
      <c r="DH40" s="9" t="n">
        <v>18.1927229605405</v>
      </c>
      <c r="DI40" s="9" t="n">
        <v>23.4812767014035</v>
      </c>
      <c r="DJ40" s="9" t="n">
        <v>8.036</v>
      </c>
      <c r="DK40" s="9" t="n">
        <v>7.374</v>
      </c>
      <c r="DL40" s="9" t="n">
        <v>14.16708</v>
      </c>
      <c r="DM40" s="9" t="n">
        <v>13.5837121784088</v>
      </c>
      <c r="DN40" s="9" t="n">
        <v>13.5837121784088</v>
      </c>
      <c r="DO40" s="9" t="n">
        <v>0.105</v>
      </c>
    </row>
    <row r="41" customFormat="false" ht="15" hidden="false" customHeight="false" outlineLevel="0" collapsed="false">
      <c r="A41" s="9" t="s">
        <v>766</v>
      </c>
      <c r="B41" s="9" t="s">
        <v>767</v>
      </c>
      <c r="C41" s="9" t="n">
        <v>0.005</v>
      </c>
      <c r="D41" s="9" t="n">
        <v>0.005</v>
      </c>
      <c r="E41" s="9" t="n">
        <v>0.01</v>
      </c>
      <c r="F41" s="9" t="n">
        <v>0.005</v>
      </c>
      <c r="G41" s="9" t="n">
        <v>0.005</v>
      </c>
      <c r="H41" s="9" t="n">
        <v>0.01</v>
      </c>
      <c r="I41" s="9" t="n">
        <v>0.005</v>
      </c>
      <c r="J41" s="9" t="n">
        <v>0.005</v>
      </c>
      <c r="K41" s="9" t="n">
        <v>0.01</v>
      </c>
      <c r="L41" s="9" t="n">
        <v>0.01</v>
      </c>
      <c r="M41" s="9" t="n">
        <v>0.005</v>
      </c>
      <c r="N41" s="9" t="n">
        <v>26.939491</v>
      </c>
      <c r="O41" s="9" t="n">
        <v>3.661883</v>
      </c>
      <c r="P41" s="9" t="n">
        <v>57.95463</v>
      </c>
      <c r="Q41" s="9" t="n">
        <v>13.0040898035377</v>
      </c>
      <c r="R41" s="9" t="n">
        <v>2.95704228856148</v>
      </c>
      <c r="S41" s="9" t="n">
        <v>7.27776205275895</v>
      </c>
      <c r="T41" s="9" t="n">
        <v>1.66367409463523</v>
      </c>
      <c r="U41" s="9" t="n">
        <v>0.328652</v>
      </c>
      <c r="V41" s="9" t="n">
        <v>0.053637</v>
      </c>
      <c r="W41" s="9" t="n">
        <v>0.138024</v>
      </c>
      <c r="X41" s="9" t="n">
        <v>18.6530872756657</v>
      </c>
      <c r="Y41" s="9" t="n">
        <v>18.6530872756657</v>
      </c>
      <c r="Z41" s="9" t="n">
        <v>7.33</v>
      </c>
      <c r="AA41" s="9" t="n">
        <v>1.73</v>
      </c>
      <c r="AB41" s="9" t="n">
        <v>0.03</v>
      </c>
      <c r="AC41" s="9" t="n">
        <v>2.6</v>
      </c>
      <c r="AD41" s="9" t="n">
        <v>0.015833214</v>
      </c>
      <c r="AE41" s="9" t="n">
        <v>85.273</v>
      </c>
      <c r="AF41" s="9" t="n">
        <v>63.0058495695398</v>
      </c>
      <c r="AG41" s="9" t="n">
        <v>64.3062293172</v>
      </c>
      <c r="AH41" s="9" t="n">
        <v>65.04822427086</v>
      </c>
      <c r="AI41" s="9" t="n">
        <v>63.2468888295131</v>
      </c>
      <c r="AJ41" s="9" t="n">
        <v>193.378900373444</v>
      </c>
      <c r="AK41" s="9" t="n">
        <v>30.4110346395741</v>
      </c>
      <c r="AL41" s="9" t="n">
        <v>31.0309999236</v>
      </c>
      <c r="AM41" s="9" t="n">
        <v>31.3890499227185</v>
      </c>
      <c r="AN41" s="9" t="n">
        <v>30.5198146940893</v>
      </c>
      <c r="AO41" s="9" t="n">
        <v>201.863280148713</v>
      </c>
      <c r="AP41" s="9" t="n">
        <v>213.97041156</v>
      </c>
      <c r="AQ41" s="9" t="n">
        <v>216.439300924154</v>
      </c>
      <c r="AR41" s="9" t="n">
        <v>210.445597206254</v>
      </c>
      <c r="AS41" s="9" t="n">
        <v>109.742760869986</v>
      </c>
      <c r="AT41" s="9" t="n">
        <v>107.477542476</v>
      </c>
      <c r="AU41" s="9" t="n">
        <v>114.076689031976</v>
      </c>
      <c r="AV41" s="9" t="n">
        <v>111.847744978774</v>
      </c>
      <c r="AW41" s="9" t="n">
        <v>142.032398550367</v>
      </c>
      <c r="AX41" s="9" t="n">
        <v>140.2957826496</v>
      </c>
      <c r="AY41" s="9" t="n">
        <v>147.642144521063</v>
      </c>
      <c r="AZ41" s="9" t="n">
        <v>144.759307106131</v>
      </c>
      <c r="BA41" s="9" t="n">
        <v>217.985724759345</v>
      </c>
      <c r="BB41" s="9" t="n">
        <v>253.06893566</v>
      </c>
      <c r="BC41" s="9" t="n">
        <v>284.269192551345</v>
      </c>
      <c r="BD41" s="9" t="n">
        <v>248.900036743565</v>
      </c>
      <c r="BE41" s="9" t="n">
        <v>0.834445223088867</v>
      </c>
      <c r="BF41" s="9" t="n">
        <v>0.869189373910317</v>
      </c>
      <c r="BG41" s="9" t="n">
        <v>0.87921848207082</v>
      </c>
      <c r="BH41" s="9" t="n">
        <v>0.854870893336551</v>
      </c>
      <c r="BI41" s="9" t="n">
        <v>20.9469629689508</v>
      </c>
      <c r="BJ41" s="9" t="n">
        <v>21.91476845</v>
      </c>
      <c r="BK41" s="9" t="n">
        <v>22.1676311628846</v>
      </c>
      <c r="BL41" s="9" t="n">
        <v>21.5537582999124</v>
      </c>
      <c r="BM41" s="9" t="n">
        <v>118.164646887737</v>
      </c>
      <c r="BN41" s="9" t="n">
        <v>120.4347296988</v>
      </c>
      <c r="BO41" s="9" t="n">
        <v>121.824361195325</v>
      </c>
      <c r="BP41" s="9" t="n">
        <v>118.450763500685</v>
      </c>
      <c r="BQ41" s="9" t="n">
        <v>0.703850655049986</v>
      </c>
      <c r="BR41" s="9" t="n">
        <v>75.2699181132348</v>
      </c>
      <c r="BS41" s="9" t="n">
        <v>77.1377539248</v>
      </c>
      <c r="BT41" s="9" t="n">
        <v>78.0278049316246</v>
      </c>
      <c r="BU41" s="9" t="n">
        <v>75.8670349489027</v>
      </c>
      <c r="BV41" s="9" t="n">
        <v>127.240566621332</v>
      </c>
      <c r="BW41" s="9" t="n">
        <v>163.217396511151</v>
      </c>
      <c r="BX41" s="9" t="n">
        <v>139.65795024721</v>
      </c>
      <c r="BY41" s="9" t="n">
        <v>135.159182149137</v>
      </c>
      <c r="BZ41" s="9" t="n">
        <v>69.9375442834314</v>
      </c>
      <c r="CA41" s="9" t="n">
        <v>0.886908321284382</v>
      </c>
      <c r="CB41" s="9" t="n">
        <v>2.642</v>
      </c>
      <c r="CC41" s="9" t="n">
        <v>2.342</v>
      </c>
      <c r="CD41" s="9" t="n">
        <v>420.504</v>
      </c>
      <c r="CE41" s="9" t="n">
        <v>64.81</v>
      </c>
      <c r="CF41" s="9" t="n">
        <v>5.53</v>
      </c>
      <c r="CG41" s="9" t="n">
        <v>20.76</v>
      </c>
      <c r="CH41" s="9" t="n">
        <v>12.43</v>
      </c>
      <c r="CI41" s="9" t="n">
        <v>2.8</v>
      </c>
      <c r="CJ41" s="9" t="n">
        <v>4.6</v>
      </c>
      <c r="CK41" s="9" t="n">
        <v>90.32</v>
      </c>
      <c r="CL41" s="9" t="n">
        <v>0.15</v>
      </c>
      <c r="CM41" s="9" t="n">
        <v>213.882</v>
      </c>
      <c r="CN41" s="9" t="n">
        <v>293.577</v>
      </c>
      <c r="CO41" s="9" t="n">
        <v>3</v>
      </c>
      <c r="CP41" s="9" t="n">
        <v>3</v>
      </c>
      <c r="CQ41" s="9" t="n">
        <v>0.5</v>
      </c>
      <c r="CR41" s="9" t="n">
        <v>0.3</v>
      </c>
      <c r="CS41" s="9" t="n">
        <v>0.6</v>
      </c>
      <c r="CT41" s="9" t="n">
        <v>0.8</v>
      </c>
      <c r="CU41" s="9" t="n">
        <v>0.8</v>
      </c>
      <c r="CV41" s="9" t="n">
        <v>0.7</v>
      </c>
      <c r="CW41" s="9" t="n">
        <v>0.5</v>
      </c>
      <c r="CX41" s="9" t="n">
        <v>0.5</v>
      </c>
      <c r="CY41" s="9" t="n">
        <v>1</v>
      </c>
      <c r="CZ41" s="9" t="n">
        <v>0.3</v>
      </c>
      <c r="DA41" s="9" t="n">
        <v>0.8</v>
      </c>
      <c r="DB41" s="9" t="n">
        <v>0.37116306658099</v>
      </c>
      <c r="DC41" s="9" t="n">
        <v>2.537</v>
      </c>
      <c r="DD41" s="9" t="n">
        <v>2.325</v>
      </c>
      <c r="DE41" s="9" t="n">
        <v>6.32247</v>
      </c>
      <c r="DF41" s="9" t="n">
        <v>17.9889685506362</v>
      </c>
      <c r="DG41" s="9" t="n">
        <v>25.6660472740146</v>
      </c>
      <c r="DH41" s="9" t="n">
        <v>17.8251089145744</v>
      </c>
      <c r="DI41" s="9" t="n">
        <v>23.0667255332865</v>
      </c>
      <c r="DJ41" s="9" t="n">
        <v>13.978</v>
      </c>
      <c r="DK41" s="9" t="n">
        <v>13.978</v>
      </c>
      <c r="DL41" s="9" t="n">
        <v>19.87062</v>
      </c>
      <c r="DM41" s="9" t="n">
        <v>13.4947462084719</v>
      </c>
      <c r="DN41" s="9" t="n">
        <v>13.4947462084719</v>
      </c>
      <c r="DO41" s="9" t="n">
        <v>0.06836</v>
      </c>
    </row>
    <row r="42" customFormat="false" ht="15" hidden="false" customHeight="false" outlineLevel="0" collapsed="false">
      <c r="A42" s="9" t="s">
        <v>1044</v>
      </c>
      <c r="B42" s="9" t="s">
        <v>1045</v>
      </c>
      <c r="C42" s="9" t="n">
        <v>0.005</v>
      </c>
      <c r="D42" s="9" t="n">
        <v>0.005</v>
      </c>
      <c r="E42" s="9" t="n">
        <v>0.01</v>
      </c>
      <c r="F42" s="9" t="n">
        <v>0.005</v>
      </c>
      <c r="G42" s="9" t="n">
        <v>0.005</v>
      </c>
      <c r="H42" s="9" t="n">
        <v>0.01</v>
      </c>
      <c r="I42" s="9" t="n">
        <v>0.005</v>
      </c>
      <c r="J42" s="9" t="n">
        <v>0.005</v>
      </c>
      <c r="K42" s="9" t="n">
        <v>0.01</v>
      </c>
      <c r="L42" s="9" t="n">
        <v>0.01</v>
      </c>
      <c r="M42" s="9" t="n">
        <v>0.005</v>
      </c>
      <c r="N42" s="9" t="n">
        <v>0.036091</v>
      </c>
      <c r="O42" s="9" t="n">
        <v>0.028284</v>
      </c>
      <c r="P42" s="9" t="n">
        <v>0.186317</v>
      </c>
      <c r="Q42" s="9" t="n">
        <v>0.114679667807028</v>
      </c>
      <c r="R42" s="9" t="n">
        <v>0.024707075317117</v>
      </c>
      <c r="S42" s="9" t="n">
        <v>0.0321334465487433</v>
      </c>
      <c r="T42" s="9" t="n">
        <v>0.0107061029662459</v>
      </c>
      <c r="U42" s="9" t="n">
        <v>0.000727</v>
      </c>
      <c r="V42" s="9" t="n">
        <v>0.000128</v>
      </c>
      <c r="W42" s="9" t="n">
        <v>0.000388</v>
      </c>
      <c r="X42" s="9" t="n">
        <v>0.0502777666784722</v>
      </c>
      <c r="Y42" s="9" t="n">
        <v>0.0502777666784722</v>
      </c>
      <c r="Z42" s="9" t="n">
        <v>0.02</v>
      </c>
      <c r="AA42" s="9" t="n">
        <v>0</v>
      </c>
      <c r="AB42" s="9" t="n">
        <v>0</v>
      </c>
      <c r="AC42" s="9" t="n">
        <v>0</v>
      </c>
      <c r="AD42" s="9" t="n">
        <v>0</v>
      </c>
      <c r="AE42" s="9" t="n">
        <v>0.339</v>
      </c>
      <c r="AF42" s="9" t="n">
        <v>0</v>
      </c>
      <c r="AG42" s="9" t="n">
        <v>0</v>
      </c>
      <c r="AH42" s="9" t="n">
        <v>0</v>
      </c>
      <c r="AI42" s="9" t="n">
        <v>0</v>
      </c>
      <c r="AJ42" s="9" t="n">
        <v>0</v>
      </c>
      <c r="AK42" s="9" t="n">
        <v>0</v>
      </c>
      <c r="AL42" s="9" t="n">
        <v>0</v>
      </c>
      <c r="AM42" s="9" t="n">
        <v>0</v>
      </c>
      <c r="AN42" s="9" t="n">
        <v>0</v>
      </c>
      <c r="AO42" s="9" t="n">
        <v>2.23654773947126</v>
      </c>
      <c r="AP42" s="9" t="n">
        <v>2.1732273</v>
      </c>
      <c r="AQ42" s="9" t="n">
        <v>2.24463333985714</v>
      </c>
      <c r="AR42" s="9" t="n">
        <v>2.18050095871837</v>
      </c>
      <c r="AS42" s="9" t="n">
        <v>0</v>
      </c>
      <c r="AT42" s="9" t="n">
        <v>0</v>
      </c>
      <c r="AU42" s="9" t="n">
        <v>0</v>
      </c>
      <c r="AV42" s="9" t="n">
        <v>0</v>
      </c>
      <c r="AW42" s="9" t="n">
        <v>0.386825466893945</v>
      </c>
      <c r="AX42" s="9" t="n">
        <v>0.3669060312</v>
      </c>
      <c r="AY42" s="9" t="n">
        <v>0.370684083361684</v>
      </c>
      <c r="AZ42" s="9" t="n">
        <v>0.368627002500409</v>
      </c>
      <c r="BA42" s="9" t="n">
        <v>2.05615418614886</v>
      </c>
      <c r="BB42" s="9" t="n">
        <v>1.92428205105051</v>
      </c>
      <c r="BC42" s="9" t="n">
        <v>2.11075437698364</v>
      </c>
      <c r="BD42" s="9" t="n">
        <v>1.98968452820327</v>
      </c>
      <c r="BE42" s="9" t="n">
        <v>0.540584859960376</v>
      </c>
      <c r="BF42" s="9" t="n">
        <v>0.527065127999999</v>
      </c>
      <c r="BG42" s="9" t="n">
        <v>0.544382982205713</v>
      </c>
      <c r="BH42" s="9" t="n">
        <v>0.528829182714122</v>
      </c>
      <c r="BI42" s="9" t="n">
        <v>0.065048302614665</v>
      </c>
      <c r="BJ42" s="9" t="n">
        <v>0.0612996999999999</v>
      </c>
      <c r="BK42" s="9" t="n">
        <v>0.0633138329999999</v>
      </c>
      <c r="BL42" s="9" t="n">
        <v>0.061504866342857</v>
      </c>
      <c r="BM42" s="9" t="n">
        <v>0</v>
      </c>
      <c r="BN42" s="9" t="n">
        <v>0</v>
      </c>
      <c r="BO42" s="9" t="n">
        <v>0</v>
      </c>
      <c r="BP42" s="9" t="n">
        <v>0</v>
      </c>
      <c r="BQ42" s="9" t="n">
        <v>0</v>
      </c>
      <c r="BR42" s="9" t="n">
        <v>0</v>
      </c>
      <c r="BS42" s="9" t="n">
        <v>0</v>
      </c>
      <c r="BT42" s="9" t="n">
        <v>0</v>
      </c>
      <c r="BU42" s="9" t="n">
        <v>0</v>
      </c>
      <c r="BV42" s="9" t="n">
        <v>2.31960332158522</v>
      </c>
      <c r="BW42" s="9" t="n">
        <v>2.43973090134159</v>
      </c>
      <c r="BX42" s="9" t="n">
        <v>2.41167592980249</v>
      </c>
      <c r="BY42" s="9" t="n">
        <v>2.34278328065107</v>
      </c>
      <c r="BZ42" s="9" t="n">
        <v>0.107451518581651</v>
      </c>
      <c r="CA42" s="9" t="n">
        <v>0</v>
      </c>
      <c r="CB42" s="9" t="n">
        <v>3.776</v>
      </c>
      <c r="CC42" s="9" t="n">
        <v>4.083</v>
      </c>
      <c r="CD42" s="9" t="n">
        <v>1.442</v>
      </c>
      <c r="CE42" s="9" t="n">
        <v>0</v>
      </c>
      <c r="CF42" s="9" t="n">
        <v>0</v>
      </c>
      <c r="CG42" s="9" t="n">
        <v>0.14</v>
      </c>
      <c r="CH42" s="9" t="n">
        <v>0</v>
      </c>
      <c r="CI42" s="9" t="n">
        <v>0.14</v>
      </c>
      <c r="CJ42" s="9" t="n">
        <v>0</v>
      </c>
      <c r="CK42" s="9" t="n">
        <v>0.14</v>
      </c>
      <c r="CL42" s="9" t="n">
        <v>0</v>
      </c>
      <c r="CM42" s="9" t="n">
        <v>0.931</v>
      </c>
      <c r="CN42" s="9" t="n">
        <v>0.988</v>
      </c>
      <c r="CO42" s="9" t="n">
        <v>3</v>
      </c>
      <c r="CP42" s="9" t="n">
        <v>1</v>
      </c>
      <c r="CQ42" s="9" t="n">
        <v>0.5</v>
      </c>
      <c r="CR42" s="9" t="n">
        <v>0.3</v>
      </c>
      <c r="CS42" s="9" t="n">
        <v>0.6</v>
      </c>
      <c r="CT42" s="9" t="n">
        <v>0.8</v>
      </c>
      <c r="CU42" s="9" t="n">
        <v>0.8</v>
      </c>
      <c r="CV42" s="9" t="n">
        <v>0.7</v>
      </c>
      <c r="CW42" s="9" t="n">
        <v>0.5</v>
      </c>
      <c r="CX42" s="9" t="n">
        <v>0.5</v>
      </c>
      <c r="CY42" s="9" t="n">
        <v>1</v>
      </c>
      <c r="CZ42" s="9" t="n">
        <v>0.3</v>
      </c>
      <c r="DA42" s="9" t="n">
        <v>0.8</v>
      </c>
      <c r="DB42" s="9" t="n">
        <v>0.419674039580908</v>
      </c>
      <c r="DC42" s="9" t="n">
        <v>7.124</v>
      </c>
      <c r="DD42" s="9" t="n">
        <v>5.575</v>
      </c>
      <c r="DE42" s="9" t="n">
        <v>13.4123</v>
      </c>
      <c r="DF42" s="9" t="n">
        <v>20.5614182418698</v>
      </c>
      <c r="DG42" s="9" t="n">
        <v>22.6392017784519</v>
      </c>
      <c r="DH42" s="9" t="n">
        <v>17.2217259697758</v>
      </c>
      <c r="DI42" s="9" t="n">
        <v>21.8893257385964</v>
      </c>
      <c r="DJ42" s="9" t="n">
        <v>9.914</v>
      </c>
      <c r="DK42" s="9" t="n">
        <v>8.591</v>
      </c>
      <c r="DL42" s="9" t="n">
        <v>19.6416</v>
      </c>
      <c r="DM42" s="9" t="n">
        <v>14.1106192141413</v>
      </c>
      <c r="DN42" s="9" t="n">
        <v>14.1106192141413</v>
      </c>
      <c r="DO42" s="9" t="n">
        <v>0.105</v>
      </c>
    </row>
    <row r="43" customFormat="false" ht="15" hidden="false" customHeight="false" outlineLevel="0" collapsed="false">
      <c r="A43" s="9" t="s">
        <v>1024</v>
      </c>
      <c r="B43" s="9" t="s">
        <v>1025</v>
      </c>
      <c r="C43" s="9" t="n">
        <v>0.005</v>
      </c>
      <c r="D43" s="9" t="n">
        <v>0.005</v>
      </c>
      <c r="E43" s="9" t="n">
        <v>0.01</v>
      </c>
      <c r="F43" s="9" t="n">
        <v>0.005</v>
      </c>
      <c r="G43" s="9" t="n">
        <v>0.005</v>
      </c>
      <c r="H43" s="9" t="n">
        <v>0.01</v>
      </c>
      <c r="I43" s="9" t="n">
        <v>0.005</v>
      </c>
      <c r="J43" s="9" t="n">
        <v>0.005</v>
      </c>
      <c r="K43" s="9" t="n">
        <v>0.01</v>
      </c>
      <c r="L43" s="9" t="n">
        <v>0.01</v>
      </c>
      <c r="M43" s="9" t="n">
        <v>0.005</v>
      </c>
      <c r="N43" s="9" t="n">
        <v>0.017846</v>
      </c>
      <c r="O43" s="9" t="n">
        <v>0.221582</v>
      </c>
      <c r="P43" s="9" t="n">
        <v>0.874635</v>
      </c>
      <c r="Q43" s="9" t="n">
        <v>0.502638544005273</v>
      </c>
      <c r="R43" s="9" t="n">
        <v>0.117615973124193</v>
      </c>
      <c r="S43" s="9" t="n">
        <v>0.150521222827667</v>
      </c>
      <c r="T43" s="9" t="n">
        <v>0.0468198053632569</v>
      </c>
      <c r="U43" s="9" t="n">
        <v>0.000786</v>
      </c>
      <c r="V43" s="9" t="n">
        <v>0.001636</v>
      </c>
      <c r="W43" s="9" t="n">
        <v>0.001559</v>
      </c>
      <c r="X43" s="9" t="n">
        <v>0.136953985473206</v>
      </c>
      <c r="Y43" s="9" t="n">
        <v>0.136953985473206</v>
      </c>
      <c r="Z43" s="9" t="n">
        <v>0.16</v>
      </c>
      <c r="AA43" s="9" t="n">
        <v>0.03</v>
      </c>
      <c r="AB43" s="9" t="n">
        <v>0.03</v>
      </c>
      <c r="AC43" s="9" t="n">
        <v>0</v>
      </c>
      <c r="AD43" s="9" t="n">
        <v>0</v>
      </c>
      <c r="AE43" s="9" t="n">
        <v>1.04</v>
      </c>
      <c r="AF43" s="9" t="n">
        <v>0</v>
      </c>
      <c r="AG43" s="9" t="n">
        <v>0</v>
      </c>
      <c r="AH43" s="9" t="n">
        <v>0</v>
      </c>
      <c r="AI43" s="9" t="n">
        <v>0</v>
      </c>
      <c r="AJ43" s="9" t="n">
        <v>0</v>
      </c>
      <c r="AK43" s="9" t="n">
        <v>0</v>
      </c>
      <c r="AL43" s="9" t="n">
        <v>0</v>
      </c>
      <c r="AM43" s="9" t="n">
        <v>0</v>
      </c>
      <c r="AN43" s="9" t="n">
        <v>0</v>
      </c>
      <c r="AO43" s="9" t="n">
        <v>2.79532926209644</v>
      </c>
      <c r="AP43" s="9" t="n">
        <v>2.5993503</v>
      </c>
      <c r="AQ43" s="9" t="n">
        <v>2.66624267135664</v>
      </c>
      <c r="AR43" s="9" t="n">
        <v>2.58581101743738</v>
      </c>
      <c r="AS43" s="9" t="n">
        <v>1.0285493567253</v>
      </c>
      <c r="AT43" s="9" t="n">
        <v>0.8025844392</v>
      </c>
      <c r="AU43" s="9" t="n">
        <v>0.976103611678274</v>
      </c>
      <c r="AV43" s="9" t="n">
        <v>0.991389221216918</v>
      </c>
      <c r="AW43" s="9" t="n">
        <v>0.563827535093722</v>
      </c>
      <c r="AX43" s="9" t="n">
        <v>0.457282296</v>
      </c>
      <c r="AY43" s="9" t="n">
        <v>0.535077961762439</v>
      </c>
      <c r="AZ43" s="9" t="n">
        <v>0.543457187797851</v>
      </c>
      <c r="BA43" s="9" t="n">
        <v>0.673369196244699</v>
      </c>
      <c r="BB43" s="9" t="n">
        <v>0.649780741112324</v>
      </c>
      <c r="BC43" s="9" t="n">
        <v>0.628978917</v>
      </c>
      <c r="BD43" s="9" t="n">
        <v>0.627936898634814</v>
      </c>
      <c r="BE43" s="9" t="n">
        <v>0.140813811022536</v>
      </c>
      <c r="BF43" s="9" t="n">
        <v>0.128423919</v>
      </c>
      <c r="BG43" s="9" t="n">
        <v>0.131728814258182</v>
      </c>
      <c r="BH43" s="9" t="n">
        <v>0.12775499502806</v>
      </c>
      <c r="BI43" s="9" t="n">
        <v>0.407886318648076</v>
      </c>
      <c r="BJ43" s="9" t="n">
        <v>0.391765</v>
      </c>
      <c r="BK43" s="9" t="n">
        <v>0.401846784615384</v>
      </c>
      <c r="BL43" s="9" t="n">
        <v>0.38972440661282</v>
      </c>
      <c r="BM43" s="9" t="n">
        <v>0</v>
      </c>
      <c r="BN43" s="9" t="n">
        <v>0</v>
      </c>
      <c r="BO43" s="9" t="n">
        <v>0</v>
      </c>
      <c r="BP43" s="9" t="n">
        <v>0</v>
      </c>
      <c r="BQ43" s="9" t="n">
        <v>0</v>
      </c>
      <c r="BR43" s="9" t="n">
        <v>0</v>
      </c>
      <c r="BS43" s="9" t="n">
        <v>0</v>
      </c>
      <c r="BT43" s="9" t="n">
        <v>0</v>
      </c>
      <c r="BU43" s="9" t="n">
        <v>0</v>
      </c>
      <c r="BV43" s="9" t="n">
        <v>4.83905120071161</v>
      </c>
      <c r="BW43" s="9" t="n">
        <v>4.50921911037366</v>
      </c>
      <c r="BX43" s="9" t="n">
        <v>5.00688992882683</v>
      </c>
      <c r="BY43" s="9" t="n">
        <v>4.87701509051665</v>
      </c>
      <c r="BZ43" s="9" t="n">
        <v>0.442326914394172</v>
      </c>
      <c r="CA43" s="9" t="n">
        <v>4.05485986881336</v>
      </c>
      <c r="CB43" s="9" t="n">
        <v>5.513</v>
      </c>
      <c r="CC43" s="9" t="n">
        <v>4.787</v>
      </c>
      <c r="CD43" s="9" t="n">
        <v>2.726</v>
      </c>
      <c r="CE43" s="9" t="n">
        <v>0</v>
      </c>
      <c r="CF43" s="9" t="n">
        <v>0</v>
      </c>
      <c r="CG43" s="9" t="n">
        <v>0.36</v>
      </c>
      <c r="CH43" s="9" t="n">
        <v>0</v>
      </c>
      <c r="CI43" s="9" t="n">
        <v>0.36</v>
      </c>
      <c r="CJ43" s="9" t="n">
        <v>0.08</v>
      </c>
      <c r="CK43" s="9" t="n">
        <v>0.52</v>
      </c>
      <c r="CL43" s="9" t="n">
        <v>0.08</v>
      </c>
      <c r="CM43" s="9" t="n">
        <v>1.331</v>
      </c>
      <c r="CN43" s="9" t="n">
        <v>1.268</v>
      </c>
      <c r="CO43" s="9" t="n">
        <v>3</v>
      </c>
      <c r="CP43" s="9" t="n">
        <v>2</v>
      </c>
      <c r="CQ43" s="9" t="n">
        <v>0.5</v>
      </c>
      <c r="CR43" s="9" t="n">
        <v>0.3</v>
      </c>
      <c r="CS43" s="9" t="n">
        <v>0.6</v>
      </c>
      <c r="CT43" s="9" t="n">
        <v>0.8</v>
      </c>
      <c r="CU43" s="9" t="n">
        <v>0.8</v>
      </c>
      <c r="CV43" s="9" t="n">
        <v>0.7</v>
      </c>
      <c r="CW43" s="9" t="n">
        <v>0.5</v>
      </c>
      <c r="CX43" s="9" t="n">
        <v>0.5</v>
      </c>
      <c r="CY43" s="9" t="n">
        <v>1</v>
      </c>
      <c r="CZ43" s="9" t="n">
        <v>0.3</v>
      </c>
      <c r="DA43" s="9" t="n">
        <v>0.8</v>
      </c>
      <c r="DB43" s="9" t="n">
        <v>0.46321155480034</v>
      </c>
      <c r="DC43" s="9" t="n">
        <v>7.124</v>
      </c>
      <c r="DD43" s="9" t="n">
        <v>5.575</v>
      </c>
      <c r="DE43" s="9" t="n">
        <v>14.02195</v>
      </c>
      <c r="DF43" s="9" t="n">
        <v>21.4483958923389</v>
      </c>
      <c r="DG43" s="9" t="n">
        <v>23.8091561447126</v>
      </c>
      <c r="DH43" s="9" t="n">
        <v>18.0045316956747</v>
      </c>
      <c r="DI43" s="9" t="n">
        <v>21.6022004699147</v>
      </c>
      <c r="DJ43" s="9" t="n">
        <v>9.844</v>
      </c>
      <c r="DK43" s="9" t="n">
        <v>8.521</v>
      </c>
      <c r="DL43" s="9" t="n">
        <v>20.4539</v>
      </c>
      <c r="DM43" s="9" t="n">
        <v>13.4947462084719</v>
      </c>
      <c r="DN43" s="9" t="n">
        <v>13.4947462084719</v>
      </c>
      <c r="DO43" s="9" t="n">
        <v>0.105</v>
      </c>
    </row>
    <row r="44" customFormat="false" ht="15" hidden="false" customHeight="false" outlineLevel="0" collapsed="false">
      <c r="A44" s="9" t="s">
        <v>838</v>
      </c>
      <c r="B44" s="9" t="s">
        <v>839</v>
      </c>
      <c r="C44" s="9" t="n">
        <v>0.005</v>
      </c>
      <c r="D44" s="9" t="n">
        <v>0.005</v>
      </c>
      <c r="E44" s="9" t="n">
        <v>0.01</v>
      </c>
      <c r="F44" s="9" t="n">
        <v>0.005</v>
      </c>
      <c r="G44" s="9" t="n">
        <v>0.005</v>
      </c>
      <c r="H44" s="9" t="n">
        <v>0.01</v>
      </c>
      <c r="I44" s="9" t="n">
        <v>0.005</v>
      </c>
      <c r="J44" s="9" t="n">
        <v>0.005</v>
      </c>
      <c r="K44" s="9" t="n">
        <v>0.01</v>
      </c>
      <c r="L44" s="9" t="n">
        <v>0.01</v>
      </c>
      <c r="M44" s="9" t="n">
        <v>0.005</v>
      </c>
      <c r="N44" s="9" t="n">
        <v>14.784003</v>
      </c>
      <c r="O44" s="9" t="n">
        <v>0.713548</v>
      </c>
      <c r="P44" s="9" t="n">
        <v>22.236658</v>
      </c>
      <c r="Q44" s="9" t="n">
        <v>8.49055870207392</v>
      </c>
      <c r="R44" s="9" t="n">
        <v>1.05777166201407</v>
      </c>
      <c r="S44" s="9" t="n">
        <v>1.14718788358889</v>
      </c>
      <c r="T44" s="9" t="n">
        <v>0.936784009546525</v>
      </c>
      <c r="U44" s="9" t="n">
        <v>0.293263</v>
      </c>
      <c r="V44" s="9" t="n">
        <v>0.00443</v>
      </c>
      <c r="W44" s="9" t="n">
        <v>0.056589</v>
      </c>
      <c r="X44" s="9" t="n">
        <v>13.2219821806981</v>
      </c>
      <c r="Y44" s="9" t="n">
        <v>13.2219821806981</v>
      </c>
      <c r="Z44" s="9" t="n">
        <v>0.52</v>
      </c>
      <c r="AA44" s="9" t="n">
        <v>0.08</v>
      </c>
      <c r="AB44" s="9" t="n">
        <v>0.44</v>
      </c>
      <c r="AC44" s="9" t="n">
        <v>0</v>
      </c>
      <c r="AD44" s="9" t="n">
        <v>0</v>
      </c>
      <c r="AE44" s="9" t="n">
        <v>7.87</v>
      </c>
      <c r="AF44" s="9" t="n">
        <v>0.583552603278725</v>
      </c>
      <c r="AG44" s="9" t="n">
        <v>0.5680273428</v>
      </c>
      <c r="AH44" s="9" t="n">
        <v>0.552793882243091</v>
      </c>
      <c r="AI44" s="9" t="n">
        <v>0.536210065775798</v>
      </c>
      <c r="AJ44" s="9" t="n">
        <v>0</v>
      </c>
      <c r="AK44" s="9" t="n">
        <v>0</v>
      </c>
      <c r="AL44" s="9" t="n">
        <v>0</v>
      </c>
      <c r="AM44" s="9" t="n">
        <v>0</v>
      </c>
      <c r="AN44" s="9" t="n">
        <v>0</v>
      </c>
      <c r="AO44" s="9" t="n">
        <v>34.3863322815298</v>
      </c>
      <c r="AP44" s="9" t="n">
        <v>37.22945728</v>
      </c>
      <c r="AQ44" s="9" t="n">
        <v>36.2310309256727</v>
      </c>
      <c r="AR44" s="9" t="n">
        <v>35.1440999979026</v>
      </c>
      <c r="AS44" s="9" t="n">
        <v>23.943373696303</v>
      </c>
      <c r="AT44" s="9" t="n">
        <v>22.3395799356</v>
      </c>
      <c r="AU44" s="9" t="n">
        <v>23.5452215482868</v>
      </c>
      <c r="AV44" s="9" t="n">
        <v>25.770997303336</v>
      </c>
      <c r="AW44" s="9" t="n">
        <v>15.7186288363915</v>
      </c>
      <c r="AX44" s="9" t="n">
        <v>14.9668219152</v>
      </c>
      <c r="AY44" s="9" t="n">
        <v>15.4572452104055</v>
      </c>
      <c r="AZ44" s="9" t="n">
        <v>16.9184487738808</v>
      </c>
      <c r="BA44" s="9" t="n">
        <v>40.3853398152226</v>
      </c>
      <c r="BB44" s="9" t="n">
        <v>41.20500051</v>
      </c>
      <c r="BC44" s="9" t="n">
        <v>41.4627555529211</v>
      </c>
      <c r="BD44" s="9" t="n">
        <v>38.8969585950694</v>
      </c>
      <c r="BE44" s="9" t="n">
        <v>0.0802339867360005</v>
      </c>
      <c r="BF44" s="9" t="n">
        <v>0.0768479519999997</v>
      </c>
      <c r="BG44" s="9" t="n">
        <v>0.0747870296509088</v>
      </c>
      <c r="BH44" s="9" t="n">
        <v>0.0725434187613815</v>
      </c>
      <c r="BI44" s="9" t="n">
        <v>4.1488036390234</v>
      </c>
      <c r="BJ44" s="9" t="n">
        <v>3.80251298999999</v>
      </c>
      <c r="BK44" s="9" t="n">
        <v>3.70053650526817</v>
      </c>
      <c r="BL44" s="9" t="n">
        <v>3.58952041011012</v>
      </c>
      <c r="BM44" s="9" t="n">
        <v>0</v>
      </c>
      <c r="BN44" s="9" t="n">
        <v>0</v>
      </c>
      <c r="BO44" s="9" t="n">
        <v>0</v>
      </c>
      <c r="BP44" s="9" t="n">
        <v>0</v>
      </c>
      <c r="BQ44" s="9" t="n">
        <v>0</v>
      </c>
      <c r="BR44" s="9" t="n">
        <v>0</v>
      </c>
      <c r="BS44" s="9" t="n">
        <v>0</v>
      </c>
      <c r="BT44" s="9" t="n">
        <v>0</v>
      </c>
      <c r="BU44" s="9" t="n">
        <v>0</v>
      </c>
      <c r="BV44" s="9" t="n">
        <v>19.4796425688113</v>
      </c>
      <c r="BW44" s="9" t="n">
        <v>19.8755712864893</v>
      </c>
      <c r="BX44" s="9" t="n">
        <v>19.3528537016475</v>
      </c>
      <c r="BY44" s="9" t="n">
        <v>18.7622487706068</v>
      </c>
      <c r="BZ44" s="9" t="n">
        <v>11.0172229257485</v>
      </c>
      <c r="CA44" s="9" t="n">
        <v>3.28759291023442</v>
      </c>
      <c r="CB44" s="9" t="n">
        <v>4.56</v>
      </c>
      <c r="CC44" s="9" t="n">
        <v>3.56</v>
      </c>
      <c r="CD44" s="9" t="n">
        <v>96.73</v>
      </c>
      <c r="CE44" s="9" t="n">
        <v>11.17</v>
      </c>
      <c r="CF44" s="9" t="n">
        <v>0</v>
      </c>
      <c r="CG44" s="9" t="n">
        <v>0</v>
      </c>
      <c r="CH44" s="9" t="n">
        <v>0</v>
      </c>
      <c r="CI44" s="9" t="n">
        <v>0</v>
      </c>
      <c r="CJ44" s="9" t="n">
        <v>0.09</v>
      </c>
      <c r="CK44" s="9" t="n">
        <v>11.66</v>
      </c>
      <c r="CL44" s="9" t="n">
        <v>1.55</v>
      </c>
      <c r="CM44" s="9" t="n">
        <v>16.028</v>
      </c>
      <c r="CN44" s="9" t="n">
        <v>8.705</v>
      </c>
      <c r="CO44" s="9" t="n">
        <v>3</v>
      </c>
      <c r="CP44" s="9" t="n">
        <v>3</v>
      </c>
      <c r="CQ44" s="9" t="n">
        <v>0.5</v>
      </c>
      <c r="CR44" s="9" t="n">
        <v>0.3</v>
      </c>
      <c r="CS44" s="9" t="n">
        <v>0.6</v>
      </c>
      <c r="CT44" s="9" t="n">
        <v>0.8</v>
      </c>
      <c r="CU44" s="9" t="n">
        <v>0.8</v>
      </c>
      <c r="CV44" s="9" t="n">
        <v>0.7</v>
      </c>
      <c r="CW44" s="9" t="n">
        <v>0.5</v>
      </c>
      <c r="CX44" s="9" t="n">
        <v>0.5</v>
      </c>
      <c r="CY44" s="9" t="n">
        <v>1</v>
      </c>
      <c r="CZ44" s="9" t="n">
        <v>0.3</v>
      </c>
      <c r="DA44" s="9" t="n">
        <v>0.8</v>
      </c>
      <c r="DB44" s="9" t="n">
        <v>0.598988166376657</v>
      </c>
      <c r="DC44" s="9" t="n">
        <v>7.124</v>
      </c>
      <c r="DD44" s="9" t="n">
        <v>5.575</v>
      </c>
      <c r="DE44" s="9" t="n">
        <v>13.77809</v>
      </c>
      <c r="DF44" s="9" t="n">
        <v>18.4037941621963</v>
      </c>
      <c r="DG44" s="9" t="n">
        <v>24.4077879904169</v>
      </c>
      <c r="DH44" s="9" t="n">
        <v>15.4380415320017</v>
      </c>
      <c r="DI44" s="9" t="n">
        <v>21.8099997220531</v>
      </c>
      <c r="DJ44" s="9" t="n">
        <v>5.164</v>
      </c>
      <c r="DK44" s="9" t="n">
        <v>3.841</v>
      </c>
      <c r="DL44" s="9" t="n">
        <v>14.80978</v>
      </c>
      <c r="DM44" s="9" t="n">
        <v>13.4947462084719</v>
      </c>
      <c r="DN44" s="9" t="n">
        <v>13.4947462084719</v>
      </c>
      <c r="DO44" s="9" t="n">
        <v>0.0679</v>
      </c>
    </row>
    <row r="45" customFormat="false" ht="15" hidden="false" customHeight="false" outlineLevel="0" collapsed="false">
      <c r="A45" s="9" t="s">
        <v>906</v>
      </c>
      <c r="B45" s="9" t="s">
        <v>907</v>
      </c>
      <c r="C45" s="9" t="n">
        <v>0.005</v>
      </c>
      <c r="D45" s="9" t="n">
        <v>0.005</v>
      </c>
      <c r="E45" s="9" t="n">
        <v>0.01</v>
      </c>
      <c r="F45" s="9" t="n">
        <v>0.005</v>
      </c>
      <c r="G45" s="9" t="n">
        <v>0.005</v>
      </c>
      <c r="H45" s="9" t="n">
        <v>0.01</v>
      </c>
      <c r="I45" s="9" t="n">
        <v>0.005</v>
      </c>
      <c r="J45" s="9" t="n">
        <v>0.005</v>
      </c>
      <c r="K45" s="9" t="n">
        <v>0.01</v>
      </c>
      <c r="L45" s="9" t="n">
        <v>0.01</v>
      </c>
      <c r="M45" s="9" t="n">
        <v>0.005</v>
      </c>
      <c r="N45" s="9" t="n">
        <v>0.128854</v>
      </c>
      <c r="O45" s="9" t="n">
        <v>0.896289</v>
      </c>
      <c r="P45" s="9" t="n">
        <v>76.83866</v>
      </c>
      <c r="Q45" s="9" t="n">
        <v>3.81303862508811</v>
      </c>
      <c r="R45" s="9" t="n">
        <v>0.369090533701423</v>
      </c>
      <c r="S45" s="9" t="n">
        <v>2.74419103708518</v>
      </c>
      <c r="T45" s="9" t="n">
        <v>2.65891497798659</v>
      </c>
      <c r="U45" s="9" t="n">
        <v>0.021518</v>
      </c>
      <c r="V45" s="9" t="n">
        <v>0.049861</v>
      </c>
      <c r="W45" s="9" t="n">
        <v>0.182603</v>
      </c>
      <c r="X45" s="9" t="n">
        <v>1.01061814442743</v>
      </c>
      <c r="Y45" s="9" t="n">
        <v>1.01061814442743</v>
      </c>
      <c r="Z45" s="9" t="n">
        <v>1.85</v>
      </c>
      <c r="AA45" s="9" t="n">
        <v>0.86</v>
      </c>
      <c r="AB45" s="9" t="n">
        <v>0.17</v>
      </c>
      <c r="AC45" s="9" t="n">
        <v>0</v>
      </c>
      <c r="AD45" s="9" t="n">
        <v>0</v>
      </c>
      <c r="AE45" s="9" t="n">
        <v>7.125</v>
      </c>
      <c r="AF45" s="9" t="n">
        <v>2.08706634853459</v>
      </c>
      <c r="AG45" s="9" t="n">
        <v>1.6790993928</v>
      </c>
      <c r="AH45" s="9" t="n">
        <v>1.7193977782272</v>
      </c>
      <c r="AI45" s="9" t="n">
        <v>1.77441850713047</v>
      </c>
      <c r="AJ45" s="9" t="n">
        <v>0</v>
      </c>
      <c r="AK45" s="9" t="n">
        <v>0</v>
      </c>
      <c r="AL45" s="9" t="n">
        <v>0</v>
      </c>
      <c r="AM45" s="9" t="n">
        <v>0</v>
      </c>
      <c r="AN45" s="9" t="n">
        <v>0</v>
      </c>
      <c r="AO45" s="9" t="n">
        <v>14.1570962894377</v>
      </c>
      <c r="AP45" s="9" t="n">
        <v>13.06087945</v>
      </c>
      <c r="AQ45" s="9" t="n">
        <v>13.3743405568</v>
      </c>
      <c r="AR45" s="9" t="n">
        <v>13.8023194546176</v>
      </c>
      <c r="AS45" s="9" t="n">
        <v>9.51607943810488</v>
      </c>
      <c r="AT45" s="9" t="n">
        <v>10.1957288544</v>
      </c>
      <c r="AU45" s="9" t="n">
        <v>10.1501428886435</v>
      </c>
      <c r="AV45" s="9" t="n">
        <v>10.0991915418445</v>
      </c>
      <c r="AW45" s="9" t="n">
        <v>6.18403633315465</v>
      </c>
      <c r="AX45" s="9" t="n">
        <v>6.542670492</v>
      </c>
      <c r="AY45" s="9" t="n">
        <v>6.59608327340562</v>
      </c>
      <c r="AZ45" s="9" t="n">
        <v>6.56297247584686</v>
      </c>
      <c r="BA45" s="9" t="n">
        <v>14.5484639020162</v>
      </c>
      <c r="BB45" s="9" t="n">
        <v>13.5580213726184</v>
      </c>
      <c r="BC45" s="9" t="n">
        <v>13.65614856</v>
      </c>
      <c r="BD45" s="9" t="n">
        <v>14.2099303433011</v>
      </c>
      <c r="BE45" s="9" t="n">
        <v>0.626119193078352</v>
      </c>
      <c r="BF45" s="9" t="n">
        <v>0.573928591561915</v>
      </c>
      <c r="BG45" s="9" t="n">
        <v>0.587702877759401</v>
      </c>
      <c r="BH45" s="9" t="n">
        <v>0.606509369847702</v>
      </c>
      <c r="BI45" s="9" t="n">
        <v>1.75238001106955</v>
      </c>
      <c r="BJ45" s="9" t="n">
        <v>1.58400855</v>
      </c>
      <c r="BK45" s="9" t="n">
        <v>1.6220247552</v>
      </c>
      <c r="BL45" s="9" t="n">
        <v>1.6739295473664</v>
      </c>
      <c r="BM45" s="9" t="n">
        <v>0</v>
      </c>
      <c r="BN45" s="9" t="n">
        <v>0</v>
      </c>
      <c r="BO45" s="9" t="n">
        <v>0</v>
      </c>
      <c r="BP45" s="9" t="n">
        <v>0</v>
      </c>
      <c r="BQ45" s="9" t="n">
        <v>0</v>
      </c>
      <c r="BR45" s="9" t="n">
        <v>0</v>
      </c>
      <c r="BS45" s="9" t="n">
        <v>0</v>
      </c>
      <c r="BT45" s="9" t="n">
        <v>0</v>
      </c>
      <c r="BU45" s="9" t="n">
        <v>0</v>
      </c>
      <c r="BV45" s="9" t="n">
        <v>42.5457754296683</v>
      </c>
      <c r="BW45" s="9" t="n">
        <v>46.0766790809578</v>
      </c>
      <c r="BX45" s="9" t="n">
        <v>45.1727010605219</v>
      </c>
      <c r="BY45" s="9" t="n">
        <v>44.3687003481025</v>
      </c>
      <c r="BZ45" s="9" t="n">
        <v>4.36114326979431</v>
      </c>
      <c r="CA45" s="9" t="n">
        <v>3.673179655114</v>
      </c>
      <c r="CB45" s="9" t="n">
        <v>3.767</v>
      </c>
      <c r="CC45" s="9" t="n">
        <v>2.953</v>
      </c>
      <c r="CD45" s="9" t="n">
        <v>37.623</v>
      </c>
      <c r="CE45" s="9" t="n">
        <v>0.06</v>
      </c>
      <c r="CF45" s="9" t="n">
        <v>0</v>
      </c>
      <c r="CG45" s="9" t="n">
        <v>4.27</v>
      </c>
      <c r="CH45" s="9" t="n">
        <v>0</v>
      </c>
      <c r="CI45" s="9" t="n">
        <v>4.27</v>
      </c>
      <c r="CJ45" s="9" t="n">
        <v>1.37</v>
      </c>
      <c r="CK45" s="9" t="n">
        <v>5.91</v>
      </c>
      <c r="CL45" s="9" t="n">
        <v>0.21</v>
      </c>
      <c r="CM45" s="9" t="n">
        <v>8.849</v>
      </c>
      <c r="CN45" s="9" t="n">
        <v>8.609</v>
      </c>
      <c r="CO45" s="9" t="n">
        <v>1</v>
      </c>
      <c r="CP45" s="9" t="n">
        <v>4</v>
      </c>
      <c r="CQ45" s="9" t="n">
        <v>0.5</v>
      </c>
      <c r="CR45" s="9" t="n">
        <v>0.3</v>
      </c>
      <c r="CS45" s="9" t="n">
        <v>0.6</v>
      </c>
      <c r="CT45" s="9" t="n">
        <v>0.8</v>
      </c>
      <c r="CU45" s="9" t="n">
        <v>0.8</v>
      </c>
      <c r="CV45" s="9" t="n">
        <v>0.7</v>
      </c>
      <c r="CW45" s="9" t="n">
        <v>0.5</v>
      </c>
      <c r="CX45" s="9" t="n">
        <v>0.5</v>
      </c>
      <c r="CY45" s="9" t="n">
        <v>1</v>
      </c>
      <c r="CZ45" s="9" t="n">
        <v>0.3</v>
      </c>
      <c r="DA45" s="9" t="n">
        <v>0.8</v>
      </c>
      <c r="DB45" s="9" t="n">
        <v>0.630443889605711</v>
      </c>
      <c r="DC45" s="9" t="n">
        <v>5.149</v>
      </c>
      <c r="DD45" s="9" t="n">
        <v>3.922</v>
      </c>
      <c r="DE45" s="9" t="n">
        <v>10.46843</v>
      </c>
      <c r="DF45" s="9" t="n">
        <v>21.4499510526693</v>
      </c>
      <c r="DG45" s="9" t="n">
        <v>24.6373007062678</v>
      </c>
      <c r="DH45" s="9" t="n">
        <v>18.1816762604492</v>
      </c>
      <c r="DI45" s="9" t="n">
        <v>22.2157842986107</v>
      </c>
      <c r="DJ45" s="9" t="n">
        <v>12.815</v>
      </c>
      <c r="DK45" s="9" t="n">
        <v>11.492</v>
      </c>
      <c r="DL45" s="9" t="n">
        <v>24.70083</v>
      </c>
      <c r="DM45" s="9" t="n">
        <v>13.4947462084719</v>
      </c>
      <c r="DN45" s="9" t="n">
        <v>13.4947462084719</v>
      </c>
      <c r="DO45" s="9" t="n">
        <v>0.051</v>
      </c>
    </row>
    <row r="46" customFormat="false" ht="15" hidden="false" customHeight="false" outlineLevel="0" collapsed="false">
      <c r="A46" s="9" t="s">
        <v>778</v>
      </c>
      <c r="B46" s="9" t="s">
        <v>779</v>
      </c>
      <c r="C46" s="9" t="n">
        <v>0.005</v>
      </c>
      <c r="D46" s="9" t="n">
        <v>0.005</v>
      </c>
      <c r="E46" s="9" t="n">
        <v>0.01</v>
      </c>
      <c r="F46" s="9" t="n">
        <v>0.005</v>
      </c>
      <c r="G46" s="9" t="n">
        <v>0.005</v>
      </c>
      <c r="H46" s="9" t="n">
        <v>0.01</v>
      </c>
      <c r="I46" s="9" t="n">
        <v>0.005</v>
      </c>
      <c r="J46" s="9" t="n">
        <v>0.005</v>
      </c>
      <c r="K46" s="9" t="n">
        <v>0.01</v>
      </c>
      <c r="L46" s="9" t="n">
        <v>0.01</v>
      </c>
      <c r="M46" s="9" t="n">
        <v>0.005</v>
      </c>
      <c r="N46" s="9" t="n">
        <v>7.582593</v>
      </c>
      <c r="O46" s="9" t="n">
        <v>2.333934</v>
      </c>
      <c r="P46" s="9" t="n">
        <v>48.413914</v>
      </c>
      <c r="Q46" s="9" t="n">
        <v>7.1878437943338</v>
      </c>
      <c r="R46" s="9" t="n">
        <v>1.74642419417474</v>
      </c>
      <c r="S46" s="9" t="n">
        <v>20.1864801362631</v>
      </c>
      <c r="T46" s="9" t="n">
        <v>21.2990548370118</v>
      </c>
      <c r="U46" s="9" t="n">
        <v>0.632917</v>
      </c>
      <c r="V46" s="9" t="n">
        <v>0.101864</v>
      </c>
      <c r="W46" s="9" t="n">
        <v>0.154893</v>
      </c>
      <c r="X46" s="9" t="n">
        <v>5.55318457640835</v>
      </c>
      <c r="Y46" s="9" t="n">
        <v>5.55318457640835</v>
      </c>
      <c r="Z46" s="9" t="n">
        <v>8.76</v>
      </c>
      <c r="AA46" s="9" t="n">
        <v>4.54</v>
      </c>
      <c r="AB46" s="9" t="n">
        <v>0.37</v>
      </c>
      <c r="AC46" s="9" t="n">
        <v>0</v>
      </c>
      <c r="AD46" s="9" t="n">
        <v>0</v>
      </c>
      <c r="AE46" s="9" t="n">
        <v>88.264</v>
      </c>
      <c r="AF46" s="9" t="n">
        <v>87.0659654035155</v>
      </c>
      <c r="AG46" s="9" t="n">
        <v>62.728772868</v>
      </c>
      <c r="AH46" s="9" t="n">
        <v>70.4967118505745</v>
      </c>
      <c r="AI46" s="9" t="n">
        <v>72.6116132060918</v>
      </c>
      <c r="AJ46" s="9" t="n">
        <v>179.258700321369</v>
      </c>
      <c r="AK46" s="9" t="n">
        <v>35.9100907355583</v>
      </c>
      <c r="AL46" s="9" t="n">
        <v>29.6657849268</v>
      </c>
      <c r="AM46" s="9" t="n">
        <v>33.3394102289637</v>
      </c>
      <c r="AN46" s="9" t="n">
        <v>34.3395925358326</v>
      </c>
      <c r="AO46" s="9" t="n">
        <v>230.801869864769</v>
      </c>
      <c r="AP46" s="9" t="n">
        <v>195.238373927064</v>
      </c>
      <c r="AQ46" s="9" t="n">
        <v>219.415473308776</v>
      </c>
      <c r="AR46" s="9" t="n">
        <v>225.99793750804</v>
      </c>
      <c r="AS46" s="9" t="n">
        <v>158.147968662476</v>
      </c>
      <c r="AT46" s="9" t="n">
        <v>153.8014616064</v>
      </c>
      <c r="AU46" s="9" t="n">
        <v>174.324775516394</v>
      </c>
      <c r="AV46" s="9" t="n">
        <v>183.12026921688</v>
      </c>
      <c r="AW46" s="9" t="n">
        <v>63.728844157637</v>
      </c>
      <c r="AX46" s="9" t="n">
        <v>62.1358424388</v>
      </c>
      <c r="AY46" s="9" t="n">
        <v>70.3008770180183</v>
      </c>
      <c r="AZ46" s="9" t="n">
        <v>73.8782205642532</v>
      </c>
      <c r="BA46" s="9" t="n">
        <v>80.2954255445408</v>
      </c>
      <c r="BB46" s="9" t="n">
        <v>66.3662613677664</v>
      </c>
      <c r="BC46" s="9" t="n">
        <v>69.1992490469474</v>
      </c>
      <c r="BD46" s="9" t="n">
        <v>76.8221835059834</v>
      </c>
      <c r="BE46" s="9" t="n">
        <v>0</v>
      </c>
      <c r="BF46" s="9" t="n">
        <v>0</v>
      </c>
      <c r="BG46" s="9" t="n">
        <v>0</v>
      </c>
      <c r="BH46" s="9" t="n">
        <v>0</v>
      </c>
      <c r="BI46" s="9" t="n">
        <v>2.32773652807616</v>
      </c>
      <c r="BJ46" s="9" t="n">
        <v>2.02504453471631</v>
      </c>
      <c r="BK46" s="9" t="n">
        <v>2.27581338708608</v>
      </c>
      <c r="BL46" s="9" t="n">
        <v>2.34408778869866</v>
      </c>
      <c r="BM46" s="9" t="n">
        <v>156.811911022827</v>
      </c>
      <c r="BN46" s="9" t="n">
        <v>117.1006761888</v>
      </c>
      <c r="BO46" s="9" t="n">
        <v>131.601691685579</v>
      </c>
      <c r="BP46" s="9" t="n">
        <v>135.549742436147</v>
      </c>
      <c r="BQ46" s="9" t="n">
        <v>48.6752584949739</v>
      </c>
      <c r="BR46" s="9" t="n">
        <v>186.461434247175</v>
      </c>
      <c r="BS46" s="9" t="n">
        <v>143.6754513456</v>
      </c>
      <c r="BT46" s="9" t="n">
        <v>161.467320823025</v>
      </c>
      <c r="BU46" s="9" t="n">
        <v>166.311340447716</v>
      </c>
      <c r="BV46" s="9" t="n">
        <v>48.1607592624747</v>
      </c>
      <c r="BW46" s="9" t="n">
        <v>38.6442305305982</v>
      </c>
      <c r="BX46" s="9" t="n">
        <v>43.7138720826434</v>
      </c>
      <c r="BY46" s="9" t="n">
        <v>44.8537534237046</v>
      </c>
      <c r="BZ46" s="9" t="n">
        <v>61.6324480055869</v>
      </c>
      <c r="CA46" s="9" t="n">
        <v>3.06257228853258</v>
      </c>
      <c r="CB46" s="9" t="n">
        <v>2.548</v>
      </c>
      <c r="CC46" s="9" t="n">
        <v>2.234</v>
      </c>
      <c r="CD46" s="9" t="n">
        <v>347.083</v>
      </c>
      <c r="CE46" s="9" t="n">
        <v>39.7</v>
      </c>
      <c r="CF46" s="9" t="n">
        <v>26.6</v>
      </c>
      <c r="CG46" s="9" t="n">
        <v>30.84</v>
      </c>
      <c r="CH46" s="9" t="n">
        <v>4.08</v>
      </c>
      <c r="CI46" s="9" t="n">
        <v>0.16</v>
      </c>
      <c r="CJ46" s="9" t="n">
        <v>4.39</v>
      </c>
      <c r="CK46" s="9" t="n">
        <v>75.4</v>
      </c>
      <c r="CL46" s="9" t="n">
        <v>0.57</v>
      </c>
      <c r="CM46" s="9" t="n">
        <v>110.852</v>
      </c>
      <c r="CN46" s="9" t="n">
        <v>118.786</v>
      </c>
      <c r="CO46" s="9" t="n">
        <v>1</v>
      </c>
      <c r="CP46" s="9" t="n">
        <v>4</v>
      </c>
      <c r="CQ46" s="9" t="n">
        <v>0.5</v>
      </c>
      <c r="CR46" s="9" t="n">
        <v>0.3</v>
      </c>
      <c r="CS46" s="9" t="n">
        <v>0.6</v>
      </c>
      <c r="CT46" s="9" t="n">
        <v>0.8</v>
      </c>
      <c r="CU46" s="9" t="n">
        <v>0.8</v>
      </c>
      <c r="CV46" s="9" t="n">
        <v>0.7</v>
      </c>
      <c r="CW46" s="9" t="n">
        <v>0.5</v>
      </c>
      <c r="CX46" s="9" t="n">
        <v>0.5</v>
      </c>
      <c r="CY46" s="9" t="n">
        <v>1</v>
      </c>
      <c r="CZ46" s="9" t="n">
        <v>0.3</v>
      </c>
      <c r="DA46" s="9" t="n">
        <v>0.8</v>
      </c>
      <c r="DB46" s="9" t="n">
        <v>0.55719159114807</v>
      </c>
      <c r="DC46" s="9" t="n">
        <v>3.58</v>
      </c>
      <c r="DD46" s="9" t="n">
        <v>3.674</v>
      </c>
      <c r="DE46" s="9" t="n">
        <v>11.38368</v>
      </c>
      <c r="DF46" s="9" t="n">
        <v>22.489253976183</v>
      </c>
      <c r="DG46" s="9" t="n">
        <v>25.0513729870454</v>
      </c>
      <c r="DH46" s="9" t="n">
        <v>15.656114517978</v>
      </c>
      <c r="DI46" s="9" t="n">
        <v>20.9498264130802</v>
      </c>
      <c r="DJ46" s="9" t="n">
        <v>18.851</v>
      </c>
      <c r="DK46" s="9" t="n">
        <v>18.851</v>
      </c>
      <c r="DL46" s="9" t="n">
        <v>31.73346</v>
      </c>
      <c r="DM46" s="9" t="n">
        <v>13.4947462084719</v>
      </c>
      <c r="DN46" s="9" t="n">
        <v>13.4947462084719</v>
      </c>
      <c r="DO46" s="9" t="n">
        <v>0.0575</v>
      </c>
    </row>
    <row r="47" customFormat="false" ht="15" hidden="false" customHeight="false" outlineLevel="0" collapsed="false">
      <c r="A47" s="9" t="s">
        <v>700</v>
      </c>
      <c r="B47" s="9" t="s">
        <v>701</v>
      </c>
      <c r="C47" s="9" t="n">
        <v>0.005</v>
      </c>
      <c r="D47" s="9" t="n">
        <v>0.005</v>
      </c>
      <c r="E47" s="9" t="n">
        <v>0.01</v>
      </c>
      <c r="F47" s="9" t="n">
        <v>0.005</v>
      </c>
      <c r="G47" s="9" t="n">
        <v>0.005</v>
      </c>
      <c r="H47" s="9" t="n">
        <v>0.01</v>
      </c>
      <c r="I47" s="9" t="n">
        <v>0.005</v>
      </c>
      <c r="J47" s="9" t="n">
        <v>0.005</v>
      </c>
      <c r="K47" s="9" t="n">
        <v>0.01</v>
      </c>
      <c r="L47" s="9" t="n">
        <v>0.01</v>
      </c>
      <c r="M47" s="9" t="n">
        <v>0.005</v>
      </c>
      <c r="N47" s="9" t="n">
        <v>2.016983</v>
      </c>
      <c r="O47" s="9" t="n">
        <v>1.654682</v>
      </c>
      <c r="P47" s="9" t="n">
        <v>97.84783</v>
      </c>
      <c r="Q47" s="9" t="n">
        <v>19.4305485506308</v>
      </c>
      <c r="R47" s="9" t="n">
        <v>3.29156007451013</v>
      </c>
      <c r="S47" s="9" t="n">
        <v>5.47998446282991</v>
      </c>
      <c r="T47" s="9" t="n">
        <v>8.29982874412593</v>
      </c>
      <c r="U47" s="9" t="n">
        <v>0.664054</v>
      </c>
      <c r="V47" s="9" t="n">
        <v>0.833046</v>
      </c>
      <c r="W47" s="9" t="n">
        <v>0.182518</v>
      </c>
      <c r="X47" s="9" t="n">
        <v>2.49292345351922</v>
      </c>
      <c r="Y47" s="9" t="n">
        <v>2.49292345351922</v>
      </c>
      <c r="Z47" s="9" t="n">
        <v>68.54</v>
      </c>
      <c r="AA47" s="9" t="n">
        <v>106.27</v>
      </c>
      <c r="AB47" s="9" t="n">
        <v>77.81</v>
      </c>
      <c r="AC47" s="9" t="n">
        <v>0</v>
      </c>
      <c r="AD47" s="9" t="n">
        <v>0</v>
      </c>
      <c r="AE47" s="9" t="n">
        <v>658.368</v>
      </c>
      <c r="AF47" s="9" t="n">
        <v>304.231410213816</v>
      </c>
      <c r="AG47" s="9" t="n">
        <v>235.611876924</v>
      </c>
      <c r="AH47" s="9" t="n">
        <v>261.192594990034</v>
      </c>
      <c r="AI47" s="9" t="n">
        <v>260.539613502559</v>
      </c>
      <c r="AJ47" s="9" t="n">
        <v>603.447637122309</v>
      </c>
      <c r="AK47" s="9" t="n">
        <v>23.0875346545981</v>
      </c>
      <c r="AL47" s="9" t="n">
        <v>21.8832815376</v>
      </c>
      <c r="AM47" s="9" t="n">
        <v>24.259180675968</v>
      </c>
      <c r="AN47" s="9" t="n">
        <v>24.1985327242781</v>
      </c>
      <c r="AO47" s="9" t="n">
        <v>1457.90441320709</v>
      </c>
      <c r="AP47" s="9" t="n">
        <v>1285.13265936279</v>
      </c>
      <c r="AQ47" s="9" t="n">
        <v>1424.6613480936</v>
      </c>
      <c r="AR47" s="9" t="n">
        <v>1421.09969472337</v>
      </c>
      <c r="AS47" s="9" t="n">
        <v>1413.29682349814</v>
      </c>
      <c r="AT47" s="9" t="n">
        <v>1325.6549996076</v>
      </c>
      <c r="AU47" s="9" t="n">
        <v>1444.66950363128</v>
      </c>
      <c r="AV47" s="9" t="n">
        <v>1518.44024358542</v>
      </c>
      <c r="AW47" s="9" t="n">
        <v>506.53446297708</v>
      </c>
      <c r="AX47" s="9" t="n">
        <v>473.3999980596</v>
      </c>
      <c r="AY47" s="9" t="n">
        <v>517.683671817776</v>
      </c>
      <c r="AZ47" s="9" t="n">
        <v>544.412200428936</v>
      </c>
      <c r="BA47" s="9" t="n">
        <v>753.34517371863</v>
      </c>
      <c r="BB47" s="9" t="n">
        <v>787.046886569643</v>
      </c>
      <c r="BC47" s="9" t="n">
        <v>798.242681106296</v>
      </c>
      <c r="BD47" s="9" t="n">
        <v>732.165646572594</v>
      </c>
      <c r="BE47" s="9" t="n">
        <v>12.6542835357331</v>
      </c>
      <c r="BF47" s="9" t="n">
        <v>10.977381</v>
      </c>
      <c r="BG47" s="9" t="n">
        <v>12.1692109371428</v>
      </c>
      <c r="BH47" s="9" t="n">
        <v>12.1387879098</v>
      </c>
      <c r="BI47" s="9" t="n">
        <v>39.6047419939799</v>
      </c>
      <c r="BJ47" s="9" t="n">
        <v>34.7431737090864</v>
      </c>
      <c r="BK47" s="9" t="n">
        <v>38.5152897117872</v>
      </c>
      <c r="BL47" s="9" t="n">
        <v>38.4190014875077</v>
      </c>
      <c r="BM47" s="9" t="n">
        <v>1121.08068754044</v>
      </c>
      <c r="BN47" s="9" t="n">
        <v>893.2905359172</v>
      </c>
      <c r="BO47" s="9" t="n">
        <v>990.276365531068</v>
      </c>
      <c r="BP47" s="9" t="n">
        <v>987.80067461724</v>
      </c>
      <c r="BQ47" s="9" t="n">
        <v>602.823063070758</v>
      </c>
      <c r="BR47" s="9" t="n">
        <v>1928.12640734932</v>
      </c>
      <c r="BS47" s="9" t="n">
        <v>1639.0081911708</v>
      </c>
      <c r="BT47" s="9" t="n">
        <v>1816.95765192649</v>
      </c>
      <c r="BU47" s="9" t="n">
        <v>1812.41525779667</v>
      </c>
      <c r="BV47" s="9" t="n">
        <v>1421.47636690023</v>
      </c>
      <c r="BW47" s="9" t="n">
        <v>991.300771010802</v>
      </c>
      <c r="BX47" s="9" t="n">
        <v>1324.87673199559</v>
      </c>
      <c r="BY47" s="9" t="n">
        <v>1323.29188317999</v>
      </c>
      <c r="BZ47" s="9" t="n">
        <v>533.286468465338</v>
      </c>
      <c r="CA47" s="9" t="n">
        <v>2.84976471990081</v>
      </c>
      <c r="CB47" s="9" t="n">
        <v>0.24</v>
      </c>
      <c r="CC47" s="9" t="n">
        <v>0.791</v>
      </c>
      <c r="CD47" s="9" t="n">
        <v>4684.182</v>
      </c>
      <c r="CE47" s="9" t="n">
        <v>70.09</v>
      </c>
      <c r="CF47" s="9" t="n">
        <v>103.15</v>
      </c>
      <c r="CG47" s="9" t="n">
        <v>204.73</v>
      </c>
      <c r="CH47" s="9" t="n">
        <v>82.67</v>
      </c>
      <c r="CI47" s="9" t="n">
        <v>18.91</v>
      </c>
      <c r="CJ47" s="9" t="n">
        <v>89.62</v>
      </c>
      <c r="CK47" s="9" t="n">
        <v>499.89</v>
      </c>
      <c r="CL47" s="9" t="n">
        <v>136.03</v>
      </c>
      <c r="CM47" s="9" t="n">
        <v>742.151</v>
      </c>
      <c r="CN47" s="9" t="n">
        <v>744.658</v>
      </c>
      <c r="CO47" s="9" t="n">
        <v>1</v>
      </c>
      <c r="CP47" s="9" t="n">
        <v>4</v>
      </c>
      <c r="CQ47" s="9" t="n">
        <v>0.5</v>
      </c>
      <c r="CR47" s="9" t="n">
        <v>0.3</v>
      </c>
      <c r="CS47" s="9" t="n">
        <v>0.6</v>
      </c>
      <c r="CT47" s="9" t="n">
        <v>0.8</v>
      </c>
      <c r="CU47" s="9" t="n">
        <v>0.8</v>
      </c>
      <c r="CV47" s="9" t="n">
        <v>0.7</v>
      </c>
      <c r="CW47" s="9" t="n">
        <v>0.5</v>
      </c>
      <c r="CX47" s="9" t="n">
        <v>0.5</v>
      </c>
      <c r="CY47" s="9" t="n">
        <v>1</v>
      </c>
      <c r="CZ47" s="9" t="n">
        <v>0.3</v>
      </c>
      <c r="DA47" s="9" t="n">
        <v>0.8</v>
      </c>
      <c r="DB47" s="9" t="n">
        <v>0.781192275902922</v>
      </c>
      <c r="DC47" s="9" t="n">
        <v>6.908</v>
      </c>
      <c r="DD47" s="9" t="n">
        <v>7.042</v>
      </c>
      <c r="DE47" s="9" t="n">
        <v>12.20107</v>
      </c>
      <c r="DF47" s="9" t="n">
        <v>22.2831416061964</v>
      </c>
      <c r="DG47" s="9" t="n">
        <v>24.4808225625927</v>
      </c>
      <c r="DH47" s="9" t="n">
        <v>18.6307762763938</v>
      </c>
      <c r="DI47" s="9" t="n">
        <v>21.6940169399187</v>
      </c>
      <c r="DJ47" s="9" t="n">
        <v>17.078</v>
      </c>
      <c r="DK47" s="9" t="n">
        <v>17.078</v>
      </c>
      <c r="DL47" s="9" t="n">
        <v>30.69843</v>
      </c>
      <c r="DM47" s="9" t="n">
        <v>13.4947462084719</v>
      </c>
      <c r="DN47" s="9" t="n">
        <v>13.4947462084719</v>
      </c>
      <c r="DO47" s="9" t="n">
        <v>0.0232</v>
      </c>
    </row>
    <row r="48" customFormat="false" ht="15" hidden="false" customHeight="false" outlineLevel="0" collapsed="false">
      <c r="A48" s="9" t="s">
        <v>1014</v>
      </c>
      <c r="B48" s="9" t="s">
        <v>1015</v>
      </c>
      <c r="C48" s="9" t="n">
        <v>0.005</v>
      </c>
      <c r="D48" s="9" t="n">
        <v>0.005</v>
      </c>
      <c r="E48" s="9" t="n">
        <v>0.01</v>
      </c>
      <c r="F48" s="9" t="n">
        <v>0.005</v>
      </c>
      <c r="G48" s="9" t="n">
        <v>0.005</v>
      </c>
      <c r="H48" s="9" t="n">
        <v>0.01</v>
      </c>
      <c r="I48" s="9" t="n">
        <v>0.005</v>
      </c>
      <c r="J48" s="9" t="n">
        <v>0.005</v>
      </c>
      <c r="K48" s="9" t="n">
        <v>0.01</v>
      </c>
      <c r="L48" s="9" t="n">
        <v>0.01</v>
      </c>
      <c r="M48" s="9" t="n">
        <v>0.005</v>
      </c>
      <c r="N48" s="9" t="n">
        <v>0.419418</v>
      </c>
      <c r="O48" s="9" t="n">
        <v>0.297268</v>
      </c>
      <c r="P48" s="9" t="n">
        <v>3.015311</v>
      </c>
      <c r="Q48" s="9" t="n">
        <v>0.235740855590225</v>
      </c>
      <c r="R48" s="9" t="n">
        <v>0.0562486309592236</v>
      </c>
      <c r="S48" s="9" t="n">
        <v>0.211370791436457</v>
      </c>
      <c r="T48" s="9" t="n">
        <v>0.16194920247854</v>
      </c>
      <c r="U48" s="9" t="n">
        <v>0.025426</v>
      </c>
      <c r="V48" s="9" t="n">
        <v>0.000842</v>
      </c>
      <c r="W48" s="9" t="n">
        <v>0.007247</v>
      </c>
      <c r="X48" s="9" t="n">
        <v>-4.45839812429085</v>
      </c>
      <c r="Y48" s="9" t="n">
        <v>-4.45839812429085</v>
      </c>
      <c r="Z48" s="9" t="n">
        <v>0.12</v>
      </c>
      <c r="AA48" s="9" t="n">
        <v>0</v>
      </c>
      <c r="AB48" s="9" t="n">
        <v>0.08</v>
      </c>
      <c r="AC48" s="9" t="n">
        <v>0</v>
      </c>
      <c r="AD48" s="9" t="n">
        <v>0</v>
      </c>
      <c r="AE48" s="9" t="n">
        <v>0.776</v>
      </c>
      <c r="AF48" s="9" t="n">
        <v>0</v>
      </c>
      <c r="AG48" s="9" t="n">
        <v>0</v>
      </c>
      <c r="AH48" s="9" t="n">
        <v>0</v>
      </c>
      <c r="AI48" s="9" t="n">
        <v>0</v>
      </c>
      <c r="AJ48" s="9" t="n">
        <v>0</v>
      </c>
      <c r="AK48" s="9" t="n">
        <v>0</v>
      </c>
      <c r="AL48" s="9" t="n">
        <v>0</v>
      </c>
      <c r="AM48" s="9" t="n">
        <v>0</v>
      </c>
      <c r="AN48" s="9" t="n">
        <v>0</v>
      </c>
      <c r="AO48" s="9" t="n">
        <v>1.39082249798795</v>
      </c>
      <c r="AP48" s="9" t="n">
        <v>1.31245884</v>
      </c>
      <c r="AQ48" s="9" t="n">
        <v>1.34691088455</v>
      </c>
      <c r="AR48" s="9" t="n">
        <v>1.30842771642</v>
      </c>
      <c r="AS48" s="9" t="n">
        <v>0.96255061743546</v>
      </c>
      <c r="AT48" s="9" t="n">
        <v>0.8756775936</v>
      </c>
      <c r="AU48" s="9" t="n">
        <v>0.87853391695149</v>
      </c>
      <c r="AV48" s="9" t="n">
        <v>0.902872711160289</v>
      </c>
      <c r="AW48" s="9" t="n">
        <v>1.45932256732982</v>
      </c>
      <c r="AX48" s="9" t="n">
        <v>1.3131563256</v>
      </c>
      <c r="AY48" s="9" t="n">
        <v>1.33194488471452</v>
      </c>
      <c r="AZ48" s="9" t="n">
        <v>1.3688449198993</v>
      </c>
      <c r="BA48" s="9" t="n">
        <v>0.828935274326263</v>
      </c>
      <c r="BB48" s="9" t="n">
        <v>0.899685615738381</v>
      </c>
      <c r="BC48" s="9" t="n">
        <v>0.704810413360594</v>
      </c>
      <c r="BD48" s="9" t="n">
        <v>0.7836443419575</v>
      </c>
      <c r="BE48" s="9" t="n">
        <v>0.329209675621601</v>
      </c>
      <c r="BF48" s="9" t="n">
        <v>0.318637046905517</v>
      </c>
      <c r="BG48" s="9" t="n">
        <v>0.327001269386787</v>
      </c>
      <c r="BH48" s="9" t="n">
        <v>0.317658375975736</v>
      </c>
      <c r="BI48" s="9" t="n">
        <v>0.421049636951805</v>
      </c>
      <c r="BJ48" s="9" t="n">
        <v>0.383929699999999</v>
      </c>
      <c r="BK48" s="9" t="n">
        <v>0.394007854624999</v>
      </c>
      <c r="BL48" s="9" t="n">
        <v>0.382750487349999</v>
      </c>
      <c r="BM48" s="9" t="n">
        <v>0</v>
      </c>
      <c r="BN48" s="9" t="n">
        <v>0</v>
      </c>
      <c r="BO48" s="9" t="n">
        <v>0</v>
      </c>
      <c r="BP48" s="9" t="n">
        <v>0</v>
      </c>
      <c r="BQ48" s="9" t="n">
        <v>0</v>
      </c>
      <c r="BR48" s="9" t="n">
        <v>0</v>
      </c>
      <c r="BS48" s="9" t="n">
        <v>0</v>
      </c>
      <c r="BT48" s="9" t="n">
        <v>0</v>
      </c>
      <c r="BU48" s="9" t="n">
        <v>0</v>
      </c>
      <c r="BV48" s="9" t="n">
        <v>2.54305699351316</v>
      </c>
      <c r="BW48" s="9" t="n">
        <v>2.53802222553485</v>
      </c>
      <c r="BX48" s="9" t="n">
        <v>2.53872864522411</v>
      </c>
      <c r="BY48" s="9" t="n">
        <v>2.46639145365146</v>
      </c>
      <c r="BZ48" s="9" t="n">
        <v>0.672742551323688</v>
      </c>
      <c r="CA48" s="9" t="n">
        <v>0</v>
      </c>
      <c r="CB48" s="9" t="n">
        <v>6</v>
      </c>
      <c r="CC48" s="9" t="n">
        <v>6</v>
      </c>
      <c r="CD48" s="9" t="n">
        <v>4.152</v>
      </c>
      <c r="CE48" s="9" t="n">
        <v>0</v>
      </c>
      <c r="CF48" s="9" t="n">
        <v>0</v>
      </c>
      <c r="CG48" s="9" t="n">
        <v>0.13</v>
      </c>
      <c r="CH48" s="9" t="n">
        <v>0</v>
      </c>
      <c r="CI48" s="9" t="n">
        <v>0.13</v>
      </c>
      <c r="CJ48" s="9" t="n">
        <v>0</v>
      </c>
      <c r="CK48" s="9" t="n">
        <v>0.2</v>
      </c>
      <c r="CL48" s="9" t="n">
        <v>0.07</v>
      </c>
      <c r="CM48" s="9" t="n">
        <v>2.266</v>
      </c>
      <c r="CN48" s="9" t="n">
        <v>2.266</v>
      </c>
      <c r="CO48" s="9" t="n">
        <v>3</v>
      </c>
      <c r="CP48" s="9" t="n">
        <v>2</v>
      </c>
      <c r="CQ48" s="9" t="n">
        <v>0.5</v>
      </c>
      <c r="CR48" s="9" t="n">
        <v>0.3</v>
      </c>
      <c r="CS48" s="9" t="n">
        <v>0.6</v>
      </c>
      <c r="CT48" s="9" t="n">
        <v>0.8</v>
      </c>
      <c r="CU48" s="9" t="n">
        <v>0.8</v>
      </c>
      <c r="CV48" s="9" t="n">
        <v>0.7</v>
      </c>
      <c r="CW48" s="9" t="n">
        <v>0.5</v>
      </c>
      <c r="CX48" s="9" t="n">
        <v>0.5</v>
      </c>
      <c r="CY48" s="9" t="n">
        <v>1</v>
      </c>
      <c r="CZ48" s="9" t="n">
        <v>0.3</v>
      </c>
      <c r="DA48" s="9" t="n">
        <v>0.8</v>
      </c>
      <c r="DB48" s="9" t="n">
        <v>0.454217262881523</v>
      </c>
      <c r="DC48" s="9" t="n">
        <v>7.124</v>
      </c>
      <c r="DD48" s="9" t="n">
        <v>5.575</v>
      </c>
      <c r="DE48" s="9" t="n">
        <v>13.4123</v>
      </c>
      <c r="DF48" s="9" t="n">
        <v>20.1665683966217</v>
      </c>
      <c r="DG48" s="9" t="n">
        <v>22.6481523740239</v>
      </c>
      <c r="DH48" s="9" t="n">
        <v>18.9992645216477</v>
      </c>
      <c r="DI48" s="9" t="n">
        <v>20.8489330296918</v>
      </c>
      <c r="DJ48" s="9" t="n">
        <v>7.059</v>
      </c>
      <c r="DK48" s="9" t="n">
        <v>5.735</v>
      </c>
      <c r="DL48" s="9" t="n">
        <v>16.5</v>
      </c>
      <c r="DM48" s="9" t="n">
        <v>14.1151699748315</v>
      </c>
      <c r="DN48" s="9" t="n">
        <v>14.1151699748315</v>
      </c>
      <c r="DO48" s="9" t="n">
        <v>0.105</v>
      </c>
    </row>
    <row r="49" customFormat="false" ht="15" hidden="false" customHeight="false" outlineLevel="0" collapsed="false">
      <c r="A49" s="9" t="s">
        <v>1058</v>
      </c>
      <c r="B49" s="9" t="s">
        <v>1059</v>
      </c>
      <c r="C49" s="9" t="n">
        <v>0.005</v>
      </c>
      <c r="D49" s="9" t="n">
        <v>0.005</v>
      </c>
      <c r="E49" s="9" t="n">
        <v>0.01</v>
      </c>
      <c r="F49" s="9" t="n">
        <v>0.005</v>
      </c>
      <c r="G49" s="9" t="n">
        <v>0.005</v>
      </c>
      <c r="H49" s="9" t="n">
        <v>0.01</v>
      </c>
      <c r="I49" s="9" t="n">
        <v>0.005</v>
      </c>
      <c r="J49" s="9" t="n">
        <v>0.005</v>
      </c>
      <c r="K49" s="9" t="n">
        <v>0.01</v>
      </c>
      <c r="L49" s="9" t="n">
        <v>0.01</v>
      </c>
      <c r="M49" s="9" t="n">
        <v>0.005</v>
      </c>
      <c r="N49" s="9" t="n">
        <v>0</v>
      </c>
      <c r="O49" s="9" t="n">
        <v>0</v>
      </c>
      <c r="P49" s="9" t="n">
        <v>0</v>
      </c>
      <c r="Q49" s="9" t="n">
        <v>0</v>
      </c>
      <c r="R49" s="9" t="n">
        <v>0</v>
      </c>
      <c r="S49" s="9" t="n">
        <v>0</v>
      </c>
      <c r="T49" s="9" t="n">
        <v>0</v>
      </c>
      <c r="U49" s="9" t="n">
        <v>0</v>
      </c>
      <c r="V49" s="9" t="n">
        <v>0</v>
      </c>
      <c r="W49" s="9" t="n">
        <v>0</v>
      </c>
      <c r="X49" s="9" t="n">
        <v>0</v>
      </c>
      <c r="Y49" s="9" t="n">
        <v>0</v>
      </c>
      <c r="Z49" s="9" t="n">
        <v>0.02</v>
      </c>
      <c r="AA49" s="9" t="n">
        <v>0</v>
      </c>
      <c r="AB49" s="9" t="n">
        <v>0</v>
      </c>
      <c r="AC49" s="9" t="n">
        <v>0</v>
      </c>
      <c r="AD49" s="9" t="n">
        <v>0</v>
      </c>
      <c r="AE49" s="9" t="n">
        <v>0.07</v>
      </c>
      <c r="AF49" s="9" t="n">
        <v>0</v>
      </c>
      <c r="AG49" s="9" t="n">
        <v>0</v>
      </c>
      <c r="AH49" s="9" t="n">
        <v>0</v>
      </c>
      <c r="AI49" s="9" t="n">
        <v>0</v>
      </c>
      <c r="AJ49" s="9" t="n">
        <v>0</v>
      </c>
      <c r="AK49" s="9" t="n">
        <v>0</v>
      </c>
      <c r="AL49" s="9" t="n">
        <v>0</v>
      </c>
      <c r="AM49" s="9" t="n">
        <v>0</v>
      </c>
      <c r="AN49" s="9" t="n">
        <v>0</v>
      </c>
      <c r="AO49" s="9" t="n">
        <v>0.245564683828819</v>
      </c>
      <c r="AP49" s="9" t="n">
        <v>0.220275842</v>
      </c>
      <c r="AQ49" s="9" t="n">
        <v>0.239627735121161</v>
      </c>
      <c r="AR49" s="9" t="n">
        <v>0.235793691359222</v>
      </c>
      <c r="AS49" s="9" t="n">
        <v>0.370795564245108</v>
      </c>
      <c r="AT49" s="9" t="n">
        <v>0.316857024299463</v>
      </c>
      <c r="AU49" s="9" t="n">
        <v>0.359075531102428</v>
      </c>
      <c r="AV49" s="9" t="n">
        <v>0.362597679394444</v>
      </c>
      <c r="AW49" s="9" t="n">
        <v>0.192087025881486</v>
      </c>
      <c r="AX49" s="9" t="n">
        <v>0.165629808</v>
      </c>
      <c r="AY49" s="9" t="n">
        <v>0.186015577011289</v>
      </c>
      <c r="AZ49" s="9" t="n">
        <v>0.187840191584293</v>
      </c>
      <c r="BA49" s="9" t="n">
        <v>0.450350069400269</v>
      </c>
      <c r="BB49" s="9" t="n">
        <v>0.391955512013364</v>
      </c>
      <c r="BC49" s="9" t="n">
        <v>0.43596531</v>
      </c>
      <c r="BD49" s="9" t="n">
        <v>0.424252646203265</v>
      </c>
      <c r="BE49" s="9" t="n">
        <v>0.0070245476122</v>
      </c>
      <c r="BF49" s="9" t="n">
        <v>0.0064546949999999</v>
      </c>
      <c r="BG49" s="9" t="n">
        <v>0.00702175930735</v>
      </c>
      <c r="BH49" s="9" t="n">
        <v>0.0069094111584324</v>
      </c>
      <c r="BI49" s="9" t="n">
        <v>0.117713648571519</v>
      </c>
      <c r="BJ49" s="9" t="n">
        <v>0.1064679</v>
      </c>
      <c r="BK49" s="9" t="n">
        <v>0.115821424212766</v>
      </c>
      <c r="BL49" s="9" t="n">
        <v>0.113968281425361</v>
      </c>
      <c r="BM49" s="9" t="n">
        <v>0</v>
      </c>
      <c r="BN49" s="9" t="n">
        <v>0</v>
      </c>
      <c r="BO49" s="9" t="n">
        <v>0</v>
      </c>
      <c r="BP49" s="9" t="n">
        <v>0</v>
      </c>
      <c r="BQ49" s="9" t="n">
        <v>0</v>
      </c>
      <c r="BR49" s="9" t="n">
        <v>0</v>
      </c>
      <c r="BS49" s="9" t="n">
        <v>0</v>
      </c>
      <c r="BT49" s="9" t="n">
        <v>0</v>
      </c>
      <c r="BU49" s="9" t="n">
        <v>0</v>
      </c>
      <c r="BV49" s="9" t="n">
        <v>1.41972132553255</v>
      </c>
      <c r="BW49" s="9" t="n">
        <v>1.41524700227282</v>
      </c>
      <c r="BX49" s="9" t="n">
        <v>1.4762879057804</v>
      </c>
      <c r="BY49" s="9" t="n">
        <v>1.43849831890696</v>
      </c>
      <c r="BZ49" s="9" t="n">
        <v>0.156356275035165</v>
      </c>
      <c r="CA49" s="9" t="n">
        <v>-0.317460317460324</v>
      </c>
      <c r="CB49" s="9" t="n">
        <v>4.542</v>
      </c>
      <c r="CC49" s="9" t="n">
        <v>3.137</v>
      </c>
      <c r="CD49" s="9" t="n">
        <v>0.689</v>
      </c>
      <c r="CE49" s="9" t="n">
        <v>0.02</v>
      </c>
      <c r="CF49" s="9" t="n">
        <v>0</v>
      </c>
      <c r="CG49" s="9" t="n">
        <v>0.13</v>
      </c>
      <c r="CH49" s="9" t="n">
        <v>0</v>
      </c>
      <c r="CI49" s="9" t="n">
        <v>0.13</v>
      </c>
      <c r="CJ49" s="9" t="n">
        <v>0</v>
      </c>
      <c r="CK49" s="9" t="n">
        <v>0.15</v>
      </c>
      <c r="CL49" s="9" t="n">
        <v>0</v>
      </c>
      <c r="CM49" s="9" t="n">
        <v>0.147</v>
      </c>
      <c r="CN49" s="9" t="n">
        <v>0.133</v>
      </c>
      <c r="CO49" s="9" t="n">
        <v>3</v>
      </c>
      <c r="CP49" s="9" t="n">
        <v>3</v>
      </c>
      <c r="CQ49" s="9" t="n">
        <v>0.5</v>
      </c>
      <c r="CR49" s="9" t="n">
        <v>0.3</v>
      </c>
      <c r="CS49" s="9" t="n">
        <v>0.6</v>
      </c>
      <c r="CT49" s="9" t="n">
        <v>0.8</v>
      </c>
      <c r="CU49" s="9" t="n">
        <v>0.8</v>
      </c>
      <c r="CV49" s="9" t="n">
        <v>0.7</v>
      </c>
      <c r="CW49" s="9" t="n">
        <v>0.5</v>
      </c>
      <c r="CX49" s="9" t="n">
        <v>0.5</v>
      </c>
      <c r="CY49" s="9" t="n">
        <v>1</v>
      </c>
      <c r="CZ49" s="9" t="n">
        <v>0.3</v>
      </c>
      <c r="DA49" s="9" t="n">
        <v>0.8</v>
      </c>
      <c r="DB49" s="9" t="n">
        <v>0.504392386530015</v>
      </c>
      <c r="DC49" s="9" t="n">
        <v>7.124</v>
      </c>
      <c r="DD49" s="9" t="n">
        <v>5.575</v>
      </c>
      <c r="DE49" s="9" t="n">
        <v>14.02195</v>
      </c>
      <c r="DF49" s="9" t="n">
        <v>17.7106752908351</v>
      </c>
      <c r="DG49" s="9" t="n">
        <v>24.861494537849</v>
      </c>
      <c r="DH49" s="9" t="n">
        <v>17.3038477210545</v>
      </c>
      <c r="DI49" s="9" t="n">
        <v>23.573519863917</v>
      </c>
      <c r="DJ49" s="9" t="n">
        <v>8.176</v>
      </c>
      <c r="DK49" s="9" t="n">
        <v>6.853</v>
      </c>
      <c r="DL49" s="9" t="n">
        <v>18.5357</v>
      </c>
      <c r="DM49" s="9" t="n">
        <v>13.5035465102161</v>
      </c>
      <c r="DN49" s="9" t="n">
        <v>13.5035465102161</v>
      </c>
      <c r="DO49" s="9" t="n">
        <v>0.105</v>
      </c>
    </row>
    <row r="50" customFormat="false" ht="15" hidden="false" customHeight="false" outlineLevel="0" collapsed="false">
      <c r="A50" s="9" t="s">
        <v>768</v>
      </c>
      <c r="B50" s="9" t="s">
        <v>769</v>
      </c>
      <c r="C50" s="9" t="n">
        <v>0.005</v>
      </c>
      <c r="D50" s="9" t="n">
        <v>0.005</v>
      </c>
      <c r="E50" s="9" t="n">
        <v>0.01</v>
      </c>
      <c r="F50" s="9" t="n">
        <v>0.005</v>
      </c>
      <c r="G50" s="9" t="n">
        <v>0.005</v>
      </c>
      <c r="H50" s="9" t="n">
        <v>0.01</v>
      </c>
      <c r="I50" s="9" t="n">
        <v>0.005</v>
      </c>
      <c r="J50" s="9" t="n">
        <v>0.005</v>
      </c>
      <c r="K50" s="9" t="n">
        <v>0.01</v>
      </c>
      <c r="L50" s="9" t="n">
        <v>0.01</v>
      </c>
      <c r="M50" s="9" t="n">
        <v>0.005</v>
      </c>
      <c r="N50" s="9" t="n">
        <v>4.174218</v>
      </c>
      <c r="O50" s="9" t="n">
        <v>1.222986</v>
      </c>
      <c r="P50" s="9" t="n">
        <v>62.278962</v>
      </c>
      <c r="Q50" s="9" t="n">
        <v>3.73045424892593</v>
      </c>
      <c r="R50" s="9" t="n">
        <v>0.767692296253847</v>
      </c>
      <c r="S50" s="9" t="n">
        <v>5.17896850806209</v>
      </c>
      <c r="T50" s="9" t="n">
        <v>3.7977184956788</v>
      </c>
      <c r="U50" s="9" t="n">
        <v>0.776794</v>
      </c>
      <c r="V50" s="9" t="n">
        <v>0.058575</v>
      </c>
      <c r="W50" s="9" t="n">
        <v>0.216825</v>
      </c>
      <c r="X50" s="9" t="n">
        <v>0.328960683394288</v>
      </c>
      <c r="Y50" s="9" t="n">
        <v>0.328960683394288</v>
      </c>
      <c r="Z50" s="9" t="n">
        <v>2.14</v>
      </c>
      <c r="AA50" s="9" t="n">
        <v>5.05</v>
      </c>
      <c r="AB50" s="9" t="n">
        <v>7.55</v>
      </c>
      <c r="AC50" s="9" t="n">
        <v>0</v>
      </c>
      <c r="AD50" s="9" t="n">
        <v>0</v>
      </c>
      <c r="AE50" s="9" t="n">
        <v>32.152</v>
      </c>
      <c r="AF50" s="9" t="n">
        <v>5.02999080232581</v>
      </c>
      <c r="AG50" s="9" t="n">
        <v>4.385170584</v>
      </c>
      <c r="AH50" s="9" t="n">
        <v>4.63413107088863</v>
      </c>
      <c r="AI50" s="9" t="n">
        <v>4.67429354016967</v>
      </c>
      <c r="AJ50" s="9" t="n">
        <v>18.9928986659488</v>
      </c>
      <c r="AK50" s="9" t="n">
        <v>1.70231509072049</v>
      </c>
      <c r="AL50" s="9" t="n">
        <v>1.4840866224</v>
      </c>
      <c r="AM50" s="9" t="n">
        <v>1.56834307742725</v>
      </c>
      <c r="AN50" s="9" t="n">
        <v>1.58193538409829</v>
      </c>
      <c r="AO50" s="9" t="n">
        <v>114.660399035909</v>
      </c>
      <c r="AP50" s="9" t="n">
        <v>105.346740644786</v>
      </c>
      <c r="AQ50" s="9" t="n">
        <v>111.327619915196</v>
      </c>
      <c r="AR50" s="9" t="n">
        <v>112.292459287794</v>
      </c>
      <c r="AS50" s="9" t="n">
        <v>81.0694420328005</v>
      </c>
      <c r="AT50" s="9" t="n">
        <v>76.5674489628</v>
      </c>
      <c r="AU50" s="9" t="n">
        <v>77.8705820415969</v>
      </c>
      <c r="AV50" s="9" t="n">
        <v>70.7857809650083</v>
      </c>
      <c r="AW50" s="9" t="n">
        <v>41.736431634105</v>
      </c>
      <c r="AX50" s="9" t="n">
        <v>39.017563758</v>
      </c>
      <c r="AY50" s="9" t="n">
        <v>40.0855050132459</v>
      </c>
      <c r="AZ50" s="9" t="n">
        <v>36.408654700267</v>
      </c>
      <c r="BA50" s="9" t="n">
        <v>54.7425929323502</v>
      </c>
      <c r="BB50" s="9" t="n">
        <v>50.7695387103422</v>
      </c>
      <c r="BC50" s="9" t="n">
        <v>50.3451337729882</v>
      </c>
      <c r="BD50" s="9" t="n">
        <v>54.1168790560279</v>
      </c>
      <c r="BE50" s="9" t="n">
        <v>0.361127493833166</v>
      </c>
      <c r="BF50" s="9" t="n">
        <v>0.322159590987224</v>
      </c>
      <c r="BG50" s="9" t="n">
        <v>0.340449645408519</v>
      </c>
      <c r="BH50" s="9" t="n">
        <v>0.343400209002059</v>
      </c>
      <c r="BI50" s="9" t="n">
        <v>0.952994306184397</v>
      </c>
      <c r="BJ50" s="9" t="n">
        <v>0.865691709999999</v>
      </c>
      <c r="BK50" s="9" t="n">
        <v>0.914839861819548</v>
      </c>
      <c r="BL50" s="9" t="n">
        <v>0.922768473955317</v>
      </c>
      <c r="BM50" s="9" t="n">
        <v>49.6530821472956</v>
      </c>
      <c r="BN50" s="9" t="n">
        <v>40.875602796</v>
      </c>
      <c r="BO50" s="9" t="n">
        <v>43.1962445541767</v>
      </c>
      <c r="BP50" s="9" t="n">
        <v>43.5706120069796</v>
      </c>
      <c r="BQ50" s="9" t="n">
        <v>15.2700430339297</v>
      </c>
      <c r="BR50" s="9" t="n">
        <v>61.8587243709662</v>
      </c>
      <c r="BS50" s="9" t="n">
        <v>51.0141525228</v>
      </c>
      <c r="BT50" s="9" t="n">
        <v>53.9103929328372</v>
      </c>
      <c r="BU50" s="9" t="n">
        <v>54.3776163382551</v>
      </c>
      <c r="BV50" s="9" t="n">
        <v>72.094642131364</v>
      </c>
      <c r="BW50" s="9" t="n">
        <v>65.902694393578</v>
      </c>
      <c r="BX50" s="9" t="n">
        <v>68.2878214882786</v>
      </c>
      <c r="BY50" s="9" t="n">
        <v>67.9080112785156</v>
      </c>
      <c r="BZ50" s="9" t="n">
        <v>34.1127426852515</v>
      </c>
      <c r="CA50" s="9" t="n">
        <v>4.45932161675706</v>
      </c>
      <c r="CB50" s="9" t="n">
        <v>2.879</v>
      </c>
      <c r="CC50" s="9" t="n">
        <v>2</v>
      </c>
      <c r="CD50" s="9" t="n">
        <v>424.525</v>
      </c>
      <c r="CE50" s="9" t="n">
        <v>7.65</v>
      </c>
      <c r="CF50" s="9" t="n">
        <v>0.15</v>
      </c>
      <c r="CG50" s="9" t="n">
        <v>1.99</v>
      </c>
      <c r="CH50" s="9" t="n">
        <v>0.13</v>
      </c>
      <c r="CI50" s="9" t="n">
        <v>1.71</v>
      </c>
      <c r="CJ50" s="9" t="n">
        <v>4.61</v>
      </c>
      <c r="CK50" s="9" t="n">
        <v>34.53</v>
      </c>
      <c r="CL50" s="9" t="n">
        <v>20.28</v>
      </c>
      <c r="CM50" s="9" t="n">
        <v>46.771</v>
      </c>
      <c r="CN50" s="9" t="n">
        <v>49.102</v>
      </c>
      <c r="CO50" s="9" t="n">
        <v>1</v>
      </c>
      <c r="CP50" s="9" t="n">
        <v>4</v>
      </c>
      <c r="CQ50" s="9" t="n">
        <v>0.5</v>
      </c>
      <c r="CR50" s="9" t="n">
        <v>0.3</v>
      </c>
      <c r="CS50" s="9" t="n">
        <v>0.6</v>
      </c>
      <c r="CT50" s="9" t="n">
        <v>0.8</v>
      </c>
      <c r="CU50" s="9" t="n">
        <v>0.8</v>
      </c>
      <c r="CV50" s="9" t="n">
        <v>0.7</v>
      </c>
      <c r="CW50" s="9" t="n">
        <v>0.5</v>
      </c>
      <c r="CX50" s="9" t="n">
        <v>0.5</v>
      </c>
      <c r="CY50" s="9" t="n">
        <v>1</v>
      </c>
      <c r="CZ50" s="9" t="n">
        <v>0.3</v>
      </c>
      <c r="DA50" s="9" t="n">
        <v>0.8</v>
      </c>
      <c r="DB50" s="9" t="n">
        <v>0.870522303128979</v>
      </c>
      <c r="DC50" s="9" t="n">
        <v>7.124</v>
      </c>
      <c r="DD50" s="9" t="n">
        <v>5.717</v>
      </c>
      <c r="DE50" s="9" t="n">
        <v>15.41875</v>
      </c>
      <c r="DF50" s="9" t="n">
        <v>22.8223532310735</v>
      </c>
      <c r="DG50" s="9" t="n">
        <v>25.8049673803694</v>
      </c>
      <c r="DH50" s="9" t="n">
        <v>17.2744693268067</v>
      </c>
      <c r="DI50" s="9" t="n">
        <v>21.3900179219967</v>
      </c>
      <c r="DJ50" s="9" t="n">
        <v>14.533</v>
      </c>
      <c r="DK50" s="9" t="n">
        <v>14.533</v>
      </c>
      <c r="DL50" s="9" t="n">
        <v>24.9625</v>
      </c>
      <c r="DM50" s="9" t="n">
        <v>13.4975675879071</v>
      </c>
      <c r="DN50" s="9" t="n">
        <v>13.4975675879071</v>
      </c>
      <c r="DO50" s="9" t="n">
        <v>0.0375</v>
      </c>
    </row>
    <row r="51" customFormat="false" ht="15" hidden="false" customHeight="false" outlineLevel="0" collapsed="false">
      <c r="A51" s="9" t="s">
        <v>818</v>
      </c>
      <c r="B51" s="9" t="s">
        <v>819</v>
      </c>
      <c r="C51" s="9" t="n">
        <v>0.005</v>
      </c>
      <c r="D51" s="9" t="n">
        <v>0.005</v>
      </c>
      <c r="E51" s="9" t="n">
        <v>0.01</v>
      </c>
      <c r="F51" s="9" t="n">
        <v>0.005</v>
      </c>
      <c r="G51" s="9" t="n">
        <v>0.005</v>
      </c>
      <c r="H51" s="9" t="n">
        <v>0.01</v>
      </c>
      <c r="I51" s="9" t="n">
        <v>0.005</v>
      </c>
      <c r="J51" s="9" t="n">
        <v>0.005</v>
      </c>
      <c r="K51" s="9" t="n">
        <v>0.01</v>
      </c>
      <c r="L51" s="9" t="n">
        <v>0.01</v>
      </c>
      <c r="M51" s="9" t="n">
        <v>0.005</v>
      </c>
      <c r="N51" s="9" t="n">
        <v>7.104669</v>
      </c>
      <c r="O51" s="9" t="n">
        <v>1.820806</v>
      </c>
      <c r="P51" s="9" t="n">
        <v>43.926925</v>
      </c>
      <c r="Q51" s="9" t="n">
        <v>19.9917469250056</v>
      </c>
      <c r="R51" s="9" t="n">
        <v>2.97966184478352</v>
      </c>
      <c r="S51" s="9" t="n">
        <v>2.59573610348323</v>
      </c>
      <c r="T51" s="9" t="n">
        <v>1.89428200091905</v>
      </c>
      <c r="U51" s="9" t="n">
        <v>0.432417</v>
      </c>
      <c r="V51" s="9" t="n">
        <v>0.065293</v>
      </c>
      <c r="W51" s="9" t="n">
        <v>0.126562</v>
      </c>
      <c r="X51" s="9" t="n">
        <v>11.501706887744</v>
      </c>
      <c r="Y51" s="9" t="n">
        <v>11.501706887744</v>
      </c>
      <c r="Z51" s="9" t="n">
        <v>5.75</v>
      </c>
      <c r="AA51" s="9" t="n">
        <v>2.08</v>
      </c>
      <c r="AB51" s="9" t="n">
        <v>0.48</v>
      </c>
      <c r="AC51" s="9" t="n">
        <v>0</v>
      </c>
      <c r="AD51" s="9" t="n">
        <v>0</v>
      </c>
      <c r="AE51" s="9" t="n">
        <v>27.041</v>
      </c>
      <c r="AF51" s="9" t="n">
        <v>3.13981633100245</v>
      </c>
      <c r="AG51" s="9" t="n">
        <v>2.6711532792</v>
      </c>
      <c r="AH51" s="9" t="n">
        <v>2.81860841196926</v>
      </c>
      <c r="AI51" s="9" t="n">
        <v>2.8608875381488</v>
      </c>
      <c r="AJ51" s="9" t="n">
        <v>92.5595890792751</v>
      </c>
      <c r="AK51" s="9" t="n">
        <v>0.680682164028627</v>
      </c>
      <c r="AL51" s="9" t="n">
        <v>0.5790804948</v>
      </c>
      <c r="AM51" s="9" t="n">
        <v>0.61104735791854</v>
      </c>
      <c r="AN51" s="9" t="n">
        <v>0.620213068287318</v>
      </c>
      <c r="AO51" s="9" t="n">
        <v>46.1689403758354</v>
      </c>
      <c r="AP51" s="9" t="n">
        <v>40.47237482</v>
      </c>
      <c r="AQ51" s="9" t="n">
        <v>42.7065631195041</v>
      </c>
      <c r="AR51" s="9" t="n">
        <v>43.3471615662966</v>
      </c>
      <c r="AS51" s="9" t="n">
        <v>57.1682196023021</v>
      </c>
      <c r="AT51" s="9" t="n">
        <v>46.268787348</v>
      </c>
      <c r="AU51" s="9" t="n">
        <v>51.6815641189135</v>
      </c>
      <c r="AV51" s="9" t="n">
        <v>53.9674421742797</v>
      </c>
      <c r="AW51" s="9" t="n">
        <v>26.0440439590016</v>
      </c>
      <c r="AX51" s="9" t="n">
        <v>21.281148522</v>
      </c>
      <c r="AY51" s="9" t="n">
        <v>23.5453526669303</v>
      </c>
      <c r="AZ51" s="9" t="n">
        <v>24.5867093192004</v>
      </c>
      <c r="BA51" s="9" t="n">
        <v>60.0561962383704</v>
      </c>
      <c r="BB51" s="9" t="n">
        <v>43.8757329154812</v>
      </c>
      <c r="BC51" s="9" t="n">
        <v>63.5486896974592</v>
      </c>
      <c r="BD51" s="9" t="n">
        <v>55.0553466382019</v>
      </c>
      <c r="BE51" s="9" t="n">
        <v>1.66946153549925</v>
      </c>
      <c r="BF51" s="9" t="n">
        <v>1.2476563</v>
      </c>
      <c r="BG51" s="9" t="n">
        <v>1.31653041770769</v>
      </c>
      <c r="BH51" s="9" t="n">
        <v>1.3362783739733</v>
      </c>
      <c r="BI51" s="9" t="n">
        <v>24.63261555507</v>
      </c>
      <c r="BJ51" s="9" t="n">
        <v>20.9575587599999</v>
      </c>
      <c r="BK51" s="9" t="n">
        <v>22.1144746260939</v>
      </c>
      <c r="BL51" s="9" t="n">
        <v>22.4461917454853</v>
      </c>
      <c r="BM51" s="9" t="n">
        <v>3.05498412418252</v>
      </c>
      <c r="BN51" s="9" t="n">
        <v>2.6479290996</v>
      </c>
      <c r="BO51" s="9" t="n">
        <v>2.79410219269261</v>
      </c>
      <c r="BP51" s="9" t="n">
        <v>2.83601372558299</v>
      </c>
      <c r="BQ51" s="9" t="n">
        <v>10.4479402887133</v>
      </c>
      <c r="BR51" s="9" t="n">
        <v>1.29187625350032</v>
      </c>
      <c r="BS51" s="9" t="n">
        <v>1.11389814</v>
      </c>
      <c r="BT51" s="9" t="n">
        <v>1.17538843312699</v>
      </c>
      <c r="BU51" s="9" t="n">
        <v>1.1930192596239</v>
      </c>
      <c r="BV51" s="9" t="n">
        <v>152.7317189092</v>
      </c>
      <c r="BW51" s="9" t="n">
        <v>111.683818617044</v>
      </c>
      <c r="BX51" s="9" t="n">
        <v>147.806970133416</v>
      </c>
      <c r="BY51" s="9" t="n">
        <v>144.489534062355</v>
      </c>
      <c r="BZ51" s="9" t="n">
        <v>23.1145176559177</v>
      </c>
      <c r="CA51" s="9" t="n">
        <v>1.79824968579202</v>
      </c>
      <c r="CB51" s="9" t="n">
        <v>2.117</v>
      </c>
      <c r="CC51" s="9" t="n">
        <v>3.72</v>
      </c>
      <c r="CD51" s="9" t="n">
        <v>124.613</v>
      </c>
      <c r="CE51" s="9" t="n">
        <v>1.74</v>
      </c>
      <c r="CF51" s="9" t="n">
        <v>6.59</v>
      </c>
      <c r="CG51" s="9" t="n">
        <v>17.28</v>
      </c>
      <c r="CH51" s="9" t="n">
        <v>6.07</v>
      </c>
      <c r="CI51" s="9" t="n">
        <v>4.62</v>
      </c>
      <c r="CJ51" s="9" t="n">
        <v>2.25</v>
      </c>
      <c r="CK51" s="9" t="n">
        <v>22.69</v>
      </c>
      <c r="CL51" s="9" t="n">
        <v>1.42</v>
      </c>
      <c r="CM51" s="9" t="n">
        <v>45.849</v>
      </c>
      <c r="CN51" s="9" t="n">
        <v>44.292</v>
      </c>
      <c r="CO51" s="9" t="n">
        <v>3</v>
      </c>
      <c r="CP51" s="9" t="n">
        <v>3</v>
      </c>
      <c r="CQ51" s="9" t="n">
        <v>0.5</v>
      </c>
      <c r="CR51" s="9" t="n">
        <v>0.3</v>
      </c>
      <c r="CS51" s="9" t="n">
        <v>0.6</v>
      </c>
      <c r="CT51" s="9" t="n">
        <v>0.8</v>
      </c>
      <c r="CU51" s="9" t="n">
        <v>0.8</v>
      </c>
      <c r="CV51" s="9" t="n">
        <v>0.7</v>
      </c>
      <c r="CW51" s="9" t="n">
        <v>0.5</v>
      </c>
      <c r="CX51" s="9" t="n">
        <v>0.5</v>
      </c>
      <c r="CY51" s="9" t="n">
        <v>1</v>
      </c>
      <c r="CZ51" s="9" t="n">
        <v>0.3</v>
      </c>
      <c r="DA51" s="9" t="n">
        <v>0.8</v>
      </c>
      <c r="DB51" s="9" t="n">
        <v>0.395357100932451</v>
      </c>
      <c r="DC51" s="9" t="n">
        <v>7.124</v>
      </c>
      <c r="DD51" s="9" t="n">
        <v>5.575</v>
      </c>
      <c r="DE51" s="9" t="n">
        <v>14.38774</v>
      </c>
      <c r="DF51" s="9" t="n">
        <v>18.5763633326442</v>
      </c>
      <c r="DG51" s="9" t="n">
        <v>25.3637001590518</v>
      </c>
      <c r="DH51" s="9" t="n">
        <v>17.7552524442125</v>
      </c>
      <c r="DI51" s="9" t="n">
        <v>22.3409603648138</v>
      </c>
      <c r="DJ51" s="9" t="n">
        <v>12.771</v>
      </c>
      <c r="DK51" s="9" t="n">
        <v>11.447</v>
      </c>
      <c r="DL51" s="9" t="n">
        <v>24.44016</v>
      </c>
      <c r="DM51" s="9" t="n">
        <v>13.4947462084719</v>
      </c>
      <c r="DN51" s="9" t="n">
        <v>13.4947462084719</v>
      </c>
      <c r="DO51" s="9" t="n">
        <v>0.0771200000000001</v>
      </c>
    </row>
    <row r="52" customFormat="false" ht="15" hidden="false" customHeight="false" outlineLevel="0" collapsed="false">
      <c r="A52" s="9" t="s">
        <v>788</v>
      </c>
      <c r="B52" s="9" t="s">
        <v>789</v>
      </c>
      <c r="C52" s="9" t="n">
        <v>0.005</v>
      </c>
      <c r="D52" s="9" t="n">
        <v>0.005</v>
      </c>
      <c r="E52" s="9" t="n">
        <v>0.01</v>
      </c>
      <c r="F52" s="9" t="n">
        <v>0.005</v>
      </c>
      <c r="G52" s="9" t="n">
        <v>0.005</v>
      </c>
      <c r="H52" s="9" t="n">
        <v>0.01</v>
      </c>
      <c r="I52" s="9" t="n">
        <v>0.005</v>
      </c>
      <c r="J52" s="9" t="n">
        <v>0.005</v>
      </c>
      <c r="K52" s="9" t="n">
        <v>0.01</v>
      </c>
      <c r="L52" s="9" t="n">
        <v>0.01</v>
      </c>
      <c r="M52" s="9" t="n">
        <v>0.005</v>
      </c>
      <c r="N52" s="9" t="n">
        <v>0.510304</v>
      </c>
      <c r="O52" s="9" t="n">
        <v>1.323586</v>
      </c>
      <c r="P52" s="9" t="n">
        <v>72.799407</v>
      </c>
      <c r="Q52" s="9" t="n">
        <v>10.6983501089551</v>
      </c>
      <c r="R52" s="9" t="n">
        <v>2.22778322057871</v>
      </c>
      <c r="S52" s="9" t="n">
        <v>8.15029241465174</v>
      </c>
      <c r="T52" s="9" t="n">
        <v>2.74995564342782</v>
      </c>
      <c r="U52" s="9" t="n">
        <v>0.212522</v>
      </c>
      <c r="V52" s="9" t="n">
        <v>0.072375</v>
      </c>
      <c r="W52" s="9" t="n">
        <v>0.253686</v>
      </c>
      <c r="X52" s="9" t="n">
        <v>13.6399861041422</v>
      </c>
      <c r="Y52" s="9" t="n">
        <v>13.6399861041422</v>
      </c>
      <c r="Z52" s="9" t="n">
        <v>27.39</v>
      </c>
      <c r="AA52" s="9" t="n">
        <v>0.46</v>
      </c>
      <c r="AB52" s="9" t="n">
        <v>0.01</v>
      </c>
      <c r="AC52" s="9" t="n">
        <v>2.9</v>
      </c>
      <c r="AD52" s="9" t="n">
        <v>0.211760565929128</v>
      </c>
      <c r="AE52" s="9" t="n">
        <v>174.501</v>
      </c>
      <c r="AF52" s="9" t="n">
        <v>4.09220849133803</v>
      </c>
      <c r="AG52" s="9" t="n">
        <v>3.960943074</v>
      </c>
      <c r="AH52" s="9" t="n">
        <v>3.90813049968</v>
      </c>
      <c r="AI52" s="9" t="n">
        <v>3.71830701826697</v>
      </c>
      <c r="AJ52" s="9" t="n">
        <v>0</v>
      </c>
      <c r="AK52" s="9" t="n">
        <v>0</v>
      </c>
      <c r="AL52" s="9" t="n">
        <v>0</v>
      </c>
      <c r="AM52" s="9" t="n">
        <v>0</v>
      </c>
      <c r="AN52" s="9" t="n">
        <v>0</v>
      </c>
      <c r="AO52" s="9" t="n">
        <v>348.528506725053</v>
      </c>
      <c r="AP52" s="9" t="n">
        <v>361.76780954</v>
      </c>
      <c r="AQ52" s="9" t="n">
        <v>356.944238746133</v>
      </c>
      <c r="AR52" s="9" t="n">
        <v>339.606947149893</v>
      </c>
      <c r="AS52" s="9" t="n">
        <v>142.056819446968</v>
      </c>
      <c r="AT52" s="9" t="n">
        <v>139.433356278</v>
      </c>
      <c r="AU52" s="9" t="n">
        <v>132.21785375672</v>
      </c>
      <c r="AV52" s="9" t="n">
        <v>137.259046837841</v>
      </c>
      <c r="AW52" s="9" t="n">
        <v>91.6150086032748</v>
      </c>
      <c r="AX52" s="9" t="n">
        <v>89.8354809648</v>
      </c>
      <c r="AY52" s="9" t="n">
        <v>85.3194100914341</v>
      </c>
      <c r="AZ52" s="9" t="n">
        <v>88.5608356958994</v>
      </c>
      <c r="BA52" s="9" t="n">
        <v>147.225203267042</v>
      </c>
      <c r="BB52" s="9" t="n">
        <v>153.097250525344</v>
      </c>
      <c r="BC52" s="9" t="n">
        <v>148.222534215704</v>
      </c>
      <c r="BD52" s="9" t="n">
        <v>142.364671423303</v>
      </c>
      <c r="BE52" s="9" t="n">
        <v>0</v>
      </c>
      <c r="BF52" s="9" t="n">
        <v>0</v>
      </c>
      <c r="BG52" s="9" t="n">
        <v>0</v>
      </c>
      <c r="BH52" s="9" t="n">
        <v>0</v>
      </c>
      <c r="BI52" s="9" t="n">
        <v>60.0970336930649</v>
      </c>
      <c r="BJ52" s="9" t="n">
        <v>62.3270251499999</v>
      </c>
      <c r="BK52" s="9" t="n">
        <v>61.4959981479999</v>
      </c>
      <c r="BL52" s="9" t="n">
        <v>58.5090496665256</v>
      </c>
      <c r="BM52" s="9" t="n">
        <v>394.006448696216</v>
      </c>
      <c r="BN52" s="9" t="n">
        <v>401.9180708376</v>
      </c>
      <c r="BO52" s="9" t="n">
        <v>396.559163226432</v>
      </c>
      <c r="BP52" s="9" t="n">
        <v>377.297718155434</v>
      </c>
      <c r="BQ52" s="9" t="n">
        <v>768.974977855781</v>
      </c>
      <c r="BR52" s="9" t="n">
        <v>411.381823665707</v>
      </c>
      <c r="BS52" s="9" t="n">
        <v>429.9414746076</v>
      </c>
      <c r="BT52" s="9" t="n">
        <v>424.208921612832</v>
      </c>
      <c r="BU52" s="9" t="n">
        <v>403.604488277352</v>
      </c>
      <c r="BV52" s="9" t="n">
        <v>167.989715681055</v>
      </c>
      <c r="BW52" s="9" t="n">
        <v>182.033306240449</v>
      </c>
      <c r="BX52" s="9" t="n">
        <v>171.187539435693</v>
      </c>
      <c r="BY52" s="9" t="n">
        <v>162.890500583175</v>
      </c>
      <c r="BZ52" s="9" t="n">
        <v>64.9088411250675</v>
      </c>
      <c r="CA52" s="9" t="n">
        <v>0.0408821928153687</v>
      </c>
      <c r="CB52" s="9" t="n">
        <v>3.822</v>
      </c>
      <c r="CC52" s="9" t="n">
        <v>3.777</v>
      </c>
      <c r="CD52" s="9" t="n">
        <v>269.14</v>
      </c>
      <c r="CE52" s="9" t="n">
        <v>0.02</v>
      </c>
      <c r="CF52" s="9" t="n">
        <v>0</v>
      </c>
      <c r="CG52" s="9" t="n">
        <v>95.33</v>
      </c>
      <c r="CH52" s="9" t="n">
        <v>95</v>
      </c>
      <c r="CI52" s="9" t="n">
        <v>0.33</v>
      </c>
      <c r="CJ52" s="9" t="n">
        <v>0.99</v>
      </c>
      <c r="CK52" s="9" t="n">
        <v>96.36</v>
      </c>
      <c r="CL52" s="9" t="n">
        <v>0.02</v>
      </c>
      <c r="CM52" s="9" t="n">
        <v>286.588</v>
      </c>
      <c r="CN52" s="9" t="n">
        <v>287.012</v>
      </c>
      <c r="CO52" s="9" t="n">
        <v>3</v>
      </c>
      <c r="CP52" s="9" t="n">
        <v>3</v>
      </c>
      <c r="CQ52" s="9" t="n">
        <v>0.5</v>
      </c>
      <c r="CR52" s="9" t="n">
        <v>0.3</v>
      </c>
      <c r="CS52" s="9" t="n">
        <v>0.6</v>
      </c>
      <c r="CT52" s="9" t="n">
        <v>0.8</v>
      </c>
      <c r="CU52" s="9" t="n">
        <v>0.8</v>
      </c>
      <c r="CV52" s="9" t="n">
        <v>0.7</v>
      </c>
      <c r="CW52" s="9" t="n">
        <v>0.5</v>
      </c>
      <c r="CX52" s="9" t="n">
        <v>0.5</v>
      </c>
      <c r="CY52" s="9" t="n">
        <v>1</v>
      </c>
      <c r="CZ52" s="9" t="n">
        <v>0.3</v>
      </c>
      <c r="DA52" s="9" t="n">
        <v>0.8</v>
      </c>
      <c r="DB52" s="9" t="n">
        <v>0.325795908485656</v>
      </c>
      <c r="DC52" s="9" t="n">
        <v>7.124</v>
      </c>
      <c r="DD52" s="9" t="n">
        <v>5.575</v>
      </c>
      <c r="DE52" s="9" t="n">
        <v>14.50967</v>
      </c>
      <c r="DF52" s="9" t="n">
        <v>21.6053062070471</v>
      </c>
      <c r="DG52" s="9" t="n">
        <v>24.4563156603395</v>
      </c>
      <c r="DH52" s="9" t="n">
        <v>17.2720586560434</v>
      </c>
      <c r="DI52" s="9" t="n">
        <v>21.550764627403</v>
      </c>
      <c r="DJ52" s="9" t="n">
        <v>5.06</v>
      </c>
      <c r="DK52" s="9" t="n">
        <v>4.398</v>
      </c>
      <c r="DL52" s="9" t="n">
        <v>10.74689</v>
      </c>
      <c r="DM52" s="9" t="n">
        <v>14.1151698941595</v>
      </c>
      <c r="DN52" s="9" t="n">
        <v>14.1151698941595</v>
      </c>
      <c r="DO52" s="9" t="n">
        <v>0.1322</v>
      </c>
    </row>
    <row r="53" customFormat="false" ht="15" hidden="false" customHeight="false" outlineLevel="0" collapsed="false">
      <c r="A53" s="9" t="s">
        <v>824</v>
      </c>
      <c r="B53" s="9" t="s">
        <v>825</v>
      </c>
      <c r="C53" s="9" t="n">
        <v>0.005</v>
      </c>
      <c r="D53" s="9" t="n">
        <v>0.005</v>
      </c>
      <c r="E53" s="9" t="n">
        <v>0.01</v>
      </c>
      <c r="F53" s="9" t="n">
        <v>0.005</v>
      </c>
      <c r="G53" s="9" t="n">
        <v>0.005</v>
      </c>
      <c r="H53" s="9" t="n">
        <v>0.01</v>
      </c>
      <c r="I53" s="9" t="n">
        <v>0.005</v>
      </c>
      <c r="J53" s="9" t="n">
        <v>0.005</v>
      </c>
      <c r="K53" s="9" t="n">
        <v>0.01</v>
      </c>
      <c r="L53" s="9" t="n">
        <v>0.01</v>
      </c>
      <c r="M53" s="9" t="n">
        <v>0.005</v>
      </c>
      <c r="N53" s="9" t="n">
        <v>6.074372</v>
      </c>
      <c r="O53" s="9" t="n">
        <v>1.105364</v>
      </c>
      <c r="P53" s="9" t="n">
        <v>20.266712</v>
      </c>
      <c r="Q53" s="9" t="n">
        <v>5.64078102296838</v>
      </c>
      <c r="R53" s="9" t="n">
        <v>2.20779451033951</v>
      </c>
      <c r="S53" s="9" t="n">
        <v>0.768580119306422</v>
      </c>
      <c r="T53" s="9" t="n">
        <v>0.253377770201155</v>
      </c>
      <c r="U53" s="9" t="n">
        <v>0.025771</v>
      </c>
      <c r="V53" s="9" t="n">
        <v>0.022272</v>
      </c>
      <c r="W53" s="9" t="n">
        <v>0.027597</v>
      </c>
      <c r="X53" s="9" t="n">
        <v>3.85247715203869</v>
      </c>
      <c r="Y53" s="9" t="n">
        <v>3.85247715203869</v>
      </c>
      <c r="Z53" s="9" t="n">
        <v>4.32</v>
      </c>
      <c r="AA53" s="9" t="n">
        <v>0.13</v>
      </c>
      <c r="AB53" s="9" t="n">
        <v>0.07</v>
      </c>
      <c r="AC53" s="9" t="n">
        <v>0</v>
      </c>
      <c r="AD53" s="9" t="n">
        <v>0</v>
      </c>
      <c r="AE53" s="9" t="n">
        <v>45.44</v>
      </c>
      <c r="AF53" s="9" t="n">
        <v>0</v>
      </c>
      <c r="AG53" s="9" t="n">
        <v>0</v>
      </c>
      <c r="AH53" s="9" t="n">
        <v>0</v>
      </c>
      <c r="AI53" s="9" t="n">
        <v>0</v>
      </c>
      <c r="AJ53" s="9" t="n">
        <v>0</v>
      </c>
      <c r="AK53" s="9" t="n">
        <v>0</v>
      </c>
      <c r="AL53" s="9" t="n">
        <v>0</v>
      </c>
      <c r="AM53" s="9" t="n">
        <v>0</v>
      </c>
      <c r="AN53" s="9" t="n">
        <v>0</v>
      </c>
      <c r="AO53" s="9" t="n">
        <v>145.629542248236</v>
      </c>
      <c r="AP53" s="9" t="n">
        <v>136.9304989</v>
      </c>
      <c r="AQ53" s="9" t="n">
        <v>146.363488824222</v>
      </c>
      <c r="AR53" s="9" t="n">
        <v>142.704401603617</v>
      </c>
      <c r="AS53" s="9" t="n">
        <v>80.2281149303593</v>
      </c>
      <c r="AT53" s="9" t="n">
        <v>68.4622647108</v>
      </c>
      <c r="AU53" s="9" t="n">
        <v>77.798278461302</v>
      </c>
      <c r="AV53" s="9" t="n">
        <v>79.0830902294871</v>
      </c>
      <c r="AW53" s="9" t="n">
        <v>33.273245748885</v>
      </c>
      <c r="AX53" s="9" t="n">
        <v>28.6528179744</v>
      </c>
      <c r="AY53" s="9" t="n">
        <v>32.265359163475</v>
      </c>
      <c r="AZ53" s="9" t="n">
        <v>32.7982350548206</v>
      </c>
      <c r="BA53" s="9" t="n">
        <v>132.673753640028</v>
      </c>
      <c r="BB53" s="9" t="n">
        <v>130.272484439069</v>
      </c>
      <c r="BC53" s="9" t="n">
        <v>131.559531819753</v>
      </c>
      <c r="BD53" s="9" t="n">
        <v>132.270389659893</v>
      </c>
      <c r="BE53" s="9" t="n">
        <v>0</v>
      </c>
      <c r="BF53" s="9" t="n">
        <v>0</v>
      </c>
      <c r="BG53" s="9" t="n">
        <v>0</v>
      </c>
      <c r="BH53" s="9" t="n">
        <v>0</v>
      </c>
      <c r="BI53" s="9" t="n">
        <v>44.6681887298106</v>
      </c>
      <c r="BJ53" s="9" t="n">
        <v>41.4485188253375</v>
      </c>
      <c r="BK53" s="9" t="n">
        <v>44.3038612333052</v>
      </c>
      <c r="BL53" s="9" t="n">
        <v>43.1962647024725</v>
      </c>
      <c r="BM53" s="9" t="n">
        <v>1.64479588542013</v>
      </c>
      <c r="BN53" s="9" t="n">
        <v>1.5777076572</v>
      </c>
      <c r="BO53" s="9" t="n">
        <v>1.686394184696</v>
      </c>
      <c r="BP53" s="9" t="n">
        <v>1.6442343300786</v>
      </c>
      <c r="BQ53" s="9" t="n">
        <v>19.2858346504812</v>
      </c>
      <c r="BR53" s="9" t="n">
        <v>0.0219960130064319</v>
      </c>
      <c r="BS53" s="9" t="n">
        <v>0.0211559004</v>
      </c>
      <c r="BT53" s="9" t="n">
        <v>0.022613306872</v>
      </c>
      <c r="BU53" s="9" t="n">
        <v>0.0220479742002</v>
      </c>
      <c r="BV53" s="9" t="n">
        <v>178.945692706439</v>
      </c>
      <c r="BW53" s="9" t="n">
        <v>171.602211659152</v>
      </c>
      <c r="BX53" s="9" t="n">
        <v>181.745990933779</v>
      </c>
      <c r="BY53" s="9" t="n">
        <v>179.343660927624</v>
      </c>
      <c r="BZ53" s="9" t="n">
        <v>31.5281557442345</v>
      </c>
      <c r="CA53" s="9" t="n">
        <v>1.1285326563063</v>
      </c>
      <c r="CB53" s="9" t="n">
        <v>3.726</v>
      </c>
      <c r="CC53" s="9" t="n">
        <v>2.51</v>
      </c>
      <c r="CD53" s="9" t="n">
        <v>123.802</v>
      </c>
      <c r="CE53" s="9" t="n">
        <v>28.83</v>
      </c>
      <c r="CF53" s="9" t="n">
        <v>0</v>
      </c>
      <c r="CG53" s="9" t="n">
        <v>7.54</v>
      </c>
      <c r="CH53" s="9" t="n">
        <v>0.98</v>
      </c>
      <c r="CI53" s="9" t="n">
        <v>6.56</v>
      </c>
      <c r="CJ53" s="9" t="n">
        <v>0.04</v>
      </c>
      <c r="CK53" s="9" t="n">
        <v>36.6</v>
      </c>
      <c r="CL53" s="9" t="n">
        <v>0.19</v>
      </c>
      <c r="CM53" s="9" t="n">
        <v>76.876</v>
      </c>
      <c r="CN53" s="9" t="n">
        <v>101.698</v>
      </c>
      <c r="CO53" s="9" t="n">
        <v>3</v>
      </c>
      <c r="CP53" s="9" t="n">
        <v>3</v>
      </c>
      <c r="CQ53" s="9" t="n">
        <v>0.5</v>
      </c>
      <c r="CR53" s="9" t="n">
        <v>0.3</v>
      </c>
      <c r="CS53" s="9" t="n">
        <v>0.6</v>
      </c>
      <c r="CT53" s="9" t="n">
        <v>0.8</v>
      </c>
      <c r="CU53" s="9" t="n">
        <v>0.8</v>
      </c>
      <c r="CV53" s="9" t="n">
        <v>0.7</v>
      </c>
      <c r="CW53" s="9" t="n">
        <v>0.5</v>
      </c>
      <c r="CX53" s="9" t="n">
        <v>0.5</v>
      </c>
      <c r="CY53" s="9" t="n">
        <v>1</v>
      </c>
      <c r="CZ53" s="9" t="n">
        <v>0.3</v>
      </c>
      <c r="DA53" s="9" t="n">
        <v>0.8</v>
      </c>
      <c r="DB53" s="9" t="n">
        <v>0.430740004940557</v>
      </c>
      <c r="DC53" s="9" t="n">
        <v>7.124</v>
      </c>
      <c r="DD53" s="9" t="n">
        <v>5.575</v>
      </c>
      <c r="DE53" s="9" t="n">
        <v>13.65616</v>
      </c>
      <c r="DF53" s="9" t="n">
        <v>23.7907354809025</v>
      </c>
      <c r="DG53" s="9" t="n">
        <v>20.0369805437501</v>
      </c>
      <c r="DH53" s="9" t="n">
        <v>15.0468241052648</v>
      </c>
      <c r="DI53" s="9" t="n">
        <v>29.735580345098</v>
      </c>
      <c r="DJ53" s="9" t="n">
        <v>11.447</v>
      </c>
      <c r="DK53" s="9" t="n">
        <v>10.785</v>
      </c>
      <c r="DL53" s="9" t="n">
        <v>17.26816</v>
      </c>
      <c r="DM53" s="9" t="n">
        <v>17.912221673988</v>
      </c>
      <c r="DN53" s="9" t="n">
        <v>17.912221673988</v>
      </c>
      <c r="DO53" s="9" t="n">
        <v>0.14444</v>
      </c>
    </row>
    <row r="54" customFormat="false" ht="15" hidden="false" customHeight="false" outlineLevel="0" collapsed="false">
      <c r="A54" s="9" t="s">
        <v>764</v>
      </c>
      <c r="B54" s="9" t="s">
        <v>765</v>
      </c>
      <c r="C54" s="9" t="n">
        <v>0.005</v>
      </c>
      <c r="D54" s="9" t="n">
        <v>0.005</v>
      </c>
      <c r="E54" s="9" t="n">
        <v>0.01</v>
      </c>
      <c r="F54" s="9" t="n">
        <v>0.005</v>
      </c>
      <c r="G54" s="9" t="n">
        <v>0.005</v>
      </c>
      <c r="H54" s="9" t="n">
        <v>0.01</v>
      </c>
      <c r="I54" s="9" t="n">
        <v>0.005</v>
      </c>
      <c r="J54" s="9" t="n">
        <v>0.005</v>
      </c>
      <c r="K54" s="9" t="n">
        <v>0.01</v>
      </c>
      <c r="L54" s="9" t="n">
        <v>0.01</v>
      </c>
      <c r="M54" s="9" t="n">
        <v>0.005</v>
      </c>
      <c r="N54" s="9" t="n">
        <v>44.595684</v>
      </c>
      <c r="O54" s="9" t="n">
        <v>3.341697</v>
      </c>
      <c r="P54" s="9" t="n">
        <v>80.144349</v>
      </c>
      <c r="Q54" s="9" t="n">
        <v>23.7808414436285</v>
      </c>
      <c r="R54" s="9" t="n">
        <v>4.70275157893653</v>
      </c>
      <c r="S54" s="9" t="n">
        <v>8.12737779695622</v>
      </c>
      <c r="T54" s="9" t="n">
        <v>8.2166237047687</v>
      </c>
      <c r="U54" s="9" t="n">
        <v>0.763911</v>
      </c>
      <c r="V54" s="9" t="n">
        <v>0.314868</v>
      </c>
      <c r="W54" s="9" t="n">
        <v>0.124454</v>
      </c>
      <c r="X54" s="9" t="n">
        <v>25.7332592575993</v>
      </c>
      <c r="Y54" s="9" t="n">
        <v>25.7332592575993</v>
      </c>
      <c r="Z54" s="9" t="n">
        <v>54.22</v>
      </c>
      <c r="AA54" s="9" t="n">
        <v>3.27</v>
      </c>
      <c r="AB54" s="9" t="n">
        <v>3.03</v>
      </c>
      <c r="AC54" s="9" t="n">
        <v>3</v>
      </c>
      <c r="AD54" s="9" t="n">
        <v>22.399779785</v>
      </c>
      <c r="AE54" s="9" t="n">
        <v>282.871</v>
      </c>
      <c r="AF54" s="9" t="n">
        <v>80.8627016183556</v>
      </c>
      <c r="AG54" s="9" t="n">
        <v>72.6189741792</v>
      </c>
      <c r="AH54" s="9" t="n">
        <v>79.2281551703799</v>
      </c>
      <c r="AI54" s="9" t="n">
        <v>73.9250039321699</v>
      </c>
      <c r="AJ54" s="9" t="n">
        <v>0</v>
      </c>
      <c r="AK54" s="9" t="n">
        <v>0</v>
      </c>
      <c r="AL54" s="9" t="n">
        <v>0</v>
      </c>
      <c r="AM54" s="9" t="n">
        <v>0</v>
      </c>
      <c r="AN54" s="9" t="n">
        <v>0</v>
      </c>
      <c r="AO54" s="9" t="n">
        <v>473.650596341573</v>
      </c>
      <c r="AP54" s="9" t="n">
        <v>432.25349794</v>
      </c>
      <c r="AQ54" s="9" t="n">
        <v>471.59365158781</v>
      </c>
      <c r="AR54" s="9" t="n">
        <v>440.027443186622</v>
      </c>
      <c r="AS54" s="9" t="n">
        <v>519.846459140834</v>
      </c>
      <c r="AT54" s="9" t="n">
        <v>348.34783086</v>
      </c>
      <c r="AU54" s="9" t="n">
        <v>414.491665136804</v>
      </c>
      <c r="AV54" s="9" t="n">
        <v>475.027543006701</v>
      </c>
      <c r="AW54" s="9" t="n">
        <v>341.114981806352</v>
      </c>
      <c r="AX54" s="9" t="n">
        <v>231.9217109532</v>
      </c>
      <c r="AY54" s="9" t="n">
        <v>271.9469385663</v>
      </c>
      <c r="AZ54" s="9" t="n">
        <v>311.698454013476</v>
      </c>
      <c r="BA54" s="9" t="n">
        <v>396.879030729514</v>
      </c>
      <c r="BB54" s="9" t="n">
        <v>398.950355368786</v>
      </c>
      <c r="BC54" s="9" t="n">
        <v>310.24075241</v>
      </c>
      <c r="BD54" s="9" t="n">
        <v>342.874652387284</v>
      </c>
      <c r="BE54" s="9" t="n">
        <v>11.9151473110338</v>
      </c>
      <c r="BF54" s="9" t="n">
        <v>11.0689312893454</v>
      </c>
      <c r="BG54" s="9" t="n">
        <v>12.0763342593968</v>
      </c>
      <c r="BH54" s="9" t="n">
        <v>11.2680025893859</v>
      </c>
      <c r="BI54" s="9" t="n">
        <v>169.592584817947</v>
      </c>
      <c r="BJ54" s="9" t="n">
        <v>144.85141736</v>
      </c>
      <c r="BK54" s="9" t="n">
        <v>158.034600474082</v>
      </c>
      <c r="BL54" s="9" t="n">
        <v>147.456525225682</v>
      </c>
      <c r="BM54" s="9" t="n">
        <v>517.379235740239</v>
      </c>
      <c r="BN54" s="9" t="n">
        <v>495.721955754</v>
      </c>
      <c r="BO54" s="9" t="n">
        <v>540.838485750623</v>
      </c>
      <c r="BP54" s="9" t="n">
        <v>504.63736155163</v>
      </c>
      <c r="BQ54" s="9" t="n">
        <v>1554.89838434137</v>
      </c>
      <c r="BR54" s="9" t="n">
        <v>105.109235732408</v>
      </c>
      <c r="BS54" s="9" t="n">
        <v>82.29877623</v>
      </c>
      <c r="BT54" s="9" t="n">
        <v>89.7889330878268</v>
      </c>
      <c r="BU54" s="9" t="n">
        <v>83.7788942240129</v>
      </c>
      <c r="BV54" s="9" t="n">
        <v>639.850049520485</v>
      </c>
      <c r="BW54" s="9" t="n">
        <v>576.599445659169</v>
      </c>
      <c r="BX54" s="9" t="n">
        <v>561.91209229753</v>
      </c>
      <c r="BY54" s="9" t="n">
        <v>562.022340189338</v>
      </c>
      <c r="BZ54" s="9" t="n">
        <v>239.155955818663</v>
      </c>
      <c r="CA54" s="9" t="n">
        <v>0.399417371105015</v>
      </c>
      <c r="CB54" s="9" t="n">
        <v>4.392</v>
      </c>
      <c r="CC54" s="9" t="n">
        <v>4.24</v>
      </c>
      <c r="CD54" s="9" t="n">
        <v>383.105</v>
      </c>
      <c r="CE54" s="9" t="n">
        <v>15.07</v>
      </c>
      <c r="CF54" s="9" t="n">
        <v>0</v>
      </c>
      <c r="CG54" s="9" t="n">
        <v>213.73</v>
      </c>
      <c r="CH54" s="9" t="n">
        <v>195.65</v>
      </c>
      <c r="CI54" s="9" t="n">
        <v>18.08</v>
      </c>
      <c r="CJ54" s="9" t="n">
        <v>7.61</v>
      </c>
      <c r="CK54" s="9" t="n">
        <v>245.71</v>
      </c>
      <c r="CL54" s="9" t="n">
        <v>9.3</v>
      </c>
      <c r="CM54" s="9" t="n">
        <v>402.065</v>
      </c>
      <c r="CN54" s="9" t="n">
        <v>402.239</v>
      </c>
      <c r="CO54" s="9" t="n">
        <v>3</v>
      </c>
      <c r="CP54" s="9" t="n">
        <v>2</v>
      </c>
      <c r="CQ54" s="9" t="n">
        <v>0.5</v>
      </c>
      <c r="CR54" s="9" t="n">
        <v>0.3</v>
      </c>
      <c r="CS54" s="9" t="n">
        <v>0.6</v>
      </c>
      <c r="CT54" s="9" t="n">
        <v>0.8</v>
      </c>
      <c r="CU54" s="9" t="n">
        <v>0.8</v>
      </c>
      <c r="CV54" s="9" t="n">
        <v>0.7</v>
      </c>
      <c r="CW54" s="9" t="n">
        <v>0.5</v>
      </c>
      <c r="CX54" s="9" t="n">
        <v>0.5</v>
      </c>
      <c r="CY54" s="9" t="n">
        <v>1</v>
      </c>
      <c r="CZ54" s="9" t="n">
        <v>0.3</v>
      </c>
      <c r="DA54" s="9" t="n">
        <v>0.8</v>
      </c>
      <c r="DB54" s="9" t="n">
        <v>0.171815380033977</v>
      </c>
      <c r="DC54" s="9" t="n">
        <v>7.124</v>
      </c>
      <c r="DD54" s="9" t="n">
        <v>5.575</v>
      </c>
      <c r="DE54" s="9" t="n">
        <v>13.90002</v>
      </c>
      <c r="DF54" s="9" t="n">
        <v>20.2214816441477</v>
      </c>
      <c r="DG54" s="9" t="n">
        <v>23.4717215512612</v>
      </c>
      <c r="DH54" s="9" t="n">
        <v>18.1972529023046</v>
      </c>
      <c r="DI54" s="9" t="n">
        <v>21.3478529440101</v>
      </c>
      <c r="DJ54" s="9" t="n">
        <v>9.112</v>
      </c>
      <c r="DK54" s="9" t="n">
        <v>8.355</v>
      </c>
      <c r="DL54" s="9" t="n">
        <v>15.56442</v>
      </c>
      <c r="DM54" s="9" t="n">
        <v>14.1151698941595</v>
      </c>
      <c r="DN54" s="9" t="n">
        <v>14.1151698941595</v>
      </c>
      <c r="DO54" s="9" t="n">
        <v>0.10343</v>
      </c>
    </row>
    <row r="55" customFormat="false" ht="15" hidden="false" customHeight="false" outlineLevel="0" collapsed="false">
      <c r="A55" s="9" t="s">
        <v>722</v>
      </c>
      <c r="B55" s="9" t="s">
        <v>723</v>
      </c>
      <c r="C55" s="9" t="n">
        <v>0.005</v>
      </c>
      <c r="D55" s="9" t="n">
        <v>0.005</v>
      </c>
      <c r="E55" s="9" t="n">
        <v>0.01</v>
      </c>
      <c r="F55" s="9" t="n">
        <v>0.005</v>
      </c>
      <c r="G55" s="9" t="n">
        <v>0.005</v>
      </c>
      <c r="H55" s="9" t="n">
        <v>0.01</v>
      </c>
      <c r="I55" s="9" t="n">
        <v>0.005</v>
      </c>
      <c r="J55" s="9" t="n">
        <v>0.005</v>
      </c>
      <c r="K55" s="9" t="n">
        <v>0.01</v>
      </c>
      <c r="L55" s="9" t="n">
        <v>0.01</v>
      </c>
      <c r="M55" s="9" t="n">
        <v>0.005</v>
      </c>
      <c r="N55" s="9" t="n">
        <v>16.005288</v>
      </c>
      <c r="O55" s="9" t="n">
        <v>1.14944</v>
      </c>
      <c r="P55" s="9" t="n">
        <v>117.158444</v>
      </c>
      <c r="Q55" s="9" t="n">
        <v>4.1900041265375</v>
      </c>
      <c r="R55" s="9" t="n">
        <v>0.642126592877156</v>
      </c>
      <c r="S55" s="9" t="n">
        <v>8.2047576793708</v>
      </c>
      <c r="T55" s="9" t="n">
        <v>7.40210649431495</v>
      </c>
      <c r="U55" s="9" t="n">
        <v>0.56982</v>
      </c>
      <c r="V55" s="9" t="n">
        <v>1.123725</v>
      </c>
      <c r="W55" s="9" t="n">
        <v>0.331563</v>
      </c>
      <c r="X55" s="9" t="n">
        <v>4.58175878869816</v>
      </c>
      <c r="Y55" s="9" t="n">
        <v>4.58175878869816</v>
      </c>
      <c r="Z55" s="9" t="n">
        <v>32</v>
      </c>
      <c r="AA55" s="9" t="n">
        <v>47.21</v>
      </c>
      <c r="AB55" s="9" t="n">
        <v>33.3</v>
      </c>
      <c r="AC55" s="9" t="n">
        <v>0</v>
      </c>
      <c r="AD55" s="9" t="n">
        <v>0</v>
      </c>
      <c r="AE55" s="9" t="n">
        <v>279.606</v>
      </c>
      <c r="AF55" s="9" t="n">
        <v>46.3799606202342</v>
      </c>
      <c r="AG55" s="9" t="n">
        <v>36.4510469844</v>
      </c>
      <c r="AH55" s="9" t="n">
        <v>41.1470437515403</v>
      </c>
      <c r="AI55" s="9" t="n">
        <v>40.9070193296563</v>
      </c>
      <c r="AJ55" s="9" t="n">
        <v>254.247110753129</v>
      </c>
      <c r="AK55" s="9" t="n">
        <v>3.3713912777292</v>
      </c>
      <c r="AL55" s="9" t="n">
        <v>2.7532061856</v>
      </c>
      <c r="AM55" s="9" t="n">
        <v>3.10790237175843</v>
      </c>
      <c r="AN55" s="9" t="n">
        <v>3.0897729412565</v>
      </c>
      <c r="AO55" s="9" t="n">
        <v>1008.60990090869</v>
      </c>
      <c r="AP55" s="9" t="n">
        <v>865.99151288</v>
      </c>
      <c r="AQ55" s="9" t="n">
        <v>977.557398671864</v>
      </c>
      <c r="AR55" s="9" t="n">
        <v>971.854980512944</v>
      </c>
      <c r="AS55" s="9" t="n">
        <v>679.369736707861</v>
      </c>
      <c r="AT55" s="9" t="n">
        <v>557.0315960148</v>
      </c>
      <c r="AU55" s="9" t="n">
        <v>611.321845891627</v>
      </c>
      <c r="AV55" s="9" t="n">
        <v>606.270486297805</v>
      </c>
      <c r="AW55" s="9" t="n">
        <v>324.273372339685</v>
      </c>
      <c r="AX55" s="9" t="n">
        <v>263.3364017892</v>
      </c>
      <c r="AY55" s="9" t="n">
        <v>291.665217304908</v>
      </c>
      <c r="AZ55" s="9" t="n">
        <v>289.226413610574</v>
      </c>
      <c r="BA55" s="9" t="n">
        <v>255.976079984439</v>
      </c>
      <c r="BB55" s="9" t="n">
        <v>219.512439268068</v>
      </c>
      <c r="BC55" s="9" t="n">
        <v>242.235083818831</v>
      </c>
      <c r="BD55" s="9" t="n">
        <v>246.380035728897</v>
      </c>
      <c r="BE55" s="9" t="n">
        <v>17.2298245904392</v>
      </c>
      <c r="BF55" s="9" t="n">
        <v>14.3648154674864</v>
      </c>
      <c r="BG55" s="9" t="n">
        <v>16.2154379482276</v>
      </c>
      <c r="BH55" s="9" t="n">
        <v>16.1208478935296</v>
      </c>
      <c r="BI55" s="9" t="n">
        <v>41.986942972529</v>
      </c>
      <c r="BJ55" s="9" t="n">
        <v>36.4979069920319</v>
      </c>
      <c r="BK55" s="9" t="n">
        <v>41.1999407447337</v>
      </c>
      <c r="BL55" s="9" t="n">
        <v>40.9596077570561</v>
      </c>
      <c r="BM55" s="9" t="n">
        <v>648.579469314812</v>
      </c>
      <c r="BN55" s="9" t="n">
        <v>458.6113077372</v>
      </c>
      <c r="BO55" s="9" t="n">
        <v>517.694307998608</v>
      </c>
      <c r="BP55" s="9" t="n">
        <v>514.674424535282</v>
      </c>
      <c r="BQ55" s="9" t="n">
        <v>246.849760655316</v>
      </c>
      <c r="BR55" s="9" t="n">
        <v>401.251159870668</v>
      </c>
      <c r="BS55" s="9" t="n">
        <v>289.71180153</v>
      </c>
      <c r="BT55" s="9" t="n">
        <v>327.035439557997</v>
      </c>
      <c r="BU55" s="9" t="n">
        <v>325.127732827242</v>
      </c>
      <c r="BV55" s="9" t="n">
        <v>745.142567955299</v>
      </c>
      <c r="BW55" s="9" t="n">
        <v>645.189001577699</v>
      </c>
      <c r="BX55" s="9" t="n">
        <v>691.904188737091</v>
      </c>
      <c r="BY55" s="9" t="n">
        <v>684.893086365024</v>
      </c>
      <c r="BZ55" s="9" t="n">
        <v>278.789752513207</v>
      </c>
      <c r="CA55" s="9" t="n">
        <v>3.81162627948306</v>
      </c>
      <c r="CB55" s="9" t="n">
        <v>2.766</v>
      </c>
      <c r="CC55" s="9" t="n">
        <v>2.09</v>
      </c>
      <c r="CD55" s="9" t="n">
        <v>1725.152</v>
      </c>
      <c r="CE55" s="9" t="n">
        <v>93.28</v>
      </c>
      <c r="CF55" s="9" t="n">
        <v>0.92</v>
      </c>
      <c r="CG55" s="9" t="n">
        <v>73.01</v>
      </c>
      <c r="CH55" s="9" t="n">
        <v>62.06</v>
      </c>
      <c r="CI55" s="9" t="n">
        <v>10.03</v>
      </c>
      <c r="CJ55" s="9" t="n">
        <v>62.92</v>
      </c>
      <c r="CK55" s="9" t="n">
        <v>287.92</v>
      </c>
      <c r="CL55" s="9" t="n">
        <v>58.76</v>
      </c>
      <c r="CM55" s="9" t="n">
        <v>339.165</v>
      </c>
      <c r="CN55" s="9" t="n">
        <v>294.259</v>
      </c>
      <c r="CO55" s="9" t="n">
        <v>1</v>
      </c>
      <c r="CP55" s="9" t="n">
        <v>4</v>
      </c>
      <c r="CQ55" s="9" t="n">
        <v>0.5</v>
      </c>
      <c r="CR55" s="9" t="n">
        <v>0.3</v>
      </c>
      <c r="CS55" s="9" t="n">
        <v>0.6</v>
      </c>
      <c r="CT55" s="9" t="n">
        <v>0.8</v>
      </c>
      <c r="CU55" s="9" t="n">
        <v>0.8</v>
      </c>
      <c r="CV55" s="9" t="n">
        <v>0.7</v>
      </c>
      <c r="CW55" s="9" t="n">
        <v>0.5</v>
      </c>
      <c r="CX55" s="9" t="n">
        <v>0.5</v>
      </c>
      <c r="CY55" s="9" t="n">
        <v>1</v>
      </c>
      <c r="CZ55" s="9" t="n">
        <v>0.3</v>
      </c>
      <c r="DA55" s="9" t="n">
        <v>0.8</v>
      </c>
      <c r="DB55" s="9" t="n">
        <v>0.64291578545275</v>
      </c>
      <c r="DC55" s="9" t="n">
        <v>10.26</v>
      </c>
      <c r="DD55" s="9" t="n">
        <v>7.095</v>
      </c>
      <c r="DE55" s="9" t="n">
        <v>16.59273</v>
      </c>
      <c r="DF55" s="9" t="n">
        <v>22.6927118483644</v>
      </c>
      <c r="DG55" s="9" t="n">
        <v>24.9813410108282</v>
      </c>
      <c r="DH55" s="9" t="n">
        <v>16.3450630294315</v>
      </c>
      <c r="DI55" s="9" t="n">
        <v>22.8252563631239</v>
      </c>
      <c r="DJ55" s="9" t="n">
        <v>13.578</v>
      </c>
      <c r="DK55" s="9" t="n">
        <v>13.578</v>
      </c>
      <c r="DL55" s="9" t="n">
        <v>24.7929</v>
      </c>
      <c r="DM55" s="9" t="n">
        <v>13.4959250778158</v>
      </c>
      <c r="DN55" s="9" t="n">
        <v>13.4959250778158</v>
      </c>
      <c r="DO55" s="9" t="n">
        <v>0.05125</v>
      </c>
    </row>
    <row r="56" customFormat="false" ht="15" hidden="false" customHeight="false" outlineLevel="0" collapsed="false">
      <c r="A56" s="9" t="s">
        <v>902</v>
      </c>
      <c r="B56" s="9" t="s">
        <v>903</v>
      </c>
      <c r="C56" s="9" t="n">
        <v>0.005</v>
      </c>
      <c r="D56" s="9" t="n">
        <v>0.005</v>
      </c>
      <c r="E56" s="9" t="n">
        <v>0.01</v>
      </c>
      <c r="F56" s="9" t="n">
        <v>0.005</v>
      </c>
      <c r="G56" s="9" t="n">
        <v>0.005</v>
      </c>
      <c r="H56" s="9" t="n">
        <v>0.01</v>
      </c>
      <c r="I56" s="9" t="n">
        <v>0.005</v>
      </c>
      <c r="J56" s="9" t="n">
        <v>0.005</v>
      </c>
      <c r="K56" s="9" t="n">
        <v>0.01</v>
      </c>
      <c r="L56" s="9" t="n">
        <v>0.01</v>
      </c>
      <c r="M56" s="9" t="n">
        <v>0.005</v>
      </c>
      <c r="N56" s="9" t="n">
        <v>0.121718</v>
      </c>
      <c r="O56" s="9" t="n">
        <v>0.436291</v>
      </c>
      <c r="P56" s="9" t="n">
        <v>22.591729</v>
      </c>
      <c r="Q56" s="9" t="n">
        <v>1.96068179301406</v>
      </c>
      <c r="R56" s="9" t="n">
        <v>0.186446910957874</v>
      </c>
      <c r="S56" s="9" t="n">
        <v>2.0283277839222</v>
      </c>
      <c r="T56" s="9" t="n">
        <v>2.04626211476597</v>
      </c>
      <c r="U56" s="9" t="n">
        <v>0.248984</v>
      </c>
      <c r="V56" s="9" t="n">
        <v>0.012683</v>
      </c>
      <c r="W56" s="9" t="n">
        <v>0.069763</v>
      </c>
      <c r="X56" s="9" t="n">
        <v>4.50627414236723</v>
      </c>
      <c r="Y56" s="9" t="n">
        <v>4.50627414236723</v>
      </c>
      <c r="Z56" s="9" t="n">
        <v>0.96</v>
      </c>
      <c r="AA56" s="9" t="n">
        <v>0.98</v>
      </c>
      <c r="AB56" s="9" t="n">
        <v>0.71</v>
      </c>
      <c r="AC56" s="9" t="n">
        <v>0</v>
      </c>
      <c r="AD56" s="9" t="n">
        <v>0</v>
      </c>
      <c r="AE56" s="9" t="n">
        <v>9.022</v>
      </c>
      <c r="AF56" s="9" t="n">
        <v>1.06744542418268</v>
      </c>
      <c r="AG56" s="9" t="n">
        <v>0.9163565424</v>
      </c>
      <c r="AH56" s="9" t="n">
        <v>0.988764644191175</v>
      </c>
      <c r="AI56" s="9" t="n">
        <v>0.909983728143102</v>
      </c>
      <c r="AJ56" s="9" t="n">
        <v>33.2529986135954</v>
      </c>
      <c r="AK56" s="9" t="n">
        <v>0.0915817229468973</v>
      </c>
      <c r="AL56" s="9" t="n">
        <v>0.0798087816</v>
      </c>
      <c r="AM56" s="9" t="n">
        <v>0.0861150631776786</v>
      </c>
      <c r="AN56" s="9" t="n">
        <v>0.0792537503237742</v>
      </c>
      <c r="AO56" s="9" t="n">
        <v>23.7313635476218</v>
      </c>
      <c r="AP56" s="9" t="n">
        <v>23.29933719</v>
      </c>
      <c r="AQ56" s="9" t="n">
        <v>25.1403899908038</v>
      </c>
      <c r="AR56" s="9" t="n">
        <v>23.1373016270391</v>
      </c>
      <c r="AS56" s="9" t="n">
        <v>16.5453333829957</v>
      </c>
      <c r="AT56" s="9" t="n">
        <v>20.3565021156</v>
      </c>
      <c r="AU56" s="9" t="n">
        <v>19.2051147240556</v>
      </c>
      <c r="AV56" s="9" t="n">
        <v>16.2942925587146</v>
      </c>
      <c r="AW56" s="9" t="n">
        <v>6.78231392223418</v>
      </c>
      <c r="AX56" s="9" t="n">
        <v>8.024399946</v>
      </c>
      <c r="AY56" s="9" t="n">
        <v>7.87228835234245</v>
      </c>
      <c r="AZ56" s="9" t="n">
        <v>6.67902999386165</v>
      </c>
      <c r="BA56" s="9" t="n">
        <v>8.48639154891272</v>
      </c>
      <c r="BB56" s="9" t="n">
        <v>8.36638671193879</v>
      </c>
      <c r="BC56" s="9" t="n">
        <v>8.8482187558468</v>
      </c>
      <c r="BD56" s="9" t="n">
        <v>8.30820669883052</v>
      </c>
      <c r="BE56" s="9" t="n">
        <v>0</v>
      </c>
      <c r="BF56" s="9" t="n">
        <v>0</v>
      </c>
      <c r="BG56" s="9" t="n">
        <v>0</v>
      </c>
      <c r="BH56" s="9" t="n">
        <v>0</v>
      </c>
      <c r="BI56" s="9" t="n">
        <v>0.157569450533301</v>
      </c>
      <c r="BJ56" s="9" t="n">
        <v>0.15651745</v>
      </c>
      <c r="BK56" s="9" t="n">
        <v>0.168885050303276</v>
      </c>
      <c r="BL56" s="9" t="n">
        <v>0.155428947227705</v>
      </c>
      <c r="BM56" s="9" t="n">
        <v>10.6707759286078</v>
      </c>
      <c r="BN56" s="9" t="n">
        <v>8.8896775284</v>
      </c>
      <c r="BO56" s="9" t="n">
        <v>9.5921166397979</v>
      </c>
      <c r="BP56" s="9" t="n">
        <v>8.8278541429917</v>
      </c>
      <c r="BQ56" s="9" t="n">
        <v>0.388199705398786</v>
      </c>
      <c r="BR56" s="9" t="n">
        <v>9.3362340552357</v>
      </c>
      <c r="BS56" s="9" t="n">
        <v>7.509486348</v>
      </c>
      <c r="BT56" s="9" t="n">
        <v>8.1028663553728</v>
      </c>
      <c r="BU56" s="9" t="n">
        <v>7.45726152125825</v>
      </c>
      <c r="BV56" s="9" t="n">
        <v>6.5823661671982</v>
      </c>
      <c r="BW56" s="9" t="n">
        <v>6.50463935177819</v>
      </c>
      <c r="BX56" s="9" t="n">
        <v>6.8504775312432</v>
      </c>
      <c r="BY56" s="9" t="n">
        <v>6.14301667626431</v>
      </c>
      <c r="BZ56" s="9" t="n">
        <v>6.47990202923053</v>
      </c>
      <c r="CA56" s="9" t="n">
        <v>9.42247665583637</v>
      </c>
      <c r="CB56" s="9" t="n">
        <v>0.584</v>
      </c>
      <c r="CC56" s="9" t="n">
        <v>1.429</v>
      </c>
      <c r="CD56" s="9" t="n">
        <v>43.117</v>
      </c>
      <c r="CE56" s="9" t="n">
        <v>1.36</v>
      </c>
      <c r="CF56" s="9" t="n">
        <v>0</v>
      </c>
      <c r="CG56" s="9" t="n">
        <v>2.46</v>
      </c>
      <c r="CH56" s="9" t="n">
        <v>0.08</v>
      </c>
      <c r="CI56" s="9" t="n">
        <v>2.38</v>
      </c>
      <c r="CJ56" s="9" t="n">
        <v>1.22</v>
      </c>
      <c r="CK56" s="9" t="n">
        <v>6.19</v>
      </c>
      <c r="CL56" s="9" t="n">
        <v>1.15</v>
      </c>
      <c r="CM56" s="9" t="n">
        <v>11.265</v>
      </c>
      <c r="CN56" s="9" t="n">
        <v>13.753</v>
      </c>
      <c r="CO56" s="9" t="n">
        <v>1</v>
      </c>
      <c r="CP56" s="9" t="n">
        <v>4</v>
      </c>
      <c r="CQ56" s="9" t="n">
        <v>0.5</v>
      </c>
      <c r="CR56" s="9" t="n">
        <v>0.3</v>
      </c>
      <c r="CS56" s="9" t="n">
        <v>0.6</v>
      </c>
      <c r="CT56" s="9" t="n">
        <v>0.8</v>
      </c>
      <c r="CU56" s="9" t="n">
        <v>0.8</v>
      </c>
      <c r="CV56" s="9" t="n">
        <v>0.7</v>
      </c>
      <c r="CW56" s="9" t="n">
        <v>0.5</v>
      </c>
      <c r="CX56" s="9" t="n">
        <v>0.5</v>
      </c>
      <c r="CY56" s="9" t="n">
        <v>1</v>
      </c>
      <c r="CZ56" s="9" t="n">
        <v>0.3</v>
      </c>
      <c r="DA56" s="9" t="n">
        <v>0.8</v>
      </c>
      <c r="DB56" s="9" t="n">
        <v>0.658073870573871</v>
      </c>
      <c r="DC56" s="9" t="n">
        <v>3.374</v>
      </c>
      <c r="DD56" s="9" t="n">
        <v>2.051</v>
      </c>
      <c r="DE56" s="9" t="n">
        <v>6.4332</v>
      </c>
      <c r="DF56" s="9" t="n">
        <v>21.9397997436131</v>
      </c>
      <c r="DG56" s="9" t="n">
        <v>24.8226609634501</v>
      </c>
      <c r="DH56" s="9" t="n">
        <v>15.656114517978</v>
      </c>
      <c r="DI56" s="9" t="n">
        <v>20.6041666901374</v>
      </c>
      <c r="DJ56" s="9" t="n">
        <v>15.644</v>
      </c>
      <c r="DK56" s="9" t="n">
        <v>15.644</v>
      </c>
      <c r="DL56" s="9" t="n">
        <v>24.2856</v>
      </c>
      <c r="DM56" s="9" t="n">
        <v>13.4947462084719</v>
      </c>
      <c r="DN56" s="9" t="n">
        <v>13.4947462084719</v>
      </c>
      <c r="DO56" s="9" t="n">
        <v>0.07635</v>
      </c>
    </row>
    <row r="57" customFormat="false" ht="15" hidden="false" customHeight="false" outlineLevel="0" collapsed="false">
      <c r="A57" s="9" t="s">
        <v>802</v>
      </c>
      <c r="B57" s="9" t="s">
        <v>803</v>
      </c>
      <c r="C57" s="9" t="n">
        <v>0.005</v>
      </c>
      <c r="D57" s="9" t="n">
        <v>0.005</v>
      </c>
      <c r="E57" s="9" t="n">
        <v>0.01</v>
      </c>
      <c r="F57" s="9" t="n">
        <v>0.005</v>
      </c>
      <c r="G57" s="9" t="n">
        <v>0.005</v>
      </c>
      <c r="H57" s="9" t="n">
        <v>0.01</v>
      </c>
      <c r="I57" s="9" t="n">
        <v>0.005</v>
      </c>
      <c r="J57" s="9" t="n">
        <v>0.005</v>
      </c>
      <c r="K57" s="9" t="n">
        <v>0.01</v>
      </c>
      <c r="L57" s="9" t="n">
        <v>0.01</v>
      </c>
      <c r="M57" s="9" t="n">
        <v>0.005</v>
      </c>
      <c r="N57" s="9" t="n">
        <v>0.009554</v>
      </c>
      <c r="O57" s="9" t="n">
        <v>0.027366</v>
      </c>
      <c r="P57" s="9" t="n">
        <v>0.5316</v>
      </c>
      <c r="Q57" s="9" t="n">
        <v>0.0697677099915565</v>
      </c>
      <c r="R57" s="9" t="n">
        <v>0.0134401914340798</v>
      </c>
      <c r="S57" s="9" t="n">
        <v>0.0240802167459255</v>
      </c>
      <c r="T57" s="9" t="n">
        <v>0.0082623185935159</v>
      </c>
      <c r="U57" s="9" t="n">
        <v>0.000418</v>
      </c>
      <c r="V57" s="9" t="n">
        <v>0.000297</v>
      </c>
      <c r="W57" s="9" t="n">
        <v>0.002196</v>
      </c>
      <c r="X57" s="9" t="n">
        <v>0.0110307225014883</v>
      </c>
      <c r="Y57" s="9" t="n">
        <v>0.0110307225014883</v>
      </c>
      <c r="Z57" s="9" t="n">
        <v>0.1</v>
      </c>
      <c r="AA57" s="9" t="n">
        <v>0.02</v>
      </c>
      <c r="AB57" s="9" t="n">
        <v>0.5</v>
      </c>
      <c r="AC57" s="9" t="n">
        <v>0</v>
      </c>
      <c r="AD57" s="9" t="n">
        <v>0</v>
      </c>
      <c r="AE57" s="9" t="n">
        <v>26.885</v>
      </c>
      <c r="AF57" s="9" t="n">
        <v>29.0813326213402</v>
      </c>
      <c r="AG57" s="9" t="n">
        <v>26.4383817732</v>
      </c>
      <c r="AH57" s="9" t="n">
        <v>27.363725135262</v>
      </c>
      <c r="AI57" s="9" t="n">
        <v>26.6249045566099</v>
      </c>
      <c r="AJ57" s="9" t="n">
        <v>0</v>
      </c>
      <c r="AK57" s="9" t="n">
        <v>0</v>
      </c>
      <c r="AL57" s="9" t="n">
        <v>0</v>
      </c>
      <c r="AM57" s="9" t="n">
        <v>0</v>
      </c>
      <c r="AN57" s="9" t="n">
        <v>0</v>
      </c>
      <c r="AO57" s="9" t="n">
        <v>86.5545031369199</v>
      </c>
      <c r="AP57" s="9" t="n">
        <v>71.38455653</v>
      </c>
      <c r="AQ57" s="9" t="n">
        <v>73.88301600855</v>
      </c>
      <c r="AR57" s="9" t="n">
        <v>71.8881745763192</v>
      </c>
      <c r="AS57" s="9" t="n">
        <v>26.7771304606252</v>
      </c>
      <c r="AT57" s="9" t="n">
        <v>18.70714575</v>
      </c>
      <c r="AU57" s="9" t="n">
        <v>21.5009184679176</v>
      </c>
      <c r="AV57" s="9" t="n">
        <v>24.5055881564284</v>
      </c>
      <c r="AW57" s="9" t="n">
        <v>25.440224163511</v>
      </c>
      <c r="AX57" s="9" t="n">
        <v>18.1260346572</v>
      </c>
      <c r="AY57" s="9" t="n">
        <v>20.4332700021897</v>
      </c>
      <c r="AZ57" s="9" t="n">
        <v>23.2867099244522</v>
      </c>
      <c r="BA57" s="9" t="n">
        <v>39.3516651622261</v>
      </c>
      <c r="BB57" s="9" t="n">
        <v>32.2236923583998</v>
      </c>
      <c r="BC57" s="9" t="n">
        <v>32.11790449</v>
      </c>
      <c r="BD57" s="9" t="n">
        <v>31.8452210354911</v>
      </c>
      <c r="BE57" s="9" t="n">
        <v>1.82036353167236</v>
      </c>
      <c r="BF57" s="9" t="n">
        <v>1.46072199</v>
      </c>
      <c r="BG57" s="9" t="n">
        <v>1.51184725965</v>
      </c>
      <c r="BH57" s="9" t="n">
        <v>1.47102738363945</v>
      </c>
      <c r="BI57" s="9" t="n">
        <v>0.444079306651308</v>
      </c>
      <c r="BJ57" s="9" t="n">
        <v>0.41182253</v>
      </c>
      <c r="BK57" s="9" t="n">
        <v>0.426236318549999</v>
      </c>
      <c r="BL57" s="9" t="n">
        <v>0.41472793794915</v>
      </c>
      <c r="BM57" s="9" t="n">
        <v>0</v>
      </c>
      <c r="BN57" s="9" t="n">
        <v>0</v>
      </c>
      <c r="BO57" s="9" t="n">
        <v>0</v>
      </c>
      <c r="BP57" s="9" t="n">
        <v>0</v>
      </c>
      <c r="BQ57" s="9" t="n">
        <v>0</v>
      </c>
      <c r="BR57" s="9" t="n">
        <v>0</v>
      </c>
      <c r="BS57" s="9" t="n">
        <v>0</v>
      </c>
      <c r="BT57" s="9" t="n">
        <v>0</v>
      </c>
      <c r="BU57" s="9" t="n">
        <v>0</v>
      </c>
      <c r="BV57" s="9" t="n">
        <v>104.954435609365</v>
      </c>
      <c r="BW57" s="9" t="n">
        <v>62.4475306856206</v>
      </c>
      <c r="BX57" s="9" t="n">
        <v>71.9901802527505</v>
      </c>
      <c r="BY57" s="9" t="n">
        <v>80.2362224598609</v>
      </c>
      <c r="BZ57" s="9" t="n">
        <v>14.5048207289267</v>
      </c>
      <c r="CA57" s="9" t="n">
        <v>0</v>
      </c>
      <c r="CB57" s="9" t="n">
        <v>9.151</v>
      </c>
      <c r="CC57" s="9" t="n">
        <v>9.204</v>
      </c>
      <c r="CD57" s="9" t="n">
        <v>142.073</v>
      </c>
      <c r="CE57" s="9" t="n">
        <v>32.23</v>
      </c>
      <c r="CF57" s="9" t="n">
        <v>0</v>
      </c>
      <c r="CG57" s="9" t="n">
        <v>0</v>
      </c>
      <c r="CH57" s="9" t="n">
        <v>0</v>
      </c>
      <c r="CI57" s="9" t="n">
        <v>0</v>
      </c>
      <c r="CJ57" s="9" t="n">
        <v>0.04</v>
      </c>
      <c r="CK57" s="9" t="n">
        <v>33.37</v>
      </c>
      <c r="CL57" s="9" t="n">
        <v>1.1</v>
      </c>
      <c r="CM57" s="9" t="n">
        <v>203.358</v>
      </c>
      <c r="CN57" s="9" t="n">
        <v>234.697</v>
      </c>
      <c r="CO57" s="9" t="n">
        <v>3</v>
      </c>
      <c r="CP57" s="9" t="n">
        <v>1</v>
      </c>
      <c r="CQ57" s="9" t="n">
        <v>0.5</v>
      </c>
      <c r="CR57" s="9" t="n">
        <v>0.3</v>
      </c>
      <c r="CS57" s="9" t="n">
        <v>0.6</v>
      </c>
      <c r="CT57" s="9" t="n">
        <v>0.8</v>
      </c>
      <c r="CU57" s="9" t="n">
        <v>0.8</v>
      </c>
      <c r="CV57" s="9" t="n">
        <v>0.7</v>
      </c>
      <c r="CW57" s="9" t="n">
        <v>0.5</v>
      </c>
      <c r="CX57" s="9" t="n">
        <v>0.5</v>
      </c>
      <c r="CY57" s="9" t="n">
        <v>1</v>
      </c>
      <c r="CZ57" s="9" t="n">
        <v>0.3</v>
      </c>
      <c r="DA57" s="9" t="n">
        <v>0.8</v>
      </c>
      <c r="DB57" s="9" t="n">
        <v>0.320524939594045</v>
      </c>
      <c r="DC57" s="9" t="n">
        <v>5.599</v>
      </c>
      <c r="DD57" s="9" t="n">
        <v>4.142</v>
      </c>
      <c r="DE57" s="9" t="n">
        <v>10.82725</v>
      </c>
      <c r="DF57" s="9" t="n">
        <v>20.4259852275857</v>
      </c>
      <c r="DG57" s="9" t="n">
        <v>23.8091561447126</v>
      </c>
      <c r="DH57" s="9" t="n">
        <v>18.0045316956747</v>
      </c>
      <c r="DI57" s="9" t="n">
        <v>22.8842950903508</v>
      </c>
      <c r="DJ57" s="9" t="n">
        <v>8.185</v>
      </c>
      <c r="DK57" s="9" t="n">
        <v>6.861</v>
      </c>
      <c r="DL57" s="9" t="n">
        <v>18.54605</v>
      </c>
      <c r="DM57" s="9" t="n">
        <v>13.4947462084719</v>
      </c>
      <c r="DN57" s="9" t="n">
        <v>13.4947462084719</v>
      </c>
      <c r="DO57" s="9" t="n">
        <v>0.10568</v>
      </c>
    </row>
    <row r="58" customFormat="false" ht="15" hidden="false" customHeight="false" outlineLevel="0" collapsed="false">
      <c r="A58" s="9" t="s">
        <v>794</v>
      </c>
      <c r="B58" s="9" t="s">
        <v>795</v>
      </c>
      <c r="C58" s="9" t="n">
        <v>0.005</v>
      </c>
      <c r="D58" s="9" t="n">
        <v>0.005</v>
      </c>
      <c r="E58" s="9" t="n">
        <v>0.01</v>
      </c>
      <c r="F58" s="9" t="n">
        <v>0.005</v>
      </c>
      <c r="G58" s="9" t="n">
        <v>0.005</v>
      </c>
      <c r="H58" s="9" t="n">
        <v>0.01</v>
      </c>
      <c r="I58" s="9" t="n">
        <v>0.005</v>
      </c>
      <c r="J58" s="9" t="n">
        <v>0.005</v>
      </c>
      <c r="K58" s="9" t="n">
        <v>0.01</v>
      </c>
      <c r="L58" s="9" t="n">
        <v>0.01</v>
      </c>
      <c r="M58" s="9" t="n">
        <v>0.005</v>
      </c>
      <c r="N58" s="9" t="n">
        <v>0.726846</v>
      </c>
      <c r="O58" s="9" t="n">
        <v>0.769747</v>
      </c>
      <c r="P58" s="9" t="n">
        <v>43.294809</v>
      </c>
      <c r="Q58" s="9" t="n">
        <v>0.917866352202523</v>
      </c>
      <c r="R58" s="9" t="n">
        <v>0.279756154892773</v>
      </c>
      <c r="S58" s="9" t="n">
        <v>2.17304750238534</v>
      </c>
      <c r="T58" s="9" t="n">
        <v>2.12395894172753</v>
      </c>
      <c r="U58" s="9" t="n">
        <v>0.040448</v>
      </c>
      <c r="V58" s="9" t="n">
        <v>0.026391</v>
      </c>
      <c r="W58" s="9" t="n">
        <v>0.050675</v>
      </c>
      <c r="X58" s="9" t="n">
        <v>1.04904075403812</v>
      </c>
      <c r="Y58" s="9" t="n">
        <v>1.04904075403812</v>
      </c>
      <c r="Z58" s="9" t="n">
        <v>3.8</v>
      </c>
      <c r="AA58" s="9" t="n">
        <v>1.57</v>
      </c>
      <c r="AB58" s="9" t="n">
        <v>9.38</v>
      </c>
      <c r="AC58" s="9" t="n">
        <v>0</v>
      </c>
      <c r="AD58" s="9" t="n">
        <v>0</v>
      </c>
      <c r="AE58" s="9" t="n">
        <v>37.015</v>
      </c>
      <c r="AF58" s="9" t="n">
        <v>47.7315364561723</v>
      </c>
      <c r="AG58" s="9" t="n">
        <v>38.9202164712</v>
      </c>
      <c r="AH58" s="9" t="n">
        <v>43.2890244551191</v>
      </c>
      <c r="AI58" s="9" t="n">
        <v>43.5271140896223</v>
      </c>
      <c r="AJ58" s="9" t="n">
        <v>7.28026275732112</v>
      </c>
      <c r="AK58" s="9" t="n">
        <v>2.21383050067676</v>
      </c>
      <c r="AL58" s="9" t="n">
        <v>1.8171214416</v>
      </c>
      <c r="AM58" s="9" t="n">
        <v>2.02109396235119</v>
      </c>
      <c r="AN58" s="9" t="n">
        <v>2.03220997914412</v>
      </c>
      <c r="AO58" s="9" t="n">
        <v>99.125173495483</v>
      </c>
      <c r="AP58" s="9" t="n">
        <v>84.6043124</v>
      </c>
      <c r="AQ58" s="9" t="n">
        <v>94.1011762152518</v>
      </c>
      <c r="AR58" s="9" t="n">
        <v>94.6187326844357</v>
      </c>
      <c r="AS58" s="9" t="n">
        <v>220.818760802987</v>
      </c>
      <c r="AT58" s="9" t="n">
        <v>208.1987955504</v>
      </c>
      <c r="AU58" s="9" t="n">
        <v>231.112510341404</v>
      </c>
      <c r="AV58" s="9" t="n">
        <v>229.654475024046</v>
      </c>
      <c r="AW58" s="9" t="n">
        <v>92.6342656205109</v>
      </c>
      <c r="AX58" s="9" t="n">
        <v>87.339599694</v>
      </c>
      <c r="AY58" s="9" t="n">
        <v>96.9521279771413</v>
      </c>
      <c r="AZ58" s="9" t="n">
        <v>96.3491230272575</v>
      </c>
      <c r="BA58" s="9" t="n">
        <v>58.850783798868</v>
      </c>
      <c r="BB58" s="9" t="n">
        <v>50.0222020802006</v>
      </c>
      <c r="BC58" s="9" t="n">
        <v>46.3834635330506</v>
      </c>
      <c r="BD58" s="9" t="n">
        <v>55.9432209684491</v>
      </c>
      <c r="BE58" s="9" t="n">
        <v>0</v>
      </c>
      <c r="BF58" s="9" t="n">
        <v>0</v>
      </c>
      <c r="BG58" s="9" t="n">
        <v>0</v>
      </c>
      <c r="BH58" s="9" t="n">
        <v>0</v>
      </c>
      <c r="BI58" s="9" t="n">
        <v>0.279016222416832</v>
      </c>
      <c r="BJ58" s="9" t="n">
        <v>0.232196752192982</v>
      </c>
      <c r="BK58" s="9" t="n">
        <v>0.258260919271072</v>
      </c>
      <c r="BL58" s="9" t="n">
        <v>0.259681354327063</v>
      </c>
      <c r="BM58" s="9" t="n">
        <v>59.8441935909382</v>
      </c>
      <c r="BN58" s="9" t="n">
        <v>45.1386067428</v>
      </c>
      <c r="BO58" s="9" t="n">
        <v>50.2054312212007</v>
      </c>
      <c r="BP58" s="9" t="n">
        <v>50.4815610929173</v>
      </c>
      <c r="BQ58" s="9" t="n">
        <v>14.5370290353963</v>
      </c>
      <c r="BR58" s="9" t="n">
        <v>4.51395672781718</v>
      </c>
      <c r="BS58" s="9" t="n">
        <v>3.4668043776</v>
      </c>
      <c r="BT58" s="9" t="n">
        <v>3.85595438797448</v>
      </c>
      <c r="BU58" s="9" t="n">
        <v>3.87716213710834</v>
      </c>
      <c r="BV58" s="9" t="n">
        <v>134.042114420976</v>
      </c>
      <c r="BW58" s="9" t="n">
        <v>109.967273039717</v>
      </c>
      <c r="BX58" s="9" t="n">
        <v>124.892664623619</v>
      </c>
      <c r="BY58" s="9" t="n">
        <v>122.512315890246</v>
      </c>
      <c r="BZ58" s="9" t="n">
        <v>87.0702851176383</v>
      </c>
      <c r="CA58" s="9" t="n">
        <v>2.55438070848088</v>
      </c>
      <c r="CB58" s="9" t="n">
        <v>0.173</v>
      </c>
      <c r="CC58" s="9" t="n">
        <v>1.047</v>
      </c>
      <c r="CD58" s="9" t="n">
        <v>298.639</v>
      </c>
      <c r="CE58" s="9" t="n">
        <v>55.73</v>
      </c>
      <c r="CF58" s="9" t="n">
        <v>0.16</v>
      </c>
      <c r="CG58" s="9" t="n">
        <v>3.01</v>
      </c>
      <c r="CH58" s="9" t="n">
        <v>0.95</v>
      </c>
      <c r="CI58" s="9" t="n">
        <v>1.9</v>
      </c>
      <c r="CJ58" s="9" t="n">
        <v>0.98</v>
      </c>
      <c r="CK58" s="9" t="n">
        <v>82.3</v>
      </c>
      <c r="CL58" s="9" t="n">
        <v>22.58</v>
      </c>
      <c r="CM58" s="9" t="n">
        <v>47.19</v>
      </c>
      <c r="CN58" s="9" t="n">
        <v>45.832</v>
      </c>
      <c r="CO58" s="9" t="n">
        <v>1</v>
      </c>
      <c r="CP58" s="9" t="n">
        <v>4</v>
      </c>
      <c r="CQ58" s="9" t="n">
        <v>0.5</v>
      </c>
      <c r="CR58" s="9" t="n">
        <v>0.3</v>
      </c>
      <c r="CS58" s="9" t="n">
        <v>0.6</v>
      </c>
      <c r="CT58" s="9" t="n">
        <v>0.8</v>
      </c>
      <c r="CU58" s="9" t="n">
        <v>0.8</v>
      </c>
      <c r="CV58" s="9" t="n">
        <v>0.7</v>
      </c>
      <c r="CW58" s="9" t="n">
        <v>0.5</v>
      </c>
      <c r="CX58" s="9" t="n">
        <v>0.5</v>
      </c>
      <c r="CY58" s="9" t="n">
        <v>1</v>
      </c>
      <c r="CZ58" s="9" t="n">
        <v>0.3</v>
      </c>
      <c r="DA58" s="9" t="n">
        <v>0.8</v>
      </c>
      <c r="DB58" s="9" t="n">
        <v>0.826911255710924</v>
      </c>
      <c r="DC58" s="9" t="n">
        <v>25.12</v>
      </c>
      <c r="DD58" s="9" t="n">
        <v>8.828</v>
      </c>
      <c r="DE58" s="9" t="n">
        <v>13.6586</v>
      </c>
      <c r="DF58" s="9" t="n">
        <v>21.8645889724654</v>
      </c>
      <c r="DG58" s="9" t="n">
        <v>25.2570365121388</v>
      </c>
      <c r="DH58" s="9" t="n">
        <v>15.656114517978</v>
      </c>
      <c r="DI58" s="9" t="n">
        <v>19.9751831408704</v>
      </c>
      <c r="DJ58" s="9" t="n">
        <v>20.216</v>
      </c>
      <c r="DK58" s="9" t="n">
        <v>20.216</v>
      </c>
      <c r="DL58" s="9" t="n">
        <v>30.06628</v>
      </c>
      <c r="DM58" s="9" t="n">
        <v>13.4985675681163</v>
      </c>
      <c r="DN58" s="9" t="n">
        <v>13.4985675681163</v>
      </c>
      <c r="DO58" s="9" t="n">
        <v>0.0369</v>
      </c>
    </row>
    <row r="59" customFormat="false" ht="15" hidden="false" customHeight="false" outlineLevel="0" collapsed="false">
      <c r="A59" s="9" t="s">
        <v>1006</v>
      </c>
      <c r="B59" s="9" t="s">
        <v>1007</v>
      </c>
      <c r="C59" s="9" t="n">
        <v>0.005</v>
      </c>
      <c r="D59" s="9" t="n">
        <v>0.005</v>
      </c>
      <c r="E59" s="9" t="n">
        <v>0.01</v>
      </c>
      <c r="F59" s="9" t="n">
        <v>0.005</v>
      </c>
      <c r="G59" s="9" t="n">
        <v>0.005</v>
      </c>
      <c r="H59" s="9" t="n">
        <v>0.01</v>
      </c>
      <c r="I59" s="9" t="n">
        <v>0.005</v>
      </c>
      <c r="J59" s="9" t="n">
        <v>0.005</v>
      </c>
      <c r="K59" s="9" t="n">
        <v>0.01</v>
      </c>
      <c r="L59" s="9" t="n">
        <v>0.01</v>
      </c>
      <c r="M59" s="9" t="n">
        <v>0.005</v>
      </c>
      <c r="N59" s="9" t="n">
        <v>0.150077</v>
      </c>
      <c r="O59" s="9" t="n">
        <v>0.061957</v>
      </c>
      <c r="P59" s="9" t="n">
        <v>3.81433</v>
      </c>
      <c r="Q59" s="9" t="n">
        <v>1.06386373148924</v>
      </c>
      <c r="R59" s="9" t="n">
        <v>0.32891294015912</v>
      </c>
      <c r="S59" s="9" t="n">
        <v>0.68057739100063</v>
      </c>
      <c r="T59" s="9" t="n">
        <v>0.195735491187237</v>
      </c>
      <c r="U59" s="9" t="n">
        <v>0.008211</v>
      </c>
      <c r="V59" s="9" t="n">
        <v>0.007959</v>
      </c>
      <c r="W59" s="9" t="n">
        <v>0.008207</v>
      </c>
      <c r="X59" s="9" t="n">
        <v>1.74309958627582</v>
      </c>
      <c r="Y59" s="9" t="n">
        <v>1.74309958627582</v>
      </c>
      <c r="Z59" s="9" t="n">
        <v>0.24</v>
      </c>
      <c r="AA59" s="9" t="n">
        <v>0.01</v>
      </c>
      <c r="AB59" s="9" t="n">
        <v>0.01</v>
      </c>
      <c r="AC59" s="9" t="n">
        <v>0</v>
      </c>
      <c r="AD59" s="9" t="n">
        <v>0</v>
      </c>
      <c r="AE59" s="9" t="n">
        <v>1.809</v>
      </c>
      <c r="AF59" s="9" t="n">
        <v>0</v>
      </c>
      <c r="AG59" s="9" t="n">
        <v>0</v>
      </c>
      <c r="AH59" s="9" t="n">
        <v>0</v>
      </c>
      <c r="AI59" s="9" t="n">
        <v>0</v>
      </c>
      <c r="AJ59" s="9" t="n">
        <v>0</v>
      </c>
      <c r="AK59" s="9" t="n">
        <v>0</v>
      </c>
      <c r="AL59" s="9" t="n">
        <v>0</v>
      </c>
      <c r="AM59" s="9" t="n">
        <v>0</v>
      </c>
      <c r="AN59" s="9" t="n">
        <v>0</v>
      </c>
      <c r="AO59" s="9" t="n">
        <v>3.92551364552606</v>
      </c>
      <c r="AP59" s="9" t="n">
        <v>3.611392425</v>
      </c>
      <c r="AQ59" s="9" t="n">
        <v>3.611392425</v>
      </c>
      <c r="AR59" s="9" t="n">
        <v>3.64750634925</v>
      </c>
      <c r="AS59" s="9" t="n">
        <v>2.43462285361799</v>
      </c>
      <c r="AT59" s="9" t="n">
        <v>1.8716168304</v>
      </c>
      <c r="AU59" s="9" t="n">
        <v>2.25453778044918</v>
      </c>
      <c r="AV59" s="9" t="n">
        <v>2.39868571648229</v>
      </c>
      <c r="AW59" s="9" t="n">
        <v>1.39118796955025</v>
      </c>
      <c r="AX59" s="9" t="n">
        <v>1.1140404912</v>
      </c>
      <c r="AY59" s="9" t="n">
        <v>1.28828406929493</v>
      </c>
      <c r="AZ59" s="9" t="n">
        <v>1.37065283296063</v>
      </c>
      <c r="BA59" s="9" t="n">
        <v>3.73353690722543</v>
      </c>
      <c r="BB59" s="9" t="n">
        <v>2.85343816462371</v>
      </c>
      <c r="BC59" s="9" t="n">
        <v>4.518626309</v>
      </c>
      <c r="BD59" s="9" t="n">
        <v>3.62667651426</v>
      </c>
      <c r="BE59" s="9" t="n">
        <v>0.67172774947981</v>
      </c>
      <c r="BF59" s="9" t="n">
        <v>0.610941283000371</v>
      </c>
      <c r="BG59" s="9" t="n">
        <v>0.610941283000371</v>
      </c>
      <c r="BH59" s="9" t="n">
        <v>0.617050695830374</v>
      </c>
      <c r="BI59" s="9" t="n">
        <v>1.13722804937939</v>
      </c>
      <c r="BJ59" s="9" t="n">
        <v>1.13089840255591</v>
      </c>
      <c r="BK59" s="9" t="n">
        <v>1.13089840255591</v>
      </c>
      <c r="BL59" s="9" t="n">
        <v>1.14220738658147</v>
      </c>
      <c r="BM59" s="9" t="n">
        <v>0</v>
      </c>
      <c r="BN59" s="9" t="n">
        <v>0</v>
      </c>
      <c r="BO59" s="9" t="n">
        <v>0</v>
      </c>
      <c r="BP59" s="9" t="n">
        <v>0</v>
      </c>
      <c r="BQ59" s="9" t="n">
        <v>0</v>
      </c>
      <c r="BR59" s="9" t="n">
        <v>0</v>
      </c>
      <c r="BS59" s="9" t="n">
        <v>0</v>
      </c>
      <c r="BT59" s="9" t="n">
        <v>0</v>
      </c>
      <c r="BU59" s="9" t="n">
        <v>0</v>
      </c>
      <c r="BV59" s="9" t="n">
        <v>6.75758259655592</v>
      </c>
      <c r="BW59" s="9" t="n">
        <v>5.98682841231338</v>
      </c>
      <c r="BX59" s="9" t="n">
        <v>6.55486504574192</v>
      </c>
      <c r="BY59" s="9" t="n">
        <v>6.48679430799827</v>
      </c>
      <c r="BZ59" s="9" t="n">
        <v>1.06272522865784</v>
      </c>
      <c r="CA59" s="9" t="n">
        <v>0.404703308722998</v>
      </c>
      <c r="CB59" s="9" t="n">
        <v>3.191</v>
      </c>
      <c r="CC59" s="9" t="n">
        <v>2.43</v>
      </c>
      <c r="CD59" s="9" t="n">
        <v>5.968</v>
      </c>
      <c r="CE59" s="9" t="n">
        <v>0.72</v>
      </c>
      <c r="CF59" s="9" t="n">
        <v>0</v>
      </c>
      <c r="CG59" s="9" t="n">
        <v>0.42</v>
      </c>
      <c r="CH59" s="9" t="n">
        <v>0</v>
      </c>
      <c r="CI59" s="9" t="n">
        <v>0.42</v>
      </c>
      <c r="CJ59" s="9" t="n">
        <v>0.01</v>
      </c>
      <c r="CK59" s="9" t="n">
        <v>1.15</v>
      </c>
      <c r="CL59" s="9" t="n">
        <v>0</v>
      </c>
      <c r="CM59" s="9" t="n">
        <v>3.104</v>
      </c>
      <c r="CN59" s="9" t="n">
        <v>0.531</v>
      </c>
      <c r="CO59" s="9" t="n">
        <v>3</v>
      </c>
      <c r="CP59" s="9" t="n">
        <v>3</v>
      </c>
      <c r="CQ59" s="9" t="n">
        <v>0.5</v>
      </c>
      <c r="CR59" s="9" t="n">
        <v>0.3</v>
      </c>
      <c r="CS59" s="9" t="n">
        <v>0.6</v>
      </c>
      <c r="CT59" s="9" t="n">
        <v>0.8</v>
      </c>
      <c r="CU59" s="9" t="n">
        <v>0.8</v>
      </c>
      <c r="CV59" s="9" t="n">
        <v>0.7</v>
      </c>
      <c r="CW59" s="9" t="n">
        <v>0.5</v>
      </c>
      <c r="CX59" s="9" t="n">
        <v>0.5</v>
      </c>
      <c r="CY59" s="9" t="n">
        <v>1</v>
      </c>
      <c r="CZ59" s="9" t="n">
        <v>0.3</v>
      </c>
      <c r="DA59" s="9" t="n">
        <v>0.8</v>
      </c>
      <c r="DB59" s="9" t="n">
        <v>0.415222987546093</v>
      </c>
      <c r="DC59" s="9" t="n">
        <v>7.124</v>
      </c>
      <c r="DD59" s="9" t="n">
        <v>4.833</v>
      </c>
      <c r="DE59" s="9" t="n">
        <v>12.48159</v>
      </c>
      <c r="DF59" s="9" t="n">
        <v>20.0000858019493</v>
      </c>
      <c r="DG59" s="9" t="n">
        <v>22.4422600797146</v>
      </c>
      <c r="DH59" s="9" t="n">
        <v>18.8265439350873</v>
      </c>
      <c r="DI59" s="9" t="n">
        <v>21.4170935012375</v>
      </c>
      <c r="DJ59" s="9" t="n">
        <v>8.176</v>
      </c>
      <c r="DK59" s="9" t="n">
        <v>6.853</v>
      </c>
      <c r="DL59" s="9" t="n">
        <v>17.56862</v>
      </c>
      <c r="DM59" s="9" t="n">
        <v>14.1151699077077</v>
      </c>
      <c r="DN59" s="9" t="n">
        <v>14.1151699077077</v>
      </c>
      <c r="DO59" s="9" t="n">
        <v>0.105</v>
      </c>
    </row>
    <row r="60" customFormat="false" ht="15" hidden="false" customHeight="false" outlineLevel="0" collapsed="false">
      <c r="A60" s="9" t="s">
        <v>706</v>
      </c>
      <c r="B60" s="9" t="s">
        <v>707</v>
      </c>
      <c r="C60" s="9" t="n">
        <v>0.005</v>
      </c>
      <c r="D60" s="9" t="n">
        <v>0.005</v>
      </c>
      <c r="E60" s="9" t="n">
        <v>0.01</v>
      </c>
      <c r="F60" s="9" t="n">
        <v>0.005</v>
      </c>
      <c r="G60" s="9" t="n">
        <v>0.005</v>
      </c>
      <c r="H60" s="9" t="n">
        <v>0.01</v>
      </c>
      <c r="I60" s="9" t="n">
        <v>0.005</v>
      </c>
      <c r="J60" s="9" t="n">
        <v>0.005</v>
      </c>
      <c r="K60" s="9" t="n">
        <v>0.01</v>
      </c>
      <c r="L60" s="9" t="n">
        <v>0.01</v>
      </c>
      <c r="M60" s="9" t="n">
        <v>0.005</v>
      </c>
      <c r="N60" s="9" t="n">
        <v>6.548112</v>
      </c>
      <c r="O60" s="9" t="n">
        <v>2.240789</v>
      </c>
      <c r="P60" s="9" t="n">
        <v>50.5134</v>
      </c>
      <c r="Q60" s="9" t="n">
        <v>3.63604529163144</v>
      </c>
      <c r="R60" s="9" t="n">
        <v>0.698947146876128</v>
      </c>
      <c r="S60" s="9" t="n">
        <v>6.56033583723292</v>
      </c>
      <c r="T60" s="9" t="n">
        <v>13.8282120584353</v>
      </c>
      <c r="U60" s="9" t="n">
        <v>1.323752</v>
      </c>
      <c r="V60" s="9" t="n">
        <v>0.120672</v>
      </c>
      <c r="W60" s="9" t="n">
        <v>0.217198</v>
      </c>
      <c r="X60" s="9" t="n">
        <v>5.10255848013934</v>
      </c>
      <c r="Y60" s="9" t="n">
        <v>5.10255848013934</v>
      </c>
      <c r="Z60" s="9" t="n">
        <v>22.59</v>
      </c>
      <c r="AA60" s="9" t="n">
        <v>31.23</v>
      </c>
      <c r="AB60" s="9" t="n">
        <v>25.65</v>
      </c>
      <c r="AC60" s="9" t="n">
        <v>0</v>
      </c>
      <c r="AD60" s="9" t="n">
        <v>0</v>
      </c>
      <c r="AE60" s="9" t="n">
        <v>322.969</v>
      </c>
      <c r="AF60" s="9" t="n">
        <v>170.854643119936</v>
      </c>
      <c r="AG60" s="9" t="n">
        <v>157.2199628724</v>
      </c>
      <c r="AH60" s="9" t="n">
        <v>157.744029415308</v>
      </c>
      <c r="AI60" s="9" t="n">
        <v>155.347533583806</v>
      </c>
      <c r="AJ60" s="9" t="n">
        <v>79.5352571157312</v>
      </c>
      <c r="AK60" s="9" t="n">
        <v>14.2636283823416</v>
      </c>
      <c r="AL60" s="9" t="n">
        <v>13.1423317056</v>
      </c>
      <c r="AM60" s="9" t="n">
        <v>13.186139477952</v>
      </c>
      <c r="AN60" s="9" t="n">
        <v>12.9858115897293</v>
      </c>
      <c r="AO60" s="9" t="n">
        <v>1268.12915403633</v>
      </c>
      <c r="AP60" s="9" t="n">
        <v>1243.04427972899</v>
      </c>
      <c r="AQ60" s="9" t="n">
        <v>1247.18776066142</v>
      </c>
      <c r="AR60" s="9" t="n">
        <v>1228.24010045138</v>
      </c>
      <c r="AS60" s="9" t="n">
        <v>937.393895615265</v>
      </c>
      <c r="AT60" s="9" t="n">
        <v>947.863866186001</v>
      </c>
      <c r="AU60" s="9" t="n">
        <v>951.848247591174</v>
      </c>
      <c r="AV60" s="9" t="n">
        <v>977.174493924806</v>
      </c>
      <c r="AW60" s="9" t="n">
        <v>604.491579135451</v>
      </c>
      <c r="AX60" s="9" t="n">
        <v>611.1942305112</v>
      </c>
      <c r="AY60" s="9" t="n">
        <v>613.72949897186</v>
      </c>
      <c r="AZ60" s="9" t="n">
        <v>630.288933599727</v>
      </c>
      <c r="BA60" s="9" t="n">
        <v>362.929554101302</v>
      </c>
      <c r="BB60" s="9" t="n">
        <v>356.136065669404</v>
      </c>
      <c r="BC60" s="9" t="n">
        <v>398.819868849758</v>
      </c>
      <c r="BD60" s="9" t="n">
        <v>351.894622102691</v>
      </c>
      <c r="BE60" s="9" t="n">
        <v>64.0212413083662</v>
      </c>
      <c r="BF60" s="9" t="n">
        <v>61.4816945545454</v>
      </c>
      <c r="BG60" s="9" t="n">
        <v>61.6866335363938</v>
      </c>
      <c r="BH60" s="9" t="n">
        <v>60.7494712192063</v>
      </c>
      <c r="BI60" s="9" t="n">
        <v>37.3211932846057</v>
      </c>
      <c r="BJ60" s="9" t="n">
        <v>37.36484875</v>
      </c>
      <c r="BK60" s="9" t="n">
        <v>37.4893982458333</v>
      </c>
      <c r="BL60" s="9" t="n">
        <v>36.9198477724831</v>
      </c>
      <c r="BM60" s="9" t="n">
        <v>454.058005711219</v>
      </c>
      <c r="BN60" s="9" t="n">
        <v>396.1567702692</v>
      </c>
      <c r="BO60" s="9" t="n">
        <v>397.477292836764</v>
      </c>
      <c r="BP60" s="9" t="n">
        <v>391.438695503283</v>
      </c>
      <c r="BQ60" s="9" t="n">
        <v>101.739123074348</v>
      </c>
      <c r="BR60" s="9" t="n">
        <v>910.653514940348</v>
      </c>
      <c r="BS60" s="9" t="n">
        <v>869.4911444256</v>
      </c>
      <c r="BT60" s="9" t="n">
        <v>872.389448240352</v>
      </c>
      <c r="BU60" s="9" t="n">
        <v>859.135839315162</v>
      </c>
      <c r="BV60" s="9" t="n">
        <v>549.341169346947</v>
      </c>
      <c r="BW60" s="9" t="n">
        <v>561.229931629729</v>
      </c>
      <c r="BX60" s="9" t="n">
        <v>529.180205403263</v>
      </c>
      <c r="BY60" s="9" t="n">
        <v>521.625258901551</v>
      </c>
      <c r="BZ60" s="9" t="n">
        <v>428.301520764088</v>
      </c>
      <c r="CA60" s="9" t="n">
        <v>2.57908459229426</v>
      </c>
      <c r="CB60" s="9" t="n">
        <v>0.928</v>
      </c>
      <c r="CC60" s="9" t="n">
        <v>0.858</v>
      </c>
      <c r="CD60" s="9" t="n">
        <v>3161.042</v>
      </c>
      <c r="CE60" s="9" t="n">
        <v>462.32</v>
      </c>
      <c r="CF60" s="9" t="n">
        <v>1.74</v>
      </c>
      <c r="CG60" s="9" t="n">
        <v>29.35</v>
      </c>
      <c r="CH60" s="9" t="n">
        <v>17.25</v>
      </c>
      <c r="CI60" s="9" t="n">
        <v>10.36</v>
      </c>
      <c r="CJ60" s="9" t="n">
        <v>32.01</v>
      </c>
      <c r="CK60" s="9" t="n">
        <v>570.14</v>
      </c>
      <c r="CL60" s="9" t="n">
        <v>46.46</v>
      </c>
      <c r="CM60" s="9" t="n">
        <v>423.894</v>
      </c>
      <c r="CN60" s="9" t="n">
        <v>405.322</v>
      </c>
      <c r="CO60" s="9" t="n">
        <v>1</v>
      </c>
      <c r="CP60" s="9" t="n">
        <v>4</v>
      </c>
      <c r="CQ60" s="9" t="n">
        <v>0.5</v>
      </c>
      <c r="CR60" s="9" t="n">
        <v>0.3</v>
      </c>
      <c r="CS60" s="9" t="n">
        <v>0.6</v>
      </c>
      <c r="CT60" s="9" t="n">
        <v>0.8</v>
      </c>
      <c r="CU60" s="9" t="n">
        <v>0.8</v>
      </c>
      <c r="CV60" s="9" t="n">
        <v>0.7</v>
      </c>
      <c r="CW60" s="9" t="n">
        <v>0.5</v>
      </c>
      <c r="CX60" s="9" t="n">
        <v>0.5</v>
      </c>
      <c r="CY60" s="9" t="n">
        <v>1</v>
      </c>
      <c r="CZ60" s="9" t="n">
        <v>0.3</v>
      </c>
      <c r="DA60" s="9" t="n">
        <v>0.8</v>
      </c>
      <c r="DB60" s="9" t="n">
        <v>0.718982710981434</v>
      </c>
      <c r="DC60" s="9" t="n">
        <v>15.063</v>
      </c>
      <c r="DD60" s="9" t="n">
        <v>18.133</v>
      </c>
      <c r="DE60" s="9" t="n">
        <v>18.8268</v>
      </c>
      <c r="DF60" s="9" t="n">
        <v>22.4066159738025</v>
      </c>
      <c r="DG60" s="9" t="n">
        <v>24.661779012369</v>
      </c>
      <c r="DH60" s="9" t="n">
        <v>18.7873374215736</v>
      </c>
      <c r="DI60" s="9" t="n">
        <v>21.6921937991962</v>
      </c>
      <c r="DJ60" s="9" t="n">
        <v>17.329</v>
      </c>
      <c r="DK60" s="9" t="n">
        <v>17.329</v>
      </c>
      <c r="DL60" s="9" t="n">
        <v>30.9912</v>
      </c>
      <c r="DM60" s="9" t="n">
        <v>13.4947462084719</v>
      </c>
      <c r="DN60" s="9" t="n">
        <v>13.4947462084719</v>
      </c>
      <c r="DO60" s="9" t="n">
        <v>0.03297</v>
      </c>
    </row>
    <row r="61" customFormat="false" ht="15" hidden="false" customHeight="false" outlineLevel="0" collapsed="false">
      <c r="A61" s="9" t="s">
        <v>950</v>
      </c>
      <c r="B61" s="9" t="s">
        <v>951</v>
      </c>
      <c r="C61" s="9" t="n">
        <v>0.005</v>
      </c>
      <c r="D61" s="9" t="n">
        <v>0.005</v>
      </c>
      <c r="E61" s="9" t="n">
        <v>0.01</v>
      </c>
      <c r="F61" s="9" t="n">
        <v>0.005</v>
      </c>
      <c r="G61" s="9" t="n">
        <v>0.005</v>
      </c>
      <c r="H61" s="9" t="n">
        <v>0.01</v>
      </c>
      <c r="I61" s="9" t="n">
        <v>0.005</v>
      </c>
      <c r="J61" s="9" t="n">
        <v>0.005</v>
      </c>
      <c r="K61" s="9" t="n">
        <v>0.01</v>
      </c>
      <c r="L61" s="9" t="n">
        <v>0.01</v>
      </c>
      <c r="M61" s="9" t="n">
        <v>0.005</v>
      </c>
      <c r="N61" s="9" t="n">
        <v>0.595523</v>
      </c>
      <c r="O61" s="9" t="n">
        <v>1.757932</v>
      </c>
      <c r="P61" s="9" t="n">
        <v>4.118344</v>
      </c>
      <c r="Q61" s="9" t="n">
        <v>2.9928524294956</v>
      </c>
      <c r="R61" s="9" t="n">
        <v>0.698518204596317</v>
      </c>
      <c r="S61" s="9" t="n">
        <v>0.93459851132701</v>
      </c>
      <c r="T61" s="9" t="n">
        <v>0.293060173586915</v>
      </c>
      <c r="U61" s="9" t="n">
        <v>0.008855</v>
      </c>
      <c r="V61" s="9" t="n">
        <v>0.004293</v>
      </c>
      <c r="W61" s="9" t="n">
        <v>0.007716</v>
      </c>
      <c r="X61" s="9" t="n">
        <v>1.09439923459254</v>
      </c>
      <c r="Y61" s="9" t="n">
        <v>1.09439923459254</v>
      </c>
      <c r="Z61" s="9" t="n">
        <v>0.69</v>
      </c>
      <c r="AA61" s="9" t="n">
        <v>0.01</v>
      </c>
      <c r="AB61" s="9" t="n">
        <v>0</v>
      </c>
      <c r="AC61" s="9" t="n">
        <v>0</v>
      </c>
      <c r="AD61" s="9" t="n">
        <v>0</v>
      </c>
      <c r="AE61" s="9" t="n">
        <v>5.318</v>
      </c>
      <c r="AF61" s="9" t="n">
        <v>0</v>
      </c>
      <c r="AG61" s="9" t="n">
        <v>0</v>
      </c>
      <c r="AH61" s="9" t="n">
        <v>0</v>
      </c>
      <c r="AI61" s="9" t="n">
        <v>0</v>
      </c>
      <c r="AJ61" s="9" t="n">
        <v>0</v>
      </c>
      <c r="AK61" s="9" t="n">
        <v>0</v>
      </c>
      <c r="AL61" s="9" t="n">
        <v>0</v>
      </c>
      <c r="AM61" s="9" t="n">
        <v>0</v>
      </c>
      <c r="AN61" s="9" t="n">
        <v>0</v>
      </c>
      <c r="AO61" s="9" t="n">
        <v>0.521924587100924</v>
      </c>
      <c r="AP61" s="9" t="n">
        <v>0.53494568</v>
      </c>
      <c r="AQ61" s="9" t="n">
        <v>0.525010974514286</v>
      </c>
      <c r="AR61" s="9" t="n">
        <v>0.506260582567347</v>
      </c>
      <c r="AS61" s="9" t="n">
        <v>4.15061640315487</v>
      </c>
      <c r="AT61" s="9" t="n">
        <v>3.7977583572</v>
      </c>
      <c r="AU61" s="9" t="n">
        <v>3.82094774432126</v>
      </c>
      <c r="AV61" s="9" t="n">
        <v>4.06448914858993</v>
      </c>
      <c r="AW61" s="9" t="n">
        <v>4.92984705094956</v>
      </c>
      <c r="AX61" s="9" t="n">
        <v>4.52614014</v>
      </c>
      <c r="AY61" s="9" t="n">
        <v>4.53791658242907</v>
      </c>
      <c r="AZ61" s="9" t="n">
        <v>4.82787772542077</v>
      </c>
      <c r="BA61" s="9" t="n">
        <v>1.86425484640021</v>
      </c>
      <c r="BB61" s="9" t="n">
        <v>1.73088774050413</v>
      </c>
      <c r="BC61" s="9" t="n">
        <v>2.07447185526273</v>
      </c>
      <c r="BD61" s="9" t="n">
        <v>1.80064872707602</v>
      </c>
      <c r="BE61" s="9" t="n">
        <v>0.31389871523909</v>
      </c>
      <c r="BF61" s="9" t="n">
        <v>0.320202528372093</v>
      </c>
      <c r="BG61" s="9" t="n">
        <v>0.314255909988039</v>
      </c>
      <c r="BH61" s="9" t="n">
        <v>0.303032484631324</v>
      </c>
      <c r="BI61" s="9" t="n">
        <v>0.914588750026766</v>
      </c>
      <c r="BJ61" s="9" t="n">
        <v>0.829234519999999</v>
      </c>
      <c r="BK61" s="9" t="n">
        <v>0.813834450342857</v>
      </c>
      <c r="BL61" s="9" t="n">
        <v>0.784768934259183</v>
      </c>
      <c r="BM61" s="9" t="n">
        <v>4.5180375279677</v>
      </c>
      <c r="BN61" s="9" t="n">
        <v>4.6870723584</v>
      </c>
      <c r="BO61" s="9" t="n">
        <v>4.60002672888686</v>
      </c>
      <c r="BP61" s="9" t="n">
        <v>4.43574005999804</v>
      </c>
      <c r="BQ61" s="9" t="n">
        <v>16.151444330747</v>
      </c>
      <c r="BR61" s="9" t="n">
        <v>0.102804112192289</v>
      </c>
      <c r="BS61" s="9" t="n">
        <v>0.1066503564</v>
      </c>
      <c r="BT61" s="9" t="n">
        <v>0.104669706924</v>
      </c>
      <c r="BU61" s="9" t="n">
        <v>0.100931503105286</v>
      </c>
      <c r="BV61" s="9" t="n">
        <v>12.9086012953087</v>
      </c>
      <c r="BW61" s="9" t="n">
        <v>18.0866865676998</v>
      </c>
      <c r="BX61" s="9" t="n">
        <v>12.5649903566687</v>
      </c>
      <c r="BY61" s="9" t="n">
        <v>12.0920662842807</v>
      </c>
      <c r="BZ61" s="9" t="n">
        <v>2.52235095947345</v>
      </c>
      <c r="CA61" s="9" t="n">
        <v>-3.74566874566874</v>
      </c>
      <c r="CB61" s="9" t="n">
        <v>2.512</v>
      </c>
      <c r="CC61" s="9" t="n">
        <v>2.665</v>
      </c>
      <c r="CD61" s="9" t="n">
        <v>20.9</v>
      </c>
      <c r="CE61" s="9" t="n">
        <v>0.92</v>
      </c>
      <c r="CF61" s="9" t="n">
        <v>0</v>
      </c>
      <c r="CG61" s="9" t="n">
        <v>1.68</v>
      </c>
      <c r="CH61" s="9" t="n">
        <v>1.15</v>
      </c>
      <c r="CI61" s="9" t="n">
        <v>0.53</v>
      </c>
      <c r="CJ61" s="9" t="n">
        <v>0</v>
      </c>
      <c r="CK61" s="9" t="n">
        <v>2.6</v>
      </c>
      <c r="CL61" s="9" t="n">
        <v>0</v>
      </c>
      <c r="CM61" s="9" t="n">
        <v>19.77</v>
      </c>
      <c r="CN61" s="9" t="n">
        <v>25.777</v>
      </c>
      <c r="CO61" s="9" t="n">
        <v>3</v>
      </c>
      <c r="CP61" s="9" t="n">
        <v>3</v>
      </c>
      <c r="CQ61" s="9" t="n">
        <v>0.5</v>
      </c>
      <c r="CR61" s="9" t="n">
        <v>0.3</v>
      </c>
      <c r="CS61" s="9" t="n">
        <v>0.6</v>
      </c>
      <c r="CT61" s="9" t="n">
        <v>0.8</v>
      </c>
      <c r="CU61" s="9" t="n">
        <v>0.8</v>
      </c>
      <c r="CV61" s="9" t="n">
        <v>0.7</v>
      </c>
      <c r="CW61" s="9" t="n">
        <v>0.5</v>
      </c>
      <c r="CX61" s="9" t="n">
        <v>0.5</v>
      </c>
      <c r="CY61" s="9" t="n">
        <v>1</v>
      </c>
      <c r="CZ61" s="9" t="n">
        <v>0.3</v>
      </c>
      <c r="DA61" s="9" t="n">
        <v>0.8</v>
      </c>
      <c r="DB61" s="9" t="n">
        <v>0.382132996910025</v>
      </c>
      <c r="DC61" s="9" t="n">
        <v>7.124</v>
      </c>
      <c r="DD61" s="9" t="n">
        <v>5.575</v>
      </c>
      <c r="DE61" s="9" t="n">
        <v>14.38774</v>
      </c>
      <c r="DF61" s="9" t="n">
        <v>20.2583764823292</v>
      </c>
      <c r="DG61" s="9" t="n">
        <v>23.170289513162</v>
      </c>
      <c r="DH61" s="9" t="n">
        <v>16.7920967561505</v>
      </c>
      <c r="DI61" s="9" t="n">
        <v>21.1973080686043</v>
      </c>
      <c r="DJ61" s="9" t="n">
        <v>6.853</v>
      </c>
      <c r="DK61" s="9" t="n">
        <v>6.191</v>
      </c>
      <c r="DL61" s="9" t="n">
        <v>12.77114</v>
      </c>
      <c r="DM61" s="9" t="n">
        <v>13.4947462084719</v>
      </c>
      <c r="DN61" s="9" t="n">
        <v>13.4947462084719</v>
      </c>
      <c r="DO61" s="9" t="n">
        <v>0.105</v>
      </c>
    </row>
    <row r="62" customFormat="false" ht="15" hidden="false" customHeight="false" outlineLevel="0" collapsed="false">
      <c r="A62" s="9" t="s">
        <v>704</v>
      </c>
      <c r="B62" s="9" t="s">
        <v>705</v>
      </c>
      <c r="C62" s="9" t="n">
        <v>0.005</v>
      </c>
      <c r="D62" s="9" t="n">
        <v>0.005</v>
      </c>
      <c r="E62" s="9" t="n">
        <v>0.01</v>
      </c>
      <c r="F62" s="9" t="n">
        <v>0.005</v>
      </c>
      <c r="G62" s="9" t="n">
        <v>0.005</v>
      </c>
      <c r="H62" s="9" t="n">
        <v>0.01</v>
      </c>
      <c r="I62" s="9" t="n">
        <v>0.005</v>
      </c>
      <c r="J62" s="9" t="n">
        <v>0.005</v>
      </c>
      <c r="K62" s="9" t="n">
        <v>0.01</v>
      </c>
      <c r="L62" s="9" t="n">
        <v>0.01</v>
      </c>
      <c r="M62" s="9" t="n">
        <v>0.005</v>
      </c>
      <c r="N62" s="9" t="n">
        <v>5.365869</v>
      </c>
      <c r="O62" s="9" t="n">
        <v>1.867267</v>
      </c>
      <c r="P62" s="9" t="n">
        <v>84.841876</v>
      </c>
      <c r="Q62" s="9" t="n">
        <v>3.21918188377643</v>
      </c>
      <c r="R62" s="9" t="n">
        <v>1.08030542978015</v>
      </c>
      <c r="S62" s="9" t="n">
        <v>14.4807668209667</v>
      </c>
      <c r="T62" s="9" t="n">
        <v>31.38994478498</v>
      </c>
      <c r="U62" s="9" t="n">
        <v>0.497922</v>
      </c>
      <c r="V62" s="9" t="n">
        <v>0.95413</v>
      </c>
      <c r="W62" s="9" t="n">
        <v>0.255161</v>
      </c>
      <c r="X62" s="9" t="n">
        <v>6.4219835122508</v>
      </c>
      <c r="Y62" s="9" t="n">
        <v>6.4219835122508</v>
      </c>
      <c r="Z62" s="9" t="n">
        <v>40.6</v>
      </c>
      <c r="AA62" s="9" t="n">
        <v>21.66</v>
      </c>
      <c r="AB62" s="9" t="n">
        <v>33.4</v>
      </c>
      <c r="AC62" s="9" t="n">
        <v>3</v>
      </c>
      <c r="AD62" s="9" t="n">
        <v>0.0717772368</v>
      </c>
      <c r="AE62" s="9" t="n">
        <v>370.094</v>
      </c>
      <c r="AF62" s="9" t="n">
        <v>77.2974023499414</v>
      </c>
      <c r="AG62" s="9" t="n">
        <v>66.1940155692</v>
      </c>
      <c r="AH62" s="9" t="n">
        <v>69.209520722908</v>
      </c>
      <c r="AI62" s="9" t="n">
        <v>69.4402191253177</v>
      </c>
      <c r="AJ62" s="9" t="n">
        <v>45.7180566430589</v>
      </c>
      <c r="AK62" s="9" t="n">
        <v>22.4227416213996</v>
      </c>
      <c r="AL62" s="9" t="n">
        <v>21.0674919312</v>
      </c>
      <c r="AM62" s="9" t="n">
        <v>22.027233230288</v>
      </c>
      <c r="AN62" s="9" t="n">
        <v>22.1006573410556</v>
      </c>
      <c r="AO62" s="9" t="n">
        <v>1056.18974562529</v>
      </c>
      <c r="AP62" s="9" t="n">
        <v>983.506405399526</v>
      </c>
      <c r="AQ62" s="9" t="n">
        <v>1028.31058608995</v>
      </c>
      <c r="AR62" s="9" t="n">
        <v>1031.73828804358</v>
      </c>
      <c r="AS62" s="9" t="n">
        <v>595.208598819067</v>
      </c>
      <c r="AT62" s="9" t="n">
        <v>647.3308236948</v>
      </c>
      <c r="AU62" s="9" t="n">
        <v>659.066200288652</v>
      </c>
      <c r="AV62" s="9" t="n">
        <v>596.759716582314</v>
      </c>
      <c r="AW62" s="9" t="n">
        <v>356.391940607681</v>
      </c>
      <c r="AX62" s="9" t="n">
        <v>384.820259832</v>
      </c>
      <c r="AY62" s="9" t="n">
        <v>394.883562076765</v>
      </c>
      <c r="AZ62" s="9" t="n">
        <v>357.281113584748</v>
      </c>
      <c r="BA62" s="9" t="n">
        <v>506.190530645102</v>
      </c>
      <c r="BB62" s="9" t="n">
        <v>472.795880097561</v>
      </c>
      <c r="BC62" s="9" t="n">
        <v>509.189855601626</v>
      </c>
      <c r="BD62" s="9" t="n">
        <v>495.982140276716</v>
      </c>
      <c r="BE62" s="9" t="n">
        <v>93.1455046913243</v>
      </c>
      <c r="BF62" s="9" t="n">
        <v>83.5319353154811</v>
      </c>
      <c r="BG62" s="9" t="n">
        <v>87.3372790354085</v>
      </c>
      <c r="BH62" s="9" t="n">
        <v>87.6284032988599</v>
      </c>
      <c r="BI62" s="9" t="n">
        <v>10.9977115654183</v>
      </c>
      <c r="BJ62" s="9" t="n">
        <v>11.3002900201794</v>
      </c>
      <c r="BK62" s="9" t="n">
        <v>11.8150810099875</v>
      </c>
      <c r="BL62" s="9" t="n">
        <v>11.8544646133542</v>
      </c>
      <c r="BM62" s="9" t="n">
        <v>809.094663152962</v>
      </c>
      <c r="BN62" s="9" t="n">
        <v>695.1474082008</v>
      </c>
      <c r="BO62" s="9" t="n">
        <v>726.815234574392</v>
      </c>
      <c r="BP62" s="9" t="n">
        <v>729.237952022973</v>
      </c>
      <c r="BQ62" s="9" t="n">
        <v>578.013702160473</v>
      </c>
      <c r="BR62" s="9" t="n">
        <v>1544.85100090682</v>
      </c>
      <c r="BS62" s="9" t="n">
        <v>1223.2071060264</v>
      </c>
      <c r="BT62" s="9" t="n">
        <v>1278.93098530094</v>
      </c>
      <c r="BU62" s="9" t="n">
        <v>1283.19408858527</v>
      </c>
      <c r="BV62" s="9" t="n">
        <v>477.329271395571</v>
      </c>
      <c r="BW62" s="9" t="n">
        <v>420.055444991857</v>
      </c>
      <c r="BX62" s="9" t="n">
        <v>442.800178712418</v>
      </c>
      <c r="BY62" s="9" t="n">
        <v>446.419249288678</v>
      </c>
      <c r="BZ62" s="9" t="n">
        <v>264.333483174097</v>
      </c>
      <c r="CA62" s="9" t="n">
        <v>2.73863218867167</v>
      </c>
      <c r="CB62" s="9" t="n">
        <v>1.323</v>
      </c>
      <c r="CC62" s="9" t="n">
        <v>0.797</v>
      </c>
      <c r="CD62" s="9" t="n">
        <v>3695.355</v>
      </c>
      <c r="CE62" s="9" t="n">
        <v>83.14</v>
      </c>
      <c r="CF62" s="9" t="n">
        <v>0.33</v>
      </c>
      <c r="CG62" s="9" t="n">
        <v>104.01</v>
      </c>
      <c r="CH62" s="9" t="n">
        <v>90.91</v>
      </c>
      <c r="CI62" s="9" t="n">
        <v>12.77</v>
      </c>
      <c r="CJ62" s="9" t="n">
        <v>19.32</v>
      </c>
      <c r="CK62" s="9" t="n">
        <v>292.41</v>
      </c>
      <c r="CL62" s="9" t="n">
        <v>85.94</v>
      </c>
      <c r="CM62" s="9" t="n">
        <v>454.233</v>
      </c>
      <c r="CN62" s="9" t="n">
        <v>450.982</v>
      </c>
      <c r="CO62" s="9" t="n">
        <v>1</v>
      </c>
      <c r="CP62" s="9" t="n">
        <v>4</v>
      </c>
      <c r="CQ62" s="9" t="n">
        <v>0.5</v>
      </c>
      <c r="CR62" s="9" t="n">
        <v>0.3</v>
      </c>
      <c r="CS62" s="9" t="n">
        <v>0.6</v>
      </c>
      <c r="CT62" s="9" t="n">
        <v>0.8</v>
      </c>
      <c r="CU62" s="9" t="n">
        <v>0.8</v>
      </c>
      <c r="CV62" s="9" t="n">
        <v>0.7</v>
      </c>
      <c r="CW62" s="9" t="n">
        <v>0.5</v>
      </c>
      <c r="CX62" s="9" t="n">
        <v>0.5</v>
      </c>
      <c r="CY62" s="9" t="n">
        <v>1</v>
      </c>
      <c r="CZ62" s="9" t="n">
        <v>0.3</v>
      </c>
      <c r="DA62" s="9" t="n">
        <v>0.8</v>
      </c>
      <c r="DB62" s="9" t="n">
        <v>0.845680919426594</v>
      </c>
      <c r="DC62" s="9" t="n">
        <v>14.313</v>
      </c>
      <c r="DD62" s="9" t="n">
        <v>13.133</v>
      </c>
      <c r="DE62" s="9" t="n">
        <v>37.428</v>
      </c>
      <c r="DF62" s="9" t="n">
        <v>22.6401313413338</v>
      </c>
      <c r="DG62" s="9" t="n">
        <v>24.8443368466566</v>
      </c>
      <c r="DH62" s="9" t="n">
        <v>17.3403256731548</v>
      </c>
      <c r="DI62" s="9" t="n">
        <v>20.7519574593454</v>
      </c>
      <c r="DJ62" s="9" t="n">
        <v>19.634</v>
      </c>
      <c r="DK62" s="9" t="n">
        <v>32.277</v>
      </c>
      <c r="DL62" s="9" t="n">
        <v>32.5296</v>
      </c>
      <c r="DM62" s="9" t="n">
        <v>13.4947462084719</v>
      </c>
      <c r="DN62" s="9" t="n">
        <v>13.4947462084719</v>
      </c>
      <c r="DO62" s="9" t="n">
        <v>0.03587</v>
      </c>
    </row>
    <row r="63" customFormat="false" ht="15" hidden="false" customHeight="false" outlineLevel="0" collapsed="false">
      <c r="A63" s="9" t="s">
        <v>900</v>
      </c>
      <c r="B63" s="9" t="s">
        <v>901</v>
      </c>
      <c r="C63" s="9" t="n">
        <v>0.005</v>
      </c>
      <c r="D63" s="9" t="n">
        <v>0.005</v>
      </c>
      <c r="E63" s="9" t="n">
        <v>0.01</v>
      </c>
      <c r="F63" s="9" t="n">
        <v>0.005</v>
      </c>
      <c r="G63" s="9" t="n">
        <v>0.005</v>
      </c>
      <c r="H63" s="9" t="n">
        <v>0.01</v>
      </c>
      <c r="I63" s="9" t="n">
        <v>0.005</v>
      </c>
      <c r="J63" s="9" t="n">
        <v>0.005</v>
      </c>
      <c r="K63" s="9" t="n">
        <v>0.01</v>
      </c>
      <c r="L63" s="9" t="n">
        <v>0.01</v>
      </c>
      <c r="M63" s="9" t="n">
        <v>0.005</v>
      </c>
      <c r="N63" s="9" t="n">
        <v>0</v>
      </c>
      <c r="O63" s="9" t="n">
        <v>0</v>
      </c>
      <c r="P63" s="9" t="n">
        <v>68.228067</v>
      </c>
      <c r="Q63" s="9" t="n">
        <v>21.5431266069432</v>
      </c>
      <c r="R63" s="9" t="n">
        <v>6.30762482077362</v>
      </c>
      <c r="S63" s="9" t="n">
        <v>0</v>
      </c>
      <c r="T63" s="9" t="n">
        <v>0</v>
      </c>
      <c r="U63" s="9" t="n">
        <v>0</v>
      </c>
      <c r="V63" s="9" t="n">
        <v>0</v>
      </c>
      <c r="W63" s="9" t="n">
        <v>0.104414</v>
      </c>
      <c r="X63" s="9" t="n">
        <v>0</v>
      </c>
      <c r="Y63" s="9" t="n">
        <v>0</v>
      </c>
      <c r="Z63" s="9" t="n">
        <v>2.04</v>
      </c>
      <c r="AA63" s="9" t="n">
        <v>0.32</v>
      </c>
      <c r="AB63" s="9" t="n">
        <v>0.02</v>
      </c>
      <c r="AC63" s="9" t="n">
        <v>5.1</v>
      </c>
      <c r="AD63" s="9" t="n">
        <v>0</v>
      </c>
      <c r="AE63" s="9" t="n">
        <v>12.73</v>
      </c>
      <c r="AF63" s="9" t="n">
        <v>10.1808020647291</v>
      </c>
      <c r="AG63" s="9" t="n">
        <v>9.3122261316</v>
      </c>
      <c r="AH63" s="9" t="n">
        <v>9.564986555172</v>
      </c>
      <c r="AI63" s="9" t="n">
        <v>9.34368754805461</v>
      </c>
      <c r="AJ63" s="9" t="n">
        <v>0</v>
      </c>
      <c r="AK63" s="9" t="n">
        <v>0.0910748146095251</v>
      </c>
      <c r="AL63" s="9" t="n">
        <v>0.0833047596</v>
      </c>
      <c r="AM63" s="9" t="n">
        <v>0.0855658887891428</v>
      </c>
      <c r="AN63" s="9" t="n">
        <v>0.0835862052712485</v>
      </c>
      <c r="AO63" s="9" t="n">
        <v>21.7470061359532</v>
      </c>
      <c r="AP63" s="9" t="n">
        <v>20.12785077</v>
      </c>
      <c r="AQ63" s="9" t="n">
        <v>20.6741781480429</v>
      </c>
      <c r="AR63" s="9" t="n">
        <v>20.1958528445268</v>
      </c>
      <c r="AS63" s="9" t="n">
        <v>42.8176064791867</v>
      </c>
      <c r="AT63" s="9" t="n">
        <v>37.7193501216</v>
      </c>
      <c r="AU63" s="9" t="n">
        <v>41.6778335956658</v>
      </c>
      <c r="AV63" s="9" t="n">
        <v>41.3436787125828</v>
      </c>
      <c r="AW63" s="9" t="n">
        <v>10.6873932989496</v>
      </c>
      <c r="AX63" s="9" t="n">
        <v>9.5075989668</v>
      </c>
      <c r="AY63" s="9" t="n">
        <v>10.4125664161319</v>
      </c>
      <c r="AZ63" s="9" t="n">
        <v>10.3229582179397</v>
      </c>
      <c r="BA63" s="9" t="n">
        <v>26.704681361496</v>
      </c>
      <c r="BB63" s="9" t="n">
        <v>26.20177114</v>
      </c>
      <c r="BC63" s="9" t="n">
        <v>26.8882221268843</v>
      </c>
      <c r="BD63" s="9" t="n">
        <v>26.2902939939379</v>
      </c>
      <c r="BE63" s="9" t="n">
        <v>0</v>
      </c>
      <c r="BF63" s="9" t="n">
        <v>0</v>
      </c>
      <c r="BG63" s="9" t="n">
        <v>0</v>
      </c>
      <c r="BH63" s="9" t="n">
        <v>0</v>
      </c>
      <c r="BI63" s="9" t="n">
        <v>0.371640343549407</v>
      </c>
      <c r="BJ63" s="9" t="n">
        <v>0.341397009999999</v>
      </c>
      <c r="BK63" s="9" t="n">
        <v>0.350663500271428</v>
      </c>
      <c r="BL63" s="9" t="n">
        <v>0.342550422015148</v>
      </c>
      <c r="BM63" s="9" t="n">
        <v>21.9573623044082</v>
      </c>
      <c r="BN63" s="9" t="n">
        <v>19.9947877164</v>
      </c>
      <c r="BO63" s="9" t="n">
        <v>20.537503382988</v>
      </c>
      <c r="BP63" s="9" t="n">
        <v>20.0623402365362</v>
      </c>
      <c r="BQ63" s="9" t="n">
        <v>18.979108564722</v>
      </c>
      <c r="BR63" s="9" t="n">
        <v>58.1578564627464</v>
      </c>
      <c r="BS63" s="9" t="n">
        <v>54.393482088</v>
      </c>
      <c r="BT63" s="9" t="n">
        <v>55.8698766018171</v>
      </c>
      <c r="BU63" s="9" t="n">
        <v>54.5772508204388</v>
      </c>
      <c r="BV63" s="9" t="n">
        <v>6.97829949727803</v>
      </c>
      <c r="BW63" s="9" t="n">
        <v>6.19153832691269</v>
      </c>
      <c r="BX63" s="9" t="n">
        <v>6.35956609595887</v>
      </c>
      <c r="BY63" s="9" t="n">
        <v>6.21245647935496</v>
      </c>
      <c r="BZ63" s="9" t="n">
        <v>14.8624999383712</v>
      </c>
      <c r="CA63" s="9" t="n">
        <v>1.13970110461339</v>
      </c>
      <c r="CB63" s="9" t="n">
        <v>7.462</v>
      </c>
      <c r="CC63" s="9" t="n">
        <v>5.306</v>
      </c>
      <c r="CD63" s="9" t="n">
        <v>34.191</v>
      </c>
      <c r="CE63" s="9" t="n">
        <v>10.64</v>
      </c>
      <c r="CF63" s="9" t="n">
        <v>0</v>
      </c>
      <c r="CG63" s="9" t="n">
        <v>2.75</v>
      </c>
      <c r="CH63" s="9" t="n">
        <v>2.75</v>
      </c>
      <c r="CI63" s="9" t="n">
        <v>0</v>
      </c>
      <c r="CJ63" s="9" t="n">
        <v>0.03</v>
      </c>
      <c r="CK63" s="9" t="n">
        <v>13.5</v>
      </c>
      <c r="CL63" s="9" t="n">
        <v>0.08</v>
      </c>
      <c r="CM63" s="9" t="n">
        <v>18.976</v>
      </c>
      <c r="CN63" s="9" t="n">
        <v>18.98</v>
      </c>
      <c r="CO63" s="9" t="n">
        <v>3</v>
      </c>
      <c r="CP63" s="9" t="n">
        <v>2</v>
      </c>
      <c r="CQ63" s="9" t="n">
        <v>0.5</v>
      </c>
      <c r="CR63" s="9" t="n">
        <v>0.3</v>
      </c>
      <c r="CS63" s="9" t="n">
        <v>0.6</v>
      </c>
      <c r="CT63" s="9" t="n">
        <v>0.8</v>
      </c>
      <c r="CU63" s="9" t="n">
        <v>0.8</v>
      </c>
      <c r="CV63" s="9" t="n">
        <v>0.7</v>
      </c>
      <c r="CW63" s="9" t="n">
        <v>0.5</v>
      </c>
      <c r="CX63" s="9" t="n">
        <v>0.5</v>
      </c>
      <c r="CY63" s="9" t="n">
        <v>1</v>
      </c>
      <c r="CZ63" s="9" t="n">
        <v>0.3</v>
      </c>
      <c r="DA63" s="9" t="n">
        <v>0.8</v>
      </c>
      <c r="DB63" s="9" t="n">
        <v>0.326265566105253</v>
      </c>
      <c r="DC63" s="9" t="n">
        <v>5.933</v>
      </c>
      <c r="DD63" s="9" t="n">
        <v>3.62</v>
      </c>
      <c r="DE63" s="9" t="n">
        <v>10.84184</v>
      </c>
      <c r="DF63" s="9" t="n">
        <v>21.4705971467098</v>
      </c>
      <c r="DG63" s="9" t="n">
        <v>24.4260037392328</v>
      </c>
      <c r="DH63" s="9" t="n">
        <v>15.656114517978</v>
      </c>
      <c r="DI63" s="9" t="n">
        <v>20.6378366081617</v>
      </c>
      <c r="DJ63" s="9" t="n">
        <v>6.272</v>
      </c>
      <c r="DK63" s="9" t="n">
        <v>4.952</v>
      </c>
      <c r="DL63" s="9" t="n">
        <v>16.74774</v>
      </c>
      <c r="DM63" s="9" t="n">
        <v>13.4947462084719</v>
      </c>
      <c r="DN63" s="9" t="n">
        <v>13.4947462084719</v>
      </c>
      <c r="DO63" s="9" t="n">
        <v>0.105</v>
      </c>
    </row>
    <row r="64" customFormat="false" ht="15" hidden="false" customHeight="false" outlineLevel="0" collapsed="false">
      <c r="A64" s="9" t="s">
        <v>844</v>
      </c>
      <c r="B64" s="9" t="s">
        <v>845</v>
      </c>
      <c r="C64" s="9" t="n">
        <v>0.005</v>
      </c>
      <c r="D64" s="9" t="n">
        <v>0.005</v>
      </c>
      <c r="E64" s="9" t="n">
        <v>0.01</v>
      </c>
      <c r="F64" s="9" t="n">
        <v>0.005</v>
      </c>
      <c r="G64" s="9" t="n">
        <v>0.005</v>
      </c>
      <c r="H64" s="9" t="n">
        <v>0.01</v>
      </c>
      <c r="I64" s="9" t="n">
        <v>0.005</v>
      </c>
      <c r="J64" s="9" t="n">
        <v>0.005</v>
      </c>
      <c r="K64" s="9" t="n">
        <v>0.01</v>
      </c>
      <c r="L64" s="9" t="n">
        <v>0.01</v>
      </c>
      <c r="M64" s="9" t="n">
        <v>0.005</v>
      </c>
      <c r="N64" s="9" t="n">
        <v>1.114267</v>
      </c>
      <c r="O64" s="9" t="n">
        <v>0.354975</v>
      </c>
      <c r="P64" s="9" t="n">
        <v>5.077248</v>
      </c>
      <c r="Q64" s="9" t="n">
        <v>2.77175153149776</v>
      </c>
      <c r="R64" s="9" t="n">
        <v>0.691083205079592</v>
      </c>
      <c r="S64" s="9" t="n">
        <v>0.869430928054209</v>
      </c>
      <c r="T64" s="9" t="n">
        <v>0.265635482292944</v>
      </c>
      <c r="U64" s="9" t="n">
        <v>0.007913</v>
      </c>
      <c r="V64" s="9" t="n">
        <v>0.007877</v>
      </c>
      <c r="W64" s="9" t="n">
        <v>0.006891</v>
      </c>
      <c r="X64" s="9" t="n">
        <v>2.53628453165093</v>
      </c>
      <c r="Y64" s="9" t="n">
        <v>2.53628453165093</v>
      </c>
      <c r="Z64" s="9" t="n">
        <v>3.43</v>
      </c>
      <c r="AA64" s="9" t="n">
        <v>0.19</v>
      </c>
      <c r="AB64" s="9" t="n">
        <v>0</v>
      </c>
      <c r="AC64" s="9" t="n">
        <v>4.9</v>
      </c>
      <c r="AD64" s="9" t="n">
        <v>0</v>
      </c>
      <c r="AE64" s="9" t="n">
        <v>22.034</v>
      </c>
      <c r="AF64" s="9" t="n">
        <v>0</v>
      </c>
      <c r="AG64" s="9" t="n">
        <v>0</v>
      </c>
      <c r="AH64" s="9" t="n">
        <v>0</v>
      </c>
      <c r="AI64" s="9" t="n">
        <v>0</v>
      </c>
      <c r="AJ64" s="9" t="n">
        <v>0</v>
      </c>
      <c r="AK64" s="9" t="n">
        <v>0</v>
      </c>
      <c r="AL64" s="9" t="n">
        <v>0</v>
      </c>
      <c r="AM64" s="9" t="n">
        <v>0</v>
      </c>
      <c r="AN64" s="9" t="n">
        <v>0</v>
      </c>
      <c r="AO64" s="9" t="n">
        <v>70.7969812514632</v>
      </c>
      <c r="AP64" s="9" t="n">
        <v>69.32272038</v>
      </c>
      <c r="AQ64" s="9" t="n">
        <v>74.7424967006182</v>
      </c>
      <c r="AR64" s="9" t="n">
        <v>69.7626015784661</v>
      </c>
      <c r="AS64" s="9" t="n">
        <v>28.3579046454039</v>
      </c>
      <c r="AT64" s="9" t="n">
        <v>35.80509492</v>
      </c>
      <c r="AU64" s="9" t="n">
        <v>29.8664827771487</v>
      </c>
      <c r="AV64" s="9" t="n">
        <v>31.6996015203364</v>
      </c>
      <c r="AW64" s="9" t="n">
        <v>20.5702456727301</v>
      </c>
      <c r="AX64" s="9" t="n">
        <v>25.06720896</v>
      </c>
      <c r="AY64" s="9" t="n">
        <v>21.6645374821755</v>
      </c>
      <c r="AZ64" s="9" t="n">
        <v>22.9942444321834</v>
      </c>
      <c r="BA64" s="9" t="n">
        <v>73.9771342764382</v>
      </c>
      <c r="BB64" s="9" t="n">
        <v>89.4425807872845</v>
      </c>
      <c r="BC64" s="9" t="n">
        <v>68.3517214976648</v>
      </c>
      <c r="BD64" s="9" t="n">
        <v>75.7788409520144</v>
      </c>
      <c r="BE64" s="9" t="n">
        <v>0.832162475238972</v>
      </c>
      <c r="BF64" s="9" t="n">
        <v>0.758829949999999</v>
      </c>
      <c r="BG64" s="9" t="n">
        <v>0.818156655181817</v>
      </c>
      <c r="BH64" s="9" t="n">
        <v>0.763645038415576</v>
      </c>
      <c r="BI64" s="9" t="n">
        <v>10.9147425094653</v>
      </c>
      <c r="BJ64" s="9" t="n">
        <v>10.34844524</v>
      </c>
      <c r="BK64" s="9" t="n">
        <v>11.1575055042182</v>
      </c>
      <c r="BL64" s="9" t="n">
        <v>10.4141103851282</v>
      </c>
      <c r="BM64" s="9" t="n">
        <v>6.37170897198713</v>
      </c>
      <c r="BN64" s="9" t="n">
        <v>6.153716772</v>
      </c>
      <c r="BO64" s="9" t="n">
        <v>6.63482553781091</v>
      </c>
      <c r="BP64" s="9" t="n">
        <v>6.19276463818082</v>
      </c>
      <c r="BQ64" s="9" t="n">
        <v>77.1276783175653</v>
      </c>
      <c r="BR64" s="9" t="n">
        <v>0</v>
      </c>
      <c r="BS64" s="9" t="n">
        <v>0</v>
      </c>
      <c r="BT64" s="9" t="n">
        <v>0</v>
      </c>
      <c r="BU64" s="9" t="n">
        <v>0</v>
      </c>
      <c r="BV64" s="9" t="n">
        <v>38.1307852339409</v>
      </c>
      <c r="BW64" s="9" t="n">
        <v>41.6035107216742</v>
      </c>
      <c r="BX64" s="9" t="n">
        <v>41.5616854950931</v>
      </c>
      <c r="BY64" s="9" t="n">
        <v>38.7685585341098</v>
      </c>
      <c r="BZ64" s="9" t="n">
        <v>13.5911528661483</v>
      </c>
      <c r="CA64" s="9" t="n">
        <v>0.47831461278014</v>
      </c>
      <c r="CB64" s="9" t="n">
        <v>5.954</v>
      </c>
      <c r="CC64" s="9" t="n">
        <v>4.75</v>
      </c>
      <c r="CD64" s="9" t="n">
        <v>83.289</v>
      </c>
      <c r="CE64" s="9" t="n">
        <v>8.62</v>
      </c>
      <c r="CF64" s="9" t="n">
        <v>0</v>
      </c>
      <c r="CG64" s="9" t="n">
        <v>15.48</v>
      </c>
      <c r="CH64" s="9" t="n">
        <v>14.91</v>
      </c>
      <c r="CI64" s="9" t="n">
        <v>0.57</v>
      </c>
      <c r="CJ64" s="9" t="n">
        <v>0.17</v>
      </c>
      <c r="CK64" s="9" t="n">
        <v>24.27</v>
      </c>
      <c r="CL64" s="9" t="n">
        <v>0</v>
      </c>
      <c r="CM64" s="9" t="n">
        <v>52.092</v>
      </c>
      <c r="CN64" s="9" t="n">
        <v>27.791</v>
      </c>
      <c r="CO64" s="9" t="n">
        <v>3</v>
      </c>
      <c r="CP64" s="9" t="n">
        <v>2</v>
      </c>
      <c r="CQ64" s="9" t="n">
        <v>0.5</v>
      </c>
      <c r="CR64" s="9" t="n">
        <v>0.3</v>
      </c>
      <c r="CS64" s="9" t="n">
        <v>0.6</v>
      </c>
      <c r="CT64" s="9" t="n">
        <v>0.8</v>
      </c>
      <c r="CU64" s="9" t="n">
        <v>0.8</v>
      </c>
      <c r="CV64" s="9" t="n">
        <v>0.7</v>
      </c>
      <c r="CW64" s="9" t="n">
        <v>0.5</v>
      </c>
      <c r="CX64" s="9" t="n">
        <v>0.5</v>
      </c>
      <c r="CY64" s="9" t="n">
        <v>1</v>
      </c>
      <c r="CZ64" s="9" t="n">
        <v>0.3</v>
      </c>
      <c r="DA64" s="9" t="n">
        <v>0.8</v>
      </c>
      <c r="DB64" s="9" t="n">
        <v>0.300484879970561</v>
      </c>
      <c r="DC64" s="9" t="n">
        <v>7.124</v>
      </c>
      <c r="DD64" s="9" t="n">
        <v>5.575</v>
      </c>
      <c r="DE64" s="9" t="n">
        <v>14.448705</v>
      </c>
      <c r="DF64" s="9" t="n">
        <v>21.371469082206</v>
      </c>
      <c r="DG64" s="9" t="n">
        <v>24.3656372623874</v>
      </c>
      <c r="DH64" s="9" t="n">
        <v>18.5524957038039</v>
      </c>
      <c r="DI64" s="9" t="n">
        <v>22.3362279569809</v>
      </c>
      <c r="DJ64" s="9" t="n">
        <v>4.676</v>
      </c>
      <c r="DK64" s="9" t="n">
        <v>3.902</v>
      </c>
      <c r="DL64" s="9" t="n">
        <v>11.04657</v>
      </c>
      <c r="DM64" s="9" t="n">
        <v>13.4947462084719</v>
      </c>
      <c r="DN64" s="9" t="n">
        <v>13.4947462084719</v>
      </c>
      <c r="DO64" s="9" t="n">
        <v>0.1169</v>
      </c>
    </row>
    <row r="65" customFormat="false" ht="15" hidden="false" customHeight="false" outlineLevel="0" collapsed="false">
      <c r="A65" s="9" t="s">
        <v>914</v>
      </c>
      <c r="B65" s="9" t="s">
        <v>915</v>
      </c>
      <c r="C65" s="9" t="n">
        <v>0.005</v>
      </c>
      <c r="D65" s="9" t="n">
        <v>0.005</v>
      </c>
      <c r="E65" s="9" t="n">
        <v>0.01</v>
      </c>
      <c r="F65" s="9" t="n">
        <v>0.005</v>
      </c>
      <c r="G65" s="9" t="n">
        <v>0.005</v>
      </c>
      <c r="H65" s="9" t="n">
        <v>0.01</v>
      </c>
      <c r="I65" s="9" t="n">
        <v>0.005</v>
      </c>
      <c r="J65" s="9" t="n">
        <v>0.005</v>
      </c>
      <c r="K65" s="9" t="n">
        <v>0.01</v>
      </c>
      <c r="L65" s="9" t="n">
        <v>0.01</v>
      </c>
      <c r="M65" s="9" t="n">
        <v>0.005</v>
      </c>
      <c r="N65" s="9" t="n">
        <v>0.012297</v>
      </c>
      <c r="O65" s="9" t="n">
        <v>0.053928</v>
      </c>
      <c r="P65" s="9" t="n">
        <v>0.415617</v>
      </c>
      <c r="Q65" s="9" t="n">
        <v>0.0945966490584978</v>
      </c>
      <c r="R65" s="9" t="n">
        <v>0.0181871526639889</v>
      </c>
      <c r="S65" s="9" t="n">
        <v>0.0277094683346953</v>
      </c>
      <c r="T65" s="9" t="n">
        <v>0.0087278013311788</v>
      </c>
      <c r="U65" s="9" t="n">
        <v>0.000546</v>
      </c>
      <c r="V65" s="9" t="n">
        <v>0.0002</v>
      </c>
      <c r="W65" s="9" t="n">
        <v>0.000795</v>
      </c>
      <c r="X65" s="9" t="n">
        <v>0.0165030558190924</v>
      </c>
      <c r="Y65" s="9" t="n">
        <v>0.0165030558190924</v>
      </c>
      <c r="Z65" s="9" t="n">
        <v>0.43</v>
      </c>
      <c r="AA65" s="9" t="n">
        <v>0.02</v>
      </c>
      <c r="AB65" s="9" t="n">
        <v>0</v>
      </c>
      <c r="AC65" s="9" t="n">
        <v>0</v>
      </c>
      <c r="AD65" s="9" t="n">
        <v>0</v>
      </c>
      <c r="AE65" s="9" t="n">
        <v>3.897</v>
      </c>
      <c r="AF65" s="9" t="n">
        <v>0</v>
      </c>
      <c r="AG65" s="9" t="n">
        <v>0</v>
      </c>
      <c r="AH65" s="9" t="n">
        <v>0</v>
      </c>
      <c r="AI65" s="9" t="n">
        <v>0</v>
      </c>
      <c r="AJ65" s="9" t="n">
        <v>0</v>
      </c>
      <c r="AK65" s="9" t="n">
        <v>0</v>
      </c>
      <c r="AL65" s="9" t="n">
        <v>0</v>
      </c>
      <c r="AM65" s="9" t="n">
        <v>0</v>
      </c>
      <c r="AN65" s="9" t="n">
        <v>0</v>
      </c>
      <c r="AO65" s="9" t="n">
        <v>12.2361378265239</v>
      </c>
      <c r="AP65" s="9" t="n">
        <v>11.42861886</v>
      </c>
      <c r="AQ65" s="9" t="n">
        <v>12.0508436646</v>
      </c>
      <c r="AR65" s="9" t="n">
        <v>11.71609800725</v>
      </c>
      <c r="AS65" s="9" t="n">
        <v>6.41392170527046</v>
      </c>
      <c r="AT65" s="9" t="n">
        <v>6.3346200264</v>
      </c>
      <c r="AU65" s="9" t="n">
        <v>6.17500214622572</v>
      </c>
      <c r="AV65" s="9" t="n">
        <v>6.16280640297144</v>
      </c>
      <c r="AW65" s="9" t="n">
        <v>2.86723216233106</v>
      </c>
      <c r="AX65" s="9" t="n">
        <v>2.7930226536</v>
      </c>
      <c r="AY65" s="9" t="n">
        <v>2.76042732819345</v>
      </c>
      <c r="AZ65" s="9" t="n">
        <v>2.75497543325163</v>
      </c>
      <c r="BA65" s="9" t="n">
        <v>23.5311706736703</v>
      </c>
      <c r="BB65" s="9" t="n">
        <v>22.8930294218545</v>
      </c>
      <c r="BC65" s="9" t="n">
        <v>21.9744131</v>
      </c>
      <c r="BD65" s="9" t="n">
        <v>22.391730685679</v>
      </c>
      <c r="BE65" s="9" t="n">
        <v>0.220062517430956</v>
      </c>
      <c r="BF65" s="9" t="n">
        <v>0.208305012</v>
      </c>
      <c r="BG65" s="9" t="n">
        <v>0.219646062653333</v>
      </c>
      <c r="BH65" s="9" t="n">
        <v>0.213544783135185</v>
      </c>
      <c r="BI65" s="9" t="n">
        <v>0</v>
      </c>
      <c r="BJ65" s="9" t="n">
        <v>0</v>
      </c>
      <c r="BK65" s="9" t="n">
        <v>0</v>
      </c>
      <c r="BL65" s="9" t="n">
        <v>0</v>
      </c>
      <c r="BM65" s="9" t="n">
        <v>0</v>
      </c>
      <c r="BN65" s="9" t="n">
        <v>0</v>
      </c>
      <c r="BO65" s="9" t="n">
        <v>0</v>
      </c>
      <c r="BP65" s="9" t="n">
        <v>0</v>
      </c>
      <c r="BQ65" s="9" t="n">
        <v>0</v>
      </c>
      <c r="BR65" s="9" t="n">
        <v>0</v>
      </c>
      <c r="BS65" s="9" t="n">
        <v>0</v>
      </c>
      <c r="BT65" s="9" t="n">
        <v>0</v>
      </c>
      <c r="BU65" s="9" t="n">
        <v>0</v>
      </c>
      <c r="BV65" s="9" t="n">
        <v>25.498901635507</v>
      </c>
      <c r="BW65" s="9" t="n">
        <v>23.9454028016538</v>
      </c>
      <c r="BX65" s="9" t="n">
        <v>24.312355565636</v>
      </c>
      <c r="BY65" s="9" t="n">
        <v>23.6750260609202</v>
      </c>
      <c r="BZ65" s="9" t="n">
        <v>2.57809829655598</v>
      </c>
      <c r="CA65" s="9" t="n">
        <v>0.703060380479735</v>
      </c>
      <c r="CB65" s="9" t="n">
        <v>6.687</v>
      </c>
      <c r="CC65" s="9" t="n">
        <v>8.677</v>
      </c>
      <c r="CD65" s="9" t="n">
        <v>24.233</v>
      </c>
      <c r="CE65" s="9" t="n">
        <v>3</v>
      </c>
      <c r="CF65" s="9" t="n">
        <v>0</v>
      </c>
      <c r="CG65" s="9" t="n">
        <v>1</v>
      </c>
      <c r="CH65" s="9" t="n">
        <v>0</v>
      </c>
      <c r="CI65" s="9" t="n">
        <v>1</v>
      </c>
      <c r="CJ65" s="9" t="n">
        <v>0.03</v>
      </c>
      <c r="CK65" s="9" t="n">
        <v>4.03</v>
      </c>
      <c r="CL65" s="9" t="n">
        <v>0</v>
      </c>
      <c r="CM65" s="9" t="n">
        <v>29.826</v>
      </c>
      <c r="CN65" s="9" t="n">
        <v>41.256</v>
      </c>
      <c r="CO65" s="9" t="n">
        <v>3</v>
      </c>
      <c r="CP65" s="9" t="n">
        <v>1</v>
      </c>
      <c r="CQ65" s="9" t="n">
        <v>0.5</v>
      </c>
      <c r="CR65" s="9" t="n">
        <v>0.3</v>
      </c>
      <c r="CS65" s="9" t="n">
        <v>0.6</v>
      </c>
      <c r="CT65" s="9" t="n">
        <v>0.8</v>
      </c>
      <c r="CU65" s="9" t="n">
        <v>0.8</v>
      </c>
      <c r="CV65" s="9" t="n">
        <v>0.7</v>
      </c>
      <c r="CW65" s="9" t="n">
        <v>0.5</v>
      </c>
      <c r="CX65" s="9" t="n">
        <v>0.5</v>
      </c>
      <c r="CY65" s="9" t="n">
        <v>1</v>
      </c>
      <c r="CZ65" s="9" t="n">
        <v>0.3</v>
      </c>
      <c r="DA65" s="9" t="n">
        <v>0.8</v>
      </c>
      <c r="DB65" s="9" t="n">
        <v>0.354433897412646</v>
      </c>
      <c r="DC65" s="9" t="n">
        <v>7.124</v>
      </c>
      <c r="DD65" s="9" t="n">
        <v>5.575</v>
      </c>
      <c r="DE65" s="9" t="n">
        <v>14.38774</v>
      </c>
      <c r="DF65" s="9" t="n">
        <v>20.5714195315804</v>
      </c>
      <c r="DG65" s="9" t="n">
        <v>24.430264565879</v>
      </c>
      <c r="DH65" s="9" t="n">
        <v>18.474215131214</v>
      </c>
      <c r="DI65" s="9" t="n">
        <v>19.8993870350877</v>
      </c>
      <c r="DJ65" s="9" t="n">
        <v>11.182</v>
      </c>
      <c r="DK65" s="9" t="n">
        <v>9.858</v>
      </c>
      <c r="DL65" s="9" t="n">
        <v>22.56514</v>
      </c>
      <c r="DM65" s="9" t="n">
        <v>13.4947462084719</v>
      </c>
      <c r="DN65" s="9" t="n">
        <v>13.4947462084719</v>
      </c>
      <c r="DO65" s="9" t="n">
        <v>0.105</v>
      </c>
    </row>
    <row r="66" customFormat="false" ht="15" hidden="false" customHeight="false" outlineLevel="0" collapsed="false">
      <c r="A66" s="9" t="s">
        <v>1028</v>
      </c>
      <c r="B66" s="9" t="s">
        <v>1029</v>
      </c>
      <c r="C66" s="9" t="n">
        <v>0.005</v>
      </c>
      <c r="D66" s="9" t="n">
        <v>0.005</v>
      </c>
      <c r="E66" s="9" t="n">
        <v>0.01</v>
      </c>
      <c r="F66" s="9" t="n">
        <v>0.005</v>
      </c>
      <c r="G66" s="9" t="n">
        <v>0.005</v>
      </c>
      <c r="H66" s="9" t="n">
        <v>0.01</v>
      </c>
      <c r="I66" s="9" t="n">
        <v>0.005</v>
      </c>
      <c r="J66" s="9" t="n">
        <v>0.005</v>
      </c>
      <c r="K66" s="9" t="n">
        <v>0.01</v>
      </c>
      <c r="L66" s="9" t="n">
        <v>0.01</v>
      </c>
      <c r="M66" s="9" t="n">
        <v>0.005</v>
      </c>
      <c r="N66" s="9" t="n">
        <v>0.030095</v>
      </c>
      <c r="O66" s="9" t="n">
        <v>0.051751</v>
      </c>
      <c r="P66" s="9" t="n">
        <v>0.295859</v>
      </c>
      <c r="Q66" s="9" t="n">
        <v>0.0344012190311941</v>
      </c>
      <c r="R66" s="9" t="n">
        <v>0.0066629034130651</v>
      </c>
      <c r="S66" s="9" t="n">
        <v>0.0195237840943312</v>
      </c>
      <c r="T66" s="9" t="n">
        <v>0.0059736951333401</v>
      </c>
      <c r="U66" s="9" t="n">
        <v>0.000514</v>
      </c>
      <c r="V66" s="9" t="n">
        <v>0.000394</v>
      </c>
      <c r="W66" s="9" t="n">
        <v>0.001268</v>
      </c>
      <c r="X66" s="9" t="n">
        <v>0.0875205291012291</v>
      </c>
      <c r="Y66" s="9" t="n">
        <v>0.0875205291012291</v>
      </c>
      <c r="Z66" s="9" t="n">
        <v>0.16</v>
      </c>
      <c r="AA66" s="9" t="n">
        <v>0.02</v>
      </c>
      <c r="AB66" s="9" t="n">
        <v>0</v>
      </c>
      <c r="AC66" s="9" t="n">
        <v>0</v>
      </c>
      <c r="AD66" s="9" t="n">
        <v>0</v>
      </c>
      <c r="AE66" s="9" t="n">
        <v>0.595</v>
      </c>
      <c r="AF66" s="9" t="n">
        <v>0</v>
      </c>
      <c r="AG66" s="9" t="n">
        <v>0</v>
      </c>
      <c r="AH66" s="9" t="n">
        <v>0</v>
      </c>
      <c r="AI66" s="9" t="n">
        <v>0</v>
      </c>
      <c r="AJ66" s="9" t="n">
        <v>0</v>
      </c>
      <c r="AK66" s="9" t="n">
        <v>0</v>
      </c>
      <c r="AL66" s="9" t="n">
        <v>0</v>
      </c>
      <c r="AM66" s="9" t="n">
        <v>0</v>
      </c>
      <c r="AN66" s="9" t="n">
        <v>0</v>
      </c>
      <c r="AO66" s="9" t="n">
        <v>0</v>
      </c>
      <c r="AP66" s="9" t="n">
        <v>0</v>
      </c>
      <c r="AQ66" s="9" t="n">
        <v>0</v>
      </c>
      <c r="AR66" s="9" t="n">
        <v>0</v>
      </c>
      <c r="AS66" s="9" t="n">
        <v>0.265110131207157</v>
      </c>
      <c r="AT66" s="9" t="n">
        <v>0.23404212</v>
      </c>
      <c r="AU66" s="9" t="n">
        <v>0.243009819986049</v>
      </c>
      <c r="AV66" s="9" t="n">
        <v>0.246829839094293</v>
      </c>
      <c r="AW66" s="9" t="n">
        <v>1.11390693066387</v>
      </c>
      <c r="AX66" s="9" t="n">
        <v>0.98336920716</v>
      </c>
      <c r="AY66" s="9" t="n">
        <v>1.0210485788275</v>
      </c>
      <c r="AZ66" s="9" t="n">
        <v>1.03709906222686</v>
      </c>
      <c r="BA66" s="9" t="n">
        <v>1.21256672453121</v>
      </c>
      <c r="BB66" s="9" t="n">
        <v>1.11261713454815</v>
      </c>
      <c r="BC66" s="9" t="n">
        <v>1.1163354516983</v>
      </c>
      <c r="BD66" s="9" t="n">
        <v>1.12358892683506</v>
      </c>
      <c r="BE66" s="9" t="n">
        <v>0</v>
      </c>
      <c r="BF66" s="9" t="n">
        <v>0</v>
      </c>
      <c r="BG66" s="9" t="n">
        <v>0</v>
      </c>
      <c r="BH66" s="9" t="n">
        <v>0</v>
      </c>
      <c r="BI66" s="9" t="n">
        <v>0</v>
      </c>
      <c r="BJ66" s="9" t="n">
        <v>0</v>
      </c>
      <c r="BK66" s="9" t="n">
        <v>0</v>
      </c>
      <c r="BL66" s="9" t="n">
        <v>0</v>
      </c>
      <c r="BM66" s="9" t="n">
        <v>0</v>
      </c>
      <c r="BN66" s="9" t="n">
        <v>0</v>
      </c>
      <c r="BO66" s="9" t="n">
        <v>0</v>
      </c>
      <c r="BP66" s="9" t="n">
        <v>0</v>
      </c>
      <c r="BQ66" s="9" t="n">
        <v>0</v>
      </c>
      <c r="BR66" s="9" t="n">
        <v>0</v>
      </c>
      <c r="BS66" s="9" t="n">
        <v>0</v>
      </c>
      <c r="BT66" s="9" t="n">
        <v>0</v>
      </c>
      <c r="BU66" s="9" t="n">
        <v>0</v>
      </c>
      <c r="BV66" s="9" t="n">
        <v>9.41945092235973</v>
      </c>
      <c r="BW66" s="9" t="n">
        <v>9.54160445296616</v>
      </c>
      <c r="BX66" s="9" t="n">
        <v>9.60507258281541</v>
      </c>
      <c r="BY66" s="9" t="n">
        <v>9.34830287588254</v>
      </c>
      <c r="BZ66" s="9" t="n">
        <v>0.383060294964175</v>
      </c>
      <c r="CA66" s="9" t="n">
        <v>0</v>
      </c>
      <c r="CB66" s="9" t="n">
        <v>6.004</v>
      </c>
      <c r="CC66" s="9" t="n">
        <v>5.112</v>
      </c>
      <c r="CD66" s="9" t="n">
        <v>2.403</v>
      </c>
      <c r="CE66" s="9" t="n">
        <v>0</v>
      </c>
      <c r="CF66" s="9" t="n">
        <v>0</v>
      </c>
      <c r="CG66" s="9" t="n">
        <v>0.51</v>
      </c>
      <c r="CH66" s="9" t="n">
        <v>0</v>
      </c>
      <c r="CI66" s="9" t="n">
        <v>0.51</v>
      </c>
      <c r="CJ66" s="9" t="n">
        <v>0</v>
      </c>
      <c r="CK66" s="9" t="n">
        <v>0.51</v>
      </c>
      <c r="CL66" s="9" t="n">
        <v>0</v>
      </c>
      <c r="CM66" s="9" t="n">
        <v>2.403</v>
      </c>
      <c r="CN66" s="9" t="n">
        <v>2.904</v>
      </c>
      <c r="CO66" s="9" t="n">
        <v>3</v>
      </c>
      <c r="CP66" s="9" t="n">
        <v>1</v>
      </c>
      <c r="CQ66" s="9" t="n">
        <v>0.5</v>
      </c>
      <c r="CR66" s="9" t="n">
        <v>0.3</v>
      </c>
      <c r="CS66" s="9" t="n">
        <v>0.6</v>
      </c>
      <c r="CT66" s="9" t="n">
        <v>0.8</v>
      </c>
      <c r="CU66" s="9" t="n">
        <v>0.8</v>
      </c>
      <c r="CV66" s="9" t="n">
        <v>0.7</v>
      </c>
      <c r="CW66" s="9" t="n">
        <v>0.5</v>
      </c>
      <c r="CX66" s="9" t="n">
        <v>0.5</v>
      </c>
      <c r="CY66" s="9" t="n">
        <v>1</v>
      </c>
      <c r="CZ66" s="9" t="n">
        <v>0.3</v>
      </c>
      <c r="DA66" s="9" t="n">
        <v>0.8</v>
      </c>
      <c r="DB66" s="9" t="n">
        <v>0.250130113458936</v>
      </c>
      <c r="DC66" s="9" t="n">
        <v>7.124</v>
      </c>
      <c r="DD66" s="9" t="n">
        <v>5.575</v>
      </c>
      <c r="DE66" s="9" t="n">
        <v>14.02195</v>
      </c>
      <c r="DF66" s="9" t="n">
        <v>20.8711364655871</v>
      </c>
      <c r="DG66" s="9" t="n">
        <v>23.8091561447126</v>
      </c>
      <c r="DH66" s="9" t="n">
        <v>15.656114517978</v>
      </c>
      <c r="DI66" s="9" t="n">
        <v>19.8993870350877</v>
      </c>
      <c r="DJ66" s="9" t="n">
        <v>12.339</v>
      </c>
      <c r="DK66" s="9" t="n">
        <v>11.016</v>
      </c>
      <c r="DL66" s="9" t="n">
        <v>23.32315</v>
      </c>
      <c r="DM66" s="9" t="n">
        <v>13.5585466101189</v>
      </c>
      <c r="DN66" s="9" t="n">
        <v>13.5585466101189</v>
      </c>
      <c r="DO66" s="9" t="n">
        <v>0.105</v>
      </c>
    </row>
    <row r="67" customFormat="false" ht="15" hidden="false" customHeight="false" outlineLevel="0" collapsed="false">
      <c r="A67" s="9" t="s">
        <v>1030</v>
      </c>
      <c r="B67" s="9" t="s">
        <v>1031</v>
      </c>
      <c r="C67" s="9" t="n">
        <v>0.005</v>
      </c>
      <c r="D67" s="9" t="n">
        <v>0.005</v>
      </c>
      <c r="E67" s="9" t="n">
        <v>0.01</v>
      </c>
      <c r="F67" s="9" t="n">
        <v>0.005</v>
      </c>
      <c r="G67" s="9" t="n">
        <v>0.005</v>
      </c>
      <c r="H67" s="9" t="n">
        <v>0.01</v>
      </c>
      <c r="I67" s="9" t="n">
        <v>0.005</v>
      </c>
      <c r="J67" s="9" t="n">
        <v>0.005</v>
      </c>
      <c r="K67" s="9" t="n">
        <v>0.01</v>
      </c>
      <c r="L67" s="9" t="n">
        <v>0.01</v>
      </c>
      <c r="M67" s="9" t="n">
        <v>0.005</v>
      </c>
      <c r="N67" s="9" t="n">
        <v>0.007187</v>
      </c>
      <c r="O67" s="9" t="n">
        <v>0.043088</v>
      </c>
      <c r="P67" s="9" t="n">
        <v>0.241579</v>
      </c>
      <c r="Q67" s="9" t="n">
        <v>0.0553154441631749</v>
      </c>
      <c r="R67" s="9" t="n">
        <v>0.0106377685393142</v>
      </c>
      <c r="S67" s="9" t="n">
        <v>0.0171660951060063</v>
      </c>
      <c r="T67" s="9" t="n">
        <v>0.0052754710268458</v>
      </c>
      <c r="U67" s="9" t="n">
        <v>0.000319</v>
      </c>
      <c r="V67" s="9" t="n">
        <v>0.000159</v>
      </c>
      <c r="W67" s="9" t="n">
        <v>0.000463</v>
      </c>
      <c r="X67" s="9" t="n">
        <v>0.0056589914460364</v>
      </c>
      <c r="Y67" s="9" t="n">
        <v>0.0056589914460364</v>
      </c>
      <c r="Z67" s="9" t="n">
        <v>0.03</v>
      </c>
      <c r="AA67" s="9" t="n">
        <v>0</v>
      </c>
      <c r="AB67" s="9" t="n">
        <v>0</v>
      </c>
      <c r="AC67" s="9" t="n">
        <v>0</v>
      </c>
      <c r="AD67" s="9" t="n">
        <v>0</v>
      </c>
      <c r="AE67" s="9" t="n">
        <v>0.338</v>
      </c>
      <c r="AF67" s="9" t="n">
        <v>0</v>
      </c>
      <c r="AG67" s="9" t="n">
        <v>0</v>
      </c>
      <c r="AH67" s="9" t="n">
        <v>0</v>
      </c>
      <c r="AI67" s="9" t="n">
        <v>0</v>
      </c>
      <c r="AJ67" s="9" t="n">
        <v>0</v>
      </c>
      <c r="AK67" s="9" t="n">
        <v>0</v>
      </c>
      <c r="AL67" s="9" t="n">
        <v>0</v>
      </c>
      <c r="AM67" s="9" t="n">
        <v>0</v>
      </c>
      <c r="AN67" s="9" t="n">
        <v>0</v>
      </c>
      <c r="AO67" s="9" t="n">
        <v>0.446468256406633</v>
      </c>
      <c r="AP67" s="9" t="n">
        <v>0.426123</v>
      </c>
      <c r="AQ67" s="9" t="n">
        <v>0.448550526315789</v>
      </c>
      <c r="AR67" s="9" t="n">
        <v>0.436215386842105</v>
      </c>
      <c r="AS67" s="9" t="n">
        <v>0.318377284139699</v>
      </c>
      <c r="AT67" s="9" t="n">
        <v>0.280130414527771</v>
      </c>
      <c r="AU67" s="9" t="n">
        <v>0.306280793929817</v>
      </c>
      <c r="AV67" s="9" t="n">
        <v>0.3072082561922</v>
      </c>
      <c r="AW67" s="9" t="n">
        <v>0.415042885820699</v>
      </c>
      <c r="AX67" s="9" t="n">
        <v>0.367266096</v>
      </c>
      <c r="AY67" s="9" t="n">
        <v>0.399273663407179</v>
      </c>
      <c r="AZ67" s="9" t="n">
        <v>0.40048272144318</v>
      </c>
      <c r="BA67" s="9" t="n">
        <v>0.764373664094668</v>
      </c>
      <c r="BB67" s="9" t="n">
        <v>0.764851421052632</v>
      </c>
      <c r="BC67" s="9" t="n">
        <v>0.72660885</v>
      </c>
      <c r="BD67" s="9" t="n">
        <v>0.743818006973684</v>
      </c>
      <c r="BE67" s="9" t="n">
        <v>0.0045028660393287</v>
      </c>
      <c r="BF67" s="9" t="n">
        <v>0.0043031299999999</v>
      </c>
      <c r="BG67" s="9" t="n">
        <v>0.0045296105263157</v>
      </c>
      <c r="BH67" s="9" t="n">
        <v>0.0044050462368421</v>
      </c>
      <c r="BI67" s="9" t="n">
        <v>0</v>
      </c>
      <c r="BJ67" s="9" t="n">
        <v>0</v>
      </c>
      <c r="BK67" s="9" t="n">
        <v>0</v>
      </c>
      <c r="BL67" s="9" t="n">
        <v>0</v>
      </c>
      <c r="BM67" s="9" t="n">
        <v>0</v>
      </c>
      <c r="BN67" s="9" t="n">
        <v>0</v>
      </c>
      <c r="BO67" s="9" t="n">
        <v>0</v>
      </c>
      <c r="BP67" s="9" t="n">
        <v>0</v>
      </c>
      <c r="BQ67" s="9" t="n">
        <v>0</v>
      </c>
      <c r="BR67" s="9" t="n">
        <v>0</v>
      </c>
      <c r="BS67" s="9" t="n">
        <v>0</v>
      </c>
      <c r="BT67" s="9" t="n">
        <v>0</v>
      </c>
      <c r="BU67" s="9" t="n">
        <v>0</v>
      </c>
      <c r="BV67" s="9" t="n">
        <v>3.72420219500109</v>
      </c>
      <c r="BW67" s="9" t="n">
        <v>3.83249322399507</v>
      </c>
      <c r="BX67" s="9" t="n">
        <v>3.87594516870275</v>
      </c>
      <c r="BY67" s="9" t="n">
        <v>3.76664609871278</v>
      </c>
      <c r="BZ67" s="9" t="n">
        <v>0.203727824988999</v>
      </c>
      <c r="CA67" s="9" t="n">
        <v>0</v>
      </c>
      <c r="CB67" s="9" t="n">
        <v>5.5</v>
      </c>
      <c r="CC67" s="9" t="n">
        <v>4.9</v>
      </c>
      <c r="CD67" s="9" t="n">
        <v>2.186</v>
      </c>
      <c r="CE67" s="9" t="n">
        <v>0</v>
      </c>
      <c r="CF67" s="9" t="n">
        <v>0</v>
      </c>
      <c r="CG67" s="9" t="n">
        <v>0.08</v>
      </c>
      <c r="CH67" s="9" t="n">
        <v>0</v>
      </c>
      <c r="CI67" s="9" t="n">
        <v>0.08</v>
      </c>
      <c r="CJ67" s="9" t="n">
        <v>0</v>
      </c>
      <c r="CK67" s="9" t="n">
        <v>0.08</v>
      </c>
      <c r="CL67" s="9" t="n">
        <v>0</v>
      </c>
      <c r="CM67" s="9" t="n">
        <v>3.329</v>
      </c>
      <c r="CN67" s="9" t="n">
        <v>4.969</v>
      </c>
      <c r="CO67" s="9" t="n">
        <v>3</v>
      </c>
      <c r="CP67" s="9" t="n">
        <v>1</v>
      </c>
      <c r="CQ67" s="9" t="n">
        <v>0.5</v>
      </c>
      <c r="CR67" s="9" t="n">
        <v>0.3</v>
      </c>
      <c r="CS67" s="9" t="n">
        <v>0.6</v>
      </c>
      <c r="CT67" s="9" t="n">
        <v>0.8</v>
      </c>
      <c r="CU67" s="9" t="n">
        <v>0.8</v>
      </c>
      <c r="CV67" s="9" t="n">
        <v>0.7</v>
      </c>
      <c r="CW67" s="9" t="n">
        <v>0.5</v>
      </c>
      <c r="CX67" s="9" t="n">
        <v>0.5</v>
      </c>
      <c r="CY67" s="9" t="n">
        <v>1</v>
      </c>
      <c r="CZ67" s="9" t="n">
        <v>0.3</v>
      </c>
      <c r="DA67" s="9" t="n">
        <v>0.8</v>
      </c>
      <c r="DB67" s="9" t="n">
        <v>0.355389367582507</v>
      </c>
      <c r="DC67" s="9" t="n">
        <v>7.124</v>
      </c>
      <c r="DD67" s="9" t="n">
        <v>5.575</v>
      </c>
      <c r="DE67" s="9" t="n">
        <v>14.26581</v>
      </c>
      <c r="DF67" s="9" t="n">
        <v>20.3328632995301</v>
      </c>
      <c r="DG67" s="9" t="n">
        <v>24.2232284254902</v>
      </c>
      <c r="DH67" s="9" t="n">
        <v>18.3176539860342</v>
      </c>
      <c r="DI67" s="9" t="n">
        <v>19.8993870350877</v>
      </c>
      <c r="DJ67" s="9" t="n">
        <v>12.815</v>
      </c>
      <c r="DK67" s="9" t="n">
        <v>11.492</v>
      </c>
      <c r="DL67" s="9" t="n">
        <v>24.28569</v>
      </c>
      <c r="DM67" s="9" t="n">
        <v>15.7888530148407</v>
      </c>
      <c r="DN67" s="9" t="n">
        <v>15.7888530148407</v>
      </c>
      <c r="DO67" s="9" t="n">
        <v>0.105</v>
      </c>
    </row>
    <row r="68" customFormat="false" ht="15" hidden="false" customHeight="false" outlineLevel="0" collapsed="false">
      <c r="A68" s="9" t="s">
        <v>994</v>
      </c>
      <c r="B68" s="9" t="s">
        <v>995</v>
      </c>
      <c r="C68" s="9" t="n">
        <v>0.005</v>
      </c>
      <c r="D68" s="9" t="n">
        <v>0.005</v>
      </c>
      <c r="E68" s="9" t="n">
        <v>0.01</v>
      </c>
      <c r="F68" s="9" t="n">
        <v>0.005</v>
      </c>
      <c r="G68" s="9" t="n">
        <v>0.005</v>
      </c>
      <c r="H68" s="9" t="n">
        <v>0.01</v>
      </c>
      <c r="I68" s="9" t="n">
        <v>0.005</v>
      </c>
      <c r="J68" s="9" t="n">
        <v>0.005</v>
      </c>
      <c r="K68" s="9" t="n">
        <v>0.01</v>
      </c>
      <c r="L68" s="9" t="n">
        <v>0.01</v>
      </c>
      <c r="M68" s="9" t="n">
        <v>0.005</v>
      </c>
      <c r="N68" s="9" t="n">
        <v>1.843213</v>
      </c>
      <c r="O68" s="9" t="n">
        <v>1.246237</v>
      </c>
      <c r="P68" s="9" t="n">
        <v>10.174329</v>
      </c>
      <c r="Q68" s="9" t="n">
        <v>2.53662737741784</v>
      </c>
      <c r="R68" s="9" t="n">
        <v>0.603007056958388</v>
      </c>
      <c r="S68" s="9" t="n">
        <v>1.89407196602522</v>
      </c>
      <c r="T68" s="9" t="n">
        <v>0.704973606190416</v>
      </c>
      <c r="U68" s="9" t="n">
        <v>0.102971</v>
      </c>
      <c r="V68" s="9" t="n">
        <v>0.003082</v>
      </c>
      <c r="W68" s="9" t="n">
        <v>0.021576</v>
      </c>
      <c r="X68" s="9" t="n">
        <v>0.0362610466806518</v>
      </c>
      <c r="Y68" s="9" t="n">
        <v>0.0362610466806518</v>
      </c>
      <c r="Z68" s="9" t="n">
        <v>0.28</v>
      </c>
      <c r="AA68" s="9" t="n">
        <v>0</v>
      </c>
      <c r="AB68" s="9" t="n">
        <v>0</v>
      </c>
      <c r="AC68" s="9" t="n">
        <v>0</v>
      </c>
      <c r="AD68" s="9" t="n">
        <v>0</v>
      </c>
      <c r="AE68" s="9" t="n">
        <v>4.959</v>
      </c>
      <c r="AF68" s="9" t="n">
        <v>0</v>
      </c>
      <c r="AG68" s="9" t="n">
        <v>0</v>
      </c>
      <c r="AH68" s="9" t="n">
        <v>0</v>
      </c>
      <c r="AI68" s="9" t="n">
        <v>0</v>
      </c>
      <c r="AJ68" s="9" t="n">
        <v>0</v>
      </c>
      <c r="AK68" s="9" t="n">
        <v>0</v>
      </c>
      <c r="AL68" s="9" t="n">
        <v>0</v>
      </c>
      <c r="AM68" s="9" t="n">
        <v>0</v>
      </c>
      <c r="AN68" s="9" t="n">
        <v>0</v>
      </c>
      <c r="AO68" s="9" t="n">
        <v>2.63538223456422</v>
      </c>
      <c r="AP68" s="9" t="n">
        <v>2.89703304</v>
      </c>
      <c r="AQ68" s="9" t="n">
        <v>2.63453425578514</v>
      </c>
      <c r="AR68" s="9" t="n">
        <v>2.60818891322729</v>
      </c>
      <c r="AS68" s="9" t="n">
        <v>2.04112803452148</v>
      </c>
      <c r="AT68" s="9" t="n">
        <v>2.325181248</v>
      </c>
      <c r="AU68" s="9" t="n">
        <v>2.1640668434325</v>
      </c>
      <c r="AV68" s="9" t="n">
        <v>2.04290505983955</v>
      </c>
      <c r="AW68" s="9" t="n">
        <v>1.64782915995718</v>
      </c>
      <c r="AX68" s="9" t="n">
        <v>1.8837166824</v>
      </c>
      <c r="AY68" s="9" t="n">
        <v>1.74707925636844</v>
      </c>
      <c r="AZ68" s="9" t="n">
        <v>1.64926377556559</v>
      </c>
      <c r="BA68" s="9" t="n">
        <v>2.73680681586316</v>
      </c>
      <c r="BB68" s="9" t="n">
        <v>2.54481442288573</v>
      </c>
      <c r="BC68" s="9" t="n">
        <v>3.20116419</v>
      </c>
      <c r="BD68" s="9" t="n">
        <v>2.69458835852297</v>
      </c>
      <c r="BE68" s="9" t="n">
        <v>0.635722820795114</v>
      </c>
      <c r="BF68" s="9" t="n">
        <v>0.695581899999999</v>
      </c>
      <c r="BG68" s="9" t="n">
        <v>0.632555555270475</v>
      </c>
      <c r="BH68" s="9" t="n">
        <v>0.626229999717771</v>
      </c>
      <c r="BI68" s="9" t="n">
        <v>0.28955359726986</v>
      </c>
      <c r="BJ68" s="9" t="n">
        <v>0.30541329</v>
      </c>
      <c r="BK68" s="9" t="n">
        <v>0.277739937228</v>
      </c>
      <c r="BL68" s="9" t="n">
        <v>0.27496253785572</v>
      </c>
      <c r="BM68" s="9" t="n">
        <v>27.7878712686562</v>
      </c>
      <c r="BN68" s="9" t="n">
        <v>30.889959192</v>
      </c>
      <c r="BO68" s="9" t="n">
        <v>28.0910346991173</v>
      </c>
      <c r="BP68" s="9" t="n">
        <v>27.8101243521261</v>
      </c>
      <c r="BQ68" s="9" t="n">
        <v>8.5699291396473</v>
      </c>
      <c r="BR68" s="9" t="n">
        <v>0</v>
      </c>
      <c r="BS68" s="9" t="n">
        <v>0</v>
      </c>
      <c r="BT68" s="9" t="n">
        <v>0</v>
      </c>
      <c r="BU68" s="9" t="n">
        <v>0</v>
      </c>
      <c r="BV68" s="9" t="n">
        <v>2.02747574573849</v>
      </c>
      <c r="BW68" s="9" t="n">
        <v>2.25956626580148</v>
      </c>
      <c r="BX68" s="9" t="n">
        <v>1.96037034490839</v>
      </c>
      <c r="BY68" s="9" t="n">
        <v>1.94603214503175</v>
      </c>
      <c r="BZ68" s="9" t="n">
        <v>1.02471033179963</v>
      </c>
      <c r="CA68" s="9" t="n">
        <v>-2.00716509441342</v>
      </c>
      <c r="CB68" s="9" t="n">
        <v>-6.358</v>
      </c>
      <c r="CC68" s="9" t="n">
        <v>-2.686</v>
      </c>
      <c r="CD68" s="9" t="n">
        <v>12.769</v>
      </c>
      <c r="CE68" s="9" t="n">
        <v>0.4</v>
      </c>
      <c r="CF68" s="9" t="n">
        <v>0</v>
      </c>
      <c r="CG68" s="9" t="n">
        <v>1.09</v>
      </c>
      <c r="CH68" s="9" t="n">
        <v>1.08</v>
      </c>
      <c r="CI68" s="9" t="n">
        <v>0.01</v>
      </c>
      <c r="CJ68" s="9" t="n">
        <v>0</v>
      </c>
      <c r="CK68" s="9" t="n">
        <v>1.49</v>
      </c>
      <c r="CL68" s="9" t="n">
        <v>0</v>
      </c>
      <c r="CM68" s="9" t="n">
        <v>12.491</v>
      </c>
      <c r="CN68" s="9" t="n">
        <v>16.133</v>
      </c>
      <c r="CO68" s="9" t="n">
        <v>3</v>
      </c>
      <c r="CP68" s="9" t="n">
        <v>3</v>
      </c>
      <c r="CQ68" s="9" t="n">
        <v>0.5</v>
      </c>
      <c r="CR68" s="9" t="n">
        <v>0.3</v>
      </c>
      <c r="CS68" s="9" t="n">
        <v>0.6</v>
      </c>
      <c r="CT68" s="9" t="n">
        <v>0.8</v>
      </c>
      <c r="CU68" s="9" t="n">
        <v>0.8</v>
      </c>
      <c r="CV68" s="9" t="n">
        <v>0.7</v>
      </c>
      <c r="CW68" s="9" t="n">
        <v>0.5</v>
      </c>
      <c r="CX68" s="9" t="n">
        <v>0.5</v>
      </c>
      <c r="CY68" s="9" t="n">
        <v>1</v>
      </c>
      <c r="CZ68" s="9" t="n">
        <v>0.3</v>
      </c>
      <c r="DA68" s="9" t="n">
        <v>0.8</v>
      </c>
      <c r="DB68" s="9" t="n">
        <v>0.383626258074208</v>
      </c>
      <c r="DC68" s="9" t="n">
        <v>7.124</v>
      </c>
      <c r="DD68" s="9" t="n">
        <v>5.575</v>
      </c>
      <c r="DE68" s="9" t="n">
        <v>14.02195</v>
      </c>
      <c r="DF68" s="9" t="n">
        <v>21.4339704396197</v>
      </c>
      <c r="DG68" s="9" t="n">
        <v>23.8091561447126</v>
      </c>
      <c r="DH68" s="9" t="n">
        <v>18.0045316956747</v>
      </c>
      <c r="DI68" s="9" t="n">
        <v>20.7888469663051</v>
      </c>
      <c r="DJ68" s="9" t="n">
        <v>5.397</v>
      </c>
      <c r="DK68" s="9" t="n">
        <v>4.735</v>
      </c>
      <c r="DL68" s="9" t="n">
        <v>10.7732</v>
      </c>
      <c r="DM68" s="9" t="n">
        <v>13.4947462084719</v>
      </c>
      <c r="DN68" s="9" t="n">
        <v>13.4947462084719</v>
      </c>
      <c r="DO68" s="9" t="n">
        <v>0.105</v>
      </c>
    </row>
    <row r="69" customFormat="false" ht="15" hidden="false" customHeight="false" outlineLevel="0" collapsed="false">
      <c r="A69" s="9" t="s">
        <v>798</v>
      </c>
      <c r="B69" s="9" t="s">
        <v>799</v>
      </c>
      <c r="C69" s="9" t="n">
        <v>0.005</v>
      </c>
      <c r="D69" s="9" t="n">
        <v>0.005</v>
      </c>
      <c r="E69" s="9" t="n">
        <v>0.01</v>
      </c>
      <c r="F69" s="9" t="n">
        <v>0.005</v>
      </c>
      <c r="G69" s="9" t="n">
        <v>0.005</v>
      </c>
      <c r="H69" s="9" t="n">
        <v>0.01</v>
      </c>
      <c r="I69" s="9" t="n">
        <v>0.005</v>
      </c>
      <c r="J69" s="9" t="n">
        <v>0.005</v>
      </c>
      <c r="K69" s="9" t="n">
        <v>0.01</v>
      </c>
      <c r="L69" s="9" t="n">
        <v>0.01</v>
      </c>
      <c r="M69" s="9" t="n">
        <v>0.005</v>
      </c>
      <c r="N69" s="9" t="n">
        <v>33.224257</v>
      </c>
      <c r="O69" s="9" t="n">
        <v>1.372466</v>
      </c>
      <c r="P69" s="9" t="n">
        <v>109.576487</v>
      </c>
      <c r="Q69" s="9" t="n">
        <v>24.751181050425</v>
      </c>
      <c r="R69" s="9" t="n">
        <v>1.44399129075595</v>
      </c>
      <c r="S69" s="9" t="n">
        <v>8.89036833899819</v>
      </c>
      <c r="T69" s="9" t="n">
        <v>8.44156823774428</v>
      </c>
      <c r="U69" s="9" t="n">
        <v>2.94777</v>
      </c>
      <c r="V69" s="9" t="n">
        <v>0.019329</v>
      </c>
      <c r="W69" s="9" t="n">
        <v>0.768669</v>
      </c>
      <c r="X69" s="9" t="n">
        <v>7.97897965526946</v>
      </c>
      <c r="Y69" s="9" t="n">
        <v>7.97897965526946</v>
      </c>
      <c r="Z69" s="9" t="n">
        <v>10.06</v>
      </c>
      <c r="AA69" s="9" t="n">
        <v>11.08</v>
      </c>
      <c r="AB69" s="9" t="n">
        <v>5.71</v>
      </c>
      <c r="AC69" s="9" t="n">
        <v>0</v>
      </c>
      <c r="AD69" s="9" t="n">
        <v>0</v>
      </c>
      <c r="AE69" s="9" t="n">
        <v>71.996</v>
      </c>
      <c r="AF69" s="9" t="n">
        <v>11.0613016409573</v>
      </c>
      <c r="AG69" s="9" t="n">
        <v>7.5274602804</v>
      </c>
      <c r="AH69" s="9" t="n">
        <v>8.8772473361594</v>
      </c>
      <c r="AI69" s="9" t="n">
        <v>9.38132962641734</v>
      </c>
      <c r="AJ69" s="9" t="n">
        <v>158.605525039286</v>
      </c>
      <c r="AK69" s="9" t="n">
        <v>0.207803733105873</v>
      </c>
      <c r="AL69" s="9" t="n">
        <v>0.1615393044</v>
      </c>
      <c r="AM69" s="9" t="n">
        <v>0.190505735832822</v>
      </c>
      <c r="AN69" s="9" t="n">
        <v>0.201323342235961</v>
      </c>
      <c r="AO69" s="9" t="n">
        <v>141.387899273906</v>
      </c>
      <c r="AP69" s="9" t="n">
        <v>110.07646208</v>
      </c>
      <c r="AQ69" s="9" t="n">
        <v>129.814830417359</v>
      </c>
      <c r="AR69" s="9" t="n">
        <v>137.186187162111</v>
      </c>
      <c r="AS69" s="9" t="n">
        <v>139.065092780524</v>
      </c>
      <c r="AT69" s="9" t="n">
        <v>113.4845202816</v>
      </c>
      <c r="AU69" s="9" t="n">
        <v>131.641912326603</v>
      </c>
      <c r="AV69" s="9" t="n">
        <v>138.688840776454</v>
      </c>
      <c r="AW69" s="9" t="n">
        <v>78.721625640159</v>
      </c>
      <c r="AX69" s="9" t="n">
        <v>63.7882551684</v>
      </c>
      <c r="AY69" s="9" t="n">
        <v>74.5216010702065</v>
      </c>
      <c r="AZ69" s="9" t="n">
        <v>78.5094316847989</v>
      </c>
      <c r="BA69" s="9" t="n">
        <v>108.42036127991</v>
      </c>
      <c r="BB69" s="9" t="n">
        <v>84.2549086909188</v>
      </c>
      <c r="BC69" s="9" t="n">
        <v>90.2623315042546</v>
      </c>
      <c r="BD69" s="9" t="n">
        <v>105.005341729564</v>
      </c>
      <c r="BE69" s="9" t="n">
        <v>8.24866535582594</v>
      </c>
      <c r="BF69" s="9" t="n">
        <v>6.29658934711708</v>
      </c>
      <c r="BG69" s="9" t="n">
        <v>7.42566269716862</v>
      </c>
      <c r="BH69" s="9" t="n">
        <v>7.84731874856924</v>
      </c>
      <c r="BI69" s="9" t="n">
        <v>5.66695588557624</v>
      </c>
      <c r="BJ69" s="9" t="n">
        <v>4.39638265039713</v>
      </c>
      <c r="BK69" s="9" t="n">
        <v>5.18472030647519</v>
      </c>
      <c r="BL69" s="9" t="n">
        <v>5.47912752387796</v>
      </c>
      <c r="BM69" s="9" t="n">
        <v>46.4323395937192</v>
      </c>
      <c r="BN69" s="9" t="n">
        <v>28.2228545484</v>
      </c>
      <c r="BO69" s="9" t="n">
        <v>33.2836376448186</v>
      </c>
      <c r="BP69" s="9" t="n">
        <v>35.173603267808</v>
      </c>
      <c r="BQ69" s="9" t="n">
        <v>88.7212685672529</v>
      </c>
      <c r="BR69" s="9" t="n">
        <v>46.5937989838459</v>
      </c>
      <c r="BS69" s="9" t="n">
        <v>29.8478981664</v>
      </c>
      <c r="BT69" s="9" t="n">
        <v>35.2000760704846</v>
      </c>
      <c r="BU69" s="9" t="n">
        <v>37.1988640157735</v>
      </c>
      <c r="BV69" s="9" t="n">
        <v>214.353334052698</v>
      </c>
      <c r="BW69" s="9" t="n">
        <v>200.996909623139</v>
      </c>
      <c r="BX69" s="9" t="n">
        <v>199.124873954423</v>
      </c>
      <c r="BY69" s="9" t="n">
        <v>212.268188674021</v>
      </c>
      <c r="BZ69" s="9" t="n">
        <v>60.4963106724119</v>
      </c>
      <c r="CA69" s="9" t="n">
        <v>1.44132676701307</v>
      </c>
      <c r="CB69" s="9" t="n">
        <v>2.073</v>
      </c>
      <c r="CC69" s="9" t="n">
        <v>1.802</v>
      </c>
      <c r="CD69" s="9" t="n">
        <v>256.161</v>
      </c>
      <c r="CE69" s="9" t="n">
        <v>4.13</v>
      </c>
      <c r="CF69" s="9" t="n">
        <v>2.74</v>
      </c>
      <c r="CG69" s="9" t="n">
        <v>30.25</v>
      </c>
      <c r="CH69" s="9" t="n">
        <v>23.33</v>
      </c>
      <c r="CI69" s="9" t="n">
        <v>4.18</v>
      </c>
      <c r="CJ69" s="9" t="n">
        <v>11.46</v>
      </c>
      <c r="CK69" s="9" t="n">
        <v>57.92</v>
      </c>
      <c r="CL69" s="9" t="n">
        <v>12.08</v>
      </c>
      <c r="CM69" s="9" t="n">
        <v>91.748</v>
      </c>
      <c r="CN69" s="9" t="n">
        <v>86.234</v>
      </c>
      <c r="CO69" s="9" t="n">
        <v>1</v>
      </c>
      <c r="CP69" s="9" t="n">
        <v>4</v>
      </c>
      <c r="CQ69" s="9" t="n">
        <v>0.5</v>
      </c>
      <c r="CR69" s="9" t="n">
        <v>0.3</v>
      </c>
      <c r="CS69" s="9" t="n">
        <v>0.6</v>
      </c>
      <c r="CT69" s="9" t="n">
        <v>0.8</v>
      </c>
      <c r="CU69" s="9" t="n">
        <v>0.8</v>
      </c>
      <c r="CV69" s="9" t="n">
        <v>0.7</v>
      </c>
      <c r="CW69" s="9" t="n">
        <v>0.5</v>
      </c>
      <c r="CX69" s="9" t="n">
        <v>0.5</v>
      </c>
      <c r="CY69" s="9" t="n">
        <v>1</v>
      </c>
      <c r="CZ69" s="9" t="n">
        <v>0.3</v>
      </c>
      <c r="DA69" s="9" t="n">
        <v>0.8</v>
      </c>
      <c r="DB69" s="9" t="n">
        <v>0.576320034557469</v>
      </c>
      <c r="DC69" s="9" t="n">
        <v>3.468</v>
      </c>
      <c r="DD69" s="9" t="n">
        <v>2.153</v>
      </c>
      <c r="DE69" s="9" t="n">
        <v>6.87704</v>
      </c>
      <c r="DF69" s="9" t="n">
        <v>23.4625430249853</v>
      </c>
      <c r="DG69" s="9" t="n">
        <v>25.6337336222689</v>
      </c>
      <c r="DH69" s="9" t="n">
        <v>19.3662427863136</v>
      </c>
      <c r="DI69" s="9" t="n">
        <v>20.6958279992288</v>
      </c>
      <c r="DJ69" s="9" t="n">
        <v>12.457</v>
      </c>
      <c r="DK69" s="9" t="n">
        <v>12.457</v>
      </c>
      <c r="DL69" s="9" t="n">
        <v>24.70204</v>
      </c>
      <c r="DM69" s="9" t="n">
        <v>13.4947792847255</v>
      </c>
      <c r="DN69" s="9" t="n">
        <v>13.4947792847255</v>
      </c>
      <c r="DO69" s="9" t="n">
        <v>0.04315</v>
      </c>
    </row>
    <row r="70" customFormat="false" ht="15" hidden="false" customHeight="false" outlineLevel="0" collapsed="false">
      <c r="A70" s="9" t="s">
        <v>1046</v>
      </c>
      <c r="B70" s="9" t="s">
        <v>1047</v>
      </c>
      <c r="C70" s="9" t="n">
        <v>0.005</v>
      </c>
      <c r="D70" s="9" t="n">
        <v>0.005</v>
      </c>
      <c r="E70" s="9" t="n">
        <v>0.01</v>
      </c>
      <c r="F70" s="9" t="n">
        <v>0.005</v>
      </c>
      <c r="G70" s="9" t="n">
        <v>0.005</v>
      </c>
      <c r="H70" s="9" t="n">
        <v>0.01</v>
      </c>
      <c r="I70" s="9" t="n">
        <v>0.005</v>
      </c>
      <c r="J70" s="9" t="n">
        <v>0.005</v>
      </c>
      <c r="K70" s="9" t="n">
        <v>0.01</v>
      </c>
      <c r="L70" s="9" t="n">
        <v>0.01</v>
      </c>
      <c r="M70" s="9" t="n">
        <v>0.005</v>
      </c>
      <c r="N70" s="9" t="n">
        <v>0.056414</v>
      </c>
      <c r="O70" s="9" t="n">
        <v>0.193605</v>
      </c>
      <c r="P70" s="9" t="n">
        <v>2.051379</v>
      </c>
      <c r="Q70" s="9" t="n">
        <v>1.25238670187764</v>
      </c>
      <c r="R70" s="9" t="n">
        <v>0.178154026881527</v>
      </c>
      <c r="S70" s="9" t="n">
        <v>0.141090466874367</v>
      </c>
      <c r="T70" s="9" t="n">
        <v>0.141584332705789</v>
      </c>
      <c r="U70" s="9" t="n">
        <v>0.007629</v>
      </c>
      <c r="V70" s="9" t="n">
        <v>0.003086</v>
      </c>
      <c r="W70" s="9" t="n">
        <v>0.007257</v>
      </c>
      <c r="X70" s="9" t="n">
        <v>0.25104377759435</v>
      </c>
      <c r="Y70" s="9" t="n">
        <v>0.25104377759435</v>
      </c>
      <c r="Z70" s="9" t="n">
        <v>0.07</v>
      </c>
      <c r="AA70" s="9" t="n">
        <v>0</v>
      </c>
      <c r="AB70" s="9" t="n">
        <v>0</v>
      </c>
      <c r="AC70" s="9" t="n">
        <v>0</v>
      </c>
      <c r="AD70" s="9" t="n">
        <v>0</v>
      </c>
      <c r="AE70" s="9" t="n">
        <v>0.12</v>
      </c>
      <c r="AF70" s="9" t="n">
        <v>0</v>
      </c>
      <c r="AG70" s="9" t="n">
        <v>0</v>
      </c>
      <c r="AH70" s="9" t="n">
        <v>0</v>
      </c>
      <c r="AI70" s="9" t="n">
        <v>0</v>
      </c>
      <c r="AJ70" s="9" t="n">
        <v>0</v>
      </c>
      <c r="AK70" s="9" t="n">
        <v>0</v>
      </c>
      <c r="AL70" s="9" t="n">
        <v>0</v>
      </c>
      <c r="AM70" s="9" t="n">
        <v>0</v>
      </c>
      <c r="AN70" s="9" t="n">
        <v>0</v>
      </c>
      <c r="AO70" s="9" t="n">
        <v>0.396356016541139</v>
      </c>
      <c r="AP70" s="9" t="n">
        <v>0.371579256</v>
      </c>
      <c r="AQ70" s="9" t="n">
        <v>0.385955529283862</v>
      </c>
      <c r="AR70" s="9" t="n">
        <v>0.378236418698185</v>
      </c>
      <c r="AS70" s="9" t="n">
        <v>0.44884146152997</v>
      </c>
      <c r="AT70" s="9" t="n">
        <v>0.43816285512</v>
      </c>
      <c r="AU70" s="9" t="n">
        <v>0.467158814725573</v>
      </c>
      <c r="AV70" s="9" t="n">
        <v>0.419519597081083</v>
      </c>
      <c r="AW70" s="9" t="n">
        <v>0.312072448953119</v>
      </c>
      <c r="AX70" s="9" t="n">
        <v>0.30640090968</v>
      </c>
      <c r="AY70" s="9" t="n">
        <v>0.324808218172401</v>
      </c>
      <c r="AZ70" s="9" t="n">
        <v>0.291685415154494</v>
      </c>
      <c r="BA70" s="9" t="n">
        <v>1.07464698697425</v>
      </c>
      <c r="BB70" s="9" t="n">
        <v>0.960749972810396</v>
      </c>
      <c r="BC70" s="9" t="n">
        <v>1.10532620048523</v>
      </c>
      <c r="BD70" s="9" t="n">
        <v>1.02924650645323</v>
      </c>
      <c r="BE70" s="9" t="n">
        <v>0.0028128257862204</v>
      </c>
      <c r="BF70" s="9" t="n">
        <v>0.0025387209999999</v>
      </c>
      <c r="BG70" s="9" t="n">
        <v>0.0026369432400689</v>
      </c>
      <c r="BH70" s="9" t="n">
        <v>0.0025842043752675</v>
      </c>
      <c r="BI70" s="9" t="n">
        <v>0.179944402504628</v>
      </c>
      <c r="BJ70" s="9" t="n">
        <v>0.170947809999999</v>
      </c>
      <c r="BK70" s="9" t="n">
        <v>0.177561721821379</v>
      </c>
      <c r="BL70" s="9" t="n">
        <v>0.174010487384951</v>
      </c>
      <c r="BM70" s="9" t="n">
        <v>0</v>
      </c>
      <c r="BN70" s="9" t="n">
        <v>0</v>
      </c>
      <c r="BO70" s="9" t="n">
        <v>0</v>
      </c>
      <c r="BP70" s="9" t="n">
        <v>0</v>
      </c>
      <c r="BQ70" s="9" t="n">
        <v>0</v>
      </c>
      <c r="BR70" s="9" t="n">
        <v>0</v>
      </c>
      <c r="BS70" s="9" t="n">
        <v>0</v>
      </c>
      <c r="BT70" s="9" t="n">
        <v>0</v>
      </c>
      <c r="BU70" s="9" t="n">
        <v>0</v>
      </c>
      <c r="BV70" s="9" t="n">
        <v>2.58960750143906</v>
      </c>
      <c r="BW70" s="9" t="n">
        <v>2.69700586595025</v>
      </c>
      <c r="BX70" s="9" t="n">
        <v>2.66315677208779</v>
      </c>
      <c r="BY70" s="9" t="n">
        <v>2.43198276628028</v>
      </c>
      <c r="BZ70" s="9" t="n">
        <v>0.211364975134191</v>
      </c>
      <c r="CA70" s="9" t="n">
        <v>0</v>
      </c>
      <c r="CB70" s="9" t="n">
        <v>4.41</v>
      </c>
      <c r="CC70" s="9" t="n">
        <v>3.112</v>
      </c>
      <c r="CD70" s="9" t="n">
        <v>1.351</v>
      </c>
      <c r="CE70" s="9" t="n">
        <v>0</v>
      </c>
      <c r="CF70" s="9" t="n">
        <v>0</v>
      </c>
      <c r="CG70" s="9" t="n">
        <v>0.24</v>
      </c>
      <c r="CH70" s="9" t="n">
        <v>0</v>
      </c>
      <c r="CI70" s="9" t="n">
        <v>0.24</v>
      </c>
      <c r="CJ70" s="9" t="n">
        <v>0</v>
      </c>
      <c r="CK70" s="9" t="n">
        <v>0.24</v>
      </c>
      <c r="CL70" s="9" t="n">
        <v>0</v>
      </c>
      <c r="CM70" s="9" t="n">
        <v>0.19</v>
      </c>
      <c r="CN70" s="9" t="n">
        <v>0.19</v>
      </c>
      <c r="CO70" s="9" t="n">
        <v>3</v>
      </c>
      <c r="CP70" s="9" t="n">
        <v>3</v>
      </c>
      <c r="CQ70" s="9" t="n">
        <v>0.5</v>
      </c>
      <c r="CR70" s="9" t="n">
        <v>0.3</v>
      </c>
      <c r="CS70" s="9" t="n">
        <v>0.6</v>
      </c>
      <c r="CT70" s="9" t="n">
        <v>0.8</v>
      </c>
      <c r="CU70" s="9" t="n">
        <v>0.8</v>
      </c>
      <c r="CV70" s="9" t="n">
        <v>0.7</v>
      </c>
      <c r="CW70" s="9" t="n">
        <v>0.5</v>
      </c>
      <c r="CX70" s="9" t="n">
        <v>0.5</v>
      </c>
      <c r="CY70" s="9" t="n">
        <v>1</v>
      </c>
      <c r="CZ70" s="9" t="n">
        <v>0.3</v>
      </c>
      <c r="DA70" s="9" t="n">
        <v>0.8</v>
      </c>
      <c r="DB70" s="9" t="n">
        <v>0.579082726103729</v>
      </c>
      <c r="DC70" s="9" t="n">
        <v>7.124</v>
      </c>
      <c r="DD70" s="9" t="n">
        <v>5.575</v>
      </c>
      <c r="DE70" s="9" t="n">
        <v>14.02195</v>
      </c>
      <c r="DF70" s="9" t="n">
        <v>23.4320297067799</v>
      </c>
      <c r="DG70" s="9" t="n">
        <v>30.3204999522444</v>
      </c>
      <c r="DH70" s="9" t="n">
        <v>17.3038477210545</v>
      </c>
      <c r="DI70" s="9" t="n">
        <v>23.1078819653416</v>
      </c>
      <c r="DJ70" s="9" t="n">
        <v>12.771</v>
      </c>
      <c r="DK70" s="9" t="n">
        <v>11.447</v>
      </c>
      <c r="DL70" s="9" t="n">
        <v>23.8188</v>
      </c>
      <c r="DM70" s="9" t="n">
        <v>15.5183767970474</v>
      </c>
      <c r="DN70" s="9" t="n">
        <v>15.5183767970474</v>
      </c>
      <c r="DO70" s="9" t="n">
        <v>0.105</v>
      </c>
    </row>
    <row r="71" customFormat="false" ht="15" hidden="false" customHeight="false" outlineLevel="0" collapsed="false">
      <c r="A71" s="9" t="s">
        <v>826</v>
      </c>
      <c r="B71" s="9" t="s">
        <v>827</v>
      </c>
      <c r="C71" s="9" t="n">
        <v>0.005</v>
      </c>
      <c r="D71" s="9" t="n">
        <v>0.005</v>
      </c>
      <c r="E71" s="9" t="n">
        <v>0.01</v>
      </c>
      <c r="F71" s="9" t="n">
        <v>0.005</v>
      </c>
      <c r="G71" s="9" t="n">
        <v>0.005</v>
      </c>
      <c r="H71" s="9" t="n">
        <v>0.01</v>
      </c>
      <c r="I71" s="9" t="n">
        <v>0.005</v>
      </c>
      <c r="J71" s="9" t="n">
        <v>0.005</v>
      </c>
      <c r="K71" s="9" t="n">
        <v>0.01</v>
      </c>
      <c r="L71" s="9" t="n">
        <v>0.01</v>
      </c>
      <c r="M71" s="9" t="n">
        <v>0.005</v>
      </c>
      <c r="N71" s="9" t="n">
        <v>4.231093</v>
      </c>
      <c r="O71" s="9" t="n">
        <v>2.38233</v>
      </c>
      <c r="P71" s="9" t="n">
        <v>3.874821</v>
      </c>
      <c r="Q71" s="9" t="n">
        <v>2.83052586674046</v>
      </c>
      <c r="R71" s="9" t="n">
        <v>0.49050979503994</v>
      </c>
      <c r="S71" s="9" t="n">
        <v>0.516572306430746</v>
      </c>
      <c r="T71" s="9" t="n">
        <v>0.477274967016995</v>
      </c>
      <c r="U71" s="9" t="n">
        <v>0.148554</v>
      </c>
      <c r="V71" s="9" t="n">
        <v>0.003475</v>
      </c>
      <c r="W71" s="9" t="n">
        <v>0.014684</v>
      </c>
      <c r="X71" s="9" t="n">
        <v>3.30271858365145</v>
      </c>
      <c r="Y71" s="9" t="n">
        <v>3.30271858365145</v>
      </c>
      <c r="Z71" s="9" t="n">
        <v>1.07</v>
      </c>
      <c r="AA71" s="9" t="n">
        <v>0.1</v>
      </c>
      <c r="AB71" s="9" t="n">
        <v>0.11</v>
      </c>
      <c r="AC71" s="9" t="n">
        <v>0</v>
      </c>
      <c r="AD71" s="9" t="n">
        <v>0</v>
      </c>
      <c r="AE71" s="9" t="n">
        <v>24.298</v>
      </c>
      <c r="AF71" s="9" t="n">
        <v>0</v>
      </c>
      <c r="AG71" s="9" t="n">
        <v>0</v>
      </c>
      <c r="AH71" s="9" t="n">
        <v>0</v>
      </c>
      <c r="AI71" s="9" t="n">
        <v>0</v>
      </c>
      <c r="AJ71" s="9" t="n">
        <v>66.2767743106571</v>
      </c>
      <c r="AK71" s="9" t="n">
        <v>0</v>
      </c>
      <c r="AL71" s="9" t="n">
        <v>0</v>
      </c>
      <c r="AM71" s="9" t="n">
        <v>0</v>
      </c>
      <c r="AN71" s="9" t="n">
        <v>0</v>
      </c>
      <c r="AO71" s="9" t="n">
        <v>65.0813743674621</v>
      </c>
      <c r="AP71" s="9" t="n">
        <v>59.70719832</v>
      </c>
      <c r="AQ71" s="9" t="n">
        <v>61.1667076122667</v>
      </c>
      <c r="AR71" s="9" t="n">
        <v>60.555040536144</v>
      </c>
      <c r="AS71" s="9" t="n">
        <v>41.9876106737758</v>
      </c>
      <c r="AT71" s="9" t="n">
        <v>26.9996516208</v>
      </c>
      <c r="AU71" s="9" t="n">
        <v>28.7513189333373</v>
      </c>
      <c r="AV71" s="9" t="n">
        <v>37.8184279704108</v>
      </c>
      <c r="AW71" s="9" t="n">
        <v>23.7025500091697</v>
      </c>
      <c r="AX71" s="9" t="n">
        <v>15.3373034736</v>
      </c>
      <c r="AY71" s="9" t="n">
        <v>16.2304918977599</v>
      </c>
      <c r="AZ71" s="9" t="n">
        <v>21.3489923778088</v>
      </c>
      <c r="BA71" s="9" t="n">
        <v>91.8765420141749</v>
      </c>
      <c r="BB71" s="9" t="n">
        <v>87.4979545652612</v>
      </c>
      <c r="BC71" s="9" t="n">
        <v>82.5828813923561</v>
      </c>
      <c r="BD71" s="9" t="n">
        <v>85.177201380876</v>
      </c>
      <c r="BE71" s="9" t="n">
        <v>0</v>
      </c>
      <c r="BF71" s="9" t="n">
        <v>0</v>
      </c>
      <c r="BG71" s="9" t="n">
        <v>0</v>
      </c>
      <c r="BH71" s="9" t="n">
        <v>0</v>
      </c>
      <c r="BI71" s="9" t="n">
        <v>20.6727126623901</v>
      </c>
      <c r="BJ71" s="9" t="n">
        <v>18.4129089099999</v>
      </c>
      <c r="BK71" s="9" t="n">
        <v>18.863002238911</v>
      </c>
      <c r="BL71" s="9" t="n">
        <v>18.6743722165219</v>
      </c>
      <c r="BM71" s="9" t="n">
        <v>0</v>
      </c>
      <c r="BN71" s="9" t="n">
        <v>0</v>
      </c>
      <c r="BO71" s="9" t="n">
        <v>0</v>
      </c>
      <c r="BP71" s="9" t="n">
        <v>0</v>
      </c>
      <c r="BQ71" s="9" t="n">
        <v>0</v>
      </c>
      <c r="BR71" s="9" t="n">
        <v>0</v>
      </c>
      <c r="BS71" s="9" t="n">
        <v>0</v>
      </c>
      <c r="BT71" s="9" t="n">
        <v>0</v>
      </c>
      <c r="BU71" s="9" t="n">
        <v>0</v>
      </c>
      <c r="BV71" s="9" t="n">
        <v>42.7628397754693</v>
      </c>
      <c r="BW71" s="9" t="n">
        <v>40.400638269361</v>
      </c>
      <c r="BX71" s="9" t="n">
        <v>37.5576647785604</v>
      </c>
      <c r="BY71" s="9" t="n">
        <v>39.2690839411507</v>
      </c>
      <c r="BZ71" s="9" t="n">
        <v>18.2472668563738</v>
      </c>
      <c r="CA71" s="9" t="n">
        <v>-1.7209007634817</v>
      </c>
      <c r="CB71" s="9" t="n">
        <v>4.118</v>
      </c>
      <c r="CC71" s="9" t="n">
        <v>3.94</v>
      </c>
      <c r="CD71" s="9" t="n">
        <v>113.19</v>
      </c>
      <c r="CE71" s="9" t="n">
        <v>10.14</v>
      </c>
      <c r="CF71" s="9" t="n">
        <v>2.5</v>
      </c>
      <c r="CG71" s="9" t="n">
        <v>5</v>
      </c>
      <c r="CH71" s="9" t="n">
        <v>0</v>
      </c>
      <c r="CI71" s="9" t="n">
        <v>2.5</v>
      </c>
      <c r="CJ71" s="9" t="n">
        <v>0.28</v>
      </c>
      <c r="CK71" s="9" t="n">
        <v>15.79</v>
      </c>
      <c r="CL71" s="9" t="n">
        <v>0.37</v>
      </c>
      <c r="CM71" s="9" t="n">
        <v>49.89</v>
      </c>
      <c r="CN71" s="9" t="n">
        <v>53.762</v>
      </c>
      <c r="CO71" s="9" t="n">
        <v>3</v>
      </c>
      <c r="CP71" s="9" t="n">
        <v>3</v>
      </c>
      <c r="CQ71" s="9" t="n">
        <v>0.5</v>
      </c>
      <c r="CR71" s="9" t="n">
        <v>0.3</v>
      </c>
      <c r="CS71" s="9" t="n">
        <v>0.6</v>
      </c>
      <c r="CT71" s="9" t="n">
        <v>0.8</v>
      </c>
      <c r="CU71" s="9" t="n">
        <v>0.8</v>
      </c>
      <c r="CV71" s="9" t="n">
        <v>0.7</v>
      </c>
      <c r="CW71" s="9" t="n">
        <v>0.5</v>
      </c>
      <c r="CX71" s="9" t="n">
        <v>0.5</v>
      </c>
      <c r="CY71" s="9" t="n">
        <v>1</v>
      </c>
      <c r="CZ71" s="9" t="n">
        <v>0.3</v>
      </c>
      <c r="DA71" s="9" t="n">
        <v>0.8</v>
      </c>
      <c r="DB71" s="9" t="n">
        <v>0.427359462959537</v>
      </c>
      <c r="DC71" s="9" t="n">
        <v>6.355</v>
      </c>
      <c r="DD71" s="9" t="n">
        <v>4.852</v>
      </c>
      <c r="DE71" s="9" t="n">
        <v>12.08704</v>
      </c>
      <c r="DF71" s="9" t="n">
        <v>17.7392848782913</v>
      </c>
      <c r="DG71" s="9" t="n">
        <v>24.1610603910695</v>
      </c>
      <c r="DH71" s="9" t="n">
        <v>15.0468241052648</v>
      </c>
      <c r="DI71" s="9" t="n">
        <v>22.627930472583</v>
      </c>
      <c r="DJ71" s="9" t="n">
        <v>6.853</v>
      </c>
      <c r="DK71" s="9" t="n">
        <v>6.191</v>
      </c>
      <c r="DL71" s="9" t="n">
        <v>12.12176</v>
      </c>
      <c r="DM71" s="9" t="n">
        <v>13.4947462084719</v>
      </c>
      <c r="DN71" s="9" t="n">
        <v>13.4947462084719</v>
      </c>
      <c r="DO71" s="9" t="n">
        <v>0.085</v>
      </c>
    </row>
    <row r="72" customFormat="false" ht="15" hidden="false" customHeight="false" outlineLevel="0" collapsed="false">
      <c r="A72" s="9" t="s">
        <v>890</v>
      </c>
      <c r="B72" s="9" t="s">
        <v>891</v>
      </c>
      <c r="C72" s="9" t="n">
        <v>0.005</v>
      </c>
      <c r="D72" s="9" t="n">
        <v>0.005</v>
      </c>
      <c r="E72" s="9" t="n">
        <v>0.01</v>
      </c>
      <c r="F72" s="9" t="n">
        <v>0.005</v>
      </c>
      <c r="G72" s="9" t="n">
        <v>0.005</v>
      </c>
      <c r="H72" s="9" t="n">
        <v>0.01</v>
      </c>
      <c r="I72" s="9" t="n">
        <v>0.005</v>
      </c>
      <c r="J72" s="9" t="n">
        <v>0.005</v>
      </c>
      <c r="K72" s="9" t="n">
        <v>0.01</v>
      </c>
      <c r="L72" s="9" t="n">
        <v>0.01</v>
      </c>
      <c r="M72" s="9" t="n">
        <v>0.005</v>
      </c>
      <c r="N72" s="9" t="n">
        <v>0.772455</v>
      </c>
      <c r="O72" s="9" t="n">
        <v>0.343058</v>
      </c>
      <c r="P72" s="9" t="n">
        <v>27.067288</v>
      </c>
      <c r="Q72" s="9" t="n">
        <v>7.21980502043293</v>
      </c>
      <c r="R72" s="9" t="n">
        <v>1.16257655904791</v>
      </c>
      <c r="S72" s="9" t="n">
        <v>0.691306200441884</v>
      </c>
      <c r="T72" s="9" t="n">
        <v>0.410827306215621</v>
      </c>
      <c r="U72" s="9" t="n">
        <v>0.036658</v>
      </c>
      <c r="V72" s="9" t="n">
        <v>0</v>
      </c>
      <c r="W72" s="9" t="n">
        <v>0.048645</v>
      </c>
      <c r="X72" s="9" t="n">
        <v>1.34023065185638</v>
      </c>
      <c r="Y72" s="9" t="n">
        <v>1.34023065185638</v>
      </c>
      <c r="Z72" s="9" t="n">
        <v>0.32</v>
      </c>
      <c r="AA72" s="9" t="n">
        <v>0.02</v>
      </c>
      <c r="AB72" s="9" t="n">
        <v>0</v>
      </c>
      <c r="AC72" s="9" t="n">
        <v>0</v>
      </c>
      <c r="AD72" s="9" t="n">
        <v>0</v>
      </c>
      <c r="AE72" s="9" t="n">
        <v>4.054</v>
      </c>
      <c r="AF72" s="9" t="n">
        <v>0</v>
      </c>
      <c r="AG72" s="9" t="n">
        <v>0</v>
      </c>
      <c r="AH72" s="9" t="n">
        <v>0</v>
      </c>
      <c r="AI72" s="9" t="n">
        <v>0</v>
      </c>
      <c r="AJ72" s="9" t="n">
        <v>0</v>
      </c>
      <c r="AK72" s="9" t="n">
        <v>0</v>
      </c>
      <c r="AL72" s="9" t="n">
        <v>0</v>
      </c>
      <c r="AM72" s="9" t="n">
        <v>0</v>
      </c>
      <c r="AN72" s="9" t="n">
        <v>0</v>
      </c>
      <c r="AO72" s="9" t="n">
        <v>4.82034762169818</v>
      </c>
      <c r="AP72" s="9" t="n">
        <v>4.78080257</v>
      </c>
      <c r="AQ72" s="9" t="n">
        <v>4.44193143131244</v>
      </c>
      <c r="AR72" s="9" t="n">
        <v>4.29548650443636</v>
      </c>
      <c r="AS72" s="9" t="n">
        <v>2.89351441962797</v>
      </c>
      <c r="AT72" s="9" t="n">
        <v>1.8188798976</v>
      </c>
      <c r="AU72" s="9" t="n">
        <v>2.39522507333074</v>
      </c>
      <c r="AV72" s="9" t="n">
        <v>2.61190997677648</v>
      </c>
      <c r="AW72" s="9" t="n">
        <v>2.0881210425336</v>
      </c>
      <c r="AX72" s="9" t="n">
        <v>1.3604252976</v>
      </c>
      <c r="AY72" s="9" t="n">
        <v>1.72852771816118</v>
      </c>
      <c r="AZ72" s="9" t="n">
        <v>1.88489960399495</v>
      </c>
      <c r="BA72" s="9" t="n">
        <v>9.7109869098043</v>
      </c>
      <c r="BB72" s="9" t="n">
        <v>9.51234262212466</v>
      </c>
      <c r="BC72" s="9" t="n">
        <v>8.66909618660777</v>
      </c>
      <c r="BD72" s="9" t="n">
        <v>8.46460472106417</v>
      </c>
      <c r="BE72" s="9" t="n">
        <v>0.645765811218178</v>
      </c>
      <c r="BF72" s="9" t="n">
        <v>0.641367489999998</v>
      </c>
      <c r="BG72" s="9" t="n">
        <v>0.59590630885495</v>
      </c>
      <c r="BH72" s="9" t="n">
        <v>0.576260022734888</v>
      </c>
      <c r="BI72" s="9" t="n">
        <v>0.889999561185965</v>
      </c>
      <c r="BJ72" s="9" t="n">
        <v>0.836868699999997</v>
      </c>
      <c r="BK72" s="9" t="n">
        <v>0.77755007197705</v>
      </c>
      <c r="BL72" s="9" t="n">
        <v>0.751915218041557</v>
      </c>
      <c r="BM72" s="9" t="n">
        <v>0</v>
      </c>
      <c r="BN72" s="9" t="n">
        <v>0</v>
      </c>
      <c r="BO72" s="9" t="n">
        <v>0</v>
      </c>
      <c r="BP72" s="9" t="n">
        <v>0</v>
      </c>
      <c r="BQ72" s="9" t="n">
        <v>0</v>
      </c>
      <c r="BR72" s="9" t="n">
        <v>0</v>
      </c>
      <c r="BS72" s="9" t="n">
        <v>0</v>
      </c>
      <c r="BT72" s="9" t="n">
        <v>0</v>
      </c>
      <c r="BU72" s="9" t="n">
        <v>0</v>
      </c>
      <c r="BV72" s="9" t="n">
        <v>24.9158582589944</v>
      </c>
      <c r="BW72" s="9" t="n">
        <v>22.4969631985219</v>
      </c>
      <c r="BX72" s="9" t="n">
        <v>23.8826903692157</v>
      </c>
      <c r="BY72" s="9" t="n">
        <v>23.4835317423267</v>
      </c>
      <c r="BZ72" s="9" t="n">
        <v>1.38378762837821</v>
      </c>
      <c r="CA72" s="9" t="n">
        <v>-0.203407068395626</v>
      </c>
      <c r="CB72" s="9" t="n">
        <v>19.309</v>
      </c>
      <c r="CC72" s="9" t="n">
        <v>16.168</v>
      </c>
      <c r="CD72" s="9" t="n">
        <v>24.659</v>
      </c>
      <c r="CE72" s="9" t="n">
        <v>0.02</v>
      </c>
      <c r="CF72" s="9" t="n">
        <v>0</v>
      </c>
      <c r="CG72" s="9" t="n">
        <v>1.34</v>
      </c>
      <c r="CH72" s="9" t="n">
        <v>0.01</v>
      </c>
      <c r="CI72" s="9" t="n">
        <v>1.33</v>
      </c>
      <c r="CJ72" s="9" t="n">
        <v>0.02</v>
      </c>
      <c r="CK72" s="9" t="n">
        <v>1.38</v>
      </c>
      <c r="CL72" s="9" t="n">
        <v>0</v>
      </c>
      <c r="CM72" s="9" t="n">
        <v>9.15</v>
      </c>
      <c r="CN72" s="9" t="n">
        <v>21.371</v>
      </c>
      <c r="CO72" s="9" t="n">
        <v>3</v>
      </c>
      <c r="CP72" s="9" t="n">
        <v>3</v>
      </c>
      <c r="CQ72" s="9" t="n">
        <v>0.5</v>
      </c>
      <c r="CR72" s="9" t="n">
        <v>0.3</v>
      </c>
      <c r="CS72" s="9" t="n">
        <v>0.6</v>
      </c>
      <c r="CT72" s="9" t="n">
        <v>0.8</v>
      </c>
      <c r="CU72" s="9" t="n">
        <v>0.8</v>
      </c>
      <c r="CV72" s="9" t="n">
        <v>0.7</v>
      </c>
      <c r="CW72" s="9" t="n">
        <v>0.5</v>
      </c>
      <c r="CX72" s="9" t="n">
        <v>0.5</v>
      </c>
      <c r="CY72" s="9" t="n">
        <v>1</v>
      </c>
      <c r="CZ72" s="9" t="n">
        <v>0.3</v>
      </c>
      <c r="DA72" s="9" t="n">
        <v>0.8</v>
      </c>
      <c r="DB72" s="9" t="n">
        <v>0.369816583931973</v>
      </c>
      <c r="DC72" s="9" t="n">
        <v>7.124</v>
      </c>
      <c r="DD72" s="9" t="n">
        <v>5.575</v>
      </c>
      <c r="DE72" s="9" t="n">
        <v>14.14388</v>
      </c>
      <c r="DF72" s="9" t="n">
        <v>28.2470474074539</v>
      </c>
      <c r="DG72" s="9" t="n">
        <v>27.4025486034497</v>
      </c>
      <c r="DH72" s="9" t="n">
        <v>17.4543159621072</v>
      </c>
      <c r="DI72" s="9" t="n">
        <v>22.9242490253335</v>
      </c>
      <c r="DJ72" s="9" t="n">
        <v>12.667</v>
      </c>
      <c r="DK72" s="9" t="n">
        <v>11.344</v>
      </c>
      <c r="DL72" s="9" t="n">
        <v>23.90644</v>
      </c>
      <c r="DM72" s="9" t="n">
        <v>13.4947462084719</v>
      </c>
      <c r="DN72" s="9" t="n">
        <v>13.4947462084719</v>
      </c>
      <c r="DO72" s="9" t="n">
        <v>0.105</v>
      </c>
    </row>
    <row r="73" customFormat="false" ht="15" hidden="false" customHeight="false" outlineLevel="0" collapsed="false">
      <c r="A73" s="9" t="s">
        <v>770</v>
      </c>
      <c r="B73" s="9" t="s">
        <v>771</v>
      </c>
      <c r="C73" s="9" t="n">
        <v>0.005</v>
      </c>
      <c r="D73" s="9" t="n">
        <v>0.005</v>
      </c>
      <c r="E73" s="9" t="n">
        <v>0.01</v>
      </c>
      <c r="F73" s="9" t="n">
        <v>0.005</v>
      </c>
      <c r="G73" s="9" t="n">
        <v>0.005</v>
      </c>
      <c r="H73" s="9" t="n">
        <v>0.01</v>
      </c>
      <c r="I73" s="9" t="n">
        <v>0.005</v>
      </c>
      <c r="J73" s="9" t="n">
        <v>0.005</v>
      </c>
      <c r="K73" s="9" t="n">
        <v>0.01</v>
      </c>
      <c r="L73" s="9" t="n">
        <v>0.01</v>
      </c>
      <c r="M73" s="9" t="n">
        <v>0.005</v>
      </c>
      <c r="N73" s="9" t="n">
        <v>0</v>
      </c>
      <c r="O73" s="9" t="n">
        <v>0</v>
      </c>
      <c r="P73" s="9" t="n">
        <v>0</v>
      </c>
      <c r="Q73" s="9" t="n">
        <v>0</v>
      </c>
      <c r="R73" s="9" t="n">
        <v>0</v>
      </c>
      <c r="S73" s="9" t="n">
        <v>0</v>
      </c>
      <c r="T73" s="9" t="n">
        <v>0</v>
      </c>
      <c r="U73" s="9" t="n">
        <v>0</v>
      </c>
      <c r="V73" s="9" t="n">
        <v>0</v>
      </c>
      <c r="W73" s="9" t="n">
        <v>0</v>
      </c>
      <c r="X73" s="9" t="n">
        <v>0</v>
      </c>
      <c r="Y73" s="9" t="n">
        <v>0</v>
      </c>
      <c r="Z73" s="9" t="n">
        <v>10.21</v>
      </c>
      <c r="AA73" s="9" t="n">
        <v>0.41</v>
      </c>
      <c r="AB73" s="9" t="n">
        <v>0</v>
      </c>
      <c r="AC73" s="9" t="n">
        <v>0</v>
      </c>
      <c r="AD73" s="9" t="n">
        <v>0</v>
      </c>
      <c r="AE73" s="9" t="n">
        <v>36.233</v>
      </c>
      <c r="AF73" s="9" t="n">
        <v>0</v>
      </c>
      <c r="AG73" s="9" t="n">
        <v>0</v>
      </c>
      <c r="AH73" s="9" t="n">
        <v>0</v>
      </c>
      <c r="AI73" s="9" t="n">
        <v>0</v>
      </c>
      <c r="AJ73" s="9" t="n">
        <v>158.109335478503</v>
      </c>
      <c r="AK73" s="9" t="n">
        <v>0</v>
      </c>
      <c r="AL73" s="9" t="n">
        <v>0</v>
      </c>
      <c r="AM73" s="9" t="n">
        <v>0</v>
      </c>
      <c r="AN73" s="9" t="n">
        <v>0</v>
      </c>
      <c r="AO73" s="9" t="n">
        <v>80.0697024359498</v>
      </c>
      <c r="AP73" s="9" t="n">
        <v>76.04717596</v>
      </c>
      <c r="AQ73" s="9" t="n">
        <v>77.2109281981758</v>
      </c>
      <c r="AR73" s="9" t="n">
        <v>82.7386702552669</v>
      </c>
      <c r="AS73" s="9" t="n">
        <v>121.370976353016</v>
      </c>
      <c r="AT73" s="9" t="n">
        <v>117.4648356792</v>
      </c>
      <c r="AU73" s="9" t="n">
        <v>116.875125224933</v>
      </c>
      <c r="AV73" s="9" t="n">
        <v>125.101951215453</v>
      </c>
      <c r="AW73" s="9" t="n">
        <v>49.1427374894014</v>
      </c>
      <c r="AX73" s="9" t="n">
        <v>47.4639973308</v>
      </c>
      <c r="AY73" s="9" t="n">
        <v>47.3445217260381</v>
      </c>
      <c r="AZ73" s="9" t="n">
        <v>50.668761687553</v>
      </c>
      <c r="BA73" s="9" t="n">
        <v>26.1501181279708</v>
      </c>
      <c r="BB73" s="9" t="n">
        <v>27.3512574750402</v>
      </c>
      <c r="BC73" s="9" t="n">
        <v>22.1937890029265</v>
      </c>
      <c r="BD73" s="9" t="n">
        <v>26.6030836446871</v>
      </c>
      <c r="BE73" s="9" t="n">
        <v>0.0500410925400393</v>
      </c>
      <c r="BF73" s="9" t="n">
        <v>0.0449272817237844</v>
      </c>
      <c r="BG73" s="9" t="n">
        <v>0.0456148052774362</v>
      </c>
      <c r="BH73" s="9" t="n">
        <v>0.0488804942601011</v>
      </c>
      <c r="BI73" s="9" t="n">
        <v>2.97063918170496</v>
      </c>
      <c r="BJ73" s="9" t="n">
        <v>2.71299909738943</v>
      </c>
      <c r="BK73" s="9" t="n">
        <v>2.75451620478887</v>
      </c>
      <c r="BL73" s="9" t="n">
        <v>2.95171957259543</v>
      </c>
      <c r="BM73" s="9" t="n">
        <v>1.57806200526852</v>
      </c>
      <c r="BN73" s="9" t="n">
        <v>1.4363989704</v>
      </c>
      <c r="BO73" s="9" t="n">
        <v>1.45838022737127</v>
      </c>
      <c r="BP73" s="9" t="n">
        <v>1.56278966663328</v>
      </c>
      <c r="BQ73" s="9" t="n">
        <v>104.475811491076</v>
      </c>
      <c r="BR73" s="9" t="n">
        <v>25.5974741237345</v>
      </c>
      <c r="BS73" s="9" t="n">
        <v>23.4729006408</v>
      </c>
      <c r="BT73" s="9" t="n">
        <v>23.8321071506062</v>
      </c>
      <c r="BU73" s="9" t="n">
        <v>25.5383130476183</v>
      </c>
      <c r="BV73" s="9" t="n">
        <v>65.330139647575</v>
      </c>
      <c r="BW73" s="9" t="n">
        <v>20.372254238953</v>
      </c>
      <c r="BX73" s="9" t="n">
        <v>81.5375119221382</v>
      </c>
      <c r="BY73" s="9" t="n">
        <v>76.7134709517912</v>
      </c>
      <c r="BZ73" s="9" t="n">
        <v>47.3649205117826</v>
      </c>
      <c r="CA73" s="9" t="n">
        <v>0.10794373887969</v>
      </c>
      <c r="CB73" s="9" t="n">
        <v>3.488</v>
      </c>
      <c r="CC73" s="9" t="n">
        <v>2.42</v>
      </c>
      <c r="CD73" s="9" t="n">
        <v>408.369</v>
      </c>
      <c r="CE73" s="9" t="n">
        <v>0.16</v>
      </c>
      <c r="CF73" s="9" t="n">
        <v>12.6</v>
      </c>
      <c r="CG73" s="9" t="n">
        <v>37.05</v>
      </c>
      <c r="CH73" s="9" t="n">
        <v>24</v>
      </c>
      <c r="CI73" s="9" t="n">
        <v>0.45</v>
      </c>
      <c r="CJ73" s="9" t="n">
        <v>0.23</v>
      </c>
      <c r="CK73" s="9" t="n">
        <v>37.44</v>
      </c>
      <c r="CL73" s="9" t="n">
        <v>0</v>
      </c>
      <c r="CM73" s="9" t="n">
        <v>42.703</v>
      </c>
      <c r="CN73" s="9" t="n">
        <v>42.703</v>
      </c>
      <c r="CO73" s="9" t="n">
        <v>1</v>
      </c>
      <c r="CP73" s="9" t="n">
        <v>4</v>
      </c>
      <c r="CQ73" s="9" t="n">
        <v>0.5</v>
      </c>
      <c r="CR73" s="9" t="n">
        <v>0.3</v>
      </c>
      <c r="CS73" s="9" t="n">
        <v>0.6</v>
      </c>
      <c r="CT73" s="9" t="n">
        <v>0.8</v>
      </c>
      <c r="CU73" s="9" t="n">
        <v>0.8</v>
      </c>
      <c r="CV73" s="9" t="n">
        <v>0.7</v>
      </c>
      <c r="CW73" s="9" t="n">
        <v>0.5</v>
      </c>
      <c r="CX73" s="9" t="n">
        <v>0.5</v>
      </c>
      <c r="CY73" s="9" t="n">
        <v>1</v>
      </c>
      <c r="CZ73" s="9" t="n">
        <v>0.3</v>
      </c>
      <c r="DA73" s="9" t="n">
        <v>0.8</v>
      </c>
      <c r="DB73" s="9" t="n">
        <v>0.7203825161675</v>
      </c>
      <c r="DC73" s="9" t="n">
        <v>7.124</v>
      </c>
      <c r="DD73" s="9" t="n">
        <v>4.833</v>
      </c>
      <c r="DE73" s="9" t="n">
        <v>11.451</v>
      </c>
      <c r="DF73" s="9" t="n">
        <v>19.6808221113768</v>
      </c>
      <c r="DG73" s="9" t="n">
        <v>20.5892294309309</v>
      </c>
      <c r="DH73" s="9" t="n">
        <v>17.2720586560434</v>
      </c>
      <c r="DI73" s="9" t="n">
        <v>19.783016350672</v>
      </c>
      <c r="DJ73" s="9" t="n">
        <v>39.742</v>
      </c>
      <c r="DK73" s="9" t="n">
        <v>39.742</v>
      </c>
      <c r="DL73" s="9" t="n">
        <v>44.582</v>
      </c>
      <c r="DM73" s="9" t="n">
        <v>14.1151698941595</v>
      </c>
      <c r="DN73" s="9" t="n">
        <v>14.1151698941595</v>
      </c>
      <c r="DO73" s="9" t="n">
        <v>0.055</v>
      </c>
    </row>
    <row r="74" customFormat="false" ht="15" hidden="false" customHeight="false" outlineLevel="0" collapsed="false">
      <c r="A74" s="9" t="s">
        <v>904</v>
      </c>
      <c r="B74" s="9" t="s">
        <v>905</v>
      </c>
      <c r="C74" s="9" t="n">
        <v>0.005</v>
      </c>
      <c r="D74" s="9" t="n">
        <v>0.005</v>
      </c>
      <c r="E74" s="9" t="n">
        <v>0.01</v>
      </c>
      <c r="F74" s="9" t="n">
        <v>0.005</v>
      </c>
      <c r="G74" s="9" t="n">
        <v>0.005</v>
      </c>
      <c r="H74" s="9" t="n">
        <v>0.01</v>
      </c>
      <c r="I74" s="9" t="n">
        <v>0.005</v>
      </c>
      <c r="J74" s="9" t="n">
        <v>0.005</v>
      </c>
      <c r="K74" s="9" t="n">
        <v>0.01</v>
      </c>
      <c r="L74" s="9" t="n">
        <v>0.01</v>
      </c>
      <c r="M74" s="9" t="n">
        <v>0.005</v>
      </c>
      <c r="N74" s="9" t="n">
        <v>2.741132</v>
      </c>
      <c r="O74" s="9" t="n">
        <v>0.000237</v>
      </c>
      <c r="P74" s="9" t="n">
        <v>4.622863</v>
      </c>
      <c r="Q74" s="9" t="n">
        <v>3.08192557807052</v>
      </c>
      <c r="R74" s="9" t="n">
        <v>0.457995970230262</v>
      </c>
      <c r="S74" s="9" t="n">
        <v>0.293810433365303</v>
      </c>
      <c r="T74" s="9" t="n">
        <v>0.240576994915426</v>
      </c>
      <c r="U74" s="9" t="n">
        <v>0.055195</v>
      </c>
      <c r="V74" s="9" t="n">
        <v>0.003943</v>
      </c>
      <c r="W74" s="9" t="n">
        <v>0.011265</v>
      </c>
      <c r="X74" s="9" t="n">
        <v>2.07509946956477</v>
      </c>
      <c r="Y74" s="9" t="n">
        <v>2.07509946956477</v>
      </c>
      <c r="Z74" s="9" t="n">
        <v>1.05</v>
      </c>
      <c r="AA74" s="9" t="n">
        <v>0.55</v>
      </c>
      <c r="AB74" s="9" t="n">
        <v>0.24</v>
      </c>
      <c r="AC74" s="9" t="n">
        <v>0</v>
      </c>
      <c r="AD74" s="9" t="n">
        <v>0</v>
      </c>
      <c r="AE74" s="9" t="n">
        <v>12.467</v>
      </c>
      <c r="AF74" s="9" t="n">
        <v>0</v>
      </c>
      <c r="AG74" s="9" t="n">
        <v>0</v>
      </c>
      <c r="AH74" s="9" t="n">
        <v>0</v>
      </c>
      <c r="AI74" s="9" t="n">
        <v>0</v>
      </c>
      <c r="AJ74" s="9" t="n">
        <v>42.4962974811871</v>
      </c>
      <c r="AK74" s="9" t="n">
        <v>0</v>
      </c>
      <c r="AL74" s="9" t="n">
        <v>0</v>
      </c>
      <c r="AM74" s="9" t="n">
        <v>0</v>
      </c>
      <c r="AN74" s="9" t="n">
        <v>0</v>
      </c>
      <c r="AO74" s="9" t="n">
        <v>33.51140928227</v>
      </c>
      <c r="AP74" s="9" t="n">
        <v>29.96305872</v>
      </c>
      <c r="AQ74" s="9" t="n">
        <v>30.1794585885333</v>
      </c>
      <c r="AR74" s="9" t="n">
        <v>31.0852016254583</v>
      </c>
      <c r="AS74" s="9" t="n">
        <v>19.7177182697934</v>
      </c>
      <c r="AT74" s="9" t="n">
        <v>17.0226956268</v>
      </c>
      <c r="AU74" s="9" t="n">
        <v>18.0924587610338</v>
      </c>
      <c r="AV74" s="9" t="n">
        <v>19.9728909110955</v>
      </c>
      <c r="AW74" s="9" t="n">
        <v>12.5056382301381</v>
      </c>
      <c r="AX74" s="9" t="n">
        <v>10.9027872648</v>
      </c>
      <c r="AY74" s="9" t="n">
        <v>11.4748441408556</v>
      </c>
      <c r="AZ74" s="9" t="n">
        <v>12.6674772773692</v>
      </c>
      <c r="BA74" s="9" t="n">
        <v>36.9051057550283</v>
      </c>
      <c r="BB74" s="9" t="n">
        <v>32.6433592398218</v>
      </c>
      <c r="BC74" s="9" t="n">
        <v>33.6517511269891</v>
      </c>
      <c r="BD74" s="9" t="n">
        <v>34.2614824336538</v>
      </c>
      <c r="BE74" s="9" t="n">
        <v>1.11811349138365</v>
      </c>
      <c r="BF74" s="9" t="n">
        <v>0.980106290349605</v>
      </c>
      <c r="BG74" s="9" t="n">
        <v>0.987184835779908</v>
      </c>
      <c r="BH74" s="9" t="n">
        <v>1.01681213305373</v>
      </c>
      <c r="BI74" s="9" t="n">
        <v>3.38771739468609</v>
      </c>
      <c r="BJ74" s="9" t="n">
        <v>3.1356440228727</v>
      </c>
      <c r="BK74" s="9" t="n">
        <v>3.15829034081567</v>
      </c>
      <c r="BL74" s="9" t="n">
        <v>3.25307664973468</v>
      </c>
      <c r="BM74" s="9" t="n">
        <v>0</v>
      </c>
      <c r="BN74" s="9" t="n">
        <v>0</v>
      </c>
      <c r="BO74" s="9" t="n">
        <v>0</v>
      </c>
      <c r="BP74" s="9" t="n">
        <v>0</v>
      </c>
      <c r="BQ74" s="9" t="n">
        <v>0</v>
      </c>
      <c r="BR74" s="9" t="n">
        <v>0</v>
      </c>
      <c r="BS74" s="9" t="n">
        <v>0</v>
      </c>
      <c r="BT74" s="9" t="n">
        <v>0</v>
      </c>
      <c r="BU74" s="9" t="n">
        <v>0</v>
      </c>
      <c r="BV74" s="9" t="n">
        <v>31.6404074172753</v>
      </c>
      <c r="BW74" s="9" t="n">
        <v>58.2887951403333</v>
      </c>
      <c r="BX74" s="9" t="n">
        <v>27.9870321666515</v>
      </c>
      <c r="BY74" s="9" t="n">
        <v>28.8030194397991</v>
      </c>
      <c r="BZ74" s="9" t="n">
        <v>8.9509323610921</v>
      </c>
      <c r="CA74" s="9" t="n">
        <v>-1.99071512021152</v>
      </c>
      <c r="CB74" s="9" t="n">
        <v>3.7</v>
      </c>
      <c r="CC74" s="9" t="n">
        <v>3.3</v>
      </c>
      <c r="CD74" s="9" t="n">
        <v>37.1</v>
      </c>
      <c r="CE74" s="9" t="n">
        <v>4.99</v>
      </c>
      <c r="CF74" s="9" t="n">
        <v>0.06</v>
      </c>
      <c r="CG74" s="9" t="n">
        <v>5.56</v>
      </c>
      <c r="CH74" s="9" t="n">
        <v>0</v>
      </c>
      <c r="CI74" s="9" t="n">
        <v>5.5</v>
      </c>
      <c r="CJ74" s="9" t="n">
        <v>1.18</v>
      </c>
      <c r="CK74" s="9" t="n">
        <v>12.48</v>
      </c>
      <c r="CL74" s="9" t="n">
        <v>0.75</v>
      </c>
      <c r="CM74" s="9" t="n">
        <v>26.03</v>
      </c>
      <c r="CN74" s="9" t="n">
        <v>33.489</v>
      </c>
      <c r="CO74" s="9" t="n">
        <v>3</v>
      </c>
      <c r="CP74" s="9" t="n">
        <v>2</v>
      </c>
      <c r="CQ74" s="9" t="n">
        <v>0.5</v>
      </c>
      <c r="CR74" s="9" t="n">
        <v>0.3</v>
      </c>
      <c r="CS74" s="9" t="n">
        <v>0.6</v>
      </c>
      <c r="CT74" s="9" t="n">
        <v>0.8</v>
      </c>
      <c r="CU74" s="9" t="n">
        <v>0.8</v>
      </c>
      <c r="CV74" s="9" t="n">
        <v>0.7</v>
      </c>
      <c r="CW74" s="9" t="n">
        <v>0.5</v>
      </c>
      <c r="CX74" s="9" t="n">
        <v>0.5</v>
      </c>
      <c r="CY74" s="9" t="n">
        <v>1</v>
      </c>
      <c r="CZ74" s="9" t="n">
        <v>0.3</v>
      </c>
      <c r="DA74" s="9" t="n">
        <v>0.8</v>
      </c>
      <c r="DB74" s="9" t="n">
        <v>0.457127367266723</v>
      </c>
      <c r="DC74" s="9" t="n">
        <v>7.124</v>
      </c>
      <c r="DD74" s="9" t="n">
        <v>5.575</v>
      </c>
      <c r="DE74" s="9" t="n">
        <v>14.02195</v>
      </c>
      <c r="DF74" s="9" t="n">
        <v>17.685631846895</v>
      </c>
      <c r="DG74" s="9" t="n">
        <v>24.6850562800867</v>
      </c>
      <c r="DH74" s="9" t="n">
        <v>16.945002158854</v>
      </c>
      <c r="DI74" s="9" t="n">
        <v>21.9000318415627</v>
      </c>
      <c r="DJ74" s="9" t="n">
        <v>6.283</v>
      </c>
      <c r="DK74" s="9" t="n">
        <v>4.96</v>
      </c>
      <c r="DL74" s="9" t="n">
        <v>16.35875</v>
      </c>
      <c r="DM74" s="9" t="n">
        <v>13.4947462084719</v>
      </c>
      <c r="DN74" s="9" t="n">
        <v>13.4947462084719</v>
      </c>
      <c r="DO74" s="9" t="n">
        <v>0.0669200000000001</v>
      </c>
    </row>
    <row r="75" customFormat="false" ht="15" hidden="false" customHeight="false" outlineLevel="0" collapsed="false">
      <c r="A75" s="9" t="s">
        <v>846</v>
      </c>
      <c r="B75" s="9" t="s">
        <v>847</v>
      </c>
      <c r="C75" s="9" t="n">
        <v>0.005</v>
      </c>
      <c r="D75" s="9" t="n">
        <v>0.005</v>
      </c>
      <c r="E75" s="9" t="n">
        <v>0.01</v>
      </c>
      <c r="F75" s="9" t="n">
        <v>0.005</v>
      </c>
      <c r="G75" s="9" t="n">
        <v>0.005</v>
      </c>
      <c r="H75" s="9" t="n">
        <v>0.01</v>
      </c>
      <c r="I75" s="9" t="n">
        <v>0.005</v>
      </c>
      <c r="J75" s="9" t="n">
        <v>0.005</v>
      </c>
      <c r="K75" s="9" t="n">
        <v>0.01</v>
      </c>
      <c r="L75" s="9" t="n">
        <v>0.01</v>
      </c>
      <c r="M75" s="9" t="n">
        <v>0.005</v>
      </c>
      <c r="N75" s="9" t="n">
        <v>9.531998</v>
      </c>
      <c r="O75" s="9" t="n">
        <v>0.622981</v>
      </c>
      <c r="P75" s="9" t="n">
        <v>120.699807</v>
      </c>
      <c r="Q75" s="9" t="n">
        <v>10.4400058023568</v>
      </c>
      <c r="R75" s="9" t="n">
        <v>1.03369370204068</v>
      </c>
      <c r="S75" s="9" t="n">
        <v>4.39433491092505</v>
      </c>
      <c r="T75" s="9" t="n">
        <v>4.01983134200026</v>
      </c>
      <c r="U75" s="9" t="n">
        <v>0.639284</v>
      </c>
      <c r="V75" s="9" t="n">
        <v>0.079241</v>
      </c>
      <c r="W75" s="9" t="n">
        <v>0.668917</v>
      </c>
      <c r="X75" s="9" t="n">
        <v>3.11672626380727</v>
      </c>
      <c r="Y75" s="9" t="n">
        <v>3.11672626380727</v>
      </c>
      <c r="Z75" s="9" t="n">
        <v>1.95</v>
      </c>
      <c r="AA75" s="9" t="n">
        <v>1.32</v>
      </c>
      <c r="AB75" s="9" t="n">
        <v>1.38</v>
      </c>
      <c r="AC75" s="9" t="n">
        <v>0</v>
      </c>
      <c r="AD75" s="9" t="n">
        <v>0</v>
      </c>
      <c r="AE75" s="9" t="n">
        <v>18.755</v>
      </c>
      <c r="AF75" s="9" t="n">
        <v>5.73443136280632</v>
      </c>
      <c r="AG75" s="9" t="n">
        <v>4.428776106</v>
      </c>
      <c r="AH75" s="9" t="n">
        <v>4.6963479957375</v>
      </c>
      <c r="AI75" s="9" t="n">
        <v>5.01509087359635</v>
      </c>
      <c r="AJ75" s="9" t="n">
        <v>3.73422484635206</v>
      </c>
      <c r="AK75" s="9" t="n">
        <v>0.162663767418525</v>
      </c>
      <c r="AL75" s="9" t="n">
        <v>0.1294391088</v>
      </c>
      <c r="AM75" s="9" t="n">
        <v>0.13725938829</v>
      </c>
      <c r="AN75" s="9" t="n">
        <v>0.146575233810053</v>
      </c>
      <c r="AO75" s="9" t="n">
        <v>67.7535185297916</v>
      </c>
      <c r="AP75" s="9" t="n">
        <v>62.77612192</v>
      </c>
      <c r="AQ75" s="9" t="n">
        <v>66.5688459526667</v>
      </c>
      <c r="AR75" s="9" t="n">
        <v>71.0868981826023</v>
      </c>
      <c r="AS75" s="9" t="n">
        <v>44.0899434379874</v>
      </c>
      <c r="AT75" s="9" t="n">
        <v>35.6436058572</v>
      </c>
      <c r="AU75" s="9" t="n">
        <v>39.3500533329994</v>
      </c>
      <c r="AV75" s="9" t="n">
        <v>44.1308456328342</v>
      </c>
      <c r="AW75" s="9" t="n">
        <v>29.0908119196566</v>
      </c>
      <c r="AX75" s="9" t="n">
        <v>23.7398384484</v>
      </c>
      <c r="AY75" s="9" t="n">
        <v>25.9630497368831</v>
      </c>
      <c r="AZ75" s="9" t="n">
        <v>29.1218074879696</v>
      </c>
      <c r="BA75" s="9" t="n">
        <v>19.2911423699771</v>
      </c>
      <c r="BB75" s="9" t="n">
        <v>19.0428630577696</v>
      </c>
      <c r="BC75" s="9" t="n">
        <v>20.3810117578247</v>
      </c>
      <c r="BD75" s="9" t="n">
        <v>21.5639100683164</v>
      </c>
      <c r="BE75" s="9" t="n">
        <v>0</v>
      </c>
      <c r="BF75" s="9" t="n">
        <v>0</v>
      </c>
      <c r="BG75" s="9" t="n">
        <v>0</v>
      </c>
      <c r="BH75" s="9" t="n">
        <v>0</v>
      </c>
      <c r="BI75" s="9" t="n">
        <v>2.3870170050822</v>
      </c>
      <c r="BJ75" s="9" t="n">
        <v>1.92396001</v>
      </c>
      <c r="BK75" s="9" t="n">
        <v>2.04019926060417</v>
      </c>
      <c r="BL75" s="9" t="n">
        <v>2.17866834005073</v>
      </c>
      <c r="BM75" s="9" t="n">
        <v>29.2378970612912</v>
      </c>
      <c r="BN75" s="9" t="n">
        <v>21.1399947468</v>
      </c>
      <c r="BO75" s="9" t="n">
        <v>22.4172027627525</v>
      </c>
      <c r="BP75" s="9" t="n">
        <v>23.9386666169282</v>
      </c>
      <c r="BQ75" s="9" t="n">
        <v>26.8659808834515</v>
      </c>
      <c r="BR75" s="9" t="n">
        <v>46.3325563348279</v>
      </c>
      <c r="BS75" s="9" t="n">
        <v>36.361499706</v>
      </c>
      <c r="BT75" s="9" t="n">
        <v>38.5583403132375</v>
      </c>
      <c r="BU75" s="9" t="n">
        <v>41.1753091511637</v>
      </c>
      <c r="BV75" s="9" t="n">
        <v>35.0549923179652</v>
      </c>
      <c r="BW75" s="9" t="n">
        <v>30.402646731535</v>
      </c>
      <c r="BX75" s="9" t="n">
        <v>34.1582794813063</v>
      </c>
      <c r="BY75" s="9" t="n">
        <v>35.6523384329798</v>
      </c>
      <c r="BZ75" s="9" t="n">
        <v>20.3279875993456</v>
      </c>
      <c r="CA75" s="9" t="n">
        <v>4.29574017173298</v>
      </c>
      <c r="CB75" s="9" t="n">
        <v>3.154</v>
      </c>
      <c r="CC75" s="9" t="n">
        <v>2.638</v>
      </c>
      <c r="CD75" s="9" t="n">
        <v>92.955</v>
      </c>
      <c r="CE75" s="9" t="n">
        <v>6.78</v>
      </c>
      <c r="CF75" s="9" t="n">
        <v>0.73</v>
      </c>
      <c r="CG75" s="9" t="n">
        <v>3.49</v>
      </c>
      <c r="CH75" s="9" t="n">
        <v>2.76</v>
      </c>
      <c r="CI75" s="9" t="n">
        <v>0</v>
      </c>
      <c r="CJ75" s="9" t="n">
        <v>1.29</v>
      </c>
      <c r="CK75" s="9" t="n">
        <v>14.68</v>
      </c>
      <c r="CL75" s="9" t="n">
        <v>3.14</v>
      </c>
      <c r="CM75" s="9" t="n">
        <v>26.337</v>
      </c>
      <c r="CN75" s="9" t="n">
        <v>20.588</v>
      </c>
      <c r="CO75" s="9" t="n">
        <v>1</v>
      </c>
      <c r="CP75" s="9" t="n">
        <v>4</v>
      </c>
      <c r="CQ75" s="9" t="n">
        <v>0.5</v>
      </c>
      <c r="CR75" s="9" t="n">
        <v>0.3</v>
      </c>
      <c r="CS75" s="9" t="n">
        <v>0.6</v>
      </c>
      <c r="CT75" s="9" t="n">
        <v>0.8</v>
      </c>
      <c r="CU75" s="9" t="n">
        <v>0.8</v>
      </c>
      <c r="CV75" s="9" t="n">
        <v>0.7</v>
      </c>
      <c r="CW75" s="9" t="n">
        <v>0.5</v>
      </c>
      <c r="CX75" s="9" t="n">
        <v>0.5</v>
      </c>
      <c r="CY75" s="9" t="n">
        <v>1</v>
      </c>
      <c r="CZ75" s="9" t="n">
        <v>0.3</v>
      </c>
      <c r="DA75" s="9" t="n">
        <v>0.8</v>
      </c>
      <c r="DB75" s="9" t="n">
        <v>0.493360295522578</v>
      </c>
      <c r="DC75" s="9" t="n">
        <v>10.112</v>
      </c>
      <c r="DD75" s="9" t="n">
        <v>6.577</v>
      </c>
      <c r="DE75" s="9" t="n">
        <v>11.3375</v>
      </c>
      <c r="DF75" s="9" t="n">
        <v>22.4188159384629</v>
      </c>
      <c r="DG75" s="9" t="n">
        <v>25.7450012496518</v>
      </c>
      <c r="DH75" s="9" t="n">
        <v>15.656114517978</v>
      </c>
      <c r="DI75" s="9" t="n">
        <v>21.575396422271</v>
      </c>
      <c r="DJ75" s="9" t="n">
        <v>15.604</v>
      </c>
      <c r="DK75" s="9" t="n">
        <v>15.604</v>
      </c>
      <c r="DL75" s="9" t="n">
        <v>22.80375</v>
      </c>
      <c r="DM75" s="9" t="n">
        <v>13.4947462084719</v>
      </c>
      <c r="DN75" s="9" t="n">
        <v>13.4947462084719</v>
      </c>
      <c r="DO75" s="9" t="n">
        <v>0.06638</v>
      </c>
    </row>
    <row r="76" customFormat="false" ht="15" hidden="false" customHeight="false" outlineLevel="0" collapsed="false">
      <c r="A76" s="9" t="s">
        <v>956</v>
      </c>
      <c r="B76" s="9" t="s">
        <v>957</v>
      </c>
      <c r="C76" s="9" t="n">
        <v>0.005</v>
      </c>
      <c r="D76" s="9" t="n">
        <v>0.005</v>
      </c>
      <c r="E76" s="9" t="n">
        <v>0.01</v>
      </c>
      <c r="F76" s="9" t="n">
        <v>0.005</v>
      </c>
      <c r="G76" s="9" t="n">
        <v>0.005</v>
      </c>
      <c r="H76" s="9" t="n">
        <v>0.01</v>
      </c>
      <c r="I76" s="9" t="n">
        <v>0.005</v>
      </c>
      <c r="J76" s="9" t="n">
        <v>0.005</v>
      </c>
      <c r="K76" s="9" t="n">
        <v>0.01</v>
      </c>
      <c r="L76" s="9" t="n">
        <v>0.01</v>
      </c>
      <c r="M76" s="9" t="n">
        <v>0.005</v>
      </c>
      <c r="N76" s="9" t="n">
        <v>0.248131</v>
      </c>
      <c r="O76" s="9" t="n">
        <v>0.048638</v>
      </c>
      <c r="P76" s="9" t="n">
        <v>0.641022</v>
      </c>
      <c r="Q76" s="9" t="n">
        <v>0.744063778733933</v>
      </c>
      <c r="R76" s="9" t="n">
        <v>0.128167953207545</v>
      </c>
      <c r="S76" s="9" t="n">
        <v>0.0813005337659465</v>
      </c>
      <c r="T76" s="9" t="n">
        <v>0.0585344542611058</v>
      </c>
      <c r="U76" s="9" t="n">
        <v>0.009005</v>
      </c>
      <c r="V76" s="9" t="n">
        <v>0.000182</v>
      </c>
      <c r="W76" s="9" t="n">
        <v>0.001417</v>
      </c>
      <c r="X76" s="9" t="n">
        <v>0.600999953609106</v>
      </c>
      <c r="Y76" s="9" t="n">
        <v>0.600999953609106</v>
      </c>
      <c r="Z76" s="9" t="n">
        <v>0.4</v>
      </c>
      <c r="AA76" s="9" t="n">
        <v>0</v>
      </c>
      <c r="AB76" s="9" t="n">
        <v>0</v>
      </c>
      <c r="AC76" s="9" t="n">
        <v>0</v>
      </c>
      <c r="AD76" s="9" t="n">
        <v>0</v>
      </c>
      <c r="AE76" s="9" t="n">
        <v>3.064</v>
      </c>
      <c r="AF76" s="9" t="n">
        <v>0</v>
      </c>
      <c r="AG76" s="9" t="n">
        <v>0</v>
      </c>
      <c r="AH76" s="9" t="n">
        <v>0</v>
      </c>
      <c r="AI76" s="9" t="n">
        <v>0</v>
      </c>
      <c r="AJ76" s="9" t="n">
        <v>0</v>
      </c>
      <c r="AK76" s="9" t="n">
        <v>0</v>
      </c>
      <c r="AL76" s="9" t="n">
        <v>0</v>
      </c>
      <c r="AM76" s="9" t="n">
        <v>0</v>
      </c>
      <c r="AN76" s="9" t="n">
        <v>0</v>
      </c>
      <c r="AO76" s="9" t="n">
        <v>10.0764675805266</v>
      </c>
      <c r="AP76" s="9" t="n">
        <v>10.08335232</v>
      </c>
      <c r="AQ76" s="9" t="n">
        <v>10.6739486701714</v>
      </c>
      <c r="AR76" s="9" t="n">
        <v>10.4299727005675</v>
      </c>
      <c r="AS76" s="9" t="n">
        <v>0.627654849434105</v>
      </c>
      <c r="AT76" s="9" t="n">
        <v>0.7417837296</v>
      </c>
      <c r="AU76" s="9" t="n">
        <v>0.752235946679106</v>
      </c>
      <c r="AV76" s="9" t="n">
        <v>0.811313354472195</v>
      </c>
      <c r="AW76" s="9" t="n">
        <v>2.08952822725517</v>
      </c>
      <c r="AX76" s="9" t="n">
        <v>2.4624580464</v>
      </c>
      <c r="AY76" s="9" t="n">
        <v>2.50427164795933</v>
      </c>
      <c r="AZ76" s="9" t="n">
        <v>2.7009464785418</v>
      </c>
      <c r="BA76" s="9" t="n">
        <v>9.71024070701909</v>
      </c>
      <c r="BB76" s="9" t="n">
        <v>10.0921874145377</v>
      </c>
      <c r="BC76" s="9" t="n">
        <v>9.15622683</v>
      </c>
      <c r="BD76" s="9" t="n">
        <v>9.66427035388604</v>
      </c>
      <c r="BE76" s="9" t="n">
        <v>3.05298684237262</v>
      </c>
      <c r="BF76" s="9" t="n">
        <v>3.01455834999999</v>
      </c>
      <c r="BG76" s="9" t="n">
        <v>3.19112533907142</v>
      </c>
      <c r="BH76" s="9" t="n">
        <v>3.11818533132121</v>
      </c>
      <c r="BI76" s="9" t="n">
        <v>0.684413159228092</v>
      </c>
      <c r="BJ76" s="9" t="n">
        <v>0.650350849999998</v>
      </c>
      <c r="BK76" s="9" t="n">
        <v>0.68844282835714</v>
      </c>
      <c r="BL76" s="9" t="n">
        <v>0.672706992280406</v>
      </c>
      <c r="BM76" s="9" t="n">
        <v>0</v>
      </c>
      <c r="BN76" s="9" t="n">
        <v>0</v>
      </c>
      <c r="BO76" s="9" t="n">
        <v>0</v>
      </c>
      <c r="BP76" s="9" t="n">
        <v>0</v>
      </c>
      <c r="BQ76" s="9" t="n">
        <v>0</v>
      </c>
      <c r="BR76" s="9" t="n">
        <v>0</v>
      </c>
      <c r="BS76" s="9" t="n">
        <v>0</v>
      </c>
      <c r="BT76" s="9" t="n">
        <v>0</v>
      </c>
      <c r="BU76" s="9" t="n">
        <v>0</v>
      </c>
      <c r="BV76" s="9" t="n">
        <v>15.1288883992167</v>
      </c>
      <c r="BW76" s="9" t="n">
        <v>18.6054174943099</v>
      </c>
      <c r="BX76" s="9" t="n">
        <v>18.7779936358564</v>
      </c>
      <c r="BY76" s="9" t="n">
        <v>18.3380042560155</v>
      </c>
      <c r="BZ76" s="9" t="n">
        <v>0.754773076858133</v>
      </c>
      <c r="CA76" s="9" t="n">
        <v>1.99443064649657</v>
      </c>
      <c r="CB76" s="9" t="n">
        <v>-2.713</v>
      </c>
      <c r="CC76" s="9" t="n">
        <v>-1.7</v>
      </c>
      <c r="CD76" s="9" t="n">
        <v>25.285</v>
      </c>
      <c r="CE76" s="9" t="n">
        <v>0.16</v>
      </c>
      <c r="CF76" s="9" t="n">
        <v>0</v>
      </c>
      <c r="CG76" s="9" t="n">
        <v>0.7</v>
      </c>
      <c r="CH76" s="9" t="n">
        <v>0</v>
      </c>
      <c r="CI76" s="9" t="n">
        <v>0.7</v>
      </c>
      <c r="CJ76" s="9" t="n">
        <v>0</v>
      </c>
      <c r="CK76" s="9" t="n">
        <v>0.86</v>
      </c>
      <c r="CL76" s="9" t="n">
        <v>0</v>
      </c>
      <c r="CM76" s="9" t="n">
        <v>14.349</v>
      </c>
      <c r="CN76" s="9" t="n">
        <v>14.952</v>
      </c>
      <c r="CO76" s="9" t="n">
        <v>3</v>
      </c>
      <c r="CP76" s="9" t="n">
        <v>1</v>
      </c>
      <c r="CQ76" s="9" t="n">
        <v>0.5</v>
      </c>
      <c r="CR76" s="9" t="n">
        <v>0.3</v>
      </c>
      <c r="CS76" s="9" t="n">
        <v>0.6</v>
      </c>
      <c r="CT76" s="9" t="n">
        <v>0.8</v>
      </c>
      <c r="CU76" s="9" t="n">
        <v>0.8</v>
      </c>
      <c r="CV76" s="9" t="n">
        <v>0.7</v>
      </c>
      <c r="CW76" s="9" t="n">
        <v>0.5</v>
      </c>
      <c r="CX76" s="9" t="n">
        <v>0.5</v>
      </c>
      <c r="CY76" s="9" t="n">
        <v>1</v>
      </c>
      <c r="CZ76" s="9" t="n">
        <v>0.3</v>
      </c>
      <c r="DA76" s="9" t="n">
        <v>0.8</v>
      </c>
      <c r="DB76" s="9" t="n">
        <v>0.671651702704139</v>
      </c>
      <c r="DC76" s="9" t="n">
        <v>7.124</v>
      </c>
      <c r="DD76" s="9" t="n">
        <v>5.575</v>
      </c>
      <c r="DE76" s="9" t="n">
        <v>12.193</v>
      </c>
      <c r="DF76" s="9" t="n">
        <v>17.5625864890352</v>
      </c>
      <c r="DG76" s="9" t="n">
        <v>21.6186909024774</v>
      </c>
      <c r="DH76" s="9" t="n">
        <v>15.0468241052648</v>
      </c>
      <c r="DI76" s="9" t="n">
        <v>20.7139818259977</v>
      </c>
      <c r="DJ76" s="9" t="n">
        <v>12.771</v>
      </c>
      <c r="DK76" s="9" t="n">
        <v>11.447</v>
      </c>
      <c r="DL76" s="9" t="n">
        <v>20.712</v>
      </c>
      <c r="DM76" s="9" t="n">
        <v>13.4947462084719</v>
      </c>
      <c r="DN76" s="9" t="n">
        <v>13.4947462084719</v>
      </c>
      <c r="DO76" s="9" t="n">
        <v>0.105</v>
      </c>
    </row>
    <row r="77" customFormat="false" ht="15" hidden="false" customHeight="false" outlineLevel="0" collapsed="false">
      <c r="A77" s="9" t="s">
        <v>800</v>
      </c>
      <c r="B77" s="9" t="s">
        <v>801</v>
      </c>
      <c r="C77" s="9" t="n">
        <v>0.005</v>
      </c>
      <c r="D77" s="9" t="n">
        <v>0.005</v>
      </c>
      <c r="E77" s="9" t="n">
        <v>0.01</v>
      </c>
      <c r="F77" s="9" t="n">
        <v>0.005</v>
      </c>
      <c r="G77" s="9" t="n">
        <v>0.005</v>
      </c>
      <c r="H77" s="9" t="n">
        <v>0.01</v>
      </c>
      <c r="I77" s="9" t="n">
        <v>0.005</v>
      </c>
      <c r="J77" s="9" t="n">
        <v>0.005</v>
      </c>
      <c r="K77" s="9" t="n">
        <v>0.01</v>
      </c>
      <c r="L77" s="9" t="n">
        <v>0.01</v>
      </c>
      <c r="M77" s="9" t="n">
        <v>0.005</v>
      </c>
      <c r="N77" s="9" t="n">
        <v>7.632642</v>
      </c>
      <c r="O77" s="9" t="n">
        <v>1.108054</v>
      </c>
      <c r="P77" s="9" t="n">
        <v>133.74069</v>
      </c>
      <c r="Q77" s="9" t="n">
        <v>12.9647549724241</v>
      </c>
      <c r="R77" s="9" t="n">
        <v>2.93244959785231</v>
      </c>
      <c r="S77" s="9" t="n">
        <v>3.67950480237494</v>
      </c>
      <c r="T77" s="9" t="n">
        <v>3.3981791458515</v>
      </c>
      <c r="U77" s="9" t="n">
        <v>0.089394</v>
      </c>
      <c r="V77" s="9" t="n">
        <v>0.106909</v>
      </c>
      <c r="W77" s="9" t="n">
        <v>0.332495</v>
      </c>
      <c r="X77" s="9" t="n">
        <v>1.46021679585662</v>
      </c>
      <c r="Y77" s="9" t="n">
        <v>1.46021679585662</v>
      </c>
      <c r="Z77" s="9" t="n">
        <v>5.64</v>
      </c>
      <c r="AA77" s="9" t="n">
        <v>8.18</v>
      </c>
      <c r="AB77" s="9" t="n">
        <v>0.32</v>
      </c>
      <c r="AC77" s="9" t="n">
        <v>0</v>
      </c>
      <c r="AD77" s="9" t="n">
        <v>0</v>
      </c>
      <c r="AE77" s="9" t="n">
        <v>49.102</v>
      </c>
      <c r="AF77" s="9" t="n">
        <v>11.7492403588925</v>
      </c>
      <c r="AG77" s="9" t="n">
        <v>10.8871746876</v>
      </c>
      <c r="AH77" s="9" t="n">
        <v>10.3615282847143</v>
      </c>
      <c r="AI77" s="9" t="n">
        <v>10.3442590709065</v>
      </c>
      <c r="AJ77" s="9" t="n">
        <v>6.95905176737965</v>
      </c>
      <c r="AK77" s="9" t="n">
        <v>2.04188790653501</v>
      </c>
      <c r="AL77" s="9" t="n">
        <v>2.0578833756</v>
      </c>
      <c r="AM77" s="9" t="n">
        <v>1.95852619387181</v>
      </c>
      <c r="AN77" s="9" t="n">
        <v>1.95526198354869</v>
      </c>
      <c r="AO77" s="9" t="n">
        <v>130.109978287406</v>
      </c>
      <c r="AP77" s="9" t="n">
        <v>133.924657145402</v>
      </c>
      <c r="AQ77" s="9" t="n">
        <v>127.458607292601</v>
      </c>
      <c r="AR77" s="9" t="n">
        <v>127.246176280447</v>
      </c>
      <c r="AS77" s="9" t="n">
        <v>106.021573854983</v>
      </c>
      <c r="AT77" s="9" t="n">
        <v>105.2675987112</v>
      </c>
      <c r="AU77" s="9" t="n">
        <v>103.56572112081</v>
      </c>
      <c r="AV77" s="9" t="n">
        <v>109.423991561965</v>
      </c>
      <c r="AW77" s="9" t="n">
        <v>45.0253727429627</v>
      </c>
      <c r="AX77" s="9" t="n">
        <v>44.9099990892</v>
      </c>
      <c r="AY77" s="9" t="n">
        <v>43.9621518753979</v>
      </c>
      <c r="AZ77" s="9" t="n">
        <v>46.4893444191193</v>
      </c>
      <c r="BA77" s="9" t="n">
        <v>60.5295999612041</v>
      </c>
      <c r="BB77" s="9" t="n">
        <v>61.7297571534694</v>
      </c>
      <c r="BC77" s="9" t="n">
        <v>65.4681199608163</v>
      </c>
      <c r="BD77" s="9" t="n">
        <v>58.6514517037103</v>
      </c>
      <c r="BE77" s="9" t="n">
        <v>0</v>
      </c>
      <c r="BF77" s="9" t="n">
        <v>0</v>
      </c>
      <c r="BG77" s="9" t="n">
        <v>0</v>
      </c>
      <c r="BH77" s="9" t="n">
        <v>0</v>
      </c>
      <c r="BI77" s="9" t="n">
        <v>2.96683235638444</v>
      </c>
      <c r="BJ77" s="9" t="n">
        <v>3.08435537</v>
      </c>
      <c r="BK77" s="9" t="n">
        <v>2.93543883729218</v>
      </c>
      <c r="BL77" s="9" t="n">
        <v>2.93054643923003</v>
      </c>
      <c r="BM77" s="9" t="n">
        <v>103.35389515558</v>
      </c>
      <c r="BN77" s="9" t="n">
        <v>79.1442024624</v>
      </c>
      <c r="BO77" s="9" t="n">
        <v>75.3230214372623</v>
      </c>
      <c r="BP77" s="9" t="n">
        <v>75.1974830682001</v>
      </c>
      <c r="BQ77" s="9" t="n">
        <v>68.6932919693469</v>
      </c>
      <c r="BR77" s="9" t="n">
        <v>242.984414604512</v>
      </c>
      <c r="BS77" s="9" t="n">
        <v>206.7363002556</v>
      </c>
      <c r="BT77" s="9" t="n">
        <v>196.754813258884</v>
      </c>
      <c r="BU77" s="9" t="n">
        <v>196.42688857012</v>
      </c>
      <c r="BV77" s="9" t="n">
        <v>64.0625552461652</v>
      </c>
      <c r="BW77" s="9" t="n">
        <v>64.1126034178776</v>
      </c>
      <c r="BX77" s="9" t="n">
        <v>60.8180585506938</v>
      </c>
      <c r="BY77" s="9" t="n">
        <v>60.5448762550757</v>
      </c>
      <c r="BZ77" s="9" t="n">
        <v>41.957485166096</v>
      </c>
      <c r="CA77" s="9" t="n">
        <v>3.2425856635851</v>
      </c>
      <c r="CB77" s="9" t="n">
        <v>0.409</v>
      </c>
      <c r="CC77" s="9" t="n">
        <v>1.662</v>
      </c>
      <c r="CD77" s="9" t="n">
        <v>222.878</v>
      </c>
      <c r="CE77" s="9" t="n">
        <v>18.73</v>
      </c>
      <c r="CF77" s="9" t="n">
        <v>1.38</v>
      </c>
      <c r="CG77" s="9" t="n">
        <v>9.93</v>
      </c>
      <c r="CH77" s="9" t="n">
        <v>8.15</v>
      </c>
      <c r="CI77" s="9" t="n">
        <v>0.4</v>
      </c>
      <c r="CJ77" s="9" t="n">
        <v>10.98</v>
      </c>
      <c r="CK77" s="9" t="n">
        <v>40.24</v>
      </c>
      <c r="CL77" s="9" t="n">
        <v>0.6</v>
      </c>
      <c r="CM77" s="9" t="n">
        <v>65.467</v>
      </c>
      <c r="CN77" s="9" t="n">
        <v>58.237</v>
      </c>
      <c r="CO77" s="9" t="n">
        <v>3</v>
      </c>
      <c r="CP77" s="9" t="n">
        <v>4</v>
      </c>
      <c r="CQ77" s="9" t="n">
        <v>0.5</v>
      </c>
      <c r="CR77" s="9" t="n">
        <v>0.3</v>
      </c>
      <c r="CS77" s="9" t="n">
        <v>0.6</v>
      </c>
      <c r="CT77" s="9" t="n">
        <v>0.8</v>
      </c>
      <c r="CU77" s="9" t="n">
        <v>0.8</v>
      </c>
      <c r="CV77" s="9" t="n">
        <v>0.7</v>
      </c>
      <c r="CW77" s="9" t="n">
        <v>0.5</v>
      </c>
      <c r="CX77" s="9" t="n">
        <v>0.5</v>
      </c>
      <c r="CY77" s="9" t="n">
        <v>1</v>
      </c>
      <c r="CZ77" s="9" t="n">
        <v>0.3</v>
      </c>
      <c r="DA77" s="9" t="n">
        <v>0.8</v>
      </c>
      <c r="DB77" s="9" t="n">
        <v>0.499042791153823</v>
      </c>
      <c r="DC77" s="9" t="n">
        <v>6.327</v>
      </c>
      <c r="DD77" s="9" t="n">
        <v>2.445</v>
      </c>
      <c r="DE77" s="9" t="n">
        <v>4.14274</v>
      </c>
      <c r="DF77" s="9" t="n">
        <v>22.5462050200039</v>
      </c>
      <c r="DG77" s="9" t="n">
        <v>26.2935898293782</v>
      </c>
      <c r="DH77" s="9" t="n">
        <v>15.656114517978</v>
      </c>
      <c r="DI77" s="9" t="n">
        <v>21.3930823500197</v>
      </c>
      <c r="DJ77" s="9" t="n">
        <v>17.328</v>
      </c>
      <c r="DK77" s="9" t="n">
        <v>17.328</v>
      </c>
      <c r="DL77" s="9" t="n">
        <v>22.00656</v>
      </c>
      <c r="DM77" s="9" t="n">
        <v>13.4947462084719</v>
      </c>
      <c r="DN77" s="9" t="n">
        <v>13.4947462084719</v>
      </c>
      <c r="DO77" s="9" t="n">
        <v>0.1843</v>
      </c>
    </row>
    <row r="78" customFormat="false" ht="15" hidden="false" customHeight="false" outlineLevel="0" collapsed="false">
      <c r="A78" s="9" t="s">
        <v>724</v>
      </c>
      <c r="B78" s="9" t="s">
        <v>725</v>
      </c>
      <c r="C78" s="9" t="n">
        <v>0.005</v>
      </c>
      <c r="D78" s="9" t="n">
        <v>0.005</v>
      </c>
      <c r="E78" s="9" t="n">
        <v>0.01</v>
      </c>
      <c r="F78" s="9" t="n">
        <v>0.005</v>
      </c>
      <c r="G78" s="9" t="n">
        <v>0.005</v>
      </c>
      <c r="H78" s="9" t="n">
        <v>0.01</v>
      </c>
      <c r="I78" s="9" t="n">
        <v>0.005</v>
      </c>
      <c r="J78" s="9" t="n">
        <v>0.005</v>
      </c>
      <c r="K78" s="9" t="n">
        <v>0.01</v>
      </c>
      <c r="L78" s="9" t="n">
        <v>0.01</v>
      </c>
      <c r="M78" s="9" t="n">
        <v>0.005</v>
      </c>
      <c r="N78" s="9" t="n">
        <v>14.675859</v>
      </c>
      <c r="O78" s="9" t="n">
        <v>2.926068</v>
      </c>
      <c r="P78" s="9" t="n">
        <v>103.667154</v>
      </c>
      <c r="Q78" s="9" t="n">
        <v>15.2832845200681</v>
      </c>
      <c r="R78" s="9" t="n">
        <v>1.866156282546</v>
      </c>
      <c r="S78" s="9" t="n">
        <v>3.8577354935373</v>
      </c>
      <c r="T78" s="9" t="n">
        <v>1.74726703627386</v>
      </c>
      <c r="U78" s="9" t="n">
        <v>0.293712</v>
      </c>
      <c r="V78" s="9" t="n">
        <v>0.555308</v>
      </c>
      <c r="W78" s="9" t="n">
        <v>0.34195</v>
      </c>
      <c r="X78" s="9" t="n">
        <v>4.51876945873128</v>
      </c>
      <c r="Y78" s="9" t="n">
        <v>4.51876945873128</v>
      </c>
      <c r="Z78" s="9" t="n">
        <v>86.11</v>
      </c>
      <c r="AA78" s="9" t="n">
        <v>0.94</v>
      </c>
      <c r="AB78" s="9" t="n">
        <v>0.15</v>
      </c>
      <c r="AC78" s="9" t="n">
        <v>5.1</v>
      </c>
      <c r="AD78" s="9" t="n">
        <v>28.7523010186134</v>
      </c>
      <c r="AE78" s="9" t="n">
        <v>700.991</v>
      </c>
      <c r="AF78" s="9" t="n">
        <v>1068.88940501371</v>
      </c>
      <c r="AG78" s="9" t="n">
        <v>880.6932585828</v>
      </c>
      <c r="AH78" s="9" t="n">
        <v>1042.41986128787</v>
      </c>
      <c r="AI78" s="9" t="n">
        <v>1039.81381163465</v>
      </c>
      <c r="AJ78" s="9" t="n">
        <v>1305.48474820347</v>
      </c>
      <c r="AK78" s="9" t="n">
        <v>0</v>
      </c>
      <c r="AL78" s="9" t="n">
        <v>0</v>
      </c>
      <c r="AM78" s="9" t="n">
        <v>0</v>
      </c>
      <c r="AN78" s="9" t="n">
        <v>0</v>
      </c>
      <c r="AO78" s="9" t="n">
        <v>859.390020891013</v>
      </c>
      <c r="AP78" s="9" t="n">
        <v>726.7974419</v>
      </c>
      <c r="AQ78" s="9" t="n">
        <v>860.263299606654</v>
      </c>
      <c r="AR78" s="9" t="n">
        <v>858.112641357638</v>
      </c>
      <c r="AS78" s="9" t="n">
        <v>826.000914678189</v>
      </c>
      <c r="AT78" s="9" t="n">
        <v>608.2012965312</v>
      </c>
      <c r="AU78" s="9" t="n">
        <v>749.435509362753</v>
      </c>
      <c r="AV78" s="9" t="n">
        <v>783.374185514196</v>
      </c>
      <c r="AW78" s="9" t="n">
        <v>569.844113486686</v>
      </c>
      <c r="AX78" s="9" t="n">
        <v>421.8878047428</v>
      </c>
      <c r="AY78" s="9" t="n">
        <v>517.045043905783</v>
      </c>
      <c r="AZ78" s="9" t="n">
        <v>540.447344749407</v>
      </c>
      <c r="BA78" s="9" t="n">
        <v>1424.7924788527</v>
      </c>
      <c r="BB78" s="9" t="n">
        <v>1187.070036568</v>
      </c>
      <c r="BC78" s="9" t="n">
        <v>1183.40526037</v>
      </c>
      <c r="BD78" s="9" t="n">
        <v>1286.25426031775</v>
      </c>
      <c r="BE78" s="9" t="n">
        <v>80.7758206396333</v>
      </c>
      <c r="BF78" s="9" t="n">
        <v>69.5278975157626</v>
      </c>
      <c r="BG78" s="9" t="n">
        <v>82.2956921467162</v>
      </c>
      <c r="BH78" s="9" t="n">
        <v>82.0899529163494</v>
      </c>
      <c r="BI78" s="9" t="n">
        <v>438.641248588431</v>
      </c>
      <c r="BJ78" s="9" t="n">
        <v>382.478134344325</v>
      </c>
      <c r="BK78" s="9" t="n">
        <v>452.714722025284</v>
      </c>
      <c r="BL78" s="9" t="n">
        <v>451.582935220221</v>
      </c>
      <c r="BM78" s="9" t="n">
        <v>922.234500306574</v>
      </c>
      <c r="BN78" s="9" t="n">
        <v>746.9308014876</v>
      </c>
      <c r="BO78" s="9" t="n">
        <v>884.093860024861</v>
      </c>
      <c r="BP78" s="9" t="n">
        <v>881.883625374799</v>
      </c>
      <c r="BQ78" s="9" t="n">
        <v>1265.08881063745</v>
      </c>
      <c r="BR78" s="9" t="n">
        <v>7.10441016924371</v>
      </c>
      <c r="BS78" s="9" t="n">
        <v>5.8129698672</v>
      </c>
      <c r="BT78" s="9" t="n">
        <v>6.88043786367588</v>
      </c>
      <c r="BU78" s="9" t="n">
        <v>6.86323676901669</v>
      </c>
      <c r="BV78" s="9" t="n">
        <v>1142.03720159121</v>
      </c>
      <c r="BW78" s="9" t="n">
        <v>505.943461629822</v>
      </c>
      <c r="BX78" s="9" t="n">
        <v>1114.67519605146</v>
      </c>
      <c r="BY78" s="9" t="n">
        <v>1148.87094506666</v>
      </c>
      <c r="BZ78" s="9" t="n">
        <v>387.734730045799</v>
      </c>
      <c r="CA78" s="9" t="n">
        <v>-0.0256547464689171</v>
      </c>
      <c r="CB78" s="9" t="n">
        <v>5.108</v>
      </c>
      <c r="CC78" s="9" t="n">
        <v>4.95</v>
      </c>
      <c r="CD78" s="9" t="n">
        <v>1396.302</v>
      </c>
      <c r="CE78" s="9" t="n">
        <v>65.39</v>
      </c>
      <c r="CF78" s="9" t="n">
        <v>228.43</v>
      </c>
      <c r="CG78" s="9" t="n">
        <v>304.33</v>
      </c>
      <c r="CH78" s="9" t="n">
        <v>68.78</v>
      </c>
      <c r="CI78" s="9" t="n">
        <v>7.12</v>
      </c>
      <c r="CJ78" s="9" t="n">
        <v>1.35</v>
      </c>
      <c r="CK78" s="9" t="n">
        <v>371.54</v>
      </c>
      <c r="CL78" s="9" t="n">
        <v>0.47</v>
      </c>
      <c r="CM78" s="9" t="n">
        <v>1240.011</v>
      </c>
      <c r="CN78" s="9" t="n">
        <v>1416.823</v>
      </c>
      <c r="CO78" s="9" t="n">
        <v>3</v>
      </c>
      <c r="CP78" s="9" t="n">
        <v>2</v>
      </c>
      <c r="CQ78" s="9" t="n">
        <v>0.5</v>
      </c>
      <c r="CR78" s="9" t="n">
        <v>0.3</v>
      </c>
      <c r="CS78" s="9" t="n">
        <v>0.6</v>
      </c>
      <c r="CT78" s="9" t="n">
        <v>0.8</v>
      </c>
      <c r="CU78" s="9" t="n">
        <v>0.8</v>
      </c>
      <c r="CV78" s="9" t="n">
        <v>0.7</v>
      </c>
      <c r="CW78" s="9" t="n">
        <v>0.5</v>
      </c>
      <c r="CX78" s="9" t="n">
        <v>0.5</v>
      </c>
      <c r="CY78" s="9" t="n">
        <v>1</v>
      </c>
      <c r="CZ78" s="9" t="n">
        <v>0.3</v>
      </c>
      <c r="DA78" s="9" t="n">
        <v>0.8</v>
      </c>
      <c r="DB78" s="9" t="n">
        <v>0.299010267367861</v>
      </c>
      <c r="DC78" s="9" t="n">
        <v>2.98</v>
      </c>
      <c r="DD78" s="9" t="n">
        <v>2.672</v>
      </c>
      <c r="DE78" s="9" t="n">
        <v>3.29781</v>
      </c>
      <c r="DF78" s="9" t="n">
        <v>20.2093621188148</v>
      </c>
      <c r="DG78" s="9" t="n">
        <v>22.8540446683333</v>
      </c>
      <c r="DH78" s="9" t="n">
        <v>18.8991819486377</v>
      </c>
      <c r="DI78" s="9" t="n">
        <v>21.8717925554778</v>
      </c>
      <c r="DJ78" s="9" t="n">
        <v>5.433</v>
      </c>
      <c r="DK78" s="9" t="n">
        <v>4.771</v>
      </c>
      <c r="DL78" s="9" t="n">
        <v>10.43844</v>
      </c>
      <c r="DM78" s="9" t="n">
        <v>14.1151698941595</v>
      </c>
      <c r="DN78" s="9" t="n">
        <v>14.1151698941595</v>
      </c>
      <c r="DO78" s="9" t="n">
        <v>0.0818500000000001</v>
      </c>
    </row>
    <row r="79" customFormat="false" ht="15" hidden="false" customHeight="false" outlineLevel="0" collapsed="false">
      <c r="A79" s="9" t="s">
        <v>36</v>
      </c>
      <c r="B79" s="9" t="s">
        <v>698</v>
      </c>
      <c r="C79" s="9" t="n">
        <v>0.005</v>
      </c>
      <c r="D79" s="9" t="n">
        <v>0.005</v>
      </c>
      <c r="E79" s="9" t="n">
        <v>0.01</v>
      </c>
      <c r="F79" s="9" t="n">
        <v>0.005</v>
      </c>
      <c r="G79" s="9" t="n">
        <v>0.005</v>
      </c>
      <c r="H79" s="9" t="n">
        <v>0.01</v>
      </c>
      <c r="I79" s="9" t="n">
        <v>0.005</v>
      </c>
      <c r="J79" s="9" t="n">
        <v>0.005</v>
      </c>
      <c r="K79" s="9" t="n">
        <v>0.01</v>
      </c>
      <c r="L79" s="9" t="n">
        <v>0.01</v>
      </c>
      <c r="M79" s="9" t="n">
        <v>0.005</v>
      </c>
      <c r="N79" s="9" t="n">
        <v>6.672427</v>
      </c>
      <c r="O79" s="9" t="n">
        <v>2.749538</v>
      </c>
      <c r="P79" s="9" t="n">
        <v>29.670631</v>
      </c>
      <c r="Q79" s="9" t="n">
        <v>15.4595002733597</v>
      </c>
      <c r="R79" s="9" t="n">
        <v>3.19433315775296</v>
      </c>
      <c r="S79" s="9" t="n">
        <v>19.2769420045199</v>
      </c>
      <c r="T79" s="9" t="n">
        <v>7.10547761973929</v>
      </c>
      <c r="U79" s="9" t="n">
        <v>0.393751</v>
      </c>
      <c r="V79" s="9" t="n">
        <v>0.386554</v>
      </c>
      <c r="W79" s="9" t="n">
        <v>0.193543</v>
      </c>
      <c r="X79" s="9" t="n">
        <v>13.0688950981552</v>
      </c>
      <c r="Y79" s="9" t="n">
        <v>13.0688950981552</v>
      </c>
      <c r="Z79" s="9" t="n">
        <v>296.59</v>
      </c>
      <c r="AA79" s="9" t="n">
        <v>135.5</v>
      </c>
      <c r="AB79" s="9" t="n">
        <v>54.51</v>
      </c>
      <c r="AC79" s="9" t="n">
        <v>6.5</v>
      </c>
      <c r="AD79" s="9" t="n">
        <v>200.816834563138</v>
      </c>
      <c r="AE79" s="9" t="n">
        <v>2845.008</v>
      </c>
      <c r="AF79" s="9" t="n">
        <v>5318.8273393572</v>
      </c>
      <c r="AG79" s="9" t="n">
        <v>4258.271774232</v>
      </c>
      <c r="AH79" s="9" t="n">
        <v>4627.46323087686</v>
      </c>
      <c r="AI79" s="9" t="n">
        <v>5072.10208914807</v>
      </c>
      <c r="AJ79" s="9" t="n">
        <v>10533.0048807375</v>
      </c>
      <c r="AK79" s="9" t="n">
        <v>430.484273660367</v>
      </c>
      <c r="AL79" s="9" t="n">
        <v>342.1679549616</v>
      </c>
      <c r="AM79" s="9" t="n">
        <v>371.8338599125</v>
      </c>
      <c r="AN79" s="9" t="n">
        <v>407.562243843222</v>
      </c>
      <c r="AO79" s="9" t="n">
        <v>3042.39097175652</v>
      </c>
      <c r="AP79" s="9" t="n">
        <v>2375.95348203</v>
      </c>
      <c r="AQ79" s="9" t="n">
        <v>2581.94825489987</v>
      </c>
      <c r="AR79" s="9" t="n">
        <v>2830.03980460981</v>
      </c>
      <c r="AS79" s="9" t="n">
        <v>4345.65368649116</v>
      </c>
      <c r="AT79" s="9" t="n">
        <v>3501.3898493064</v>
      </c>
      <c r="AU79" s="9" t="n">
        <v>4213.60723058453</v>
      </c>
      <c r="AV79" s="9" t="n">
        <v>4451.84642689476</v>
      </c>
      <c r="AW79" s="9" t="n">
        <v>1506.90576128458</v>
      </c>
      <c r="AX79" s="9" t="n">
        <v>1223.2080020016</v>
      </c>
      <c r="AY79" s="9" t="n">
        <v>1464.30569504172</v>
      </c>
      <c r="AZ79" s="9" t="n">
        <v>1545.28869429518</v>
      </c>
      <c r="BA79" s="9" t="n">
        <v>1800.58821134012</v>
      </c>
      <c r="BB79" s="9" t="n">
        <v>1324.03011676329</v>
      </c>
      <c r="BC79" s="9" t="n">
        <v>1570.05028568</v>
      </c>
      <c r="BD79" s="9" t="n">
        <v>1647.42451017524</v>
      </c>
      <c r="BE79" s="9" t="n">
        <v>259.214427613643</v>
      </c>
      <c r="BF79" s="9" t="n">
        <v>191.475334256765</v>
      </c>
      <c r="BG79" s="9" t="n">
        <v>208.07621398304</v>
      </c>
      <c r="BH79" s="9" t="n">
        <v>228.069624109236</v>
      </c>
      <c r="BI79" s="9" t="n">
        <v>1626.2883456291</v>
      </c>
      <c r="BJ79" s="9" t="n">
        <v>1267.80047671278</v>
      </c>
      <c r="BK79" s="9" t="n">
        <v>1377.71856779495</v>
      </c>
      <c r="BL79" s="9" t="n">
        <v>1510.09935191785</v>
      </c>
      <c r="BM79" s="9" t="n">
        <v>1369.89880621926</v>
      </c>
      <c r="BN79" s="9" t="n">
        <v>1025.303588874</v>
      </c>
      <c r="BO79" s="9" t="n">
        <v>1114.19723999561</v>
      </c>
      <c r="BP79" s="9" t="n">
        <v>1221.25706175171</v>
      </c>
      <c r="BQ79" s="9" t="n">
        <v>2465.19823005983</v>
      </c>
      <c r="BR79" s="9" t="n">
        <v>241.485724789096</v>
      </c>
      <c r="BS79" s="9" t="n">
        <v>181.3973889096</v>
      </c>
      <c r="BT79" s="9" t="n">
        <v>197.124512445577</v>
      </c>
      <c r="BU79" s="9" t="n">
        <v>216.065606902304</v>
      </c>
      <c r="BV79" s="9" t="n">
        <v>3560.83322638007</v>
      </c>
      <c r="BW79" s="9" t="n">
        <v>2683.32388739841</v>
      </c>
      <c r="BX79" s="9" t="n">
        <v>2844.04555921719</v>
      </c>
      <c r="BY79" s="9" t="n">
        <v>3118.78310998668</v>
      </c>
      <c r="BZ79" s="9" t="n">
        <v>1625.71095771548</v>
      </c>
      <c r="CA79" s="9" t="n">
        <v>1.30118053223081</v>
      </c>
      <c r="CB79" s="9" t="n">
        <v>7.618</v>
      </c>
      <c r="CC79" s="9" t="n">
        <v>6.478</v>
      </c>
      <c r="CD79" s="9" t="n">
        <v>3760.814</v>
      </c>
      <c r="CE79" s="9" t="n">
        <v>254.84</v>
      </c>
      <c r="CF79" s="9" t="n">
        <v>1474.15</v>
      </c>
      <c r="CG79" s="9" t="n">
        <v>1526.79</v>
      </c>
      <c r="CH79" s="9" t="n">
        <v>48.54</v>
      </c>
      <c r="CI79" s="9" t="n">
        <v>4.1</v>
      </c>
      <c r="CJ79" s="9" t="n">
        <v>195.99</v>
      </c>
      <c r="CK79" s="9" t="n">
        <v>2081.6</v>
      </c>
      <c r="CL79" s="9" t="n">
        <v>103.98</v>
      </c>
      <c r="CM79" s="9" t="n">
        <v>4131.845</v>
      </c>
      <c r="CN79" s="9" t="n">
        <v>4096.604</v>
      </c>
      <c r="CO79" s="9" t="n">
        <v>3</v>
      </c>
      <c r="CP79" s="9" t="n">
        <v>2</v>
      </c>
      <c r="CQ79" s="9" t="n">
        <v>0.5</v>
      </c>
      <c r="CR79" s="9" t="n">
        <v>0.3</v>
      </c>
      <c r="CS79" s="9" t="n">
        <v>0.6</v>
      </c>
      <c r="CT79" s="9" t="n">
        <v>0.8</v>
      </c>
      <c r="CU79" s="9" t="n">
        <v>0.8</v>
      </c>
      <c r="CV79" s="9" t="n">
        <v>0.7</v>
      </c>
      <c r="CW79" s="9" t="n">
        <v>0.5</v>
      </c>
      <c r="CX79" s="9" t="n">
        <v>0.5</v>
      </c>
      <c r="CY79" s="9" t="n">
        <v>1</v>
      </c>
      <c r="CZ79" s="9" t="n">
        <v>0.3</v>
      </c>
      <c r="DA79" s="9" t="n">
        <v>0.8</v>
      </c>
      <c r="DB79" s="9" t="n">
        <v>0.241173455063655</v>
      </c>
      <c r="DC79" s="9" t="n">
        <v>4.396</v>
      </c>
      <c r="DD79" s="9" t="n">
        <v>2.629</v>
      </c>
      <c r="DE79" s="9" t="n">
        <v>8.01574</v>
      </c>
      <c r="DF79" s="9" t="n">
        <v>15.2590186562932</v>
      </c>
      <c r="DG79" s="9" t="n">
        <v>20.1785886883917</v>
      </c>
      <c r="DH79" s="9" t="n">
        <v>8.78641809641182</v>
      </c>
      <c r="DI79" s="9" t="n">
        <v>18.3909902236911</v>
      </c>
      <c r="DJ79" s="9" t="n">
        <v>9.792</v>
      </c>
      <c r="DK79" s="9" t="n">
        <v>8.809</v>
      </c>
      <c r="DL79" s="9" t="n">
        <v>18.51656</v>
      </c>
      <c r="DM79" s="9" t="n">
        <v>10.0195892563508</v>
      </c>
      <c r="DN79" s="9" t="n">
        <v>10.0195892563508</v>
      </c>
      <c r="DO79" s="9" t="n">
        <v>0.095</v>
      </c>
    </row>
    <row r="80" customFormat="false" ht="15" hidden="false" customHeight="false" outlineLevel="0" collapsed="false">
      <c r="A80" s="9" t="s">
        <v>738</v>
      </c>
      <c r="B80" s="9" t="s">
        <v>739</v>
      </c>
      <c r="C80" s="9" t="n">
        <v>0.005</v>
      </c>
      <c r="D80" s="9" t="n">
        <v>0.005</v>
      </c>
      <c r="E80" s="9" t="n">
        <v>0.01</v>
      </c>
      <c r="F80" s="9" t="n">
        <v>0.005</v>
      </c>
      <c r="G80" s="9" t="n">
        <v>0.005</v>
      </c>
      <c r="H80" s="9" t="n">
        <v>0.01</v>
      </c>
      <c r="I80" s="9" t="n">
        <v>0.005</v>
      </c>
      <c r="J80" s="9" t="n">
        <v>0.005</v>
      </c>
      <c r="K80" s="9" t="n">
        <v>0.01</v>
      </c>
      <c r="L80" s="9" t="n">
        <v>0.01</v>
      </c>
      <c r="M80" s="9" t="n">
        <v>0.005</v>
      </c>
      <c r="N80" s="9" t="n">
        <v>2.077332</v>
      </c>
      <c r="O80" s="9" t="n">
        <v>0.801606</v>
      </c>
      <c r="P80" s="9" t="n">
        <v>37.594672</v>
      </c>
      <c r="Q80" s="9" t="n">
        <v>1.88512245144749</v>
      </c>
      <c r="R80" s="9" t="n">
        <v>0.352647746308666</v>
      </c>
      <c r="S80" s="9" t="n">
        <v>7.51165009857828</v>
      </c>
      <c r="T80" s="9" t="n">
        <v>7.88318290368953</v>
      </c>
      <c r="U80" s="9" t="n">
        <v>0.86455</v>
      </c>
      <c r="V80" s="9" t="n">
        <v>0.395868</v>
      </c>
      <c r="W80" s="9" t="n">
        <v>0.068068</v>
      </c>
      <c r="X80" s="9" t="n">
        <v>1.47052894414181</v>
      </c>
      <c r="Y80" s="9" t="n">
        <v>1.47052894414181</v>
      </c>
      <c r="Z80" s="9" t="n">
        <v>6.47</v>
      </c>
      <c r="AA80" s="9" t="n">
        <v>2.49</v>
      </c>
      <c r="AB80" s="9" t="n">
        <v>5.13</v>
      </c>
      <c r="AC80" s="9" t="n">
        <v>0</v>
      </c>
      <c r="AD80" s="9" t="n">
        <v>0</v>
      </c>
      <c r="AE80" s="9" t="n">
        <v>41.612</v>
      </c>
      <c r="AF80" s="9" t="n">
        <v>5.71279627797283</v>
      </c>
      <c r="AG80" s="9" t="n">
        <v>4.2879028464</v>
      </c>
      <c r="AH80" s="9" t="n">
        <v>4.85355359175386</v>
      </c>
      <c r="AI80" s="9" t="n">
        <v>4.97219601288562</v>
      </c>
      <c r="AJ80" s="9" t="n">
        <v>31.6598745457564</v>
      </c>
      <c r="AK80" s="9" t="n">
        <v>17.7739348525862</v>
      </c>
      <c r="AL80" s="9" t="n">
        <v>14.0524666632</v>
      </c>
      <c r="AM80" s="9" t="n">
        <v>15.9062372654824</v>
      </c>
      <c r="AN80" s="9" t="n">
        <v>16.2950563986387</v>
      </c>
      <c r="AO80" s="9" t="n">
        <v>137.827716792825</v>
      </c>
      <c r="AP80" s="9" t="n">
        <v>118.98879739</v>
      </c>
      <c r="AQ80" s="9" t="n">
        <v>134.685538744325</v>
      </c>
      <c r="AR80" s="9" t="n">
        <v>137.97785191363</v>
      </c>
      <c r="AS80" s="9" t="n">
        <v>88.7369412868161</v>
      </c>
      <c r="AT80" s="9" t="n">
        <v>76.285024182</v>
      </c>
      <c r="AU80" s="9" t="n">
        <v>86.8003118236854</v>
      </c>
      <c r="AV80" s="9" t="n">
        <v>93.342800394979</v>
      </c>
      <c r="AW80" s="9" t="n">
        <v>37.1133029469305</v>
      </c>
      <c r="AX80" s="9" t="n">
        <v>31.77718398</v>
      </c>
      <c r="AY80" s="9" t="n">
        <v>36.2993291708311</v>
      </c>
      <c r="AZ80" s="9" t="n">
        <v>39.0427905460466</v>
      </c>
      <c r="BA80" s="9" t="n">
        <v>29.1196230393544</v>
      </c>
      <c r="BB80" s="9" t="n">
        <v>25.33461712</v>
      </c>
      <c r="BC80" s="9" t="n">
        <v>28.85277157</v>
      </c>
      <c r="BD80" s="9" t="n">
        <v>29.3776903872268</v>
      </c>
      <c r="BE80" s="9" t="n">
        <v>43.2074963333639</v>
      </c>
      <c r="BF80" s="9" t="n">
        <v>36.5948970383013</v>
      </c>
      <c r="BG80" s="9" t="n">
        <v>41.4224156476005</v>
      </c>
      <c r="BH80" s="9" t="n">
        <v>42.434963585653</v>
      </c>
      <c r="BI80" s="9" t="n">
        <v>2.32976401257265</v>
      </c>
      <c r="BJ80" s="9" t="n">
        <v>1.94750122340553</v>
      </c>
      <c r="BK80" s="9" t="n">
        <v>2.20441131630136</v>
      </c>
      <c r="BL80" s="9" t="n">
        <v>2.25829692625539</v>
      </c>
      <c r="BM80" s="9" t="n">
        <v>37.4187455093382</v>
      </c>
      <c r="BN80" s="9" t="n">
        <v>28.5838571916</v>
      </c>
      <c r="BO80" s="9" t="n">
        <v>32.3545769827659</v>
      </c>
      <c r="BP80" s="9" t="n">
        <v>33.1454666423446</v>
      </c>
      <c r="BQ80" s="9" t="n">
        <v>82.4975044392645</v>
      </c>
      <c r="BR80" s="9" t="n">
        <v>70.0146292103192</v>
      </c>
      <c r="BS80" s="9" t="n">
        <v>52.6323088548</v>
      </c>
      <c r="BT80" s="9" t="n">
        <v>59.5754476804401</v>
      </c>
      <c r="BU80" s="9" t="n">
        <v>61.0317364015175</v>
      </c>
      <c r="BV80" s="9" t="n">
        <v>69.0620790716859</v>
      </c>
      <c r="BW80" s="9" t="n">
        <v>65.3167193389577</v>
      </c>
      <c r="BX80" s="9" t="n">
        <v>66.0184657250867</v>
      </c>
      <c r="BY80" s="9" t="n">
        <v>67.0954101732906</v>
      </c>
      <c r="BZ80" s="9" t="n">
        <v>34.9584011760407</v>
      </c>
      <c r="CA80" s="9" t="n">
        <v>2.97777717209434</v>
      </c>
      <c r="CB80" s="9" t="n">
        <v>12.338</v>
      </c>
      <c r="CC80" s="9" t="n">
        <v>2.516</v>
      </c>
      <c r="CD80" s="9" t="n">
        <v>608.974</v>
      </c>
      <c r="CE80" s="9" t="n">
        <v>1.67</v>
      </c>
      <c r="CF80" s="9" t="n">
        <v>0.159</v>
      </c>
      <c r="CG80" s="9" t="n">
        <v>16.069</v>
      </c>
      <c r="CH80" s="9" t="n">
        <v>14.99</v>
      </c>
      <c r="CI80" s="9" t="n">
        <v>0.92</v>
      </c>
      <c r="CJ80" s="9" t="n">
        <v>1.49</v>
      </c>
      <c r="CK80" s="9" t="n">
        <v>30.989</v>
      </c>
      <c r="CL80" s="9" t="n">
        <v>11.76</v>
      </c>
      <c r="CM80" s="9" t="n">
        <v>66.731</v>
      </c>
      <c r="CN80" s="9" t="n">
        <v>73.71</v>
      </c>
      <c r="CO80" s="9" t="n">
        <v>1</v>
      </c>
      <c r="CP80" s="9" t="n">
        <v>4</v>
      </c>
      <c r="CQ80" s="9" t="n">
        <v>0.5</v>
      </c>
      <c r="CR80" s="9" t="n">
        <v>0.3</v>
      </c>
      <c r="CS80" s="9" t="n">
        <v>0.6</v>
      </c>
      <c r="CT80" s="9" t="n">
        <v>0.8</v>
      </c>
      <c r="CU80" s="9" t="n">
        <v>0.8</v>
      </c>
      <c r="CV80" s="9" t="n">
        <v>0.7</v>
      </c>
      <c r="CW80" s="9" t="n">
        <v>0.5</v>
      </c>
      <c r="CX80" s="9" t="n">
        <v>0.5</v>
      </c>
      <c r="CY80" s="9" t="n">
        <v>1</v>
      </c>
      <c r="CZ80" s="9" t="n">
        <v>0.3</v>
      </c>
      <c r="DA80" s="9" t="n">
        <v>0.8</v>
      </c>
      <c r="DB80" s="9" t="n">
        <v>0.838561138398789</v>
      </c>
      <c r="DC80" s="9" t="n">
        <v>5.452</v>
      </c>
      <c r="DD80" s="9" t="n">
        <v>5.075</v>
      </c>
      <c r="DE80" s="9" t="n">
        <v>29.29614</v>
      </c>
      <c r="DF80" s="9" t="n">
        <v>23.1455852617992</v>
      </c>
      <c r="DG80" s="9" t="n">
        <v>25.4594400759056</v>
      </c>
      <c r="DH80" s="9" t="n">
        <v>19.0604319809066</v>
      </c>
      <c r="DI80" s="9" t="n">
        <v>21.1239169569661</v>
      </c>
      <c r="DJ80" s="9" t="n">
        <v>17.553</v>
      </c>
      <c r="DK80" s="9" t="n">
        <v>17.553</v>
      </c>
      <c r="DL80" s="9" t="n">
        <v>35.87787</v>
      </c>
      <c r="DM80" s="9" t="n">
        <v>13.6472683224866</v>
      </c>
      <c r="DN80" s="9" t="n">
        <v>13.6472683224866</v>
      </c>
      <c r="DO80" s="9" t="n">
        <v>0.06595</v>
      </c>
    </row>
    <row r="81" customFormat="false" ht="15" hidden="false" customHeight="false" outlineLevel="0" collapsed="false">
      <c r="A81" s="9" t="s">
        <v>790</v>
      </c>
      <c r="B81" s="9" t="s">
        <v>791</v>
      </c>
      <c r="C81" s="9" t="n">
        <v>0.005</v>
      </c>
      <c r="D81" s="9" t="n">
        <v>0.005</v>
      </c>
      <c r="E81" s="9" t="n">
        <v>0.01</v>
      </c>
      <c r="F81" s="9" t="n">
        <v>0.005</v>
      </c>
      <c r="G81" s="9" t="n">
        <v>0.005</v>
      </c>
      <c r="H81" s="9" t="n">
        <v>0.01</v>
      </c>
      <c r="I81" s="9" t="n">
        <v>0.005</v>
      </c>
      <c r="J81" s="9" t="n">
        <v>0.005</v>
      </c>
      <c r="K81" s="9" t="n">
        <v>0.01</v>
      </c>
      <c r="L81" s="9" t="n">
        <v>0.01</v>
      </c>
      <c r="M81" s="9" t="n">
        <v>0.005</v>
      </c>
      <c r="N81" s="9" t="n">
        <v>0.514619</v>
      </c>
      <c r="O81" s="9" t="n">
        <v>0.003589</v>
      </c>
      <c r="P81" s="9" t="n">
        <v>54.304069</v>
      </c>
      <c r="Q81" s="9" t="n">
        <v>12.4603467632153</v>
      </c>
      <c r="R81" s="9" t="n">
        <v>2.61440319544841</v>
      </c>
      <c r="S81" s="9" t="n">
        <v>3.2012383192826</v>
      </c>
      <c r="T81" s="9" t="n">
        <v>3.71668570909732</v>
      </c>
      <c r="U81" s="9" t="n">
        <v>0.589419</v>
      </c>
      <c r="V81" s="9" t="n">
        <v>0.602845</v>
      </c>
      <c r="W81" s="9" t="n">
        <v>0.209108</v>
      </c>
      <c r="X81" s="9" t="n">
        <v>7.88662444200272</v>
      </c>
      <c r="Y81" s="9" t="n">
        <v>7.88662444200272</v>
      </c>
      <c r="Z81" s="9" t="n">
        <v>0</v>
      </c>
      <c r="AA81" s="9" t="n">
        <v>1.78</v>
      </c>
      <c r="AB81" s="9" t="n">
        <v>0.38</v>
      </c>
      <c r="AC81" s="9" t="n">
        <v>0.5</v>
      </c>
      <c r="AD81" s="9" t="n">
        <v>34.2909799434247</v>
      </c>
      <c r="AE81" s="9" t="n">
        <v>743.218</v>
      </c>
      <c r="AF81" s="9" t="n">
        <v>38.9192926750766</v>
      </c>
      <c r="AG81" s="9" t="n">
        <v>34.880691348</v>
      </c>
      <c r="AH81" s="9" t="n">
        <v>36.0495820713952</v>
      </c>
      <c r="AI81" s="9" t="n">
        <v>37.1033390857898</v>
      </c>
      <c r="AJ81" s="9" t="n">
        <v>410.794098482129</v>
      </c>
      <c r="AK81" s="9" t="n">
        <v>0.393032480201442</v>
      </c>
      <c r="AL81" s="9" t="n">
        <v>0.3611994228</v>
      </c>
      <c r="AM81" s="9" t="n">
        <v>0.37330361679072</v>
      </c>
      <c r="AN81" s="9" t="n">
        <v>0.384215568666141</v>
      </c>
      <c r="AO81" s="9" t="n">
        <v>744.550459614284</v>
      </c>
      <c r="AP81" s="9" t="n">
        <v>679.06564487</v>
      </c>
      <c r="AQ81" s="9" t="n">
        <v>701.821889146977</v>
      </c>
      <c r="AR81" s="9" t="n">
        <v>722.336682829735</v>
      </c>
      <c r="AS81" s="9" t="n">
        <v>884.929052951874</v>
      </c>
      <c r="AT81" s="9" t="n">
        <v>738.0120131388</v>
      </c>
      <c r="AU81" s="9" t="n">
        <v>754.881332843023</v>
      </c>
      <c r="AV81" s="9" t="n">
        <v>846.971086923544</v>
      </c>
      <c r="AW81" s="9" t="n">
        <v>425.936908927156</v>
      </c>
      <c r="AX81" s="9" t="n">
        <v>354.4692171624</v>
      </c>
      <c r="AY81" s="9" t="n">
        <v>363.34192040077</v>
      </c>
      <c r="AZ81" s="9" t="n">
        <v>407.666858163947</v>
      </c>
      <c r="BA81" s="9" t="n">
        <v>1127.99585076619</v>
      </c>
      <c r="BB81" s="9" t="n">
        <v>1055.79870836185</v>
      </c>
      <c r="BC81" s="9" t="n">
        <v>1018.60707288184</v>
      </c>
      <c r="BD81" s="9" t="n">
        <v>1085.08620707262</v>
      </c>
      <c r="BE81" s="9" t="n">
        <v>86.5942148039058</v>
      </c>
      <c r="BF81" s="9" t="n">
        <v>79.4401143463801</v>
      </c>
      <c r="BG81" s="9" t="n">
        <v>82.1022408449211</v>
      </c>
      <c r="BH81" s="9" t="n">
        <v>84.502152500388</v>
      </c>
      <c r="BI81" s="9" t="n">
        <v>95.0928468002236</v>
      </c>
      <c r="BJ81" s="9" t="n">
        <v>85.0556801499998</v>
      </c>
      <c r="BK81" s="9" t="n">
        <v>87.9059904981376</v>
      </c>
      <c r="BL81" s="9" t="n">
        <v>90.4755502203908</v>
      </c>
      <c r="BM81" s="9" t="n">
        <v>3374.36152923614</v>
      </c>
      <c r="BN81" s="9" t="n">
        <v>3081.1805996724</v>
      </c>
      <c r="BO81" s="9" t="n">
        <v>3184.43438510142</v>
      </c>
      <c r="BP81" s="9" t="n">
        <v>3277.51785174285</v>
      </c>
      <c r="BQ81" s="9" t="n">
        <v>3199.27984834089</v>
      </c>
      <c r="BR81" s="9" t="n">
        <v>2781.22191282358</v>
      </c>
      <c r="BS81" s="9" t="n">
        <v>2621.2800464244</v>
      </c>
      <c r="BT81" s="9" t="n">
        <v>2709.12205331347</v>
      </c>
      <c r="BU81" s="9" t="n">
        <v>2788.31177487186</v>
      </c>
      <c r="BV81" s="9" t="n">
        <v>570.9530549771</v>
      </c>
      <c r="BW81" s="9" t="n">
        <v>1111.836640219</v>
      </c>
      <c r="BX81" s="9" t="n">
        <v>528.713155060318</v>
      </c>
      <c r="BY81" s="9" t="n">
        <v>544.376631785437</v>
      </c>
      <c r="BZ81" s="9" t="n">
        <v>364.129433855286</v>
      </c>
      <c r="CA81" s="9" t="n">
        <v>-0.0729052460353189</v>
      </c>
      <c r="CB81" s="9" t="n">
        <v>-1.525</v>
      </c>
      <c r="CC81" s="9" t="n">
        <v>-6.07</v>
      </c>
      <c r="CD81" s="9" t="n">
        <v>416.676</v>
      </c>
      <c r="CE81" s="9" t="n">
        <v>21.223</v>
      </c>
      <c r="CF81" s="9" t="n">
        <v>0.73</v>
      </c>
      <c r="CG81" s="9" t="n">
        <v>374.975</v>
      </c>
      <c r="CH81" s="9" t="n">
        <v>351.654</v>
      </c>
      <c r="CI81" s="9" t="n">
        <v>22.591</v>
      </c>
      <c r="CJ81" s="9" t="n">
        <v>0.9</v>
      </c>
      <c r="CK81" s="9" t="n">
        <v>398.348</v>
      </c>
      <c r="CL81" s="9" t="n">
        <v>1.25</v>
      </c>
      <c r="CM81" s="9" t="n">
        <v>1024.794</v>
      </c>
      <c r="CN81" s="9" t="n">
        <v>1024.852</v>
      </c>
      <c r="CO81" s="9" t="n">
        <v>3</v>
      </c>
      <c r="CP81" s="9" t="n">
        <v>3</v>
      </c>
      <c r="CQ81" s="9" t="n">
        <v>0.5</v>
      </c>
      <c r="CR81" s="9" t="n">
        <v>0.3</v>
      </c>
      <c r="CS81" s="9" t="n">
        <v>0.6</v>
      </c>
      <c r="CT81" s="9" t="n">
        <v>0.8</v>
      </c>
      <c r="CU81" s="9" t="n">
        <v>0.8</v>
      </c>
      <c r="CV81" s="9" t="n">
        <v>0.7</v>
      </c>
      <c r="CW81" s="9" t="n">
        <v>0.5</v>
      </c>
      <c r="CX81" s="9" t="n">
        <v>0.5</v>
      </c>
      <c r="CY81" s="9" t="n">
        <v>1</v>
      </c>
      <c r="CZ81" s="9" t="n">
        <v>0.3</v>
      </c>
      <c r="DA81" s="9" t="n">
        <v>0.8</v>
      </c>
      <c r="DB81" s="9" t="n">
        <v>0.228635330061544</v>
      </c>
      <c r="DC81" s="9" t="n">
        <v>4.308</v>
      </c>
      <c r="DD81" s="9" t="n">
        <v>2.799</v>
      </c>
      <c r="DE81" s="9" t="n">
        <v>7.86108</v>
      </c>
      <c r="DF81" s="9" t="n">
        <v>15.2395255259458</v>
      </c>
      <c r="DG81" s="9" t="n">
        <v>16.9516845135251</v>
      </c>
      <c r="DH81" s="9" t="n">
        <v>14.1406238253477</v>
      </c>
      <c r="DI81" s="9" t="n">
        <v>16.5235122704159</v>
      </c>
      <c r="DJ81" s="9" t="n">
        <v>4.104</v>
      </c>
      <c r="DK81" s="9" t="n">
        <v>3.441</v>
      </c>
      <c r="DL81" s="9" t="n">
        <v>8.81047</v>
      </c>
      <c r="DM81" s="9" t="n">
        <v>10.270405784539</v>
      </c>
      <c r="DN81" s="9" t="n">
        <v>10.270405784539</v>
      </c>
      <c r="DO81" s="9" t="n">
        <v>0.105</v>
      </c>
    </row>
    <row r="82" customFormat="false" ht="15" hidden="false" customHeight="false" outlineLevel="0" collapsed="false">
      <c r="A82" s="9" t="s">
        <v>806</v>
      </c>
      <c r="B82" s="9" t="s">
        <v>807</v>
      </c>
      <c r="C82" s="9" t="n">
        <v>0.005</v>
      </c>
      <c r="D82" s="9" t="n">
        <v>0.005</v>
      </c>
      <c r="E82" s="9" t="n">
        <v>0.01</v>
      </c>
      <c r="F82" s="9" t="n">
        <v>0.005</v>
      </c>
      <c r="G82" s="9" t="n">
        <v>0.005</v>
      </c>
      <c r="H82" s="9" t="n">
        <v>0.01</v>
      </c>
      <c r="I82" s="9" t="n">
        <v>0.005</v>
      </c>
      <c r="J82" s="9" t="n">
        <v>0.005</v>
      </c>
      <c r="K82" s="9" t="n">
        <v>0.01</v>
      </c>
      <c r="L82" s="9" t="n">
        <v>0.01</v>
      </c>
      <c r="M82" s="9" t="n">
        <v>0.005</v>
      </c>
      <c r="N82" s="9" t="n">
        <v>4.041804</v>
      </c>
      <c r="O82" s="9" t="n">
        <v>0.963307</v>
      </c>
      <c r="P82" s="9" t="n">
        <v>13.491137</v>
      </c>
      <c r="Q82" s="9" t="n">
        <v>12.6458130391614</v>
      </c>
      <c r="R82" s="9" t="n">
        <v>2.6162333491756</v>
      </c>
      <c r="S82" s="9" t="n">
        <v>1.4853175717572</v>
      </c>
      <c r="T82" s="9" t="n">
        <v>1.83931624764669</v>
      </c>
      <c r="U82" s="9" t="n">
        <v>0.552557</v>
      </c>
      <c r="V82" s="9" t="n">
        <v>0.051841</v>
      </c>
      <c r="W82" s="9" t="n">
        <v>0.025144</v>
      </c>
      <c r="X82" s="9" t="n">
        <v>5.1526899104815</v>
      </c>
      <c r="Y82" s="9" t="n">
        <v>5.1526899104815</v>
      </c>
      <c r="Z82" s="9" t="n">
        <v>44.64</v>
      </c>
      <c r="AA82" s="9" t="n">
        <v>0.04</v>
      </c>
      <c r="AB82" s="9" t="n">
        <v>0</v>
      </c>
      <c r="AC82" s="9" t="n">
        <v>0</v>
      </c>
      <c r="AD82" s="9" t="n">
        <v>0</v>
      </c>
      <c r="AE82" s="9" t="n">
        <v>176.459</v>
      </c>
      <c r="AF82" s="9" t="n">
        <v>0</v>
      </c>
      <c r="AG82" s="9" t="n">
        <v>0</v>
      </c>
      <c r="AH82" s="9" t="n">
        <v>0</v>
      </c>
      <c r="AI82" s="9" t="n">
        <v>0</v>
      </c>
      <c r="AJ82" s="9" t="n">
        <v>0</v>
      </c>
      <c r="AK82" s="9" t="n">
        <v>0</v>
      </c>
      <c r="AL82" s="9" t="n">
        <v>0</v>
      </c>
      <c r="AM82" s="9" t="n">
        <v>0</v>
      </c>
      <c r="AN82" s="9" t="n">
        <v>0</v>
      </c>
      <c r="AO82" s="9" t="n">
        <v>232.158785740912</v>
      </c>
      <c r="AP82" s="9" t="n">
        <v>193.57083929</v>
      </c>
      <c r="AQ82" s="9" t="n">
        <v>224.290782876023</v>
      </c>
      <c r="AR82" s="9" t="n">
        <v>224.963655224651</v>
      </c>
      <c r="AS82" s="9" t="n">
        <v>83.2790814077731</v>
      </c>
      <c r="AT82" s="9" t="n">
        <v>77.809647402</v>
      </c>
      <c r="AU82" s="9" t="n">
        <v>53.7399235756132</v>
      </c>
      <c r="AV82" s="9" t="n">
        <v>82.6705104598086</v>
      </c>
      <c r="AW82" s="9" t="n">
        <v>133.389599555988</v>
      </c>
      <c r="AX82" s="9" t="n">
        <v>110.5504778304</v>
      </c>
      <c r="AY82" s="9" t="n">
        <v>86.0762002263317</v>
      </c>
      <c r="AZ82" s="9" t="n">
        <v>132.414840544744</v>
      </c>
      <c r="BA82" s="9" t="n">
        <v>362.443301317692</v>
      </c>
      <c r="BB82" s="9" t="n">
        <v>306.505082536842</v>
      </c>
      <c r="BC82" s="9" t="n">
        <v>355.29952218</v>
      </c>
      <c r="BD82" s="9" t="n">
        <v>356.289342605341</v>
      </c>
      <c r="BE82" s="9" t="n">
        <v>76.8227250146125</v>
      </c>
      <c r="BF82" s="9" t="n">
        <v>65.4809113355105</v>
      </c>
      <c r="BG82" s="9" t="n">
        <v>75.8728170046006</v>
      </c>
      <c r="BH82" s="9" t="n">
        <v>76.1004354556143</v>
      </c>
      <c r="BI82" s="9" t="n">
        <v>98.1494041519865</v>
      </c>
      <c r="BJ82" s="9" t="n">
        <v>81.2044123199998</v>
      </c>
      <c r="BK82" s="9" t="n">
        <v>94.0916580154596</v>
      </c>
      <c r="BL82" s="9" t="n">
        <v>94.3739329895059</v>
      </c>
      <c r="BM82" s="9" t="n">
        <v>109.157520401362</v>
      </c>
      <c r="BN82" s="9" t="n">
        <v>93.0924010584</v>
      </c>
      <c r="BO82" s="9" t="n">
        <v>107.86628600559</v>
      </c>
      <c r="BP82" s="9" t="n">
        <v>108.189884863607</v>
      </c>
      <c r="BQ82" s="9" t="n">
        <v>1068.72117915353</v>
      </c>
      <c r="BR82" s="9" t="n">
        <v>0</v>
      </c>
      <c r="BS82" s="9" t="n">
        <v>0</v>
      </c>
      <c r="BT82" s="9" t="n">
        <v>0</v>
      </c>
      <c r="BU82" s="9" t="n">
        <v>0</v>
      </c>
      <c r="BV82" s="9" t="n">
        <v>357.258564725723</v>
      </c>
      <c r="BW82" s="9" t="n">
        <v>841.504096412462</v>
      </c>
      <c r="BX82" s="9" t="n">
        <v>327.164999171155</v>
      </c>
      <c r="BY82" s="9" t="n">
        <v>334.91661362526</v>
      </c>
      <c r="BZ82" s="9" t="n">
        <v>60.1857447121559</v>
      </c>
      <c r="CA82" s="9" t="n">
        <v>-0.491180766034127</v>
      </c>
      <c r="CB82" s="9" t="n">
        <v>-0.414</v>
      </c>
      <c r="CC82" s="9" t="n">
        <v>-6.771</v>
      </c>
      <c r="CD82" s="9" t="n">
        <v>286.523</v>
      </c>
      <c r="CE82" s="9" t="n">
        <v>2</v>
      </c>
      <c r="CF82" s="9" t="n">
        <v>0</v>
      </c>
      <c r="CG82" s="9" t="n">
        <v>147.3</v>
      </c>
      <c r="CH82" s="9" t="n">
        <v>79.3</v>
      </c>
      <c r="CI82" s="9" t="n">
        <v>68</v>
      </c>
      <c r="CJ82" s="9" t="n">
        <v>0.43</v>
      </c>
      <c r="CK82" s="9" t="n">
        <v>149.73</v>
      </c>
      <c r="CL82" s="9" t="n">
        <v>0</v>
      </c>
      <c r="CM82" s="9" t="n">
        <v>351.037</v>
      </c>
      <c r="CN82" s="9" t="n">
        <v>351.508</v>
      </c>
      <c r="CO82" s="9" t="n">
        <v>3</v>
      </c>
      <c r="CP82" s="9" t="n">
        <v>3</v>
      </c>
      <c r="CQ82" s="9" t="n">
        <v>0.5</v>
      </c>
      <c r="CR82" s="9" t="n">
        <v>0.3</v>
      </c>
      <c r="CS82" s="9" t="n">
        <v>0.6</v>
      </c>
      <c r="CT82" s="9" t="n">
        <v>0.8</v>
      </c>
      <c r="CU82" s="9" t="n">
        <v>0.8</v>
      </c>
      <c r="CV82" s="9" t="n">
        <v>0.7</v>
      </c>
      <c r="CW82" s="9" t="n">
        <v>0.5</v>
      </c>
      <c r="CX82" s="9" t="n">
        <v>0.5</v>
      </c>
      <c r="CY82" s="9" t="n">
        <v>1</v>
      </c>
      <c r="CZ82" s="9" t="n">
        <v>0.3</v>
      </c>
      <c r="DA82" s="9" t="n">
        <v>0.8</v>
      </c>
      <c r="DB82" s="9" t="n">
        <v>0.419678638387626</v>
      </c>
      <c r="DC82" s="9" t="n">
        <v>7.124</v>
      </c>
      <c r="DD82" s="9" t="n">
        <v>5.575</v>
      </c>
      <c r="DE82" s="9" t="n">
        <v>12.193</v>
      </c>
      <c r="DF82" s="9" t="n">
        <v>19.6808221113768</v>
      </c>
      <c r="DG82" s="9" t="n">
        <v>20.5892294309309</v>
      </c>
      <c r="DH82" s="9" t="n">
        <v>17.2720586560434</v>
      </c>
      <c r="DI82" s="9" t="n">
        <v>19.783016350672</v>
      </c>
      <c r="DJ82" s="9" t="n">
        <v>7.375</v>
      </c>
      <c r="DK82" s="9" t="n">
        <v>6.389</v>
      </c>
      <c r="DL82" s="9" t="n">
        <v>13.291</v>
      </c>
      <c r="DM82" s="9" t="n">
        <v>14.1151698941595</v>
      </c>
      <c r="DN82" s="9" t="n">
        <v>14.1151698941595</v>
      </c>
      <c r="DO82" s="9" t="n">
        <v>0.11792</v>
      </c>
    </row>
    <row r="83" customFormat="false" ht="15" hidden="false" customHeight="false" outlineLevel="0" collapsed="false">
      <c r="A83" s="9" t="s">
        <v>916</v>
      </c>
      <c r="B83" s="9" t="s">
        <v>917</v>
      </c>
      <c r="C83" s="9" t="n">
        <v>0.005</v>
      </c>
      <c r="D83" s="9" t="n">
        <v>0.005</v>
      </c>
      <c r="E83" s="9" t="n">
        <v>0.01</v>
      </c>
      <c r="F83" s="9" t="n">
        <v>0.005</v>
      </c>
      <c r="G83" s="9" t="n">
        <v>0.005</v>
      </c>
      <c r="H83" s="9" t="n">
        <v>0.01</v>
      </c>
      <c r="I83" s="9" t="n">
        <v>0.005</v>
      </c>
      <c r="J83" s="9" t="n">
        <v>0.005</v>
      </c>
      <c r="K83" s="9" t="n">
        <v>0.01</v>
      </c>
      <c r="L83" s="9" t="n">
        <v>0.01</v>
      </c>
      <c r="M83" s="9" t="n">
        <v>0.005</v>
      </c>
      <c r="N83" s="9" t="n">
        <v>0.876708</v>
      </c>
      <c r="O83" s="9" t="n">
        <v>0.035918</v>
      </c>
      <c r="P83" s="9" t="n">
        <v>16.581593</v>
      </c>
      <c r="Q83" s="9" t="n">
        <v>0.474484779404529</v>
      </c>
      <c r="R83" s="9" t="n">
        <v>0.0699461877611901</v>
      </c>
      <c r="S83" s="9" t="n">
        <v>0.884928097247131</v>
      </c>
      <c r="T83" s="9" t="n">
        <v>0.627897422879072</v>
      </c>
      <c r="U83" s="9" t="n">
        <v>0.068649</v>
      </c>
      <c r="V83" s="9" t="n">
        <v>0.010677</v>
      </c>
      <c r="W83" s="9" t="n">
        <v>0.020195</v>
      </c>
      <c r="X83" s="9" t="n">
        <v>1.54015795429729</v>
      </c>
      <c r="Y83" s="9" t="n">
        <v>1.54015795429729</v>
      </c>
      <c r="Z83" s="9" t="n">
        <v>0.07</v>
      </c>
      <c r="AA83" s="9" t="n">
        <v>0.01</v>
      </c>
      <c r="AB83" s="9" t="n">
        <v>0</v>
      </c>
      <c r="AC83" s="9" t="n">
        <v>0</v>
      </c>
      <c r="AD83" s="9" t="n">
        <v>0</v>
      </c>
      <c r="AE83" s="9" t="n">
        <v>3.726</v>
      </c>
      <c r="AF83" s="9" t="n">
        <v>0</v>
      </c>
      <c r="AG83" s="9" t="n">
        <v>0</v>
      </c>
      <c r="AH83" s="9" t="n">
        <v>0</v>
      </c>
      <c r="AI83" s="9" t="n">
        <v>0</v>
      </c>
      <c r="AJ83" s="9" t="n">
        <v>0</v>
      </c>
      <c r="AK83" s="9" t="n">
        <v>0</v>
      </c>
      <c r="AL83" s="9" t="n">
        <v>0</v>
      </c>
      <c r="AM83" s="9" t="n">
        <v>0</v>
      </c>
      <c r="AN83" s="9" t="n">
        <v>0</v>
      </c>
      <c r="AO83" s="9" t="n">
        <v>8.76852364988532</v>
      </c>
      <c r="AP83" s="9" t="n">
        <v>8.04344244</v>
      </c>
      <c r="AQ83" s="9" t="n">
        <v>8.79896330399051</v>
      </c>
      <c r="AR83" s="9" t="n">
        <v>8.65890591396086</v>
      </c>
      <c r="AS83" s="9" t="n">
        <v>72.3121942937592</v>
      </c>
      <c r="AT83" s="9" t="n">
        <v>62.8716976596</v>
      </c>
      <c r="AU83" s="9" t="n">
        <v>70.2807101309756</v>
      </c>
      <c r="AV83" s="9" t="n">
        <v>72.198321053049</v>
      </c>
      <c r="AW83" s="9" t="n">
        <v>3.64598484211728</v>
      </c>
      <c r="AX83" s="9" t="n">
        <v>3.171584736</v>
      </c>
      <c r="AY83" s="9" t="n">
        <v>3.54356026884362</v>
      </c>
      <c r="AZ83" s="9" t="n">
        <v>3.6402506678029</v>
      </c>
      <c r="BA83" s="9" t="n">
        <v>4.11894574147645</v>
      </c>
      <c r="BB83" s="9" t="n">
        <v>3.77173119649495</v>
      </c>
      <c r="BC83" s="9" t="n">
        <v>4.04246172</v>
      </c>
      <c r="BD83" s="9" t="n">
        <v>4.01901487231279</v>
      </c>
      <c r="BE83" s="9" t="n">
        <v>0</v>
      </c>
      <c r="BF83" s="9" t="n">
        <v>0</v>
      </c>
      <c r="BG83" s="9" t="n">
        <v>0</v>
      </c>
      <c r="BH83" s="9" t="n">
        <v>0</v>
      </c>
      <c r="BI83" s="9" t="n">
        <v>0.0580447745846154</v>
      </c>
      <c r="BJ83" s="9" t="n">
        <v>0.0519816649651971</v>
      </c>
      <c r="BK83" s="9" t="n">
        <v>0.0568643047949876</v>
      </c>
      <c r="BL83" s="9" t="n">
        <v>0.0559591679237126</v>
      </c>
      <c r="BM83" s="9" t="n">
        <v>0</v>
      </c>
      <c r="BN83" s="9" t="n">
        <v>0</v>
      </c>
      <c r="BO83" s="9" t="n">
        <v>0</v>
      </c>
      <c r="BP83" s="9" t="n">
        <v>0</v>
      </c>
      <c r="BQ83" s="9" t="n">
        <v>0</v>
      </c>
      <c r="BR83" s="9" t="n">
        <v>0</v>
      </c>
      <c r="BS83" s="9" t="n">
        <v>0</v>
      </c>
      <c r="BT83" s="9" t="n">
        <v>0</v>
      </c>
      <c r="BU83" s="9" t="n">
        <v>0</v>
      </c>
      <c r="BV83" s="9" t="n">
        <v>10.483855523566</v>
      </c>
      <c r="BW83" s="9" t="n">
        <v>9.39046449923777</v>
      </c>
      <c r="BX83" s="9" t="n">
        <v>10.268411943603</v>
      </c>
      <c r="BY83" s="9" t="n">
        <v>10.1045532835928</v>
      </c>
      <c r="BZ83" s="9" t="n">
        <v>21.0994942044101</v>
      </c>
      <c r="CA83" s="9" t="n">
        <v>0</v>
      </c>
      <c r="CB83" s="9" t="n">
        <v>1.279</v>
      </c>
      <c r="CC83" s="9" t="n">
        <v>1.902</v>
      </c>
      <c r="CD83" s="9" t="n">
        <v>33.187</v>
      </c>
      <c r="CE83" s="9" t="n">
        <v>19.03</v>
      </c>
      <c r="CF83" s="9" t="n">
        <v>0</v>
      </c>
      <c r="CG83" s="9" t="n">
        <v>0</v>
      </c>
      <c r="CH83" s="9" t="n">
        <v>0</v>
      </c>
      <c r="CI83" s="9" t="n">
        <v>0</v>
      </c>
      <c r="CJ83" s="9" t="n">
        <v>0.01</v>
      </c>
      <c r="CK83" s="9" t="n">
        <v>19.05</v>
      </c>
      <c r="CL83" s="9" t="n">
        <v>0.01</v>
      </c>
      <c r="CM83" s="9" t="n">
        <v>4.939</v>
      </c>
      <c r="CN83" s="9" t="n">
        <v>13.867</v>
      </c>
      <c r="CO83" s="9" t="n">
        <v>1</v>
      </c>
      <c r="CP83" s="9" t="n">
        <v>4</v>
      </c>
      <c r="CQ83" s="9" t="n">
        <v>0.5</v>
      </c>
      <c r="CR83" s="9" t="n">
        <v>0.3</v>
      </c>
      <c r="CS83" s="9" t="n">
        <v>0.6</v>
      </c>
      <c r="CT83" s="9" t="n">
        <v>0.8</v>
      </c>
      <c r="CU83" s="9" t="n">
        <v>0.8</v>
      </c>
      <c r="CV83" s="9" t="n">
        <v>0.7</v>
      </c>
      <c r="CW83" s="9" t="n">
        <v>0.5</v>
      </c>
      <c r="CX83" s="9" t="n">
        <v>0.5</v>
      </c>
      <c r="CY83" s="9" t="n">
        <v>1</v>
      </c>
      <c r="CZ83" s="9" t="n">
        <v>0.3</v>
      </c>
      <c r="DA83" s="9" t="n">
        <v>0.8</v>
      </c>
      <c r="DB83" s="9" t="n">
        <v>1.10032823845363</v>
      </c>
      <c r="DC83" s="9" t="n">
        <v>7.124</v>
      </c>
      <c r="DD83" s="9" t="n">
        <v>5.346</v>
      </c>
      <c r="DE83" s="9" t="n">
        <v>14.83536</v>
      </c>
      <c r="DF83" s="9" t="n">
        <v>21.3010310444859</v>
      </c>
      <c r="DG83" s="9" t="n">
        <v>25.6724814082118</v>
      </c>
      <c r="DH83" s="9" t="n">
        <v>15.656114517978</v>
      </c>
      <c r="DI83" s="9" t="n">
        <v>21.9132593093579</v>
      </c>
      <c r="DJ83" s="9" t="n">
        <v>11.404</v>
      </c>
      <c r="DK83" s="9" t="n">
        <v>10.08</v>
      </c>
      <c r="DL83" s="9" t="n">
        <v>23.9878</v>
      </c>
      <c r="DM83" s="9" t="n">
        <v>13.4947462084719</v>
      </c>
      <c r="DN83" s="9" t="n">
        <v>13.4947462084719</v>
      </c>
      <c r="DO83" s="9" t="n">
        <v>0.055</v>
      </c>
    </row>
    <row r="84" customFormat="false" ht="15" hidden="false" customHeight="false" outlineLevel="0" collapsed="false">
      <c r="A84" s="9" t="s">
        <v>750</v>
      </c>
      <c r="B84" s="9" t="s">
        <v>751</v>
      </c>
      <c r="C84" s="9" t="n">
        <v>0.005</v>
      </c>
      <c r="D84" s="9" t="n">
        <v>0.005</v>
      </c>
      <c r="E84" s="9" t="n">
        <v>0.01</v>
      </c>
      <c r="F84" s="9" t="n">
        <v>0.005</v>
      </c>
      <c r="G84" s="9" t="n">
        <v>0.005</v>
      </c>
      <c r="H84" s="9" t="n">
        <v>0.01</v>
      </c>
      <c r="I84" s="9" t="n">
        <v>0.005</v>
      </c>
      <c r="J84" s="9" t="n">
        <v>0.005</v>
      </c>
      <c r="K84" s="9" t="n">
        <v>0.01</v>
      </c>
      <c r="L84" s="9" t="n">
        <v>0.01</v>
      </c>
      <c r="M84" s="9" t="n">
        <v>0.005</v>
      </c>
      <c r="N84" s="9" t="n">
        <v>11.010957</v>
      </c>
      <c r="O84" s="9" t="n">
        <v>1.32035</v>
      </c>
      <c r="P84" s="9" t="n">
        <v>43.623013</v>
      </c>
      <c r="Q84" s="9" t="n">
        <v>4.82928227473838</v>
      </c>
      <c r="R84" s="9" t="n">
        <v>1.26406430245121</v>
      </c>
      <c r="S84" s="9" t="n">
        <v>4.85991225890045</v>
      </c>
      <c r="T84" s="9" t="n">
        <v>4.63221267362391</v>
      </c>
      <c r="U84" s="9" t="n">
        <v>0.296695</v>
      </c>
      <c r="V84" s="9" t="n">
        <v>0.34605</v>
      </c>
      <c r="W84" s="9" t="n">
        <v>0.078522</v>
      </c>
      <c r="X84" s="9" t="n">
        <v>9.24249024750833</v>
      </c>
      <c r="Y84" s="9" t="n">
        <v>9.24249024750833</v>
      </c>
      <c r="Z84" s="9" t="n">
        <v>18.06</v>
      </c>
      <c r="AA84" s="9" t="n">
        <v>7.36</v>
      </c>
      <c r="AB84" s="9" t="n">
        <v>0.35</v>
      </c>
      <c r="AC84" s="9" t="n">
        <v>3.7</v>
      </c>
      <c r="AD84" s="9" t="n">
        <v>0.0039583035</v>
      </c>
      <c r="AE84" s="9" t="n">
        <v>62.811</v>
      </c>
      <c r="AF84" s="9" t="n">
        <v>1.59152832248491</v>
      </c>
      <c r="AG84" s="9" t="n">
        <v>1.2905476056</v>
      </c>
      <c r="AH84" s="9" t="n">
        <v>1.42766535662439</v>
      </c>
      <c r="AI84" s="9" t="n">
        <v>1.54326271553034</v>
      </c>
      <c r="AJ84" s="9" t="n">
        <v>109.125613831037</v>
      </c>
      <c r="AK84" s="9" t="n">
        <v>0</v>
      </c>
      <c r="AL84" s="9" t="n">
        <v>0</v>
      </c>
      <c r="AM84" s="9" t="n">
        <v>0</v>
      </c>
      <c r="AN84" s="9" t="n">
        <v>0</v>
      </c>
      <c r="AO84" s="9" t="n">
        <v>124.811177320114</v>
      </c>
      <c r="AP84" s="9" t="n">
        <v>106.35674768</v>
      </c>
      <c r="AQ84" s="9" t="n">
        <v>117.656910482882</v>
      </c>
      <c r="AR84" s="9" t="n">
        <v>127.183532422503</v>
      </c>
      <c r="AS84" s="9" t="n">
        <v>185.259961985975</v>
      </c>
      <c r="AT84" s="9" t="n">
        <v>142.4295685224</v>
      </c>
      <c r="AU84" s="9" t="n">
        <v>163.453863216758</v>
      </c>
      <c r="AV84" s="9" t="n">
        <v>180.772216658321</v>
      </c>
      <c r="AW84" s="9" t="n">
        <v>98.3282116332136</v>
      </c>
      <c r="AX84" s="9" t="n">
        <v>76.1128922736</v>
      </c>
      <c r="AY84" s="9" t="n">
        <v>86.7544497059783</v>
      </c>
      <c r="AZ84" s="9" t="n">
        <v>95.9463047840321</v>
      </c>
      <c r="BA84" s="9" t="n">
        <v>158.10310686531</v>
      </c>
      <c r="BB84" s="9" t="n">
        <v>143.252025311755</v>
      </c>
      <c r="BC84" s="9" t="n">
        <v>141.04417386</v>
      </c>
      <c r="BD84" s="9" t="n">
        <v>161.609765380675</v>
      </c>
      <c r="BE84" s="9" t="n">
        <v>0</v>
      </c>
      <c r="BF84" s="9" t="n">
        <v>0</v>
      </c>
      <c r="BG84" s="9" t="n">
        <v>0</v>
      </c>
      <c r="BH84" s="9" t="n">
        <v>0</v>
      </c>
      <c r="BI84" s="9" t="n">
        <v>9.00011621376077</v>
      </c>
      <c r="BJ84" s="9" t="n">
        <v>7.41648435999999</v>
      </c>
      <c r="BK84" s="9" t="n">
        <v>8.20446897330526</v>
      </c>
      <c r="BL84" s="9" t="n">
        <v>8.86878077448417</v>
      </c>
      <c r="BM84" s="9" t="n">
        <v>59.9168692933768</v>
      </c>
      <c r="BN84" s="9" t="n">
        <v>49.9669626672</v>
      </c>
      <c r="BO84" s="9" t="n">
        <v>55.2758389277241</v>
      </c>
      <c r="BP84" s="9" t="n">
        <v>59.7514963089913</v>
      </c>
      <c r="BQ84" s="9" t="n">
        <v>371.98222269435</v>
      </c>
      <c r="BR84" s="9" t="n">
        <v>0</v>
      </c>
      <c r="BS84" s="9" t="n">
        <v>0</v>
      </c>
      <c r="BT84" s="9" t="n">
        <v>0</v>
      </c>
      <c r="BU84" s="9" t="n">
        <v>0</v>
      </c>
      <c r="BV84" s="9" t="n">
        <v>74.1614617874106</v>
      </c>
      <c r="BW84" s="9" t="n">
        <v>63.6797491124015</v>
      </c>
      <c r="BX84" s="9" t="n">
        <v>68.3486997254501</v>
      </c>
      <c r="BY84" s="9" t="n">
        <v>73.8828601897754</v>
      </c>
      <c r="BZ84" s="9" t="n">
        <v>78.7744926719968</v>
      </c>
      <c r="CA84" s="9" t="n">
        <v>2.40428908533165</v>
      </c>
      <c r="CB84" s="9" t="n">
        <v>2.931</v>
      </c>
      <c r="CC84" s="9" t="n">
        <v>3.53</v>
      </c>
      <c r="CD84" s="9" t="n">
        <v>542.285</v>
      </c>
      <c r="CE84" s="9" t="n">
        <v>0.16</v>
      </c>
      <c r="CF84" s="9" t="n">
        <v>2.8</v>
      </c>
      <c r="CG84" s="9" t="n">
        <v>68.2</v>
      </c>
      <c r="CH84" s="9" t="n">
        <v>65.4</v>
      </c>
      <c r="CI84" s="9" t="n">
        <v>0</v>
      </c>
      <c r="CJ84" s="9" t="n">
        <v>13.28</v>
      </c>
      <c r="CK84" s="9" t="n">
        <v>82.1</v>
      </c>
      <c r="CL84" s="9" t="n">
        <v>0.46</v>
      </c>
      <c r="CM84" s="9" t="n">
        <v>90.989</v>
      </c>
      <c r="CN84" s="9" t="n">
        <v>91.067</v>
      </c>
      <c r="CO84" s="9" t="n">
        <v>1</v>
      </c>
      <c r="CP84" s="9" t="n">
        <v>4</v>
      </c>
      <c r="CQ84" s="9" t="n">
        <v>0.5</v>
      </c>
      <c r="CR84" s="9" t="n">
        <v>0.3</v>
      </c>
      <c r="CS84" s="9" t="n">
        <v>0.6</v>
      </c>
      <c r="CT84" s="9" t="n">
        <v>0.8</v>
      </c>
      <c r="CU84" s="9" t="n">
        <v>0.8</v>
      </c>
      <c r="CV84" s="9" t="n">
        <v>0.7</v>
      </c>
      <c r="CW84" s="9" t="n">
        <v>0.5</v>
      </c>
      <c r="CX84" s="9" t="n">
        <v>0.5</v>
      </c>
      <c r="CY84" s="9" t="n">
        <v>1</v>
      </c>
      <c r="CZ84" s="9" t="n">
        <v>0.3</v>
      </c>
      <c r="DA84" s="9" t="n">
        <v>0.8</v>
      </c>
      <c r="DB84" s="9" t="n">
        <v>1.00310206286256</v>
      </c>
      <c r="DC84" s="9" t="n">
        <v>1.121</v>
      </c>
      <c r="DD84" s="9" t="n">
        <v>5.277</v>
      </c>
      <c r="DE84" s="9" t="n">
        <v>13.58955</v>
      </c>
      <c r="DF84" s="9" t="n">
        <v>21.403403495196</v>
      </c>
      <c r="DG84" s="9" t="n">
        <v>24.0893984341891</v>
      </c>
      <c r="DH84" s="9" t="n">
        <v>17.2720586560434</v>
      </c>
      <c r="DI84" s="9" t="n">
        <v>21.0101064276076</v>
      </c>
      <c r="DJ84" s="9" t="n">
        <v>3.502</v>
      </c>
      <c r="DK84" s="9" t="n">
        <v>2.84</v>
      </c>
      <c r="DL84" s="9" t="n">
        <v>8.74341</v>
      </c>
      <c r="DM84" s="9" t="n">
        <v>14.1151698941595</v>
      </c>
      <c r="DN84" s="9" t="n">
        <v>14.1151698941595</v>
      </c>
      <c r="DO84" s="9" t="n">
        <v>0.055</v>
      </c>
    </row>
    <row r="85" customFormat="false" ht="15" hidden="false" customHeight="false" outlineLevel="0" collapsed="false">
      <c r="A85" s="9" t="s">
        <v>712</v>
      </c>
      <c r="B85" s="9" t="s">
        <v>713</v>
      </c>
      <c r="C85" s="9" t="n">
        <v>0.005</v>
      </c>
      <c r="D85" s="9" t="n">
        <v>0.005</v>
      </c>
      <c r="E85" s="9" t="n">
        <v>0.01</v>
      </c>
      <c r="F85" s="9" t="n">
        <v>0.005</v>
      </c>
      <c r="G85" s="9" t="n">
        <v>0.005</v>
      </c>
      <c r="H85" s="9" t="n">
        <v>0.01</v>
      </c>
      <c r="I85" s="9" t="n">
        <v>0.005</v>
      </c>
      <c r="J85" s="9" t="n">
        <v>0.005</v>
      </c>
      <c r="K85" s="9" t="n">
        <v>0.01</v>
      </c>
      <c r="L85" s="9" t="n">
        <v>0.01</v>
      </c>
      <c r="M85" s="9" t="n">
        <v>0.005</v>
      </c>
      <c r="N85" s="9" t="n">
        <v>7.10163</v>
      </c>
      <c r="O85" s="9" t="n">
        <v>2.919646</v>
      </c>
      <c r="P85" s="9" t="n">
        <v>147.768622</v>
      </c>
      <c r="Q85" s="9" t="n">
        <v>9.43499684543771</v>
      </c>
      <c r="R85" s="9" t="n">
        <v>2.43284622648038</v>
      </c>
      <c r="S85" s="9" t="n">
        <v>46.9871520840655</v>
      </c>
      <c r="T85" s="9" t="n">
        <v>49.3105259120347</v>
      </c>
      <c r="U85" s="9" t="n">
        <v>2.913732</v>
      </c>
      <c r="V85" s="9" t="n">
        <v>0.66781</v>
      </c>
      <c r="W85" s="9" t="n">
        <v>0.585849</v>
      </c>
      <c r="X85" s="9" t="n">
        <v>5.916319956249</v>
      </c>
      <c r="Y85" s="9" t="n">
        <v>5.916319956249</v>
      </c>
      <c r="Z85" s="9" t="n">
        <v>67.24</v>
      </c>
      <c r="AA85" s="9" t="n">
        <v>41.19</v>
      </c>
      <c r="AB85" s="9" t="n">
        <v>13.57</v>
      </c>
      <c r="AC85" s="9" t="n">
        <v>0</v>
      </c>
      <c r="AD85" s="9" t="n">
        <v>0</v>
      </c>
      <c r="AE85" s="9" t="n">
        <v>363.035</v>
      </c>
      <c r="AF85" s="9" t="n">
        <v>49.2499029413765</v>
      </c>
      <c r="AG85" s="9" t="n">
        <v>39.6005044824</v>
      </c>
      <c r="AH85" s="9" t="n">
        <v>41.679530967726</v>
      </c>
      <c r="AI85" s="9" t="n">
        <v>42.4373406216846</v>
      </c>
      <c r="AJ85" s="9" t="n">
        <v>272.451647281286</v>
      </c>
      <c r="AK85" s="9" t="n">
        <v>0</v>
      </c>
      <c r="AL85" s="9" t="n">
        <v>0</v>
      </c>
      <c r="AM85" s="9" t="n">
        <v>0</v>
      </c>
      <c r="AN85" s="9" t="n">
        <v>0</v>
      </c>
      <c r="AO85" s="9" t="n">
        <v>1035.03028841624</v>
      </c>
      <c r="AP85" s="9" t="n">
        <v>940.905876300482</v>
      </c>
      <c r="AQ85" s="9" t="n">
        <v>990.303434806257</v>
      </c>
      <c r="AR85" s="9" t="n">
        <v>1008.30895180273</v>
      </c>
      <c r="AS85" s="9" t="n">
        <v>799.273287016942</v>
      </c>
      <c r="AT85" s="9" t="n">
        <v>810.2893946796</v>
      </c>
      <c r="AU85" s="9" t="n">
        <v>851.473921455385</v>
      </c>
      <c r="AV85" s="9" t="n">
        <v>810.688983223191</v>
      </c>
      <c r="AW85" s="9" t="n">
        <v>238.571889523276</v>
      </c>
      <c r="AX85" s="9" t="n">
        <v>241.6308666588</v>
      </c>
      <c r="AY85" s="9" t="n">
        <v>254.244163337317</v>
      </c>
      <c r="AZ85" s="9" t="n">
        <v>241.9840673607</v>
      </c>
      <c r="BA85" s="9" t="n">
        <v>357.925913029221</v>
      </c>
      <c r="BB85" s="9" t="n">
        <v>326.099252631311</v>
      </c>
      <c r="BC85" s="9" t="n">
        <v>363.931511133873</v>
      </c>
      <c r="BD85" s="9" t="n">
        <v>348.569809777861</v>
      </c>
      <c r="BE85" s="9" t="n">
        <v>11.1519832290151</v>
      </c>
      <c r="BF85" s="9" t="n">
        <v>9.96341147499998</v>
      </c>
      <c r="BG85" s="9" t="n">
        <v>10.4864905774375</v>
      </c>
      <c r="BH85" s="9" t="n">
        <v>10.6771540424818</v>
      </c>
      <c r="BI85" s="9" t="n">
        <v>53.5837813998298</v>
      </c>
      <c r="BJ85" s="9" t="n">
        <v>48.3610464065717</v>
      </c>
      <c r="BK85" s="9" t="n">
        <v>50.9000013429167</v>
      </c>
      <c r="BL85" s="9" t="n">
        <v>51.8254559127879</v>
      </c>
      <c r="BM85" s="9" t="n">
        <v>732.126345725792</v>
      </c>
      <c r="BN85" s="9" t="n">
        <v>542.1917178756</v>
      </c>
      <c r="BO85" s="9" t="n">
        <v>570.656783064069</v>
      </c>
      <c r="BP85" s="9" t="n">
        <v>581.032360937961</v>
      </c>
      <c r="BQ85" s="9" t="n">
        <v>756.730718665215</v>
      </c>
      <c r="BR85" s="9" t="n">
        <v>1195.29850819276</v>
      </c>
      <c r="BS85" s="9" t="n">
        <v>1049.8614652404</v>
      </c>
      <c r="BT85" s="9" t="n">
        <v>1104.97919216552</v>
      </c>
      <c r="BU85" s="9" t="n">
        <v>1125.06972293217</v>
      </c>
      <c r="BV85" s="9" t="n">
        <v>565.679757445007</v>
      </c>
      <c r="BW85" s="9" t="n">
        <v>602.646922045048</v>
      </c>
      <c r="BX85" s="9" t="n">
        <v>522.056514985103</v>
      </c>
      <c r="BY85" s="9" t="n">
        <v>530.869483365237</v>
      </c>
      <c r="BZ85" s="9" t="n">
        <v>288.290326816727</v>
      </c>
      <c r="CA85" s="9" t="n">
        <v>4.29166236720237</v>
      </c>
      <c r="CB85" s="9" t="n">
        <v>0.54</v>
      </c>
      <c r="CC85" s="9" t="n">
        <v>0.521</v>
      </c>
      <c r="CD85" s="9" t="n">
        <v>2382.718</v>
      </c>
      <c r="CE85" s="9" t="n">
        <v>63</v>
      </c>
      <c r="CF85" s="9" t="n">
        <v>3.58</v>
      </c>
      <c r="CG85" s="9" t="n">
        <v>135.83</v>
      </c>
      <c r="CH85" s="9" t="n">
        <v>125.53</v>
      </c>
      <c r="CI85" s="9" t="n">
        <v>6.72</v>
      </c>
      <c r="CJ85" s="9" t="n">
        <v>44.63</v>
      </c>
      <c r="CK85" s="9" t="n">
        <v>264.94</v>
      </c>
      <c r="CL85" s="9" t="n">
        <v>21.48</v>
      </c>
      <c r="CM85" s="9" t="n">
        <v>447.538</v>
      </c>
      <c r="CN85" s="9" t="n">
        <v>420.033</v>
      </c>
      <c r="CO85" s="9" t="n">
        <v>1</v>
      </c>
      <c r="CP85" s="9" t="n">
        <v>4</v>
      </c>
      <c r="CQ85" s="9" t="n">
        <v>0.5</v>
      </c>
      <c r="CR85" s="9" t="n">
        <v>0.3</v>
      </c>
      <c r="CS85" s="9" t="n">
        <v>0.6</v>
      </c>
      <c r="CT85" s="9" t="n">
        <v>0.8</v>
      </c>
      <c r="CU85" s="9" t="n">
        <v>0.8</v>
      </c>
      <c r="CV85" s="9" t="n">
        <v>0.7</v>
      </c>
      <c r="CW85" s="9" t="n">
        <v>0.5</v>
      </c>
      <c r="CX85" s="9" t="n">
        <v>0.5</v>
      </c>
      <c r="CY85" s="9" t="n">
        <v>1</v>
      </c>
      <c r="CZ85" s="9" t="n">
        <v>0.3</v>
      </c>
      <c r="DA85" s="9" t="n">
        <v>0.8</v>
      </c>
      <c r="DB85" s="9" t="n">
        <v>0.657894802236831</v>
      </c>
      <c r="DC85" s="9" t="n">
        <v>7.119</v>
      </c>
      <c r="DD85" s="9" t="n">
        <v>5.342</v>
      </c>
      <c r="DE85" s="9" t="n">
        <v>14.5851</v>
      </c>
      <c r="DF85" s="9" t="n">
        <v>22.5031699798285</v>
      </c>
      <c r="DG85" s="9" t="n">
        <v>25.2458840128637</v>
      </c>
      <c r="DH85" s="9" t="n">
        <v>17.3782871149556</v>
      </c>
      <c r="DI85" s="9" t="n">
        <v>21.34222836093</v>
      </c>
      <c r="DJ85" s="9" t="n">
        <v>15.923</v>
      </c>
      <c r="DK85" s="9" t="n">
        <v>15.923</v>
      </c>
      <c r="DL85" s="9" t="n">
        <v>34.78342</v>
      </c>
      <c r="DM85" s="9" t="n">
        <v>13.4947462084719</v>
      </c>
      <c r="DN85" s="9" t="n">
        <v>13.4947462084719</v>
      </c>
      <c r="DO85" s="9" t="n">
        <v>0.0438</v>
      </c>
    </row>
    <row r="86" customFormat="false" ht="15" hidden="false" customHeight="false" outlineLevel="0" collapsed="false">
      <c r="A86" s="9" t="s">
        <v>964</v>
      </c>
      <c r="B86" s="9" t="s">
        <v>965</v>
      </c>
      <c r="C86" s="9" t="n">
        <v>0.005</v>
      </c>
      <c r="D86" s="9" t="n">
        <v>0.005</v>
      </c>
      <c r="E86" s="9" t="n">
        <v>0.01</v>
      </c>
      <c r="F86" s="9" t="n">
        <v>0.005</v>
      </c>
      <c r="G86" s="9" t="n">
        <v>0.005</v>
      </c>
      <c r="H86" s="9" t="n">
        <v>0.01</v>
      </c>
      <c r="I86" s="9" t="n">
        <v>0.005</v>
      </c>
      <c r="J86" s="9" t="n">
        <v>0.005</v>
      </c>
      <c r="K86" s="9" t="n">
        <v>0.01</v>
      </c>
      <c r="L86" s="9" t="n">
        <v>0.01</v>
      </c>
      <c r="M86" s="9" t="n">
        <v>0.005</v>
      </c>
      <c r="N86" s="9" t="n">
        <v>0.558929</v>
      </c>
      <c r="O86" s="9" t="n">
        <v>0.447035</v>
      </c>
      <c r="P86" s="9" t="n">
        <v>22.737998</v>
      </c>
      <c r="Q86" s="9" t="n">
        <v>6.6234546599709</v>
      </c>
      <c r="R86" s="9" t="n">
        <v>0.928173901207158</v>
      </c>
      <c r="S86" s="9" t="n">
        <v>0.559037199108104</v>
      </c>
      <c r="T86" s="9" t="n">
        <v>0.493023799641256</v>
      </c>
      <c r="U86" s="9" t="n">
        <v>0.047003</v>
      </c>
      <c r="V86" s="9" t="n">
        <v>0.006816</v>
      </c>
      <c r="W86" s="9" t="n">
        <v>0.07547</v>
      </c>
      <c r="X86" s="9" t="n">
        <v>2.14311121204477</v>
      </c>
      <c r="Y86" s="9" t="n">
        <v>2.14311121204477</v>
      </c>
      <c r="Z86" s="9" t="n">
        <v>1.35</v>
      </c>
      <c r="AA86" s="9" t="n">
        <v>0.12</v>
      </c>
      <c r="AB86" s="9" t="n">
        <v>0.1</v>
      </c>
      <c r="AC86" s="9" t="n">
        <v>0</v>
      </c>
      <c r="AD86" s="9" t="n">
        <v>0</v>
      </c>
      <c r="AE86" s="9" t="n">
        <v>6.74</v>
      </c>
      <c r="AF86" s="9" t="n">
        <v>2.75540933584001</v>
      </c>
      <c r="AG86" s="9" t="n">
        <v>2.5486014564</v>
      </c>
      <c r="AH86" s="9" t="n">
        <v>2.574087470964</v>
      </c>
      <c r="AI86" s="9" t="n">
        <v>2.53685513433041</v>
      </c>
      <c r="AJ86" s="9" t="n">
        <v>0</v>
      </c>
      <c r="AK86" s="9" t="n">
        <v>0</v>
      </c>
      <c r="AL86" s="9" t="n">
        <v>0</v>
      </c>
      <c r="AM86" s="9" t="n">
        <v>0</v>
      </c>
      <c r="AN86" s="9" t="n">
        <v>0</v>
      </c>
      <c r="AO86" s="9" t="n">
        <v>13.6797881708693</v>
      </c>
      <c r="AP86" s="9" t="n">
        <v>12.92886093</v>
      </c>
      <c r="AQ86" s="9" t="n">
        <v>13.0581495393</v>
      </c>
      <c r="AR86" s="9" t="n">
        <v>12.8692727334637</v>
      </c>
      <c r="AS86" s="9" t="n">
        <v>8.54311679982087</v>
      </c>
      <c r="AT86" s="9" t="n">
        <v>7.0663177548</v>
      </c>
      <c r="AU86" s="9" t="n">
        <v>7.85148658393506</v>
      </c>
      <c r="AV86" s="9" t="n">
        <v>8.31434657193467</v>
      </c>
      <c r="AW86" s="9" t="n">
        <v>4.85027491458836</v>
      </c>
      <c r="AX86" s="9" t="n">
        <v>4.0439798784</v>
      </c>
      <c r="AY86" s="9" t="n">
        <v>4.45760830767124</v>
      </c>
      <c r="AZ86" s="9" t="n">
        <v>4.72039275055844</v>
      </c>
      <c r="BA86" s="9" t="n">
        <v>20.9894709898942</v>
      </c>
      <c r="BB86" s="9" t="n">
        <v>17.1410961602125</v>
      </c>
      <c r="BC86" s="9" t="n">
        <v>24.3662744159443</v>
      </c>
      <c r="BD86" s="9" t="n">
        <v>20.2416988562179</v>
      </c>
      <c r="BE86" s="9" t="n">
        <v>0.196512707679158</v>
      </c>
      <c r="BF86" s="9" t="n">
        <v>0.177111299999999</v>
      </c>
      <c r="BG86" s="9" t="n">
        <v>0.178882412999999</v>
      </c>
      <c r="BH86" s="9" t="n">
        <v>0.176295006669106</v>
      </c>
      <c r="BI86" s="9" t="n">
        <v>2.76142337012857</v>
      </c>
      <c r="BJ86" s="9" t="n">
        <v>2.74644443999999</v>
      </c>
      <c r="BK86" s="9" t="n">
        <v>2.77390888439999</v>
      </c>
      <c r="BL86" s="9" t="n">
        <v>2.73378627375063</v>
      </c>
      <c r="BM86" s="9" t="n">
        <v>3.27645357332937</v>
      </c>
      <c r="BN86" s="9" t="n">
        <v>3.00957651</v>
      </c>
      <c r="BO86" s="9" t="n">
        <v>3.0396722751</v>
      </c>
      <c r="BP86" s="9" t="n">
        <v>2.99570558683516</v>
      </c>
      <c r="BQ86" s="9" t="n">
        <v>7.16647605364105</v>
      </c>
      <c r="BR86" s="9" t="n">
        <v>0</v>
      </c>
      <c r="BS86" s="9" t="n">
        <v>0</v>
      </c>
      <c r="BT86" s="9" t="n">
        <v>0</v>
      </c>
      <c r="BU86" s="9" t="n">
        <v>0</v>
      </c>
      <c r="BV86" s="9" t="n">
        <v>39.9039647693931</v>
      </c>
      <c r="BW86" s="9" t="n">
        <v>23.2983473110455</v>
      </c>
      <c r="BX86" s="9" t="n">
        <v>41.651244774347</v>
      </c>
      <c r="BY86" s="9" t="n">
        <v>40.6467456104288</v>
      </c>
      <c r="BZ86" s="9" t="n">
        <v>3.7203865873359</v>
      </c>
      <c r="CA86" s="9" t="n">
        <v>-0.243902439024387</v>
      </c>
      <c r="CB86" s="9" t="n">
        <v>-0.06</v>
      </c>
      <c r="CC86" s="9" t="n">
        <v>-1.152</v>
      </c>
      <c r="CD86" s="9" t="n">
        <v>21.9</v>
      </c>
      <c r="CE86" s="9" t="n">
        <v>0.18</v>
      </c>
      <c r="CF86" s="9" t="n">
        <v>0</v>
      </c>
      <c r="CG86" s="9" t="n">
        <v>4.3</v>
      </c>
      <c r="CH86" s="9" t="n">
        <v>2.8</v>
      </c>
      <c r="CI86" s="9" t="n">
        <v>1.5</v>
      </c>
      <c r="CJ86" s="9" t="n">
        <v>0.15</v>
      </c>
      <c r="CK86" s="9" t="n">
        <v>4.92</v>
      </c>
      <c r="CL86" s="9" t="n">
        <v>0.29</v>
      </c>
      <c r="CM86" s="9" t="n">
        <v>8.361</v>
      </c>
      <c r="CN86" s="9" t="n">
        <v>8.498</v>
      </c>
      <c r="CO86" s="9" t="n">
        <v>3</v>
      </c>
      <c r="CP86" s="9" t="n">
        <v>3</v>
      </c>
      <c r="CQ86" s="9" t="n">
        <v>0.5</v>
      </c>
      <c r="CR86" s="9" t="n">
        <v>0.3</v>
      </c>
      <c r="CS86" s="9" t="n">
        <v>0.6</v>
      </c>
      <c r="CT86" s="9" t="n">
        <v>0.8</v>
      </c>
      <c r="CU86" s="9" t="n">
        <v>0.8</v>
      </c>
      <c r="CV86" s="9" t="n">
        <v>0.7</v>
      </c>
      <c r="CW86" s="9" t="n">
        <v>0.5</v>
      </c>
      <c r="CX86" s="9" t="n">
        <v>0.5</v>
      </c>
      <c r="CY86" s="9" t="n">
        <v>1</v>
      </c>
      <c r="CZ86" s="9" t="n">
        <v>0.3</v>
      </c>
      <c r="DA86" s="9" t="n">
        <v>0.8</v>
      </c>
      <c r="DB86" s="9" t="n">
        <v>0.597528034705738</v>
      </c>
      <c r="DC86" s="9" t="n">
        <v>7.124</v>
      </c>
      <c r="DD86" s="9" t="n">
        <v>5.575</v>
      </c>
      <c r="DE86" s="9" t="n">
        <v>14.02195</v>
      </c>
      <c r="DF86" s="9" t="n">
        <v>18.3056313696217</v>
      </c>
      <c r="DG86" s="9" t="n">
        <v>24.8308394629185</v>
      </c>
      <c r="DH86" s="9" t="n">
        <v>17.3038477210545</v>
      </c>
      <c r="DI86" s="9" t="n">
        <v>22.5457339791574</v>
      </c>
      <c r="DJ86" s="9" t="n">
        <v>12.771</v>
      </c>
      <c r="DK86" s="9" t="n">
        <v>11.447</v>
      </c>
      <c r="DL86" s="9" t="n">
        <v>23.8188</v>
      </c>
      <c r="DM86" s="9" t="n">
        <v>13.4947462084719</v>
      </c>
      <c r="DN86" s="9" t="n">
        <v>13.4947462084719</v>
      </c>
      <c r="DO86" s="9" t="n">
        <v>0.039</v>
      </c>
    </row>
    <row r="87" customFormat="false" ht="15" hidden="false" customHeight="false" outlineLevel="0" collapsed="false">
      <c r="A87" s="9" t="s">
        <v>876</v>
      </c>
      <c r="B87" s="9" t="s">
        <v>877</v>
      </c>
      <c r="C87" s="9" t="n">
        <v>0.005</v>
      </c>
      <c r="D87" s="9" t="n">
        <v>0.005</v>
      </c>
      <c r="E87" s="9" t="n">
        <v>0.01</v>
      </c>
      <c r="F87" s="9" t="n">
        <v>0.005</v>
      </c>
      <c r="G87" s="9" t="n">
        <v>0.005</v>
      </c>
      <c r="H87" s="9" t="n">
        <v>0.01</v>
      </c>
      <c r="I87" s="9" t="n">
        <v>0.005</v>
      </c>
      <c r="J87" s="9" t="n">
        <v>0.005</v>
      </c>
      <c r="K87" s="9" t="n">
        <v>0.01</v>
      </c>
      <c r="L87" s="9" t="n">
        <v>0.01</v>
      </c>
      <c r="M87" s="9" t="n">
        <v>0.005</v>
      </c>
      <c r="N87" s="9" t="n">
        <v>4.389134</v>
      </c>
      <c r="O87" s="9" t="n">
        <v>1.15557</v>
      </c>
      <c r="P87" s="9" t="n">
        <v>7.879955</v>
      </c>
      <c r="Q87" s="9" t="n">
        <v>3.94158067032237</v>
      </c>
      <c r="R87" s="9" t="n">
        <v>1.04324481680447</v>
      </c>
      <c r="S87" s="9" t="n">
        <v>0.547275245053988</v>
      </c>
      <c r="T87" s="9" t="n">
        <v>0.806642794141614</v>
      </c>
      <c r="U87" s="9" t="n">
        <v>0.069443</v>
      </c>
      <c r="V87" s="9" t="n">
        <v>0.021037</v>
      </c>
      <c r="W87" s="9" t="n">
        <v>0.014329</v>
      </c>
      <c r="X87" s="9" t="n">
        <v>4.65604187617479</v>
      </c>
      <c r="Y87" s="9" t="n">
        <v>4.65604187617479</v>
      </c>
      <c r="Z87" s="9" t="n">
        <v>4.52</v>
      </c>
      <c r="AA87" s="9" t="n">
        <v>2.2</v>
      </c>
      <c r="AB87" s="9" t="n">
        <v>0.63</v>
      </c>
      <c r="AC87" s="9" t="n">
        <v>0</v>
      </c>
      <c r="AD87" s="9" t="n">
        <v>0</v>
      </c>
      <c r="AE87" s="9" t="n">
        <v>25.17</v>
      </c>
      <c r="AF87" s="9" t="n">
        <v>8.01845938345014</v>
      </c>
      <c r="AG87" s="9" t="n">
        <v>7.0922424204</v>
      </c>
      <c r="AH87" s="9" t="n">
        <v>7.26954848091</v>
      </c>
      <c r="AI87" s="9" t="n">
        <v>7.36162942833486</v>
      </c>
      <c r="AJ87" s="9" t="n">
        <v>0</v>
      </c>
      <c r="AK87" s="9" t="n">
        <v>0</v>
      </c>
      <c r="AL87" s="9" t="n">
        <v>0</v>
      </c>
      <c r="AM87" s="9" t="n">
        <v>0</v>
      </c>
      <c r="AN87" s="9" t="n">
        <v>0</v>
      </c>
      <c r="AO87" s="9" t="n">
        <v>51.8388878960503</v>
      </c>
      <c r="AP87" s="9" t="n">
        <v>46.57322432</v>
      </c>
      <c r="AQ87" s="9" t="n">
        <v>47.737554928</v>
      </c>
      <c r="AR87" s="9" t="n">
        <v>48.3422306237547</v>
      </c>
      <c r="AS87" s="9" t="n">
        <v>44.756142026296</v>
      </c>
      <c r="AT87" s="9" t="n">
        <v>38.7137569896</v>
      </c>
      <c r="AU87" s="9" t="n">
        <v>40.5364444961506</v>
      </c>
      <c r="AV87" s="9" t="n">
        <v>43.2103059752525</v>
      </c>
      <c r="AW87" s="9" t="n">
        <v>37.6957429771526</v>
      </c>
      <c r="AX87" s="9" t="n">
        <v>32.7049956072</v>
      </c>
      <c r="AY87" s="9" t="n">
        <v>34.1417138241431</v>
      </c>
      <c r="AZ87" s="9" t="n">
        <v>36.3937666264941</v>
      </c>
      <c r="BA87" s="9" t="n">
        <v>69.9867841075144</v>
      </c>
      <c r="BB87" s="9" t="n">
        <v>69.3393954424275</v>
      </c>
      <c r="BC87" s="9" t="n">
        <v>61.16562838</v>
      </c>
      <c r="BD87" s="9" t="n">
        <v>66.7685882736833</v>
      </c>
      <c r="BE87" s="9" t="n">
        <v>3.43209960112912</v>
      </c>
      <c r="BF87" s="9" t="n">
        <v>3.21742214191503</v>
      </c>
      <c r="BG87" s="9" t="n">
        <v>3.29785769546291</v>
      </c>
      <c r="BH87" s="9" t="n">
        <v>3.33963055960543</v>
      </c>
      <c r="BI87" s="9" t="n">
        <v>17.3273098825336</v>
      </c>
      <c r="BJ87" s="9" t="n">
        <v>16.19609304</v>
      </c>
      <c r="BK87" s="9" t="n">
        <v>16.600995366</v>
      </c>
      <c r="BL87" s="9" t="n">
        <v>16.811274640636</v>
      </c>
      <c r="BM87" s="9" t="n">
        <v>0</v>
      </c>
      <c r="BN87" s="9" t="n">
        <v>0</v>
      </c>
      <c r="BO87" s="9" t="n">
        <v>0</v>
      </c>
      <c r="BP87" s="9" t="n">
        <v>0</v>
      </c>
      <c r="BQ87" s="9" t="n">
        <v>145.586760818648</v>
      </c>
      <c r="BR87" s="9" t="n">
        <v>0</v>
      </c>
      <c r="BS87" s="9" t="n">
        <v>0</v>
      </c>
      <c r="BT87" s="9" t="n">
        <v>0</v>
      </c>
      <c r="BU87" s="9" t="n">
        <v>0</v>
      </c>
      <c r="BV87" s="9" t="n">
        <v>39.6698183098775</v>
      </c>
      <c r="BW87" s="9" t="n">
        <v>38.1059684825129</v>
      </c>
      <c r="BX87" s="9" t="n">
        <v>34.8726255064613</v>
      </c>
      <c r="BY87" s="9" t="n">
        <v>36.2414041514498</v>
      </c>
      <c r="BZ87" s="9" t="n">
        <v>22.9033013898469</v>
      </c>
      <c r="CA87" s="9" t="n">
        <v>0.364741316700135</v>
      </c>
      <c r="CB87" s="9" t="n">
        <v>2.683</v>
      </c>
      <c r="CC87" s="9" t="n">
        <v>2.748</v>
      </c>
      <c r="CD87" s="9" t="n">
        <v>58.701</v>
      </c>
      <c r="CE87" s="9" t="n">
        <v>0.02</v>
      </c>
      <c r="CF87" s="9" t="n">
        <v>0</v>
      </c>
      <c r="CG87" s="9" t="n">
        <v>17.97</v>
      </c>
      <c r="CH87" s="9" t="n">
        <v>14.67</v>
      </c>
      <c r="CI87" s="9" t="n">
        <v>3.3</v>
      </c>
      <c r="CJ87" s="9" t="n">
        <v>3.93</v>
      </c>
      <c r="CK87" s="9" t="n">
        <v>23.67</v>
      </c>
      <c r="CL87" s="9" t="n">
        <v>1.75</v>
      </c>
      <c r="CM87" s="9" t="n">
        <v>36.495</v>
      </c>
      <c r="CN87" s="9" t="n">
        <v>36.495</v>
      </c>
      <c r="CO87" s="9" t="n">
        <v>3</v>
      </c>
      <c r="CP87" s="9" t="n">
        <v>3</v>
      </c>
      <c r="CQ87" s="9" t="n">
        <v>0.5</v>
      </c>
      <c r="CR87" s="9" t="n">
        <v>0.3</v>
      </c>
      <c r="CS87" s="9" t="n">
        <v>0.6</v>
      </c>
      <c r="CT87" s="9" t="n">
        <v>0.8</v>
      </c>
      <c r="CU87" s="9" t="n">
        <v>0.8</v>
      </c>
      <c r="CV87" s="9" t="n">
        <v>0.7</v>
      </c>
      <c r="CW87" s="9" t="n">
        <v>0.5</v>
      </c>
      <c r="CX87" s="9" t="n">
        <v>0.5</v>
      </c>
      <c r="CY87" s="9" t="n">
        <v>1</v>
      </c>
      <c r="CZ87" s="9" t="n">
        <v>0.3</v>
      </c>
      <c r="DA87" s="9" t="n">
        <v>0.8</v>
      </c>
      <c r="DB87" s="9" t="n">
        <v>0.426395386001104</v>
      </c>
      <c r="DC87" s="9" t="n">
        <v>7.124</v>
      </c>
      <c r="DD87" s="9" t="n">
        <v>5.575</v>
      </c>
      <c r="DE87" s="9" t="n">
        <v>14.14388</v>
      </c>
      <c r="DF87" s="9" t="n">
        <v>21.3059378434592</v>
      </c>
      <c r="DG87" s="9" t="n">
        <v>23.8835061398798</v>
      </c>
      <c r="DH87" s="9" t="n">
        <v>20.0355880410103</v>
      </c>
      <c r="DI87" s="9" t="n">
        <v>22.258996612757</v>
      </c>
      <c r="DJ87" s="9" t="n">
        <v>10.084</v>
      </c>
      <c r="DK87" s="9" t="n">
        <v>8.787</v>
      </c>
      <c r="DL87" s="9" t="n">
        <v>20.72688</v>
      </c>
      <c r="DM87" s="9" t="n">
        <v>14.1151698941595</v>
      </c>
      <c r="DN87" s="9" t="n">
        <v>14.1151698941595</v>
      </c>
      <c r="DO87" s="9" t="n">
        <v>0.0966200000000001</v>
      </c>
    </row>
    <row r="88" customFormat="false" ht="15" hidden="false" customHeight="false" outlineLevel="0" collapsed="false">
      <c r="A88" s="9" t="s">
        <v>702</v>
      </c>
      <c r="B88" s="9" t="s">
        <v>703</v>
      </c>
      <c r="C88" s="9" t="n">
        <v>0.005</v>
      </c>
      <c r="D88" s="9" t="n">
        <v>0.005</v>
      </c>
      <c r="E88" s="9" t="n">
        <v>0.01</v>
      </c>
      <c r="F88" s="9" t="n">
        <v>0.005</v>
      </c>
      <c r="G88" s="9" t="n">
        <v>0.005</v>
      </c>
      <c r="H88" s="9" t="n">
        <v>0.01</v>
      </c>
      <c r="I88" s="9" t="n">
        <v>0.005</v>
      </c>
      <c r="J88" s="9" t="n">
        <v>0.005</v>
      </c>
      <c r="K88" s="9" t="n">
        <v>0.01</v>
      </c>
      <c r="L88" s="9" t="n">
        <v>0.01</v>
      </c>
      <c r="M88" s="9" t="n">
        <v>0.005</v>
      </c>
      <c r="N88" s="9" t="n">
        <v>5.163708</v>
      </c>
      <c r="O88" s="9" t="n">
        <v>1.653466</v>
      </c>
      <c r="P88" s="9" t="n">
        <v>619.556567</v>
      </c>
      <c r="Q88" s="9" t="n">
        <v>7.23441816491617</v>
      </c>
      <c r="R88" s="9" t="n">
        <v>2.3894372677635</v>
      </c>
      <c r="S88" s="9" t="n">
        <v>19.211456530597</v>
      </c>
      <c r="T88" s="9" t="n">
        <v>22.1218731562872</v>
      </c>
      <c r="U88" s="9" t="n">
        <v>0.30464</v>
      </c>
      <c r="V88" s="9" t="n">
        <v>0.979454</v>
      </c>
      <c r="W88" s="9" t="n">
        <v>1.261255</v>
      </c>
      <c r="X88" s="9" t="n">
        <v>4.09872847635454</v>
      </c>
      <c r="Y88" s="9" t="n">
        <v>4.09872847635454</v>
      </c>
      <c r="Z88" s="9" t="n">
        <v>157.02</v>
      </c>
      <c r="AA88" s="9" t="n">
        <v>92.21</v>
      </c>
      <c r="AB88" s="9" t="n">
        <v>6.24</v>
      </c>
      <c r="AC88" s="9" t="n">
        <v>0.6</v>
      </c>
      <c r="AD88" s="9" t="n">
        <v>20.237229560362</v>
      </c>
      <c r="AE88" s="9" t="n">
        <v>1205.177</v>
      </c>
      <c r="AF88" s="9" t="n">
        <v>979.304300530675</v>
      </c>
      <c r="AG88" s="9" t="n">
        <v>887.44292028</v>
      </c>
      <c r="AH88" s="9" t="n">
        <v>932.296716463782</v>
      </c>
      <c r="AI88" s="9" t="n">
        <v>922.973749299144</v>
      </c>
      <c r="AJ88" s="9" t="n">
        <v>3249.57247135426</v>
      </c>
      <c r="AK88" s="9" t="n">
        <v>7.23857580895179</v>
      </c>
      <c r="AL88" s="9" t="n">
        <v>6.3991218672</v>
      </c>
      <c r="AM88" s="9" t="n">
        <v>6.7225510156302</v>
      </c>
      <c r="AN88" s="9" t="n">
        <v>6.6553255054739</v>
      </c>
      <c r="AO88" s="9" t="n">
        <v>1013.41521417808</v>
      </c>
      <c r="AP88" s="9" t="n">
        <v>942.12669979</v>
      </c>
      <c r="AQ88" s="9" t="n">
        <v>989.744363986755</v>
      </c>
      <c r="AR88" s="9" t="n">
        <v>979.846920346887</v>
      </c>
      <c r="AS88" s="9" t="n">
        <v>2954.15200474046</v>
      </c>
      <c r="AT88" s="9" t="n">
        <v>2426.838070842</v>
      </c>
      <c r="AU88" s="9" t="n">
        <v>2623.4511335808</v>
      </c>
      <c r="AV88" s="9" t="n">
        <v>2687.83131306845</v>
      </c>
      <c r="AW88" s="9" t="n">
        <v>1085.36666089835</v>
      </c>
      <c r="AX88" s="9" t="n">
        <v>898.5892160196</v>
      </c>
      <c r="AY88" s="9" t="n">
        <v>963.203442234951</v>
      </c>
      <c r="AZ88" s="9" t="n">
        <v>986.979878612903</v>
      </c>
      <c r="BA88" s="9" t="n">
        <v>1561.45066685575</v>
      </c>
      <c r="BB88" s="9" t="n">
        <v>1492.95846398726</v>
      </c>
      <c r="BC88" s="9" t="n">
        <v>1441.08541622434</v>
      </c>
      <c r="BD88" s="9" t="n">
        <v>1488.3720974983</v>
      </c>
      <c r="BE88" s="9" t="n">
        <v>358.080163620207</v>
      </c>
      <c r="BF88" s="9" t="n">
        <v>325.994701107508</v>
      </c>
      <c r="BG88" s="9" t="n">
        <v>342.471366306274</v>
      </c>
      <c r="BH88" s="9" t="n">
        <v>339.046652643212</v>
      </c>
      <c r="BI88" s="9" t="n">
        <v>200.536209100531</v>
      </c>
      <c r="BJ88" s="9" t="n">
        <v>186.56595487367</v>
      </c>
      <c r="BK88" s="9" t="n">
        <v>195.995509297403</v>
      </c>
      <c r="BL88" s="9" t="n">
        <v>194.035554204429</v>
      </c>
      <c r="BM88" s="9" t="n">
        <v>476.666019749421</v>
      </c>
      <c r="BN88" s="9" t="n">
        <v>419.9972970708</v>
      </c>
      <c r="BO88" s="9" t="n">
        <v>441.225110973028</v>
      </c>
      <c r="BP88" s="9" t="n">
        <v>436.812859863297</v>
      </c>
      <c r="BQ88" s="9" t="n">
        <v>1077.05662253464</v>
      </c>
      <c r="BR88" s="9" t="n">
        <v>900.472189124335</v>
      </c>
      <c r="BS88" s="9" t="n">
        <v>798.3026909496</v>
      </c>
      <c r="BT88" s="9" t="n">
        <v>838.651095759141</v>
      </c>
      <c r="BU88" s="9" t="n">
        <v>830.264584801549</v>
      </c>
      <c r="BV88" s="9" t="n">
        <v>3791.16693390033</v>
      </c>
      <c r="BW88" s="9" t="n">
        <v>2035.13231563021</v>
      </c>
      <c r="BX88" s="9" t="n">
        <v>3522.96865805792</v>
      </c>
      <c r="BY88" s="9" t="n">
        <v>3435.59932518947</v>
      </c>
      <c r="BZ88" s="9" t="n">
        <v>1122.088518233</v>
      </c>
      <c r="CA88" s="9" t="n">
        <v>2.41298531496651</v>
      </c>
      <c r="CB88" s="9" t="n">
        <v>1.193</v>
      </c>
      <c r="CC88" s="9" t="n">
        <v>0.719</v>
      </c>
      <c r="CD88" s="9" t="n">
        <v>4190.008</v>
      </c>
      <c r="CE88" s="9" t="n">
        <v>222.91</v>
      </c>
      <c r="CF88" s="9" t="n">
        <v>330.12</v>
      </c>
      <c r="CG88" s="9" t="n">
        <v>693.15</v>
      </c>
      <c r="CH88" s="9" t="n">
        <v>337.64</v>
      </c>
      <c r="CI88" s="9" t="n">
        <v>25.39</v>
      </c>
      <c r="CJ88" s="9" t="n">
        <v>101.06</v>
      </c>
      <c r="CK88" s="9" t="n">
        <v>1029.97</v>
      </c>
      <c r="CL88" s="9" t="n">
        <v>12.85</v>
      </c>
      <c r="CM88" s="9" t="n">
        <v>1316.091</v>
      </c>
      <c r="CN88" s="9" t="n">
        <v>1263.984</v>
      </c>
      <c r="CO88" s="9" t="n">
        <v>1</v>
      </c>
      <c r="CP88" s="9" t="n">
        <v>4</v>
      </c>
      <c r="CQ88" s="9" t="n">
        <v>0.5</v>
      </c>
      <c r="CR88" s="9" t="n">
        <v>0.3</v>
      </c>
      <c r="CS88" s="9" t="n">
        <v>0.6</v>
      </c>
      <c r="CT88" s="9" t="n">
        <v>0.8</v>
      </c>
      <c r="CU88" s="9" t="n">
        <v>0.8</v>
      </c>
      <c r="CV88" s="9" t="n">
        <v>0.7</v>
      </c>
      <c r="CW88" s="9" t="n">
        <v>0.5</v>
      </c>
      <c r="CX88" s="9" t="n">
        <v>0.5</v>
      </c>
      <c r="CY88" s="9" t="n">
        <v>1</v>
      </c>
      <c r="CZ88" s="9" t="n">
        <v>0.3</v>
      </c>
      <c r="DA88" s="9" t="n">
        <v>0.8</v>
      </c>
      <c r="DB88" s="9" t="n">
        <v>0.62205044359238</v>
      </c>
      <c r="DC88" s="9" t="n">
        <v>7.404</v>
      </c>
      <c r="DD88" s="9" t="n">
        <v>7.372</v>
      </c>
      <c r="DE88" s="9" t="n">
        <v>14.7983</v>
      </c>
      <c r="DF88" s="9" t="n">
        <v>20.238910165091</v>
      </c>
      <c r="DG88" s="9" t="n">
        <v>22.6481523740239</v>
      </c>
      <c r="DH88" s="9" t="n">
        <v>18.2453338631339</v>
      </c>
      <c r="DI88" s="9" t="n">
        <v>20.8564583339507</v>
      </c>
      <c r="DJ88" s="9" t="n">
        <v>20.553</v>
      </c>
      <c r="DK88" s="9" t="n">
        <v>20.53</v>
      </c>
      <c r="DL88" s="9" t="n">
        <v>24.3694</v>
      </c>
      <c r="DM88" s="9" t="n">
        <v>14.1151698941595</v>
      </c>
      <c r="DN88" s="9" t="n">
        <v>14.1151698941595</v>
      </c>
      <c r="DO88" s="9" t="n">
        <v>0.055</v>
      </c>
    </row>
    <row r="89" customFormat="false" ht="15" hidden="false" customHeight="false" outlineLevel="0" collapsed="false">
      <c r="A89" s="9" t="s">
        <v>780</v>
      </c>
      <c r="B89" s="9" t="s">
        <v>781</v>
      </c>
      <c r="C89" s="9" t="n">
        <v>0.005</v>
      </c>
      <c r="D89" s="9" t="n">
        <v>0.005</v>
      </c>
      <c r="E89" s="9" t="n">
        <v>0.01</v>
      </c>
      <c r="F89" s="9" t="n">
        <v>0.005</v>
      </c>
      <c r="G89" s="9" t="n">
        <v>0.005</v>
      </c>
      <c r="H89" s="9" t="n">
        <v>0.01</v>
      </c>
      <c r="I89" s="9" t="n">
        <v>0.005</v>
      </c>
      <c r="J89" s="9" t="n">
        <v>0.005</v>
      </c>
      <c r="K89" s="9" t="n">
        <v>0.01</v>
      </c>
      <c r="L89" s="9" t="n">
        <v>0.01</v>
      </c>
      <c r="M89" s="9" t="n">
        <v>0.005</v>
      </c>
      <c r="N89" s="9" t="n">
        <v>3.452375</v>
      </c>
      <c r="O89" s="9" t="n">
        <v>2.571263</v>
      </c>
      <c r="P89" s="9" t="n">
        <v>70.037446</v>
      </c>
      <c r="Q89" s="9" t="n">
        <v>31.6388252747875</v>
      </c>
      <c r="R89" s="9" t="n">
        <v>12.1006618865339</v>
      </c>
      <c r="S89" s="9" t="n">
        <v>3.1120964828139</v>
      </c>
      <c r="T89" s="9" t="n">
        <v>2.72233700099315</v>
      </c>
      <c r="U89" s="9" t="n">
        <v>0.359368</v>
      </c>
      <c r="V89" s="9" t="n">
        <v>0.108247</v>
      </c>
      <c r="W89" s="9" t="n">
        <v>0.457721</v>
      </c>
      <c r="X89" s="9" t="n">
        <v>3.7887649922186</v>
      </c>
      <c r="Y89" s="9" t="n">
        <v>3.7887649922186</v>
      </c>
      <c r="Z89" s="9" t="n">
        <v>18.17</v>
      </c>
      <c r="AA89" s="9" t="n">
        <v>1.33</v>
      </c>
      <c r="AB89" s="9" t="n">
        <v>1.91</v>
      </c>
      <c r="AC89" s="9" t="n">
        <v>3.9</v>
      </c>
      <c r="AD89" s="9" t="n">
        <v>0.055416249</v>
      </c>
      <c r="AE89" s="9" t="n">
        <v>234.272</v>
      </c>
      <c r="AF89" s="9" t="n">
        <v>507.984038551383</v>
      </c>
      <c r="AG89" s="9" t="n">
        <v>487.744992252</v>
      </c>
      <c r="AH89" s="9" t="n">
        <v>513.780029000587</v>
      </c>
      <c r="AI89" s="9" t="n">
        <v>502.362695022796</v>
      </c>
      <c r="AJ89" s="9" t="n">
        <v>184.616368037976</v>
      </c>
      <c r="AK89" s="9" t="n">
        <v>202.117385417123</v>
      </c>
      <c r="AL89" s="9" t="n">
        <v>198.0128135664</v>
      </c>
      <c r="AM89" s="9" t="n">
        <v>208.582416452715</v>
      </c>
      <c r="AN89" s="9" t="n">
        <v>203.947251642654</v>
      </c>
      <c r="AO89" s="9" t="n">
        <v>84.9187410965807</v>
      </c>
      <c r="AP89" s="9" t="n">
        <v>79.5960054</v>
      </c>
      <c r="AQ89" s="9" t="n">
        <v>83.8447110936486</v>
      </c>
      <c r="AR89" s="9" t="n">
        <v>81.9814952915676</v>
      </c>
      <c r="AS89" s="9" t="n">
        <v>258.413203427834</v>
      </c>
      <c r="AT89" s="9" t="n">
        <v>259.0077027636</v>
      </c>
      <c r="AU89" s="9" t="n">
        <v>288.727311780343</v>
      </c>
      <c r="AV89" s="9" t="n">
        <v>311.19068704328</v>
      </c>
      <c r="AW89" s="9" t="n">
        <v>52.8399169110559</v>
      </c>
      <c r="AX89" s="9" t="n">
        <v>53.5054869288</v>
      </c>
      <c r="AY89" s="9" t="n">
        <v>59.1373343522756</v>
      </c>
      <c r="AZ89" s="9" t="n">
        <v>63.7426630997566</v>
      </c>
      <c r="BA89" s="9" t="n">
        <v>229.454210589513</v>
      </c>
      <c r="BB89" s="9" t="n">
        <v>222.3933423</v>
      </c>
      <c r="BC89" s="9" t="n">
        <v>209.32077275</v>
      </c>
      <c r="BD89" s="9" t="n">
        <v>229.058464090252</v>
      </c>
      <c r="BE89" s="9" t="n">
        <v>0.0574857110049043</v>
      </c>
      <c r="BF89" s="9" t="n">
        <v>0.0543885942694343</v>
      </c>
      <c r="BG89" s="9" t="n">
        <v>0.0572917692338163</v>
      </c>
      <c r="BH89" s="9" t="n">
        <v>0.0560186188063982</v>
      </c>
      <c r="BI89" s="9" t="n">
        <v>33.5670987770172</v>
      </c>
      <c r="BJ89" s="9" t="n">
        <v>33.39267847</v>
      </c>
      <c r="BK89" s="9" t="n">
        <v>35.1751254964391</v>
      </c>
      <c r="BL89" s="9" t="n">
        <v>34.3934560409627</v>
      </c>
      <c r="BM89" s="9" t="n">
        <v>215.659567903424</v>
      </c>
      <c r="BN89" s="9" t="n">
        <v>217.7671366116</v>
      </c>
      <c r="BO89" s="9" t="n">
        <v>229.39119322803</v>
      </c>
      <c r="BP89" s="9" t="n">
        <v>224.293611156296</v>
      </c>
      <c r="BQ89" s="9" t="n">
        <v>722.365070883262</v>
      </c>
      <c r="BR89" s="9" t="n">
        <v>212.191687688476</v>
      </c>
      <c r="BS89" s="9" t="n">
        <v>210.190087872</v>
      </c>
      <c r="BT89" s="9" t="n">
        <v>221.409693913816</v>
      </c>
      <c r="BU89" s="9" t="n">
        <v>216.489478493509</v>
      </c>
      <c r="BV89" s="9" t="n">
        <v>332.342975972633</v>
      </c>
      <c r="BW89" s="9" t="n">
        <v>339.201465967776</v>
      </c>
      <c r="BX89" s="9" t="n">
        <v>325.407407825967</v>
      </c>
      <c r="BY89" s="9" t="n">
        <v>318.176141300959</v>
      </c>
      <c r="BZ89" s="9" t="n">
        <v>86.4592000941362</v>
      </c>
      <c r="CA89" s="9" t="n">
        <v>1.05103363835981</v>
      </c>
      <c r="CB89" s="9" t="n">
        <v>6.485</v>
      </c>
      <c r="CC89" s="9" t="n">
        <v>4.609</v>
      </c>
      <c r="CD89" s="9" t="n">
        <v>291.48</v>
      </c>
      <c r="CE89" s="9" t="n">
        <v>10.51</v>
      </c>
      <c r="CF89" s="9" t="n">
        <v>67.12</v>
      </c>
      <c r="CG89" s="9" t="n">
        <v>105.31</v>
      </c>
      <c r="CH89" s="9" t="n">
        <v>36.37</v>
      </c>
      <c r="CI89" s="9" t="n">
        <v>1.82</v>
      </c>
      <c r="CJ89" s="9" t="n">
        <v>2.04</v>
      </c>
      <c r="CK89" s="9" t="n">
        <v>123.69</v>
      </c>
      <c r="CL89" s="9" t="n">
        <v>5.83</v>
      </c>
      <c r="CM89" s="9" t="n">
        <v>320.164</v>
      </c>
      <c r="CN89" s="9" t="n">
        <v>322.744</v>
      </c>
      <c r="CO89" s="9" t="n">
        <v>3</v>
      </c>
      <c r="CP89" s="9" t="n">
        <v>3</v>
      </c>
      <c r="CQ89" s="9" t="n">
        <v>0.5</v>
      </c>
      <c r="CR89" s="9" t="n">
        <v>0.3</v>
      </c>
      <c r="CS89" s="9" t="n">
        <v>0.6</v>
      </c>
      <c r="CT89" s="9" t="n">
        <v>0.8</v>
      </c>
      <c r="CU89" s="9" t="n">
        <v>0.8</v>
      </c>
      <c r="CV89" s="9" t="n">
        <v>0.7</v>
      </c>
      <c r="CW89" s="9" t="n">
        <v>0.5</v>
      </c>
      <c r="CX89" s="9" t="n">
        <v>0.5</v>
      </c>
      <c r="CY89" s="9" t="n">
        <v>1</v>
      </c>
      <c r="CZ89" s="9" t="n">
        <v>0.3</v>
      </c>
      <c r="DA89" s="9" t="n">
        <v>0.8</v>
      </c>
      <c r="DB89" s="9" t="n">
        <v>0.345653596941438</v>
      </c>
      <c r="DC89" s="9" t="n">
        <v>3.425</v>
      </c>
      <c r="DD89" s="9" t="n">
        <v>3.486</v>
      </c>
      <c r="DE89" s="9" t="n">
        <v>1.30704</v>
      </c>
      <c r="DF89" s="9" t="n">
        <v>21.0290924915519</v>
      </c>
      <c r="DG89" s="9" t="n">
        <v>23.1880477235461</v>
      </c>
      <c r="DH89" s="9" t="n">
        <v>15.6704990698955</v>
      </c>
      <c r="DI89" s="9" t="n">
        <v>21.626909845239</v>
      </c>
      <c r="DJ89" s="9" t="n">
        <v>8.856</v>
      </c>
      <c r="DK89" s="9" t="n">
        <v>8.181</v>
      </c>
      <c r="DL89" s="9" t="n">
        <v>14.45248</v>
      </c>
      <c r="DM89" s="9" t="n">
        <v>13.4947462084719</v>
      </c>
      <c r="DN89" s="9" t="n">
        <v>13.4947462084719</v>
      </c>
      <c r="DO89" s="9" t="n">
        <v>0.08426</v>
      </c>
    </row>
    <row r="90" customFormat="false" ht="15" hidden="false" customHeight="false" outlineLevel="0" collapsed="false">
      <c r="A90" s="9" t="s">
        <v>814</v>
      </c>
      <c r="B90" s="9" t="s">
        <v>815</v>
      </c>
      <c r="C90" s="9" t="n">
        <v>0.005</v>
      </c>
      <c r="D90" s="9" t="n">
        <v>0.005</v>
      </c>
      <c r="E90" s="9" t="n">
        <v>0.01</v>
      </c>
      <c r="F90" s="9" t="n">
        <v>0.005</v>
      </c>
      <c r="G90" s="9" t="n">
        <v>0.005</v>
      </c>
      <c r="H90" s="9" t="n">
        <v>0.01</v>
      </c>
      <c r="I90" s="9" t="n">
        <v>0.005</v>
      </c>
      <c r="J90" s="9" t="n">
        <v>0.005</v>
      </c>
      <c r="K90" s="9" t="n">
        <v>0.01</v>
      </c>
      <c r="L90" s="9" t="n">
        <v>0.01</v>
      </c>
      <c r="M90" s="9" t="n">
        <v>0.005</v>
      </c>
      <c r="N90" s="9" t="n">
        <v>1.217255</v>
      </c>
      <c r="O90" s="9" t="n">
        <v>0.073078</v>
      </c>
      <c r="P90" s="9" t="n">
        <v>1.356121</v>
      </c>
      <c r="Q90" s="9" t="n">
        <v>0.834263077892887</v>
      </c>
      <c r="R90" s="9" t="n">
        <v>0.278726693421226</v>
      </c>
      <c r="S90" s="9" t="n">
        <v>0.28594263977505</v>
      </c>
      <c r="T90" s="9" t="n">
        <v>0.0731583702693476</v>
      </c>
      <c r="U90" s="9" t="n">
        <v>0.00616</v>
      </c>
      <c r="V90" s="9" t="n">
        <v>0.000171</v>
      </c>
      <c r="W90" s="9" t="n">
        <v>0.001994</v>
      </c>
      <c r="X90" s="9" t="n">
        <v>2.49628274824362</v>
      </c>
      <c r="Y90" s="9" t="n">
        <v>2.49628274824362</v>
      </c>
      <c r="Z90" s="9" t="n">
        <v>0.57</v>
      </c>
      <c r="AA90" s="9" t="n">
        <v>0.55</v>
      </c>
      <c r="AB90" s="9" t="n">
        <v>0.44</v>
      </c>
      <c r="AC90" s="9" t="n">
        <v>0</v>
      </c>
      <c r="AD90" s="9" t="n">
        <v>0</v>
      </c>
      <c r="AE90" s="9" t="n">
        <v>22.398</v>
      </c>
      <c r="AF90" s="9" t="n">
        <v>27.0017532762972</v>
      </c>
      <c r="AG90" s="9" t="n">
        <v>24.8737788</v>
      </c>
      <c r="AH90" s="9" t="n">
        <v>25.122516588</v>
      </c>
      <c r="AI90" s="9" t="n">
        <v>24.424668905</v>
      </c>
      <c r="AJ90" s="9" t="n">
        <v>0</v>
      </c>
      <c r="AK90" s="9" t="n">
        <v>0</v>
      </c>
      <c r="AL90" s="9" t="n">
        <v>0</v>
      </c>
      <c r="AM90" s="9" t="n">
        <v>0</v>
      </c>
      <c r="AN90" s="9" t="n">
        <v>0</v>
      </c>
      <c r="AO90" s="9" t="n">
        <v>79.3312908047825</v>
      </c>
      <c r="AP90" s="9" t="n">
        <v>78.56337571</v>
      </c>
      <c r="AQ90" s="9" t="n">
        <v>79.3490094671</v>
      </c>
      <c r="AR90" s="9" t="n">
        <v>77.1448703152361</v>
      </c>
      <c r="AS90" s="9" t="n">
        <v>33.1058890042794</v>
      </c>
      <c r="AT90" s="9" t="n">
        <v>22.6692443808</v>
      </c>
      <c r="AU90" s="9" t="n">
        <v>25.9952054529906</v>
      </c>
      <c r="AV90" s="9" t="n">
        <v>31.8297978029009</v>
      </c>
      <c r="AW90" s="9" t="n">
        <v>18.1769454490807</v>
      </c>
      <c r="AX90" s="9" t="n">
        <v>12.6124879788</v>
      </c>
      <c r="AY90" s="9" t="n">
        <v>14.2727909042278</v>
      </c>
      <c r="AZ90" s="9" t="n">
        <v>17.4763015197632</v>
      </c>
      <c r="BA90" s="9" t="n">
        <v>69.4388657312815</v>
      </c>
      <c r="BB90" s="9" t="n">
        <v>68.1736505242031</v>
      </c>
      <c r="BC90" s="9" t="n">
        <v>66.5518200273336</v>
      </c>
      <c r="BD90" s="9" t="n">
        <v>66.94273334</v>
      </c>
      <c r="BE90" s="9" t="n">
        <v>3.35936535546632</v>
      </c>
      <c r="BF90" s="9" t="n">
        <v>3.2769626768876</v>
      </c>
      <c r="BG90" s="9" t="n">
        <v>3.30973230365648</v>
      </c>
      <c r="BH90" s="9" t="n">
        <v>3.21779529522158</v>
      </c>
      <c r="BI90" s="9" t="n">
        <v>13.7347903369589</v>
      </c>
      <c r="BJ90" s="9" t="n">
        <v>14.23559204</v>
      </c>
      <c r="BK90" s="9" t="n">
        <v>14.3779479604</v>
      </c>
      <c r="BL90" s="9" t="n">
        <v>13.9785605170555</v>
      </c>
      <c r="BM90" s="9" t="n">
        <v>0</v>
      </c>
      <c r="BN90" s="9" t="n">
        <v>0</v>
      </c>
      <c r="BO90" s="9" t="n">
        <v>0</v>
      </c>
      <c r="BP90" s="9" t="n">
        <v>0</v>
      </c>
      <c r="BQ90" s="9" t="n">
        <v>0</v>
      </c>
      <c r="BR90" s="9" t="n">
        <v>0</v>
      </c>
      <c r="BS90" s="9" t="n">
        <v>0</v>
      </c>
      <c r="BT90" s="9" t="n">
        <v>0</v>
      </c>
      <c r="BU90" s="9" t="n">
        <v>0</v>
      </c>
      <c r="BV90" s="9" t="n">
        <v>60.8664377957531</v>
      </c>
      <c r="BW90" s="9" t="n">
        <v>47.8093806989032</v>
      </c>
      <c r="BX90" s="9" t="n">
        <v>47.5951665167222</v>
      </c>
      <c r="BY90" s="9" t="n">
        <v>60.6806275107019</v>
      </c>
      <c r="BZ90" s="9" t="n">
        <v>14.2452317926</v>
      </c>
      <c r="CA90" s="9" t="n">
        <v>0.763691041468819</v>
      </c>
      <c r="CB90" s="9" t="n">
        <v>4.88</v>
      </c>
      <c r="CC90" s="9" t="n">
        <v>4.474</v>
      </c>
      <c r="CD90" s="9" t="n">
        <v>119.307</v>
      </c>
      <c r="CE90" s="9" t="n">
        <v>9.7</v>
      </c>
      <c r="CF90" s="9" t="n">
        <v>0</v>
      </c>
      <c r="CG90" s="9" t="n">
        <v>1.39</v>
      </c>
      <c r="CH90" s="9" t="n">
        <v>0</v>
      </c>
      <c r="CI90" s="9" t="n">
        <v>1.39</v>
      </c>
      <c r="CJ90" s="9" t="n">
        <v>0.65</v>
      </c>
      <c r="CK90" s="9" t="n">
        <v>14.04</v>
      </c>
      <c r="CL90" s="9" t="n">
        <v>2.3</v>
      </c>
      <c r="CM90" s="9" t="n">
        <v>119.389</v>
      </c>
      <c r="CN90" s="9" t="n">
        <v>111.817</v>
      </c>
      <c r="CO90" s="9" t="n">
        <v>3</v>
      </c>
      <c r="CP90" s="9" t="n">
        <v>2</v>
      </c>
      <c r="CQ90" s="9" t="n">
        <v>0.5</v>
      </c>
      <c r="CR90" s="9" t="n">
        <v>0.3</v>
      </c>
      <c r="CS90" s="9" t="n">
        <v>0.6</v>
      </c>
      <c r="CT90" s="9" t="n">
        <v>0.8</v>
      </c>
      <c r="CU90" s="9" t="n">
        <v>0.8</v>
      </c>
      <c r="CV90" s="9" t="n">
        <v>0.7</v>
      </c>
      <c r="CW90" s="9" t="n">
        <v>0.5</v>
      </c>
      <c r="CX90" s="9" t="n">
        <v>0.5</v>
      </c>
      <c r="CY90" s="9" t="n">
        <v>1</v>
      </c>
      <c r="CZ90" s="9" t="n">
        <v>0.3</v>
      </c>
      <c r="DA90" s="9" t="n">
        <v>0.8</v>
      </c>
      <c r="DB90" s="9" t="n">
        <v>0.317735131507462</v>
      </c>
      <c r="DC90" s="9" t="n">
        <v>7.124</v>
      </c>
      <c r="DD90" s="9" t="n">
        <v>5.575</v>
      </c>
      <c r="DE90" s="9" t="n">
        <v>14.14388</v>
      </c>
      <c r="DF90" s="9" t="n">
        <v>21.2062198905543</v>
      </c>
      <c r="DG90" s="9" t="n">
        <v>21.3492865546041</v>
      </c>
      <c r="DH90" s="9" t="n">
        <v>19.601640812721</v>
      </c>
      <c r="DI90" s="9" t="n">
        <v>22.5696287596907</v>
      </c>
      <c r="DJ90" s="9" t="n">
        <v>10.154</v>
      </c>
      <c r="DK90" s="9" t="n">
        <v>8.831</v>
      </c>
      <c r="DL90" s="9" t="n">
        <v>20.99136</v>
      </c>
      <c r="DM90" s="9" t="n">
        <v>13.4947462084719</v>
      </c>
      <c r="DN90" s="9" t="n">
        <v>13.4947462084719</v>
      </c>
      <c r="DO90" s="9" t="n">
        <v>0.09659</v>
      </c>
    </row>
    <row r="91" customFormat="false" ht="15" hidden="false" customHeight="false" outlineLevel="0" collapsed="false">
      <c r="A91" s="9" t="s">
        <v>946</v>
      </c>
      <c r="B91" s="9" t="s">
        <v>947</v>
      </c>
      <c r="C91" s="9" t="n">
        <v>0.005</v>
      </c>
      <c r="D91" s="9" t="n">
        <v>0.005</v>
      </c>
      <c r="E91" s="9" t="n">
        <v>0.01</v>
      </c>
      <c r="F91" s="9" t="n">
        <v>0.005</v>
      </c>
      <c r="G91" s="9" t="n">
        <v>0.005</v>
      </c>
      <c r="H91" s="9" t="n">
        <v>0.01</v>
      </c>
      <c r="I91" s="9" t="n">
        <v>0.005</v>
      </c>
      <c r="J91" s="9" t="n">
        <v>0.005</v>
      </c>
      <c r="K91" s="9" t="n">
        <v>0.01</v>
      </c>
      <c r="L91" s="9" t="n">
        <v>0.01</v>
      </c>
      <c r="M91" s="9" t="n">
        <v>0.005</v>
      </c>
      <c r="N91" s="9" t="n">
        <v>0.306262</v>
      </c>
      <c r="O91" s="9" t="n">
        <v>1.588974</v>
      </c>
      <c r="P91" s="9" t="n">
        <v>16.558251</v>
      </c>
      <c r="Q91" s="9" t="n">
        <v>7.75022194551094</v>
      </c>
      <c r="R91" s="9" t="n">
        <v>1.75282973221991</v>
      </c>
      <c r="S91" s="9" t="n">
        <v>0.562401541821781</v>
      </c>
      <c r="T91" s="9" t="n">
        <v>0.439221753213056</v>
      </c>
      <c r="U91" s="9" t="n">
        <v>0.020065</v>
      </c>
      <c r="V91" s="9" t="n">
        <v>2E-006</v>
      </c>
      <c r="W91" s="9" t="n">
        <v>0.043796</v>
      </c>
      <c r="X91" s="9" t="n">
        <v>0.440040657250357</v>
      </c>
      <c r="Y91" s="9" t="n">
        <v>0.440040657250357</v>
      </c>
      <c r="Z91" s="9" t="n">
        <v>0.81</v>
      </c>
      <c r="AA91" s="9" t="n">
        <v>0</v>
      </c>
      <c r="AB91" s="9" t="n">
        <v>0</v>
      </c>
      <c r="AC91" s="9" t="n">
        <v>0</v>
      </c>
      <c r="AD91" s="9" t="n">
        <v>0</v>
      </c>
      <c r="AE91" s="9" t="n">
        <v>10.812</v>
      </c>
      <c r="AF91" s="9" t="n">
        <v>4.48177687726999</v>
      </c>
      <c r="AG91" s="9" t="n">
        <v>3.9455021556</v>
      </c>
      <c r="AH91" s="9" t="n">
        <v>4.12311921566812</v>
      </c>
      <c r="AI91" s="9" t="n">
        <v>4.23797753667602</v>
      </c>
      <c r="AJ91" s="9" t="n">
        <v>25.095665608123</v>
      </c>
      <c r="AK91" s="9" t="n">
        <v>15.754741006622</v>
      </c>
      <c r="AL91" s="9" t="n">
        <v>14.5404800712</v>
      </c>
      <c r="AM91" s="9" t="n">
        <v>15.1950576687715</v>
      </c>
      <c r="AN91" s="9" t="n">
        <v>15.6183485609729</v>
      </c>
      <c r="AO91" s="9" t="n">
        <v>15.3805133239387</v>
      </c>
      <c r="AP91" s="9" t="n">
        <v>14.06661353</v>
      </c>
      <c r="AQ91" s="9" t="n">
        <v>14.6998587904967</v>
      </c>
      <c r="AR91" s="9" t="n">
        <v>15.1093548568034</v>
      </c>
      <c r="AS91" s="9" t="n">
        <v>14.1830309905972</v>
      </c>
      <c r="AT91" s="9" t="n">
        <v>12.0462107184</v>
      </c>
      <c r="AU91" s="9" t="n">
        <v>13.7072534699512</v>
      </c>
      <c r="AV91" s="9" t="n">
        <v>15.0767408291751</v>
      </c>
      <c r="AW91" s="9" t="n">
        <v>40.013285104932</v>
      </c>
      <c r="AX91" s="9" t="n">
        <v>34.4408931288</v>
      </c>
      <c r="AY91" s="9" t="n">
        <v>38.6825833118428</v>
      </c>
      <c r="AZ91" s="9" t="n">
        <v>42.5447702607058</v>
      </c>
      <c r="BA91" s="9" t="n">
        <v>8.3869689493191</v>
      </c>
      <c r="BB91" s="9" t="n">
        <v>9.25780258970601</v>
      </c>
      <c r="BC91" s="9" t="n">
        <v>7.16854809506869</v>
      </c>
      <c r="BD91" s="9" t="n">
        <v>8.55986162154174</v>
      </c>
      <c r="BE91" s="9" t="n">
        <v>0</v>
      </c>
      <c r="BF91" s="9" t="n">
        <v>0</v>
      </c>
      <c r="BG91" s="9" t="n">
        <v>0</v>
      </c>
      <c r="BH91" s="9" t="n">
        <v>0</v>
      </c>
      <c r="BI91" s="9" t="n">
        <v>4.33716296336398</v>
      </c>
      <c r="BJ91" s="9" t="n">
        <v>3.91019615975025</v>
      </c>
      <c r="BK91" s="9" t="n">
        <v>4.08622382842069</v>
      </c>
      <c r="BL91" s="9" t="n">
        <v>4.20005434935527</v>
      </c>
      <c r="BM91" s="9" t="n">
        <v>4.07122460229876</v>
      </c>
      <c r="BN91" s="9" t="n">
        <v>3.5896618368</v>
      </c>
      <c r="BO91" s="9" t="n">
        <v>3.75125981772778</v>
      </c>
      <c r="BP91" s="9" t="n">
        <v>3.85575919836448</v>
      </c>
      <c r="BQ91" s="9" t="n">
        <v>2.81554995931318</v>
      </c>
      <c r="BR91" s="9" t="n">
        <v>8.37169833499481</v>
      </c>
      <c r="BS91" s="9" t="n">
        <v>8.0449362</v>
      </c>
      <c r="BT91" s="9" t="n">
        <v>8.4070999652007</v>
      </c>
      <c r="BU91" s="9" t="n">
        <v>8.64129774994558</v>
      </c>
      <c r="BV91" s="9" t="n">
        <v>34.257903475675</v>
      </c>
      <c r="BW91" s="9" t="n">
        <v>35.8908992831946</v>
      </c>
      <c r="BX91" s="9" t="n">
        <v>31.1249594204249</v>
      </c>
      <c r="BY91" s="9" t="n">
        <v>34.6914376802553</v>
      </c>
      <c r="BZ91" s="9" t="n">
        <v>15.0545322487581</v>
      </c>
      <c r="CA91" s="9" t="n">
        <v>1.05836681915034</v>
      </c>
      <c r="CB91" s="9" t="n">
        <v>11.096</v>
      </c>
      <c r="CC91" s="9" t="n">
        <v>6.075</v>
      </c>
      <c r="CD91" s="9" t="n">
        <v>18.175</v>
      </c>
      <c r="CE91" s="9" t="n">
        <v>14</v>
      </c>
      <c r="CF91" s="9" t="n">
        <v>1.53</v>
      </c>
      <c r="CG91" s="9" t="n">
        <v>1.77</v>
      </c>
      <c r="CH91" s="9" t="n">
        <v>0.19</v>
      </c>
      <c r="CI91" s="9" t="n">
        <v>0.05</v>
      </c>
      <c r="CJ91" s="9" t="n">
        <v>0</v>
      </c>
      <c r="CK91" s="9" t="n">
        <v>15.77</v>
      </c>
      <c r="CL91" s="9" t="n">
        <v>0</v>
      </c>
      <c r="CM91" s="9" t="n">
        <v>22.672</v>
      </c>
      <c r="CN91" s="9" t="n">
        <v>19.405</v>
      </c>
      <c r="CO91" s="9" t="n">
        <v>3</v>
      </c>
      <c r="CP91" s="9" t="n">
        <v>2</v>
      </c>
      <c r="CQ91" s="9" t="n">
        <v>0.5</v>
      </c>
      <c r="CR91" s="9" t="n">
        <v>0.3</v>
      </c>
      <c r="CS91" s="9" t="n">
        <v>0.6</v>
      </c>
      <c r="CT91" s="9" t="n">
        <v>0.8</v>
      </c>
      <c r="CU91" s="9" t="n">
        <v>0.8</v>
      </c>
      <c r="CV91" s="9" t="n">
        <v>0.7</v>
      </c>
      <c r="CW91" s="9" t="n">
        <v>0.5</v>
      </c>
      <c r="CX91" s="9" t="n">
        <v>0.5</v>
      </c>
      <c r="CY91" s="9" t="n">
        <v>1</v>
      </c>
      <c r="CZ91" s="9" t="n">
        <v>0.3</v>
      </c>
      <c r="DA91" s="9" t="n">
        <v>0.8</v>
      </c>
      <c r="DB91" s="9" t="n">
        <v>0.306611333232114</v>
      </c>
      <c r="DC91" s="9" t="n">
        <v>4.374</v>
      </c>
      <c r="DD91" s="9" t="n">
        <v>2.664</v>
      </c>
      <c r="DE91" s="9" t="n">
        <v>2.5928</v>
      </c>
      <c r="DF91" s="9" t="n">
        <v>21.8930108681575</v>
      </c>
      <c r="DG91" s="9" t="n">
        <v>21.4645004509613</v>
      </c>
      <c r="DH91" s="9" t="n">
        <v>15.656114517978</v>
      </c>
      <c r="DI91" s="9" t="n">
        <v>22.0039896529741</v>
      </c>
      <c r="DJ91" s="9" t="n">
        <v>5.97</v>
      </c>
      <c r="DK91" s="9" t="n">
        <v>4.685</v>
      </c>
      <c r="DL91" s="9" t="n">
        <v>15.32496</v>
      </c>
      <c r="DM91" s="9" t="n">
        <v>13.4947462084719</v>
      </c>
      <c r="DN91" s="9" t="n">
        <v>13.4947462084719</v>
      </c>
      <c r="DO91" s="9" t="n">
        <v>0.105</v>
      </c>
    </row>
    <row r="92" customFormat="false" ht="15" hidden="false" customHeight="false" outlineLevel="0" collapsed="false">
      <c r="A92" s="9" t="s">
        <v>886</v>
      </c>
      <c r="B92" s="9" t="s">
        <v>887</v>
      </c>
      <c r="C92" s="9" t="n">
        <v>0.005</v>
      </c>
      <c r="D92" s="9" t="n">
        <v>0.005</v>
      </c>
      <c r="E92" s="9" t="n">
        <v>0.01</v>
      </c>
      <c r="F92" s="9" t="n">
        <v>0.005</v>
      </c>
      <c r="G92" s="9" t="n">
        <v>0.005</v>
      </c>
      <c r="H92" s="9" t="n">
        <v>0.01</v>
      </c>
      <c r="I92" s="9" t="n">
        <v>0.005</v>
      </c>
      <c r="J92" s="9" t="n">
        <v>0.005</v>
      </c>
      <c r="K92" s="9" t="n">
        <v>0.01</v>
      </c>
      <c r="L92" s="9" t="n">
        <v>0.01</v>
      </c>
      <c r="M92" s="9" t="n">
        <v>0.005</v>
      </c>
      <c r="N92" s="9" t="n">
        <v>0.81766</v>
      </c>
      <c r="O92" s="9" t="n">
        <v>1.944396</v>
      </c>
      <c r="P92" s="9" t="n">
        <v>5.321683</v>
      </c>
      <c r="Q92" s="9" t="n">
        <v>2.20403757160106</v>
      </c>
      <c r="R92" s="9" t="n">
        <v>0.617333729104077</v>
      </c>
      <c r="S92" s="9" t="n">
        <v>0.730698150168167</v>
      </c>
      <c r="T92" s="9" t="n">
        <v>0.141041269511849</v>
      </c>
      <c r="U92" s="9" t="n">
        <v>0.043761</v>
      </c>
      <c r="V92" s="9" t="n">
        <v>0.004283</v>
      </c>
      <c r="W92" s="9" t="n">
        <v>0.021654</v>
      </c>
      <c r="X92" s="9" t="n">
        <v>1.34854785939617</v>
      </c>
      <c r="Y92" s="9" t="n">
        <v>1.34854785939617</v>
      </c>
      <c r="Z92" s="9" t="n">
        <v>2.28</v>
      </c>
      <c r="AA92" s="9" t="n">
        <v>1.48</v>
      </c>
      <c r="AB92" s="9" t="n">
        <v>0</v>
      </c>
      <c r="AC92" s="9" t="n">
        <v>0</v>
      </c>
      <c r="AD92" s="9" t="n">
        <v>0</v>
      </c>
      <c r="AE92" s="9" t="n">
        <v>19.274</v>
      </c>
      <c r="AF92" s="9" t="n">
        <v>23.6659232600085</v>
      </c>
      <c r="AG92" s="9" t="n">
        <v>20.640924</v>
      </c>
      <c r="AH92" s="9" t="n">
        <v>21.23721736</v>
      </c>
      <c r="AI92" s="9" t="n">
        <v>21.2844111763556</v>
      </c>
      <c r="AJ92" s="9" t="n">
        <v>41.452249955017</v>
      </c>
      <c r="AK92" s="9" t="n">
        <v>0</v>
      </c>
      <c r="AL92" s="9" t="n">
        <v>0</v>
      </c>
      <c r="AM92" s="9" t="n">
        <v>0</v>
      </c>
      <c r="AN92" s="9" t="n">
        <v>0</v>
      </c>
      <c r="AO92" s="9" t="n">
        <v>63.927803821641</v>
      </c>
      <c r="AP92" s="9" t="n">
        <v>57.19799587</v>
      </c>
      <c r="AQ92" s="9" t="n">
        <v>58.8503824173556</v>
      </c>
      <c r="AR92" s="9" t="n">
        <v>58.9811610449497</v>
      </c>
      <c r="AS92" s="9" t="n">
        <v>35.1750223365029</v>
      </c>
      <c r="AT92" s="9" t="n">
        <v>27.297936</v>
      </c>
      <c r="AU92" s="9" t="n">
        <v>30.3028841341544</v>
      </c>
      <c r="AV92" s="9" t="n">
        <v>32.8632226876901</v>
      </c>
      <c r="AW92" s="9" t="n">
        <v>19.3761446956583</v>
      </c>
      <c r="AX92" s="9" t="n">
        <v>15.239952</v>
      </c>
      <c r="AY92" s="9" t="n">
        <v>16.6923296327185</v>
      </c>
      <c r="AZ92" s="9" t="n">
        <v>18.1026909342292</v>
      </c>
      <c r="BA92" s="9" t="n">
        <v>35.2473575048538</v>
      </c>
      <c r="BB92" s="9" t="n">
        <v>31.4769950507283</v>
      </c>
      <c r="BC92" s="9" t="n">
        <v>32.51476872</v>
      </c>
      <c r="BD92" s="9" t="n">
        <v>32.5225982384828</v>
      </c>
      <c r="BE92" s="9" t="n">
        <v>0</v>
      </c>
      <c r="BF92" s="9" t="n">
        <v>0</v>
      </c>
      <c r="BG92" s="9" t="n">
        <v>0</v>
      </c>
      <c r="BH92" s="9" t="n">
        <v>0</v>
      </c>
      <c r="BI92" s="9" t="n">
        <v>10.1492018166312</v>
      </c>
      <c r="BJ92" s="9" t="n">
        <v>9.03468749999999</v>
      </c>
      <c r="BK92" s="9" t="n">
        <v>9.29568958333332</v>
      </c>
      <c r="BL92" s="9" t="n">
        <v>9.31634667129628</v>
      </c>
      <c r="BM92" s="9" t="n">
        <v>0</v>
      </c>
      <c r="BN92" s="9" t="n">
        <v>0</v>
      </c>
      <c r="BO92" s="9" t="n">
        <v>0</v>
      </c>
      <c r="BP92" s="9" t="n">
        <v>0</v>
      </c>
      <c r="BQ92" s="9" t="n">
        <v>0</v>
      </c>
      <c r="BR92" s="9" t="n">
        <v>0</v>
      </c>
      <c r="BS92" s="9" t="n">
        <v>0</v>
      </c>
      <c r="BT92" s="9" t="n">
        <v>0</v>
      </c>
      <c r="BU92" s="9" t="n">
        <v>0</v>
      </c>
      <c r="BV92" s="9" t="n">
        <v>30.7846411971069</v>
      </c>
      <c r="BW92" s="9" t="n">
        <v>31.1546152970839</v>
      </c>
      <c r="BX92" s="9" t="n">
        <v>27.6915813242755</v>
      </c>
      <c r="BY92" s="9" t="n">
        <v>27.600386950237</v>
      </c>
      <c r="BZ92" s="9" t="n">
        <v>15.1531019533781</v>
      </c>
      <c r="CA92" s="9" t="n">
        <v>-8.18905539202569</v>
      </c>
      <c r="CB92" s="9" t="n">
        <v>5.013</v>
      </c>
      <c r="CC92" s="9" t="n">
        <v>4.022</v>
      </c>
      <c r="CD92" s="9" t="n">
        <v>46.098</v>
      </c>
      <c r="CE92" s="9" t="n">
        <v>5.37</v>
      </c>
      <c r="CF92" s="9" t="n">
        <v>10.05</v>
      </c>
      <c r="CG92" s="9" t="n">
        <v>10.5</v>
      </c>
      <c r="CH92" s="9" t="n">
        <v>0</v>
      </c>
      <c r="CI92" s="9" t="n">
        <v>0.45</v>
      </c>
      <c r="CJ92" s="9" t="n">
        <v>1.89</v>
      </c>
      <c r="CK92" s="9" t="n">
        <v>17.76</v>
      </c>
      <c r="CL92" s="9" t="n">
        <v>0</v>
      </c>
      <c r="CM92" s="9" t="n">
        <v>52.807</v>
      </c>
      <c r="CN92" s="9" t="n">
        <v>84.516</v>
      </c>
      <c r="CO92" s="9" t="n">
        <v>3</v>
      </c>
      <c r="CP92" s="9" t="n">
        <v>2</v>
      </c>
      <c r="CQ92" s="9" t="n">
        <v>0.5</v>
      </c>
      <c r="CR92" s="9" t="n">
        <v>0.3</v>
      </c>
      <c r="CS92" s="9" t="n">
        <v>0.6</v>
      </c>
      <c r="CT92" s="9" t="n">
        <v>0.8</v>
      </c>
      <c r="CU92" s="9" t="n">
        <v>0.8</v>
      </c>
      <c r="CV92" s="9" t="n">
        <v>0.7</v>
      </c>
      <c r="CW92" s="9" t="n">
        <v>0.5</v>
      </c>
      <c r="CX92" s="9" t="n">
        <v>0.5</v>
      </c>
      <c r="CY92" s="9" t="n">
        <v>1</v>
      </c>
      <c r="CZ92" s="9" t="n">
        <v>0.3</v>
      </c>
      <c r="DA92" s="9" t="n">
        <v>0.8</v>
      </c>
      <c r="DB92" s="9" t="n">
        <v>0.331922063334341</v>
      </c>
      <c r="DC92" s="9" t="n">
        <v>7.115</v>
      </c>
      <c r="DD92" s="9" t="n">
        <v>4.826</v>
      </c>
      <c r="DE92" s="9" t="n">
        <v>12.5807</v>
      </c>
      <c r="DF92" s="9" t="n">
        <v>20.1207179799862</v>
      </c>
      <c r="DG92" s="9" t="n">
        <v>22.6481523740239</v>
      </c>
      <c r="DH92" s="9" t="n">
        <v>17.2720586560434</v>
      </c>
      <c r="DI92" s="9" t="n">
        <v>20.8171250426182</v>
      </c>
      <c r="DJ92" s="9" t="n">
        <v>13.543</v>
      </c>
      <c r="DK92" s="9" t="n">
        <v>12.219</v>
      </c>
      <c r="DL92" s="9" t="n">
        <v>23.6324</v>
      </c>
      <c r="DM92" s="9" t="n">
        <v>14.1151698941595</v>
      </c>
      <c r="DN92" s="9" t="n">
        <v>14.1151698941595</v>
      </c>
      <c r="DO92" s="9" t="n">
        <v>0.1</v>
      </c>
    </row>
    <row r="93" customFormat="false" ht="15" hidden="false" customHeight="false" outlineLevel="0" collapsed="false">
      <c r="A93" s="9" t="s">
        <v>1054</v>
      </c>
      <c r="B93" s="9" t="s">
        <v>1055</v>
      </c>
      <c r="C93" s="9" t="n">
        <v>0.005</v>
      </c>
      <c r="D93" s="9" t="n">
        <v>0.005</v>
      </c>
      <c r="E93" s="9" t="n">
        <v>0.01</v>
      </c>
      <c r="F93" s="9" t="n">
        <v>0.005</v>
      </c>
      <c r="G93" s="9" t="n">
        <v>0.005</v>
      </c>
      <c r="H93" s="9" t="n">
        <v>0.01</v>
      </c>
      <c r="I93" s="9" t="n">
        <v>0.005</v>
      </c>
      <c r="J93" s="9" t="n">
        <v>0.005</v>
      </c>
      <c r="K93" s="9" t="n">
        <v>0.01</v>
      </c>
      <c r="L93" s="9" t="n">
        <v>0.01</v>
      </c>
      <c r="M93" s="9" t="n">
        <v>0.005</v>
      </c>
      <c r="N93" s="9" t="n">
        <v>0</v>
      </c>
      <c r="O93" s="9" t="n">
        <v>0</v>
      </c>
      <c r="P93" s="9" t="n">
        <v>0</v>
      </c>
      <c r="Q93" s="9" t="n">
        <v>0</v>
      </c>
      <c r="R93" s="9" t="n">
        <v>0</v>
      </c>
      <c r="S93" s="9" t="n">
        <v>0</v>
      </c>
      <c r="T93" s="9" t="n">
        <v>0</v>
      </c>
      <c r="U93" s="9" t="n">
        <v>0</v>
      </c>
      <c r="V93" s="9" t="n">
        <v>0</v>
      </c>
      <c r="W93" s="9" t="n">
        <v>0</v>
      </c>
      <c r="X93" s="9" t="n">
        <v>0</v>
      </c>
      <c r="Y93" s="9" t="n">
        <v>0</v>
      </c>
      <c r="Z93" s="9" t="n">
        <v>0.08</v>
      </c>
      <c r="AA93" s="9" t="n">
        <v>0</v>
      </c>
      <c r="AB93" s="9" t="n">
        <v>0</v>
      </c>
      <c r="AC93" s="9" t="n">
        <v>0</v>
      </c>
      <c r="AD93" s="9" t="n">
        <v>0</v>
      </c>
      <c r="AE93" s="9" t="n">
        <v>0.096</v>
      </c>
      <c r="AF93" s="9" t="n">
        <v>0</v>
      </c>
      <c r="AG93" s="9" t="n">
        <v>0</v>
      </c>
      <c r="AH93" s="9" t="n">
        <v>0</v>
      </c>
      <c r="AI93" s="9" t="n">
        <v>0</v>
      </c>
      <c r="AJ93" s="9" t="n">
        <v>0</v>
      </c>
      <c r="AK93" s="9" t="n">
        <v>0</v>
      </c>
      <c r="AL93" s="9" t="n">
        <v>0</v>
      </c>
      <c r="AM93" s="9" t="n">
        <v>0</v>
      </c>
      <c r="AN93" s="9" t="n">
        <v>0</v>
      </c>
      <c r="AO93" s="9" t="n">
        <v>1.56743294673895</v>
      </c>
      <c r="AP93" s="9" t="n">
        <v>1.5763261953461</v>
      </c>
      <c r="AQ93" s="9" t="n">
        <v>1.5763261953461</v>
      </c>
      <c r="AR93" s="9" t="n">
        <v>1.5763261953461</v>
      </c>
      <c r="AS93" s="9" t="n">
        <v>0.465942265054287</v>
      </c>
      <c r="AT93" s="9" t="n">
        <v>0.467640008995056</v>
      </c>
      <c r="AU93" s="9" t="n">
        <v>0.449528431338936</v>
      </c>
      <c r="AV93" s="9" t="n">
        <v>0.455148609760876</v>
      </c>
      <c r="AW93" s="9" t="n">
        <v>0.200882293341647</v>
      </c>
      <c r="AX93" s="9" t="n">
        <v>0.197640009887695</v>
      </c>
      <c r="AY93" s="9" t="n">
        <v>0.193805775913283</v>
      </c>
      <c r="AZ93" s="9" t="n">
        <v>0.196228810729103</v>
      </c>
      <c r="BA93" s="9" t="n">
        <v>0.875129405577197</v>
      </c>
      <c r="BB93" s="9" t="n">
        <v>0.763230813469493</v>
      </c>
      <c r="BC93" s="9" t="n">
        <v>0.903003612949234</v>
      </c>
      <c r="BD93" s="9" t="n">
        <v>0.830180814152193</v>
      </c>
      <c r="BE93" s="9" t="n">
        <v>0.0137913313666982</v>
      </c>
      <c r="BF93" s="9" t="n">
        <v>0.0136122315364497</v>
      </c>
      <c r="BG93" s="9" t="n">
        <v>0.0136122315364497</v>
      </c>
      <c r="BH93" s="9" t="n">
        <v>0.0136122315364497</v>
      </c>
      <c r="BI93" s="9" t="n">
        <v>0.0827327990655799</v>
      </c>
      <c r="BJ93" s="9" t="n">
        <v>0.0790288577937988</v>
      </c>
      <c r="BK93" s="9" t="n">
        <v>0.0790288577937988</v>
      </c>
      <c r="BL93" s="9" t="n">
        <v>0.0790288577937988</v>
      </c>
      <c r="BM93" s="9" t="n">
        <v>0</v>
      </c>
      <c r="BN93" s="9" t="n">
        <v>0</v>
      </c>
      <c r="BO93" s="9" t="n">
        <v>0</v>
      </c>
      <c r="BP93" s="9" t="n">
        <v>0</v>
      </c>
      <c r="BQ93" s="9" t="n">
        <v>0</v>
      </c>
      <c r="BR93" s="9" t="n">
        <v>0</v>
      </c>
      <c r="BS93" s="9" t="n">
        <v>0</v>
      </c>
      <c r="BT93" s="9" t="n">
        <v>0</v>
      </c>
      <c r="BU93" s="9" t="n">
        <v>0</v>
      </c>
      <c r="BV93" s="9" t="n">
        <v>3.88386387558338</v>
      </c>
      <c r="BW93" s="9" t="n">
        <v>4.03494939220696</v>
      </c>
      <c r="BX93" s="9" t="n">
        <v>3.96864321740099</v>
      </c>
      <c r="BY93" s="9" t="n">
        <v>3.92051704647688</v>
      </c>
      <c r="BZ93" s="9" t="n">
        <v>0.185229043998871</v>
      </c>
      <c r="CA93" s="9" t="n">
        <v>1.38339920948617</v>
      </c>
      <c r="CB93" s="9" t="n">
        <v>1.495</v>
      </c>
      <c r="CC93" s="9" t="n">
        <v>2.039</v>
      </c>
      <c r="CD93" s="9" t="n">
        <v>1.051</v>
      </c>
      <c r="CE93" s="9" t="n">
        <v>0</v>
      </c>
      <c r="CF93" s="9" t="n">
        <v>0</v>
      </c>
      <c r="CG93" s="9" t="n">
        <v>0.21</v>
      </c>
      <c r="CH93" s="9" t="n">
        <v>0</v>
      </c>
      <c r="CI93" s="9" t="n">
        <v>0.21</v>
      </c>
      <c r="CJ93" s="9" t="n">
        <v>0.01</v>
      </c>
      <c r="CK93" s="9" t="n">
        <v>0.23</v>
      </c>
      <c r="CL93" s="9" t="n">
        <v>0.01</v>
      </c>
      <c r="CM93" s="9" t="n">
        <v>0.146</v>
      </c>
      <c r="CN93" s="9" t="n">
        <v>0.146</v>
      </c>
      <c r="CO93" s="9" t="n">
        <v>3</v>
      </c>
      <c r="CP93" s="9" t="n">
        <v>4</v>
      </c>
      <c r="CQ93" s="9" t="n">
        <v>0.5</v>
      </c>
      <c r="CR93" s="9" t="n">
        <v>0.3</v>
      </c>
      <c r="CS93" s="9" t="n">
        <v>0.6</v>
      </c>
      <c r="CT93" s="9" t="n">
        <v>0.8</v>
      </c>
      <c r="CU93" s="9" t="n">
        <v>0.8</v>
      </c>
      <c r="CV93" s="9" t="n">
        <v>0.7</v>
      </c>
      <c r="CW93" s="9" t="n">
        <v>0.5</v>
      </c>
      <c r="CX93" s="9" t="n">
        <v>0.5</v>
      </c>
      <c r="CY93" s="9" t="n">
        <v>1</v>
      </c>
      <c r="CZ93" s="9" t="n">
        <v>0.3</v>
      </c>
      <c r="DA93" s="9" t="n">
        <v>0.8</v>
      </c>
      <c r="DB93" s="9" t="n">
        <v>0.635429262394196</v>
      </c>
      <c r="DC93" s="9" t="n">
        <v>7.124</v>
      </c>
      <c r="DD93" s="9" t="n">
        <v>5.575</v>
      </c>
      <c r="DE93" s="9" t="n">
        <v>14.26581</v>
      </c>
      <c r="DF93" s="9" t="n">
        <v>18.4495909526135</v>
      </c>
      <c r="DG93" s="9" t="n">
        <v>25.0858027540382</v>
      </c>
      <c r="DH93" s="9" t="n">
        <v>17.485363282268</v>
      </c>
      <c r="DI93" s="9" t="n">
        <v>23.6403942172279</v>
      </c>
      <c r="DJ93" s="9" t="n">
        <v>12.771</v>
      </c>
      <c r="DK93" s="9" t="n">
        <v>11.447</v>
      </c>
      <c r="DL93" s="9" t="n">
        <v>24.23304</v>
      </c>
      <c r="DM93" s="9" t="n">
        <v>13.5558015879107</v>
      </c>
      <c r="DN93" s="9" t="n">
        <v>13.5558015879107</v>
      </c>
      <c r="DO93" s="9" t="n">
        <v>0.105</v>
      </c>
    </row>
    <row r="94" customFormat="false" ht="15" hidden="false" customHeight="false" outlineLevel="0" collapsed="false">
      <c r="A94" s="9" t="s">
        <v>716</v>
      </c>
      <c r="B94" s="9" t="s">
        <v>717</v>
      </c>
      <c r="C94" s="9" t="n">
        <v>0.005</v>
      </c>
      <c r="D94" s="9" t="n">
        <v>0.005</v>
      </c>
      <c r="E94" s="9" t="n">
        <v>0.01</v>
      </c>
      <c r="F94" s="9" t="n">
        <v>0.005</v>
      </c>
      <c r="G94" s="9" t="n">
        <v>0.005</v>
      </c>
      <c r="H94" s="9" t="n">
        <v>0.01</v>
      </c>
      <c r="I94" s="9" t="n">
        <v>0.005</v>
      </c>
      <c r="J94" s="9" t="n">
        <v>0.005</v>
      </c>
      <c r="K94" s="9" t="n">
        <v>0.01</v>
      </c>
      <c r="L94" s="9" t="n">
        <v>0.01</v>
      </c>
      <c r="M94" s="9" t="n">
        <v>0.005</v>
      </c>
      <c r="N94" s="9" t="n">
        <v>5.340783</v>
      </c>
      <c r="O94" s="9" t="n">
        <v>1.902455</v>
      </c>
      <c r="P94" s="9" t="n">
        <v>72.838335</v>
      </c>
      <c r="Q94" s="9" t="n">
        <v>9.06972185957492</v>
      </c>
      <c r="R94" s="9" t="n">
        <v>1.38302429471881</v>
      </c>
      <c r="S94" s="9" t="n">
        <v>9.72639425790321</v>
      </c>
      <c r="T94" s="9" t="n">
        <v>9.90768370046976</v>
      </c>
      <c r="U94" s="9" t="n">
        <v>0.560351</v>
      </c>
      <c r="V94" s="9" t="n">
        <v>0.339071</v>
      </c>
      <c r="W94" s="9" t="n">
        <v>0.627362</v>
      </c>
      <c r="X94" s="9" t="n">
        <v>6.38156731956654</v>
      </c>
      <c r="Y94" s="9" t="n">
        <v>6.38156731956654</v>
      </c>
      <c r="Z94" s="9" t="n">
        <v>95.49</v>
      </c>
      <c r="AA94" s="9" t="n">
        <v>30.35</v>
      </c>
      <c r="AB94" s="9" t="n">
        <v>2.45</v>
      </c>
      <c r="AC94" s="9" t="n">
        <v>3</v>
      </c>
      <c r="AD94" s="9" t="n">
        <v>19.2008765559028</v>
      </c>
      <c r="AE94" s="9" t="n">
        <v>732.861</v>
      </c>
      <c r="AF94" s="9" t="n">
        <v>632.028431216001</v>
      </c>
      <c r="AG94" s="9" t="n">
        <v>494.3453610348</v>
      </c>
      <c r="AH94" s="9" t="n">
        <v>536.6051865437</v>
      </c>
      <c r="AI94" s="9" t="n">
        <v>586.431185866474</v>
      </c>
      <c r="AJ94" s="9" t="n">
        <v>2050.08980641634</v>
      </c>
      <c r="AK94" s="9" t="n">
        <v>9.57671225871435</v>
      </c>
      <c r="AL94" s="9" t="n">
        <v>7.7677574796</v>
      </c>
      <c r="AM94" s="9" t="n">
        <v>8.43179542059777</v>
      </c>
      <c r="AN94" s="9" t="n">
        <v>9.21472231629646</v>
      </c>
      <c r="AO94" s="9" t="n">
        <v>1005.25801458605</v>
      </c>
      <c r="AP94" s="9" t="n">
        <v>807.745685541728</v>
      </c>
      <c r="AQ94" s="9" t="n">
        <v>876.796989381428</v>
      </c>
      <c r="AR94" s="9" t="n">
        <v>958.211197247217</v>
      </c>
      <c r="AS94" s="9" t="n">
        <v>1964.10117002427</v>
      </c>
      <c r="AT94" s="9" t="n">
        <v>1662.2915009472</v>
      </c>
      <c r="AU94" s="9" t="n">
        <v>1834.6970347333</v>
      </c>
      <c r="AV94" s="9" t="n">
        <v>2082.47579259372</v>
      </c>
      <c r="AW94" s="9" t="n">
        <v>314.601234907188</v>
      </c>
      <c r="AX94" s="9" t="n">
        <v>267.1723646964</v>
      </c>
      <c r="AY94" s="9" t="n">
        <v>293.891452727044</v>
      </c>
      <c r="AZ94" s="9" t="n">
        <v>333.604297600163</v>
      </c>
      <c r="BA94" s="9" t="n">
        <v>641.850179421473</v>
      </c>
      <c r="BB94" s="9" t="n">
        <v>539.413407565695</v>
      </c>
      <c r="BC94" s="9" t="n">
        <v>538.690506910703</v>
      </c>
      <c r="BD94" s="9" t="n">
        <v>613.768962163758</v>
      </c>
      <c r="BE94" s="9" t="n">
        <v>149.595862924088</v>
      </c>
      <c r="BF94" s="9" t="n">
        <v>117.630478642162</v>
      </c>
      <c r="BG94" s="9" t="n">
        <v>127.686289607072</v>
      </c>
      <c r="BH94" s="9" t="n">
        <v>139.542486936189</v>
      </c>
      <c r="BI94" s="9" t="n">
        <v>39.116979078059</v>
      </c>
      <c r="BJ94" s="9" t="n">
        <v>32.13234794375</v>
      </c>
      <c r="BK94" s="9" t="n">
        <v>34.8792280084312</v>
      </c>
      <c r="BL94" s="9" t="n">
        <v>38.1179078324575</v>
      </c>
      <c r="BM94" s="9" t="n">
        <v>541.972793122382</v>
      </c>
      <c r="BN94" s="9" t="n">
        <v>407.7509489388</v>
      </c>
      <c r="BO94" s="9" t="n">
        <v>442.608126352525</v>
      </c>
      <c r="BP94" s="9" t="n">
        <v>483.706111904887</v>
      </c>
      <c r="BQ94" s="9" t="n">
        <v>775.972169668723</v>
      </c>
      <c r="BR94" s="9" t="n">
        <v>728.082931141083</v>
      </c>
      <c r="BS94" s="9" t="n">
        <v>579.9647302128</v>
      </c>
      <c r="BT94" s="9" t="n">
        <v>629.543850868053</v>
      </c>
      <c r="BU94" s="9" t="n">
        <v>687.999587550453</v>
      </c>
      <c r="BV94" s="9" t="n">
        <v>1487.98038900452</v>
      </c>
      <c r="BW94" s="9" t="n">
        <v>833.008246034177</v>
      </c>
      <c r="BX94" s="9" t="n">
        <v>1421.4819581852</v>
      </c>
      <c r="BY94" s="9" t="n">
        <v>1454.11084756659</v>
      </c>
      <c r="BZ94" s="9" t="n">
        <v>632.972890258739</v>
      </c>
      <c r="CA94" s="9" t="n">
        <v>0.922644375052339</v>
      </c>
      <c r="CB94" s="9" t="n">
        <v>1.007</v>
      </c>
      <c r="CC94" s="9" t="n">
        <v>1.862</v>
      </c>
      <c r="CD94" s="9" t="n">
        <v>1875.388</v>
      </c>
      <c r="CE94" s="9" t="n">
        <v>208.16</v>
      </c>
      <c r="CF94" s="9" t="n">
        <v>194.53</v>
      </c>
      <c r="CG94" s="9" t="n">
        <v>375.06</v>
      </c>
      <c r="CH94" s="9" t="n">
        <v>174.58</v>
      </c>
      <c r="CI94" s="9" t="n">
        <v>5.95</v>
      </c>
      <c r="CJ94" s="9" t="n">
        <v>37.8</v>
      </c>
      <c r="CK94" s="9" t="n">
        <v>624.66</v>
      </c>
      <c r="CL94" s="9" t="n">
        <v>3.64</v>
      </c>
      <c r="CM94" s="9" t="n">
        <v>825.612</v>
      </c>
      <c r="CN94" s="9" t="n">
        <v>779.825</v>
      </c>
      <c r="CO94" s="9" t="n">
        <v>1</v>
      </c>
      <c r="CP94" s="9" t="n">
        <v>4</v>
      </c>
      <c r="CQ94" s="9" t="n">
        <v>0.5</v>
      </c>
      <c r="CR94" s="9" t="n">
        <v>0.3</v>
      </c>
      <c r="CS94" s="9" t="n">
        <v>0.6</v>
      </c>
      <c r="CT94" s="9" t="n">
        <v>0.8</v>
      </c>
      <c r="CU94" s="9" t="n">
        <v>0.8</v>
      </c>
      <c r="CV94" s="9" t="n">
        <v>0.7</v>
      </c>
      <c r="CW94" s="9" t="n">
        <v>0.5</v>
      </c>
      <c r="CX94" s="9" t="n">
        <v>0.5</v>
      </c>
      <c r="CY94" s="9" t="n">
        <v>1</v>
      </c>
      <c r="CZ94" s="9" t="n">
        <v>0.3</v>
      </c>
      <c r="DA94" s="9" t="n">
        <v>0.8</v>
      </c>
      <c r="DB94" s="9" t="n">
        <v>0.576264061775018</v>
      </c>
      <c r="DC94" s="9" t="n">
        <v>4.883</v>
      </c>
      <c r="DD94" s="9" t="n">
        <v>3.912</v>
      </c>
      <c r="DE94" s="9" t="n">
        <v>9.9803</v>
      </c>
      <c r="DF94" s="9" t="n">
        <v>20.4416172702164</v>
      </c>
      <c r="DG94" s="9" t="n">
        <v>22.6481523740239</v>
      </c>
      <c r="DH94" s="9" t="n">
        <v>18.5058982326751</v>
      </c>
      <c r="DI94" s="9" t="n">
        <v>20.0278602706826</v>
      </c>
      <c r="DJ94" s="9" t="n">
        <v>16.804</v>
      </c>
      <c r="DK94" s="9" t="n">
        <v>14.959</v>
      </c>
      <c r="DL94" s="9" t="n">
        <v>22.9779</v>
      </c>
      <c r="DM94" s="9" t="n">
        <v>14.1400562897815</v>
      </c>
      <c r="DN94" s="9" t="n">
        <v>14.1400562897815</v>
      </c>
      <c r="DO94" s="9" t="n">
        <v>0.055</v>
      </c>
    </row>
    <row r="95" customFormat="false" ht="15" hidden="false" customHeight="false" outlineLevel="0" collapsed="false">
      <c r="A95" s="9" t="s">
        <v>812</v>
      </c>
      <c r="B95" s="9" t="s">
        <v>813</v>
      </c>
      <c r="C95" s="9" t="n">
        <v>0.005</v>
      </c>
      <c r="D95" s="9" t="n">
        <v>0.005</v>
      </c>
      <c r="E95" s="9" t="n">
        <v>0.01</v>
      </c>
      <c r="F95" s="9" t="n">
        <v>0.005</v>
      </c>
      <c r="G95" s="9" t="n">
        <v>0.005</v>
      </c>
      <c r="H95" s="9" t="n">
        <v>0.01</v>
      </c>
      <c r="I95" s="9" t="n">
        <v>0.005</v>
      </c>
      <c r="J95" s="9" t="n">
        <v>0.005</v>
      </c>
      <c r="K95" s="9" t="n">
        <v>0.01</v>
      </c>
      <c r="L95" s="9" t="n">
        <v>0.01</v>
      </c>
      <c r="M95" s="9" t="n">
        <v>0.005</v>
      </c>
      <c r="N95" s="9" t="n">
        <v>0.222566</v>
      </c>
      <c r="O95" s="9" t="n">
        <v>0.902809</v>
      </c>
      <c r="P95" s="9" t="n">
        <v>16.922039</v>
      </c>
      <c r="Q95" s="9" t="n">
        <v>6.41342757604935</v>
      </c>
      <c r="R95" s="9" t="n">
        <v>1.57164451322772</v>
      </c>
      <c r="S95" s="9" t="n">
        <v>0.987050468595363</v>
      </c>
      <c r="T95" s="9" t="n">
        <v>1.03015208867607</v>
      </c>
      <c r="U95" s="9" t="n">
        <v>0.094092</v>
      </c>
      <c r="V95" s="9" t="n">
        <v>0.094417</v>
      </c>
      <c r="W95" s="9" t="n">
        <v>0.031039</v>
      </c>
      <c r="X95" s="9" t="n">
        <v>2.89652550676111</v>
      </c>
      <c r="Y95" s="9" t="n">
        <v>2.89652550676111</v>
      </c>
      <c r="Z95" s="9" t="n">
        <v>0</v>
      </c>
      <c r="AA95" s="9" t="n">
        <v>0.1</v>
      </c>
      <c r="AB95" s="9" t="n">
        <v>0.01</v>
      </c>
      <c r="AC95" s="9" t="n">
        <v>0</v>
      </c>
      <c r="AD95" s="9" t="n">
        <v>0</v>
      </c>
      <c r="AE95" s="9" t="n">
        <v>109.514</v>
      </c>
      <c r="AF95" s="9" t="n">
        <v>0</v>
      </c>
      <c r="AG95" s="9" t="n">
        <v>0</v>
      </c>
      <c r="AH95" s="9" t="n">
        <v>0</v>
      </c>
      <c r="AI95" s="9" t="n">
        <v>0</v>
      </c>
      <c r="AJ95" s="9" t="n">
        <v>0</v>
      </c>
      <c r="AK95" s="9" t="n">
        <v>0</v>
      </c>
      <c r="AL95" s="9" t="n">
        <v>0</v>
      </c>
      <c r="AM95" s="9" t="n">
        <v>0</v>
      </c>
      <c r="AN95" s="9" t="n">
        <v>0</v>
      </c>
      <c r="AO95" s="9" t="n">
        <v>91.0260949605354</v>
      </c>
      <c r="AP95" s="9" t="n">
        <v>78.53863376</v>
      </c>
      <c r="AQ95" s="9" t="n">
        <v>86.0414939953945</v>
      </c>
      <c r="AR95" s="9" t="n">
        <v>91.0810672151248</v>
      </c>
      <c r="AS95" s="9" t="n">
        <v>140.160073331911</v>
      </c>
      <c r="AT95" s="9" t="n">
        <v>112.5975885696</v>
      </c>
      <c r="AU95" s="9" t="n">
        <v>130.259285821021</v>
      </c>
      <c r="AV95" s="9" t="n">
        <v>139.660769809373</v>
      </c>
      <c r="AW95" s="9" t="n">
        <v>128.759029341882</v>
      </c>
      <c r="AX95" s="9" t="n">
        <v>104.8081769604</v>
      </c>
      <c r="AY95" s="9" t="n">
        <v>119.66360181165</v>
      </c>
      <c r="AZ95" s="9" t="n">
        <v>128.300340676982</v>
      </c>
      <c r="BA95" s="9" t="n">
        <v>167.77127026436</v>
      </c>
      <c r="BB95" s="9" t="n">
        <v>143.905911171803</v>
      </c>
      <c r="BC95" s="9" t="n">
        <v>158.2075703</v>
      </c>
      <c r="BD95" s="9" t="n">
        <v>167.180421371971</v>
      </c>
      <c r="BE95" s="9" t="n">
        <v>6.4579741311546</v>
      </c>
      <c r="BF95" s="9" t="n">
        <v>5.53239942688649</v>
      </c>
      <c r="BG95" s="9" t="n">
        <v>6.06091409131457</v>
      </c>
      <c r="BH95" s="9" t="n">
        <v>6.41591048809156</v>
      </c>
      <c r="BI95" s="9" t="n">
        <v>10.9811404782714</v>
      </c>
      <c r="BJ95" s="9" t="n">
        <v>9.24825179999998</v>
      </c>
      <c r="BK95" s="9" t="n">
        <v>10.1317448957568</v>
      </c>
      <c r="BL95" s="9" t="n">
        <v>10.7251756682226</v>
      </c>
      <c r="BM95" s="9" t="n">
        <v>511.653395972313</v>
      </c>
      <c r="BN95" s="9" t="n">
        <v>434.9138731992</v>
      </c>
      <c r="BO95" s="9" t="n">
        <v>476.461552969377</v>
      </c>
      <c r="BP95" s="9" t="n">
        <v>504.368586786155</v>
      </c>
      <c r="BQ95" s="9" t="n">
        <v>664.164116766859</v>
      </c>
      <c r="BR95" s="9" t="n">
        <v>0</v>
      </c>
      <c r="BS95" s="9" t="n">
        <v>0</v>
      </c>
      <c r="BT95" s="9" t="n">
        <v>0</v>
      </c>
      <c r="BU95" s="9" t="n">
        <v>0</v>
      </c>
      <c r="BV95" s="9" t="n">
        <v>157.612346996438</v>
      </c>
      <c r="BW95" s="9" t="n">
        <v>385.808901979839</v>
      </c>
      <c r="BX95" s="9" t="n">
        <v>206.026272669633</v>
      </c>
      <c r="BY95" s="9" t="n">
        <v>164.569083372032</v>
      </c>
      <c r="BZ95" s="9" t="n">
        <v>74.6997507427203</v>
      </c>
      <c r="CA95" s="9" t="n">
        <v>0.0308046161534014</v>
      </c>
      <c r="CB95" s="9" t="n">
        <v>3.468</v>
      </c>
      <c r="CC95" s="9" t="n">
        <v>-0.561</v>
      </c>
      <c r="CD95" s="9" t="n">
        <v>160.902</v>
      </c>
      <c r="CE95" s="9" t="n">
        <v>0</v>
      </c>
      <c r="CF95" s="9" t="n">
        <v>0</v>
      </c>
      <c r="CG95" s="9" t="n">
        <v>87.15</v>
      </c>
      <c r="CH95" s="9" t="n">
        <v>55.526</v>
      </c>
      <c r="CI95" s="9" t="n">
        <v>31.624</v>
      </c>
      <c r="CJ95" s="9" t="n">
        <v>0.21</v>
      </c>
      <c r="CK95" s="9" t="n">
        <v>89.22</v>
      </c>
      <c r="CL95" s="9" t="n">
        <v>1.86</v>
      </c>
      <c r="CM95" s="9" t="n">
        <v>170.715</v>
      </c>
      <c r="CN95" s="9" t="n">
        <v>170.712</v>
      </c>
      <c r="CO95" s="9" t="n">
        <v>3</v>
      </c>
      <c r="CP95" s="9" t="n">
        <v>4</v>
      </c>
      <c r="CQ95" s="9" t="n">
        <v>0.5</v>
      </c>
      <c r="CR95" s="9" t="n">
        <v>0.3</v>
      </c>
      <c r="CS95" s="9" t="n">
        <v>0.6</v>
      </c>
      <c r="CT95" s="9" t="n">
        <v>0.8</v>
      </c>
      <c r="CU95" s="9" t="n">
        <v>0.8</v>
      </c>
      <c r="CV95" s="9" t="n">
        <v>0.7</v>
      </c>
      <c r="CW95" s="9" t="n">
        <v>0.5</v>
      </c>
      <c r="CX95" s="9" t="n">
        <v>0.5</v>
      </c>
      <c r="CY95" s="9" t="n">
        <v>1</v>
      </c>
      <c r="CZ95" s="9" t="n">
        <v>0.3</v>
      </c>
      <c r="DA95" s="9" t="n">
        <v>0.8</v>
      </c>
      <c r="DB95" s="9" t="n">
        <v>0.618511286056953</v>
      </c>
      <c r="DC95" s="9" t="n">
        <v>7.124</v>
      </c>
      <c r="DD95" s="9" t="n">
        <v>5.575</v>
      </c>
      <c r="DE95" s="9" t="n">
        <v>12.193</v>
      </c>
      <c r="DF95" s="9" t="n">
        <v>19.6808221113768</v>
      </c>
      <c r="DG95" s="9" t="n">
        <v>20.5892294309309</v>
      </c>
      <c r="DH95" s="9" t="n">
        <v>17.2720586560434</v>
      </c>
      <c r="DI95" s="9" t="n">
        <v>19.783016350672</v>
      </c>
      <c r="DJ95" s="9" t="n">
        <v>7.674</v>
      </c>
      <c r="DK95" s="9" t="n">
        <v>6.797</v>
      </c>
      <c r="DL95" s="9" t="n">
        <v>12.937</v>
      </c>
      <c r="DM95" s="9" t="n">
        <v>14.1151698941595</v>
      </c>
      <c r="DN95" s="9" t="n">
        <v>14.1151698941595</v>
      </c>
      <c r="DO95" s="9" t="n">
        <v>0.105</v>
      </c>
    </row>
    <row r="96" customFormat="false" ht="15" hidden="false" customHeight="false" outlineLevel="0" collapsed="false">
      <c r="A96" s="9" t="s">
        <v>972</v>
      </c>
      <c r="B96" s="9" t="s">
        <v>973</v>
      </c>
      <c r="C96" s="9" t="n">
        <v>0.005</v>
      </c>
      <c r="D96" s="9" t="n">
        <v>0.005</v>
      </c>
      <c r="E96" s="9" t="n">
        <v>0.01</v>
      </c>
      <c r="F96" s="9" t="n">
        <v>0.005</v>
      </c>
      <c r="G96" s="9" t="n">
        <v>0.005</v>
      </c>
      <c r="H96" s="9" t="n">
        <v>0.01</v>
      </c>
      <c r="I96" s="9" t="n">
        <v>0.005</v>
      </c>
      <c r="J96" s="9" t="n">
        <v>0.005</v>
      </c>
      <c r="K96" s="9" t="n">
        <v>0.01</v>
      </c>
      <c r="L96" s="9" t="n">
        <v>0.01</v>
      </c>
      <c r="M96" s="9" t="n">
        <v>0.005</v>
      </c>
      <c r="N96" s="9" t="n">
        <v>6.380223</v>
      </c>
      <c r="O96" s="9" t="n">
        <v>2.074593</v>
      </c>
      <c r="P96" s="9" t="n">
        <v>10.750416</v>
      </c>
      <c r="Q96" s="9" t="n">
        <v>4.1360293378315</v>
      </c>
      <c r="R96" s="9" t="n">
        <v>1.09923608239581</v>
      </c>
      <c r="S96" s="9" t="n">
        <v>1.37519495238117</v>
      </c>
      <c r="T96" s="9" t="n">
        <v>0.246589480276905</v>
      </c>
      <c r="U96" s="9" t="n">
        <v>0.18365</v>
      </c>
      <c r="V96" s="9" t="n">
        <v>0.011284</v>
      </c>
      <c r="W96" s="9" t="n">
        <v>0.028667</v>
      </c>
      <c r="X96" s="9" t="n">
        <v>7.39669898680012</v>
      </c>
      <c r="Y96" s="9" t="n">
        <v>7.39669898680012</v>
      </c>
      <c r="Z96" s="9" t="n">
        <v>1.88</v>
      </c>
      <c r="AA96" s="9" t="n">
        <v>0.06</v>
      </c>
      <c r="AB96" s="9" t="n">
        <v>0</v>
      </c>
      <c r="AC96" s="9" t="n">
        <v>0</v>
      </c>
      <c r="AD96" s="9" t="n">
        <v>0</v>
      </c>
      <c r="AE96" s="9" t="n">
        <v>19.593</v>
      </c>
      <c r="AF96" s="9" t="n">
        <v>6.01705440738601</v>
      </c>
      <c r="AG96" s="9" t="n">
        <v>7.5290345172</v>
      </c>
      <c r="AH96" s="9" t="n">
        <v>6.95841624502849</v>
      </c>
      <c r="AI96" s="9" t="n">
        <v>5.90968932416958</v>
      </c>
      <c r="AJ96" s="9" t="n">
        <v>145.967975511775</v>
      </c>
      <c r="AK96" s="9" t="n">
        <v>0</v>
      </c>
      <c r="AL96" s="9" t="n">
        <v>0</v>
      </c>
      <c r="AM96" s="9" t="n">
        <v>0</v>
      </c>
      <c r="AN96" s="9" t="n">
        <v>0</v>
      </c>
      <c r="AO96" s="9" t="n">
        <v>22.177073037366</v>
      </c>
      <c r="AP96" s="9" t="n">
        <v>26.48449139</v>
      </c>
      <c r="AQ96" s="9" t="n">
        <v>24.4772573041715</v>
      </c>
      <c r="AR96" s="9" t="n">
        <v>20.788205402165</v>
      </c>
      <c r="AS96" s="9" t="n">
        <v>28.9006091898415</v>
      </c>
      <c r="AT96" s="9" t="n">
        <v>26.573954544</v>
      </c>
      <c r="AU96" s="9" t="n">
        <v>26.7014664676641</v>
      </c>
      <c r="AV96" s="9" t="n">
        <v>25.2158415089983</v>
      </c>
      <c r="AW96" s="9" t="n">
        <v>9.15734597067576</v>
      </c>
      <c r="AX96" s="9" t="n">
        <v>8.486455194</v>
      </c>
      <c r="AY96" s="9" t="n">
        <v>8.46053329750378</v>
      </c>
      <c r="AZ96" s="9" t="n">
        <v>7.98980336790921</v>
      </c>
      <c r="BA96" s="9" t="n">
        <v>6.1190144842287</v>
      </c>
      <c r="BB96" s="9" t="n">
        <v>6.91692935377072</v>
      </c>
      <c r="BC96" s="9" t="n">
        <v>7.82529009</v>
      </c>
      <c r="BD96" s="9" t="n">
        <v>6.00684875737631</v>
      </c>
      <c r="BE96" s="9" t="n">
        <v>0</v>
      </c>
      <c r="BF96" s="9" t="n">
        <v>0</v>
      </c>
      <c r="BG96" s="9" t="n">
        <v>0</v>
      </c>
      <c r="BH96" s="9" t="n">
        <v>0</v>
      </c>
      <c r="BI96" s="9" t="n">
        <v>0.424285807393155</v>
      </c>
      <c r="BJ96" s="9" t="n">
        <v>0.498620100892857</v>
      </c>
      <c r="BK96" s="9" t="n">
        <v>0.460830163844291</v>
      </c>
      <c r="BL96" s="9" t="n">
        <v>0.391376859852507</v>
      </c>
      <c r="BM96" s="9" t="n">
        <v>0</v>
      </c>
      <c r="BN96" s="9" t="n">
        <v>0</v>
      </c>
      <c r="BO96" s="9" t="n">
        <v>0</v>
      </c>
      <c r="BP96" s="9" t="n">
        <v>0</v>
      </c>
      <c r="BQ96" s="9" t="n">
        <v>0</v>
      </c>
      <c r="BR96" s="9" t="n">
        <v>0</v>
      </c>
      <c r="BS96" s="9" t="n">
        <v>0</v>
      </c>
      <c r="BT96" s="9" t="n">
        <v>0</v>
      </c>
      <c r="BU96" s="9" t="n">
        <v>0</v>
      </c>
      <c r="BV96" s="9" t="n">
        <v>2.76464687564416</v>
      </c>
      <c r="BW96" s="9" t="n">
        <v>3.18854976111655</v>
      </c>
      <c r="BX96" s="9" t="n">
        <v>2.94689264674621</v>
      </c>
      <c r="BY96" s="9" t="n">
        <v>2.5027562883138</v>
      </c>
      <c r="BZ96" s="9" t="n">
        <v>10.5716542112548</v>
      </c>
      <c r="CA96" s="9" t="n">
        <v>1.05817681893833</v>
      </c>
      <c r="CB96" s="9" t="n">
        <v>4.772</v>
      </c>
      <c r="CC96" s="9" t="n">
        <v>4.013</v>
      </c>
      <c r="CD96" s="9" t="n">
        <v>15.792</v>
      </c>
      <c r="CE96" s="9" t="n">
        <v>40.04</v>
      </c>
      <c r="CF96" s="9" t="n">
        <v>12.18</v>
      </c>
      <c r="CG96" s="9" t="n">
        <v>12.18</v>
      </c>
      <c r="CH96" s="9" t="n">
        <v>0</v>
      </c>
      <c r="CI96" s="9" t="n">
        <v>0</v>
      </c>
      <c r="CJ96" s="9" t="n">
        <v>0.09</v>
      </c>
      <c r="CK96" s="9" t="n">
        <v>52.31</v>
      </c>
      <c r="CL96" s="9" t="n">
        <v>0</v>
      </c>
      <c r="CM96" s="9" t="n">
        <v>36.392</v>
      </c>
      <c r="CN96" s="9" t="n">
        <v>53.894</v>
      </c>
      <c r="CO96" s="9" t="n">
        <v>3</v>
      </c>
      <c r="CP96" s="9" t="n">
        <v>2</v>
      </c>
      <c r="CQ96" s="9" t="n">
        <v>0.5</v>
      </c>
      <c r="CR96" s="9" t="n">
        <v>0.3</v>
      </c>
      <c r="CS96" s="9" t="n">
        <v>0.6</v>
      </c>
      <c r="CT96" s="9" t="n">
        <v>0.8</v>
      </c>
      <c r="CU96" s="9" t="n">
        <v>0.8</v>
      </c>
      <c r="CV96" s="9" t="n">
        <v>0.7</v>
      </c>
      <c r="CW96" s="9" t="n">
        <v>0.5</v>
      </c>
      <c r="CX96" s="9" t="n">
        <v>0.5</v>
      </c>
      <c r="CY96" s="9" t="n">
        <v>1</v>
      </c>
      <c r="CZ96" s="9" t="n">
        <v>0.3</v>
      </c>
      <c r="DA96" s="9" t="n">
        <v>0.8</v>
      </c>
      <c r="DB96" s="9" t="n">
        <v>0.210484225678756</v>
      </c>
      <c r="DC96" s="9" t="n">
        <v>3.373</v>
      </c>
      <c r="DD96" s="9" t="n">
        <v>2.049</v>
      </c>
      <c r="DE96" s="9" t="n">
        <v>5.8938</v>
      </c>
      <c r="DF96" s="9" t="n">
        <v>19.6092042968544</v>
      </c>
      <c r="DG96" s="9" t="n">
        <v>24.5354984051926</v>
      </c>
      <c r="DH96" s="9" t="n">
        <v>17.2720586560434</v>
      </c>
      <c r="DI96" s="9" t="n">
        <v>20.5624671948884</v>
      </c>
      <c r="DJ96" s="9" t="n">
        <v>8.18</v>
      </c>
      <c r="DK96" s="9" t="n">
        <v>6.857</v>
      </c>
      <c r="DL96" s="9" t="n">
        <v>17.7342</v>
      </c>
      <c r="DM96" s="9" t="n">
        <v>14.1151698941595</v>
      </c>
      <c r="DN96" s="9" t="n">
        <v>14.1151698941595</v>
      </c>
      <c r="DO96" s="9" t="n">
        <v>0.105</v>
      </c>
    </row>
    <row r="97" customFormat="false" ht="15" hidden="false" customHeight="false" outlineLevel="0" collapsed="false">
      <c r="A97" s="9" t="s">
        <v>922</v>
      </c>
      <c r="B97" s="9" t="s">
        <v>923</v>
      </c>
      <c r="C97" s="9" t="n">
        <v>0.005</v>
      </c>
      <c r="D97" s="9" t="n">
        <v>0.005</v>
      </c>
      <c r="E97" s="9" t="n">
        <v>0.01</v>
      </c>
      <c r="F97" s="9" t="n">
        <v>0.005</v>
      </c>
      <c r="G97" s="9" t="n">
        <v>0.005</v>
      </c>
      <c r="H97" s="9" t="n">
        <v>0.01</v>
      </c>
      <c r="I97" s="9" t="n">
        <v>0.005</v>
      </c>
      <c r="J97" s="9" t="n">
        <v>0.005</v>
      </c>
      <c r="K97" s="9" t="n">
        <v>0.01</v>
      </c>
      <c r="L97" s="9" t="n">
        <v>0.01</v>
      </c>
      <c r="M97" s="9" t="n">
        <v>0.005</v>
      </c>
      <c r="N97" s="9" t="n">
        <v>0</v>
      </c>
      <c r="O97" s="9" t="n">
        <v>0</v>
      </c>
      <c r="P97" s="9" t="n">
        <v>0</v>
      </c>
      <c r="Q97" s="9" t="n">
        <v>0</v>
      </c>
      <c r="R97" s="9" t="n">
        <v>0</v>
      </c>
      <c r="S97" s="9" t="n">
        <v>0</v>
      </c>
      <c r="T97" s="9" t="n">
        <v>0</v>
      </c>
      <c r="U97" s="9" t="n">
        <v>0</v>
      </c>
      <c r="V97" s="9" t="n">
        <v>0</v>
      </c>
      <c r="W97" s="9" t="n">
        <v>0</v>
      </c>
      <c r="X97" s="9" t="n">
        <v>0</v>
      </c>
      <c r="Y97" s="9" t="n">
        <v>0</v>
      </c>
      <c r="Z97" s="9" t="n">
        <v>2.69</v>
      </c>
      <c r="AA97" s="9" t="n">
        <v>1.08</v>
      </c>
      <c r="AB97" s="9" t="n">
        <v>0</v>
      </c>
      <c r="AC97" s="9" t="n">
        <v>0</v>
      </c>
      <c r="AD97" s="9" t="n">
        <v>0</v>
      </c>
      <c r="AE97" s="9" t="n">
        <v>37.724</v>
      </c>
      <c r="AF97" s="9" t="n">
        <v>5.51818678103814</v>
      </c>
      <c r="AG97" s="9" t="n">
        <v>4.3367544288</v>
      </c>
      <c r="AH97" s="9" t="n">
        <v>4.727062327392</v>
      </c>
      <c r="AI97" s="9" t="n">
        <v>5.13448285796964</v>
      </c>
      <c r="AJ97" s="9" t="n">
        <v>0</v>
      </c>
      <c r="AK97" s="9" t="n">
        <v>0</v>
      </c>
      <c r="AL97" s="9" t="n">
        <v>0</v>
      </c>
      <c r="AM97" s="9" t="n">
        <v>0</v>
      </c>
      <c r="AN97" s="9" t="n">
        <v>0</v>
      </c>
      <c r="AO97" s="9" t="n">
        <v>23.0102469939764</v>
      </c>
      <c r="AP97" s="9" t="n">
        <v>17.81060479</v>
      </c>
      <c r="AQ97" s="9" t="n">
        <v>19.4135592211</v>
      </c>
      <c r="AR97" s="9" t="n">
        <v>21.0867934732544</v>
      </c>
      <c r="AS97" s="9" t="n">
        <v>49.3973696930278</v>
      </c>
      <c r="AT97" s="9" t="n">
        <v>22.2899077404</v>
      </c>
      <c r="AU97" s="9" t="n">
        <v>24.7781620382277</v>
      </c>
      <c r="AV97" s="9" t="n">
        <v>50.2242037126887</v>
      </c>
      <c r="AW97" s="9" t="n">
        <v>30.3301955082172</v>
      </c>
      <c r="AX97" s="9" t="n">
        <v>13.7341819404</v>
      </c>
      <c r="AY97" s="9" t="n">
        <v>15.2138970885287</v>
      </c>
      <c r="AZ97" s="9" t="n">
        <v>30.8378751200063</v>
      </c>
      <c r="BA97" s="9" t="n">
        <v>99.6186233358021</v>
      </c>
      <c r="BB97" s="9" t="n">
        <v>100.713421817137</v>
      </c>
      <c r="BC97" s="9" t="n">
        <v>73.01659505</v>
      </c>
      <c r="BD97" s="9" t="n">
        <v>97.2463014525786</v>
      </c>
      <c r="BE97" s="9" t="n">
        <v>0</v>
      </c>
      <c r="BF97" s="9" t="n">
        <v>0</v>
      </c>
      <c r="BG97" s="9" t="n">
        <v>0</v>
      </c>
      <c r="BH97" s="9" t="n">
        <v>0</v>
      </c>
      <c r="BI97" s="9" t="n">
        <v>11.976894854864</v>
      </c>
      <c r="BJ97" s="9" t="n">
        <v>9.83744540999998</v>
      </c>
      <c r="BK97" s="9" t="n">
        <v>10.7228154969</v>
      </c>
      <c r="BL97" s="9" t="n">
        <v>11.6470036874635</v>
      </c>
      <c r="BM97" s="9" t="n">
        <v>0</v>
      </c>
      <c r="BN97" s="9" t="n">
        <v>0</v>
      </c>
      <c r="BO97" s="9" t="n">
        <v>0</v>
      </c>
      <c r="BP97" s="9" t="n">
        <v>0</v>
      </c>
      <c r="BQ97" s="9" t="n">
        <v>0</v>
      </c>
      <c r="BR97" s="9" t="n">
        <v>0</v>
      </c>
      <c r="BS97" s="9" t="n">
        <v>0</v>
      </c>
      <c r="BT97" s="9" t="n">
        <v>0</v>
      </c>
      <c r="BU97" s="9" t="n">
        <v>0</v>
      </c>
      <c r="BV97" s="9" t="n">
        <v>210.406801932672</v>
      </c>
      <c r="BW97" s="9" t="n">
        <v>100.348841784809</v>
      </c>
      <c r="BX97" s="9" t="n">
        <v>101.757933712614</v>
      </c>
      <c r="BY97" s="9" t="n">
        <v>213.430484612316</v>
      </c>
      <c r="BZ97" s="9" t="n">
        <v>22.1465458892347</v>
      </c>
      <c r="CA97" s="9" t="n">
        <v>11.511964010171</v>
      </c>
      <c r="CB97" s="9" t="n">
        <v>4</v>
      </c>
      <c r="CC97" s="9" t="n">
        <v>3</v>
      </c>
      <c r="CD97" s="9" t="n">
        <v>29.339</v>
      </c>
      <c r="CE97" s="9" t="n">
        <v>0.73</v>
      </c>
      <c r="CF97" s="9" t="n">
        <v>0</v>
      </c>
      <c r="CG97" s="9" t="n">
        <v>3</v>
      </c>
      <c r="CH97" s="9" t="n">
        <v>0</v>
      </c>
      <c r="CI97" s="9" t="n">
        <v>3</v>
      </c>
      <c r="CJ97" s="9" t="n">
        <v>1.6</v>
      </c>
      <c r="CK97" s="9" t="n">
        <v>5.34</v>
      </c>
      <c r="CL97" s="9" t="n">
        <v>0.01</v>
      </c>
      <c r="CM97" s="9" t="n">
        <v>46.29</v>
      </c>
      <c r="CN97" s="9" t="n">
        <v>46.211</v>
      </c>
      <c r="CO97" s="9" t="n">
        <v>3</v>
      </c>
      <c r="CP97" s="9" t="n">
        <v>3</v>
      </c>
      <c r="CQ97" s="9" t="n">
        <v>0.5</v>
      </c>
      <c r="CR97" s="9" t="n">
        <v>0.3</v>
      </c>
      <c r="CS97" s="9" t="n">
        <v>0.6</v>
      </c>
      <c r="CT97" s="9" t="n">
        <v>0.8</v>
      </c>
      <c r="CU97" s="9" t="n">
        <v>0.8</v>
      </c>
      <c r="CV97" s="9" t="n">
        <v>0.7</v>
      </c>
      <c r="CW97" s="9" t="n">
        <v>0.5</v>
      </c>
      <c r="CX97" s="9" t="n">
        <v>0.5</v>
      </c>
      <c r="CY97" s="9" t="n">
        <v>1</v>
      </c>
      <c r="CZ97" s="9" t="n">
        <v>0.3</v>
      </c>
      <c r="DA97" s="9" t="n">
        <v>0.8</v>
      </c>
      <c r="DB97" s="9" t="n">
        <v>0.447056851600713</v>
      </c>
      <c r="DC97" s="9" t="n">
        <v>7.124</v>
      </c>
      <c r="DD97" s="9" t="n">
        <v>5.575</v>
      </c>
      <c r="DE97" s="9" t="n">
        <v>13.53423</v>
      </c>
      <c r="DF97" s="9" t="n">
        <v>19.8264441071355</v>
      </c>
      <c r="DG97" s="9" t="n">
        <v>22.8540446683333</v>
      </c>
      <c r="DH97" s="9" t="n">
        <v>17.2720586560434</v>
      </c>
      <c r="DI97" s="9" t="n">
        <v>21.9591481492459</v>
      </c>
      <c r="DJ97" s="9" t="n">
        <v>11.815</v>
      </c>
      <c r="DK97" s="9" t="n">
        <v>10.492</v>
      </c>
      <c r="DL97" s="9" t="n">
        <v>21.93027</v>
      </c>
      <c r="DM97" s="9" t="n">
        <v>14.1151698941595</v>
      </c>
      <c r="DN97" s="9" t="n">
        <v>14.1151698941595</v>
      </c>
      <c r="DO97" s="9" t="n">
        <v>0.2342</v>
      </c>
    </row>
    <row r="98" customFormat="false" ht="15" hidden="false" customHeight="false" outlineLevel="0" collapsed="false">
      <c r="A98" s="9" t="s">
        <v>1008</v>
      </c>
      <c r="B98" s="9" t="s">
        <v>1009</v>
      </c>
      <c r="C98" s="9" t="n">
        <v>0.005</v>
      </c>
      <c r="D98" s="9" t="n">
        <v>0.005</v>
      </c>
      <c r="E98" s="9" t="n">
        <v>0.01</v>
      </c>
      <c r="F98" s="9" t="n">
        <v>0.005</v>
      </c>
      <c r="G98" s="9" t="n">
        <v>0.005</v>
      </c>
      <c r="H98" s="9" t="n">
        <v>0.01</v>
      </c>
      <c r="I98" s="9" t="n">
        <v>0.005</v>
      </c>
      <c r="J98" s="9" t="n">
        <v>0.005</v>
      </c>
      <c r="K98" s="9" t="n">
        <v>0.01</v>
      </c>
      <c r="L98" s="9" t="n">
        <v>0.01</v>
      </c>
      <c r="M98" s="9" t="n">
        <v>0.005</v>
      </c>
      <c r="N98" s="9" t="n">
        <v>0.014836</v>
      </c>
      <c r="O98" s="9" t="n">
        <v>0.019383</v>
      </c>
      <c r="P98" s="9" t="n">
        <v>0.243868</v>
      </c>
      <c r="Q98" s="9" t="n">
        <v>0.0701967197378536</v>
      </c>
      <c r="R98" s="9" t="n">
        <v>0.0152989413132611</v>
      </c>
      <c r="S98" s="9" t="n">
        <v>0.0249014342587128</v>
      </c>
      <c r="T98" s="9" t="n">
        <v>0.008339899049793</v>
      </c>
      <c r="U98" s="9" t="n">
        <v>0.00079</v>
      </c>
      <c r="V98" s="9" t="n">
        <v>7.2E-005</v>
      </c>
      <c r="W98" s="9" t="n">
        <v>0.000818</v>
      </c>
      <c r="X98" s="9" t="n">
        <v>0.105986812533562</v>
      </c>
      <c r="Y98" s="9" t="n">
        <v>0.105986812533562</v>
      </c>
      <c r="Z98" s="9" t="n">
        <v>0.1</v>
      </c>
      <c r="AA98" s="9" t="n">
        <v>0</v>
      </c>
      <c r="AB98" s="9" t="n">
        <v>0</v>
      </c>
      <c r="AC98" s="9" t="n">
        <v>0</v>
      </c>
      <c r="AD98" s="9" t="n">
        <v>0</v>
      </c>
      <c r="AE98" s="9" t="n">
        <v>1.724</v>
      </c>
      <c r="AF98" s="9" t="n">
        <v>0</v>
      </c>
      <c r="AG98" s="9" t="n">
        <v>0</v>
      </c>
      <c r="AH98" s="9" t="n">
        <v>0</v>
      </c>
      <c r="AI98" s="9" t="n">
        <v>0</v>
      </c>
      <c r="AJ98" s="9" t="n">
        <v>0</v>
      </c>
      <c r="AK98" s="9" t="n">
        <v>0</v>
      </c>
      <c r="AL98" s="9" t="n">
        <v>0</v>
      </c>
      <c r="AM98" s="9" t="n">
        <v>0</v>
      </c>
      <c r="AN98" s="9" t="n">
        <v>0</v>
      </c>
      <c r="AO98" s="9" t="n">
        <v>1.93646922094736</v>
      </c>
      <c r="AP98" s="9" t="n">
        <v>1.7897166</v>
      </c>
      <c r="AQ98" s="9" t="n">
        <v>1.91367965454546</v>
      </c>
      <c r="AR98" s="9" t="n">
        <v>1.86447074914286</v>
      </c>
      <c r="AS98" s="9" t="n">
        <v>0</v>
      </c>
      <c r="AT98" s="9" t="n">
        <v>0</v>
      </c>
      <c r="AU98" s="9" t="n">
        <v>0</v>
      </c>
      <c r="AV98" s="9" t="n">
        <v>0</v>
      </c>
      <c r="AW98" s="9" t="n">
        <v>1.36042268140717</v>
      </c>
      <c r="AX98" s="9" t="n">
        <v>1.1410453512</v>
      </c>
      <c r="AY98" s="9" t="n">
        <v>1.36519164104791</v>
      </c>
      <c r="AZ98" s="9" t="n">
        <v>1.41749155951717</v>
      </c>
      <c r="BA98" s="9" t="n">
        <v>3.3158912359283</v>
      </c>
      <c r="BB98" s="9" t="n">
        <v>2.04253487007101</v>
      </c>
      <c r="BC98" s="9" t="n">
        <v>4.28919410705563</v>
      </c>
      <c r="BD98" s="9" t="n">
        <v>2.98195718564626</v>
      </c>
      <c r="BE98" s="9" t="n">
        <v>0</v>
      </c>
      <c r="BF98" s="9" t="n">
        <v>0</v>
      </c>
      <c r="BG98" s="9" t="n">
        <v>0</v>
      </c>
      <c r="BH98" s="9" t="n">
        <v>0</v>
      </c>
      <c r="BI98" s="9" t="n">
        <v>0</v>
      </c>
      <c r="BJ98" s="9" t="n">
        <v>0</v>
      </c>
      <c r="BK98" s="9" t="n">
        <v>0</v>
      </c>
      <c r="BL98" s="9" t="n">
        <v>0</v>
      </c>
      <c r="BM98" s="9" t="n">
        <v>0</v>
      </c>
      <c r="BN98" s="9" t="n">
        <v>0</v>
      </c>
      <c r="BO98" s="9" t="n">
        <v>0</v>
      </c>
      <c r="BP98" s="9" t="n">
        <v>0</v>
      </c>
      <c r="BQ98" s="9" t="n">
        <v>0</v>
      </c>
      <c r="BR98" s="9" t="n">
        <v>0</v>
      </c>
      <c r="BS98" s="9" t="n">
        <v>0</v>
      </c>
      <c r="BT98" s="9" t="n">
        <v>0</v>
      </c>
      <c r="BU98" s="9" t="n">
        <v>0</v>
      </c>
      <c r="BV98" s="9" t="n">
        <v>3.96866378765638</v>
      </c>
      <c r="BW98" s="9" t="n">
        <v>3.68628213210464</v>
      </c>
      <c r="BX98" s="9" t="n">
        <v>4.2676313255555</v>
      </c>
      <c r="BY98" s="9" t="n">
        <v>4.16252625651773</v>
      </c>
      <c r="BZ98" s="9" t="n">
        <v>0.37789518927977</v>
      </c>
      <c r="CA98" s="9" t="n">
        <v>6.72514619883041</v>
      </c>
      <c r="CB98" s="9" t="n">
        <v>5.14</v>
      </c>
      <c r="CC98" s="9" t="n">
        <v>5.111</v>
      </c>
      <c r="CD98" s="9" t="n">
        <v>4.778</v>
      </c>
      <c r="CE98" s="9" t="n">
        <v>0.3</v>
      </c>
      <c r="CF98" s="9" t="n">
        <v>0</v>
      </c>
      <c r="CG98" s="9" t="n">
        <v>0.26</v>
      </c>
      <c r="CH98" s="9" t="n">
        <v>0</v>
      </c>
      <c r="CI98" s="9" t="n">
        <v>0.26</v>
      </c>
      <c r="CJ98" s="9" t="n">
        <v>0.01</v>
      </c>
      <c r="CK98" s="9" t="n">
        <v>0.57</v>
      </c>
      <c r="CL98" s="9" t="n">
        <v>0</v>
      </c>
      <c r="CM98" s="9" t="n">
        <v>5.497</v>
      </c>
      <c r="CN98" s="9" t="n">
        <v>18.246</v>
      </c>
      <c r="CO98" s="9" t="n">
        <v>3</v>
      </c>
      <c r="CP98" s="9" t="n">
        <v>1</v>
      </c>
      <c r="CQ98" s="9" t="n">
        <v>0.5</v>
      </c>
      <c r="CR98" s="9" t="n">
        <v>0.3</v>
      </c>
      <c r="CS98" s="9" t="n">
        <v>0.6</v>
      </c>
      <c r="CT98" s="9" t="n">
        <v>0.8</v>
      </c>
      <c r="CU98" s="9" t="n">
        <v>0.8</v>
      </c>
      <c r="CV98" s="9" t="n">
        <v>0.7</v>
      </c>
      <c r="CW98" s="9" t="n">
        <v>0.5</v>
      </c>
      <c r="CX98" s="9" t="n">
        <v>0.5</v>
      </c>
      <c r="CY98" s="9" t="n">
        <v>1</v>
      </c>
      <c r="CZ98" s="9" t="n">
        <v>0.3</v>
      </c>
      <c r="DA98" s="9" t="n">
        <v>0.8</v>
      </c>
      <c r="DB98" s="9" t="n">
        <v>0.455394586351506</v>
      </c>
      <c r="DC98" s="9" t="n">
        <v>7.124</v>
      </c>
      <c r="DD98" s="9" t="n">
        <v>5.575</v>
      </c>
      <c r="DE98" s="9" t="n">
        <v>13.4123</v>
      </c>
      <c r="DF98" s="9" t="n">
        <v>20.4552651427704</v>
      </c>
      <c r="DG98" s="9" t="n">
        <v>22.7739754427685</v>
      </c>
      <c r="DH98" s="9" t="n">
        <v>15.656114517978</v>
      </c>
      <c r="DI98" s="9" t="n">
        <v>19.8993870350877</v>
      </c>
      <c r="DJ98" s="9" t="n">
        <v>12.815</v>
      </c>
      <c r="DK98" s="9" t="n">
        <v>11.492</v>
      </c>
      <c r="DL98" s="9" t="n">
        <v>22.8327</v>
      </c>
      <c r="DM98" s="9" t="n">
        <v>14.8442202700771</v>
      </c>
      <c r="DN98" s="9" t="n">
        <v>14.8442202700771</v>
      </c>
      <c r="DO98" s="9" t="n">
        <v>0.105</v>
      </c>
    </row>
    <row r="99" customFormat="false" ht="15" hidden="false" customHeight="false" outlineLevel="0" collapsed="false">
      <c r="A99" s="9" t="s">
        <v>874</v>
      </c>
      <c r="B99" s="9" t="s">
        <v>875</v>
      </c>
      <c r="C99" s="9" t="n">
        <v>0.005</v>
      </c>
      <c r="D99" s="9" t="n">
        <v>0.005</v>
      </c>
      <c r="E99" s="9" t="n">
        <v>0.01</v>
      </c>
      <c r="F99" s="9" t="n">
        <v>0.005</v>
      </c>
      <c r="G99" s="9" t="n">
        <v>0.005</v>
      </c>
      <c r="H99" s="9" t="n">
        <v>0.01</v>
      </c>
      <c r="I99" s="9" t="n">
        <v>0.005</v>
      </c>
      <c r="J99" s="9" t="n">
        <v>0.005</v>
      </c>
      <c r="K99" s="9" t="n">
        <v>0.01</v>
      </c>
      <c r="L99" s="9" t="n">
        <v>0.01</v>
      </c>
      <c r="M99" s="9" t="n">
        <v>0.005</v>
      </c>
      <c r="N99" s="9" t="n">
        <v>2.128413</v>
      </c>
      <c r="O99" s="9" t="n">
        <v>0.488677</v>
      </c>
      <c r="P99" s="9" t="n">
        <v>20.190128</v>
      </c>
      <c r="Q99" s="9" t="n">
        <v>5.03788826387532</v>
      </c>
      <c r="R99" s="9" t="n">
        <v>1.19366057625822</v>
      </c>
      <c r="S99" s="9" t="n">
        <v>0.80232950999323</v>
      </c>
      <c r="T99" s="9" t="n">
        <v>0.614398423486849</v>
      </c>
      <c r="U99" s="9" t="n">
        <v>0.111822</v>
      </c>
      <c r="V99" s="9" t="n">
        <v>0.018033</v>
      </c>
      <c r="W99" s="9" t="n">
        <v>0.063475</v>
      </c>
      <c r="X99" s="9" t="n">
        <v>1.70031080561295</v>
      </c>
      <c r="Y99" s="9" t="n">
        <v>1.70031080561295</v>
      </c>
      <c r="Z99" s="9" t="n">
        <v>14.27</v>
      </c>
      <c r="AA99" s="9" t="n">
        <v>0.01</v>
      </c>
      <c r="AB99" s="9" t="n">
        <v>0</v>
      </c>
      <c r="AC99" s="9" t="n">
        <v>3</v>
      </c>
      <c r="AD99" s="9" t="n">
        <v>0.037646322831845</v>
      </c>
      <c r="AE99" s="9" t="n">
        <v>76.575</v>
      </c>
      <c r="AF99" s="9" t="n">
        <v>0</v>
      </c>
      <c r="AG99" s="9" t="n">
        <v>0</v>
      </c>
      <c r="AH99" s="9" t="n">
        <v>0</v>
      </c>
      <c r="AI99" s="9" t="n">
        <v>0</v>
      </c>
      <c r="AJ99" s="9" t="n">
        <v>0</v>
      </c>
      <c r="AK99" s="9" t="n">
        <v>0</v>
      </c>
      <c r="AL99" s="9" t="n">
        <v>0</v>
      </c>
      <c r="AM99" s="9" t="n">
        <v>0</v>
      </c>
      <c r="AN99" s="9" t="n">
        <v>0</v>
      </c>
      <c r="AO99" s="9" t="n">
        <v>41.9953578232085</v>
      </c>
      <c r="AP99" s="9" t="n">
        <v>41.48779618</v>
      </c>
      <c r="AQ99" s="9" t="n">
        <v>42.4097472062222</v>
      </c>
      <c r="AR99" s="9" t="n">
        <v>40.1817629172287</v>
      </c>
      <c r="AS99" s="9" t="n">
        <v>69.9527105403513</v>
      </c>
      <c r="AT99" s="9" t="n">
        <v>46.94480901</v>
      </c>
      <c r="AU99" s="9" t="n">
        <v>66.2297954274292</v>
      </c>
      <c r="AV99" s="9" t="n">
        <v>66.8761246700045</v>
      </c>
      <c r="AW99" s="9" t="n">
        <v>75.5964002940867</v>
      </c>
      <c r="AX99" s="9" t="n">
        <v>52.7183475948</v>
      </c>
      <c r="AY99" s="9" t="n">
        <v>71.5731254422134</v>
      </c>
      <c r="AZ99" s="9" t="n">
        <v>72.2715996509478</v>
      </c>
      <c r="BA99" s="9" t="n">
        <v>199.204278317592</v>
      </c>
      <c r="BB99" s="9" t="n">
        <v>194.542077327347</v>
      </c>
      <c r="BC99" s="9" t="n">
        <v>207.41144841</v>
      </c>
      <c r="BD99" s="9" t="n">
        <v>192.423938169382</v>
      </c>
      <c r="BE99" s="9" t="n">
        <v>3.56403402575025</v>
      </c>
      <c r="BF99" s="9" t="n">
        <v>3.50747445351934</v>
      </c>
      <c r="BG99" s="9" t="n">
        <v>3.58541833026421</v>
      </c>
      <c r="BH99" s="9" t="n">
        <v>3.39705937423332</v>
      </c>
      <c r="BI99" s="9" t="n">
        <v>13.1839398882216</v>
      </c>
      <c r="BJ99" s="9" t="n">
        <v>13.03244611</v>
      </c>
      <c r="BK99" s="9" t="n">
        <v>13.3220560235555</v>
      </c>
      <c r="BL99" s="9" t="n">
        <v>12.6221855109292</v>
      </c>
      <c r="BM99" s="9" t="n">
        <v>46.3669744842203</v>
      </c>
      <c r="BN99" s="9" t="n">
        <v>45.2888333136</v>
      </c>
      <c r="BO99" s="9" t="n">
        <v>46.29525183168</v>
      </c>
      <c r="BP99" s="9" t="n">
        <v>43.8631436364949</v>
      </c>
      <c r="BQ99" s="9" t="n">
        <v>225.307141150133</v>
      </c>
      <c r="BR99" s="9" t="n">
        <v>0</v>
      </c>
      <c r="BS99" s="9" t="n">
        <v>0</v>
      </c>
      <c r="BT99" s="9" t="n">
        <v>0</v>
      </c>
      <c r="BU99" s="9" t="n">
        <v>0</v>
      </c>
      <c r="BV99" s="9" t="n">
        <v>254.687505775452</v>
      </c>
      <c r="BW99" s="9" t="n">
        <v>97.9593617605069</v>
      </c>
      <c r="BX99" s="9" t="n">
        <v>252.009191782989</v>
      </c>
      <c r="BY99" s="9" t="n">
        <v>249.729497577384</v>
      </c>
      <c r="BZ99" s="9" t="n">
        <v>40.4303085651217</v>
      </c>
      <c r="CA99" s="9" t="n">
        <v>5.53992327789743E-005</v>
      </c>
      <c r="CB99" s="9" t="n">
        <v>15.871</v>
      </c>
      <c r="CC99" s="9" t="n">
        <v>6.72</v>
      </c>
      <c r="CD99" s="9" t="n">
        <v>49.349</v>
      </c>
      <c r="CE99" s="9" t="n">
        <v>0</v>
      </c>
      <c r="CF99" s="9" t="n">
        <v>0</v>
      </c>
      <c r="CG99" s="9" t="n">
        <v>34.58</v>
      </c>
      <c r="CH99" s="9" t="n">
        <v>25.78</v>
      </c>
      <c r="CI99" s="9" t="n">
        <v>8.8</v>
      </c>
      <c r="CJ99" s="9" t="n">
        <v>0.01</v>
      </c>
      <c r="CK99" s="9" t="n">
        <v>34.59</v>
      </c>
      <c r="CL99" s="9" t="n">
        <v>0</v>
      </c>
      <c r="CM99" s="9" t="n">
        <v>108.974</v>
      </c>
      <c r="CN99" s="9" t="n">
        <v>108.974</v>
      </c>
      <c r="CO99" s="9" t="n">
        <v>3</v>
      </c>
      <c r="CP99" s="9" t="n">
        <v>3</v>
      </c>
      <c r="CQ99" s="9" t="n">
        <v>0.5</v>
      </c>
      <c r="CR99" s="9" t="n">
        <v>0.3</v>
      </c>
      <c r="CS99" s="9" t="n">
        <v>0.6</v>
      </c>
      <c r="CT99" s="9" t="n">
        <v>0.8</v>
      </c>
      <c r="CU99" s="9" t="n">
        <v>0.8</v>
      </c>
      <c r="CV99" s="9" t="n">
        <v>0.7</v>
      </c>
      <c r="CW99" s="9" t="n">
        <v>0.5</v>
      </c>
      <c r="CX99" s="9" t="n">
        <v>0.5</v>
      </c>
      <c r="CY99" s="9" t="n">
        <v>1</v>
      </c>
      <c r="CZ99" s="9" t="n">
        <v>0.3</v>
      </c>
      <c r="DA99" s="9" t="n">
        <v>0.8</v>
      </c>
      <c r="DB99" s="9" t="n">
        <v>0.456977497916474</v>
      </c>
      <c r="DC99" s="9" t="n">
        <v>7.124</v>
      </c>
      <c r="DD99" s="9" t="n">
        <v>5.575</v>
      </c>
      <c r="DE99" s="9" t="n">
        <v>12.193</v>
      </c>
      <c r="DF99" s="9" t="n">
        <v>19.6808221113768</v>
      </c>
      <c r="DG99" s="9" t="n">
        <v>20.5892294309309</v>
      </c>
      <c r="DH99" s="9" t="n">
        <v>17.2720586560434</v>
      </c>
      <c r="DI99" s="9" t="n">
        <v>19.783016350672</v>
      </c>
      <c r="DJ99" s="9" t="n">
        <v>8.922</v>
      </c>
      <c r="DK99" s="9" t="n">
        <v>8.26</v>
      </c>
      <c r="DL99" s="9" t="n">
        <v>12.892</v>
      </c>
      <c r="DM99" s="9" t="n">
        <v>14.1151698941595</v>
      </c>
      <c r="DN99" s="9" t="n">
        <v>14.1151698941595</v>
      </c>
      <c r="DO99" s="9" t="n">
        <v>0.105</v>
      </c>
    </row>
    <row r="100" customFormat="false" ht="15" hidden="false" customHeight="false" outlineLevel="0" collapsed="false">
      <c r="A100" s="9" t="s">
        <v>1032</v>
      </c>
      <c r="B100" s="9" t="s">
        <v>1033</v>
      </c>
      <c r="C100" s="9" t="n">
        <v>0.005</v>
      </c>
      <c r="D100" s="9" t="n">
        <v>0.005</v>
      </c>
      <c r="E100" s="9" t="n">
        <v>0.01</v>
      </c>
      <c r="F100" s="9" t="n">
        <v>0.005</v>
      </c>
      <c r="G100" s="9" t="n">
        <v>0.005</v>
      </c>
      <c r="H100" s="9" t="n">
        <v>0.01</v>
      </c>
      <c r="I100" s="9" t="n">
        <v>0.005</v>
      </c>
      <c r="J100" s="9" t="n">
        <v>0.005</v>
      </c>
      <c r="K100" s="9" t="n">
        <v>0.01</v>
      </c>
      <c r="L100" s="9" t="n">
        <v>0.01</v>
      </c>
      <c r="M100" s="9" t="n">
        <v>0.005</v>
      </c>
      <c r="N100" s="9" t="n">
        <v>0.071833</v>
      </c>
      <c r="O100" s="9" t="n">
        <v>0.358802</v>
      </c>
      <c r="P100" s="9" t="n">
        <v>2.026346</v>
      </c>
      <c r="Q100" s="9" t="n">
        <v>1.56773567851511</v>
      </c>
      <c r="R100" s="9" t="n">
        <v>0.240379253606118</v>
      </c>
      <c r="S100" s="9" t="n">
        <v>0.147315825439045</v>
      </c>
      <c r="T100" s="9" t="n">
        <v>0.126107031678499</v>
      </c>
      <c r="U100" s="9" t="n">
        <v>0.009701</v>
      </c>
      <c r="V100" s="9" t="n">
        <v>0.004754</v>
      </c>
      <c r="W100" s="9" t="n">
        <v>0.009226</v>
      </c>
      <c r="X100" s="9" t="n">
        <v>0.34264080083856</v>
      </c>
      <c r="Y100" s="9" t="n">
        <v>0.34264080083856</v>
      </c>
      <c r="Z100" s="9" t="n">
        <v>0.09</v>
      </c>
      <c r="AA100" s="9" t="n">
        <v>0</v>
      </c>
      <c r="AB100" s="9" t="n">
        <v>0</v>
      </c>
      <c r="AC100" s="9" t="n">
        <v>0</v>
      </c>
      <c r="AD100" s="9" t="n">
        <v>0</v>
      </c>
      <c r="AE100" s="9" t="n">
        <v>0.247</v>
      </c>
      <c r="AF100" s="9" t="n">
        <v>0</v>
      </c>
      <c r="AG100" s="9" t="n">
        <v>0</v>
      </c>
      <c r="AH100" s="9" t="n">
        <v>0</v>
      </c>
      <c r="AI100" s="9" t="n">
        <v>0</v>
      </c>
      <c r="AJ100" s="9" t="n">
        <v>0</v>
      </c>
      <c r="AK100" s="9" t="n">
        <v>0</v>
      </c>
      <c r="AL100" s="9" t="n">
        <v>0</v>
      </c>
      <c r="AM100" s="9" t="n">
        <v>0</v>
      </c>
      <c r="AN100" s="9" t="n">
        <v>0</v>
      </c>
      <c r="AO100" s="9" t="n">
        <v>1.20267925177914</v>
      </c>
      <c r="AP100" s="9" t="n">
        <v>1.19740563</v>
      </c>
      <c r="AQ100" s="9" t="n">
        <v>1.204390496175</v>
      </c>
      <c r="AR100" s="9" t="n">
        <v>1.18231000374513</v>
      </c>
      <c r="AS100" s="9" t="n">
        <v>0.878405888791123</v>
      </c>
      <c r="AT100" s="9" t="n">
        <v>0.7753346514</v>
      </c>
      <c r="AU100" s="9" t="n">
        <v>0.875461058015482</v>
      </c>
      <c r="AV100" s="9" t="n">
        <v>0.869873683135697</v>
      </c>
      <c r="AW100" s="9" t="n">
        <v>0.543851514791648</v>
      </c>
      <c r="AX100" s="9" t="n">
        <v>0.49523689404</v>
      </c>
      <c r="AY100" s="9" t="n">
        <v>0.542028268045953</v>
      </c>
      <c r="AZ100" s="9" t="n">
        <v>0.538568930704463</v>
      </c>
      <c r="BA100" s="9" t="n">
        <v>1.93335521783397</v>
      </c>
      <c r="BB100" s="9" t="n">
        <v>1.88727664029686</v>
      </c>
      <c r="BC100" s="9" t="n">
        <v>1.92881622</v>
      </c>
      <c r="BD100" s="9" t="n">
        <v>1.8762366174068</v>
      </c>
      <c r="BE100" s="9" t="n">
        <v>0.144179268537883</v>
      </c>
      <c r="BF100" s="9" t="n">
        <v>0.136707129999999</v>
      </c>
      <c r="BG100" s="9" t="n">
        <v>0.137504588258333</v>
      </c>
      <c r="BH100" s="9" t="n">
        <v>0.13498367080693</v>
      </c>
      <c r="BI100" s="9" t="n">
        <v>0.281799962925467</v>
      </c>
      <c r="BJ100" s="9" t="n">
        <v>0.276539999999999</v>
      </c>
      <c r="BK100" s="9" t="n">
        <v>0.278153149999999</v>
      </c>
      <c r="BL100" s="9" t="n">
        <v>0.273053675583332</v>
      </c>
      <c r="BM100" s="9" t="n">
        <v>0</v>
      </c>
      <c r="BN100" s="9" t="n">
        <v>0</v>
      </c>
      <c r="BO100" s="9" t="n">
        <v>0</v>
      </c>
      <c r="BP100" s="9" t="n">
        <v>0</v>
      </c>
      <c r="BQ100" s="9" t="n">
        <v>0</v>
      </c>
      <c r="BR100" s="9" t="n">
        <v>0</v>
      </c>
      <c r="BS100" s="9" t="n">
        <v>0</v>
      </c>
      <c r="BT100" s="9" t="n">
        <v>0</v>
      </c>
      <c r="BU100" s="9" t="n">
        <v>0</v>
      </c>
      <c r="BV100" s="9" t="n">
        <v>3.33849611664211</v>
      </c>
      <c r="BW100" s="9" t="n">
        <v>3.45547587568402</v>
      </c>
      <c r="BX100" s="9" t="n">
        <v>3.50811966002343</v>
      </c>
      <c r="BY100" s="9" t="n">
        <v>3.41358797902555</v>
      </c>
      <c r="BZ100" s="9" t="n">
        <v>0.395071500995214</v>
      </c>
      <c r="CA100" s="9" t="n">
        <v>0</v>
      </c>
      <c r="CB100" s="9" t="n">
        <v>1.654</v>
      </c>
      <c r="CC100" s="9" t="n">
        <v>1.963</v>
      </c>
      <c r="CD100" s="9" t="n">
        <v>2.574</v>
      </c>
      <c r="CE100" s="9" t="n">
        <v>0</v>
      </c>
      <c r="CF100" s="9" t="n">
        <v>0</v>
      </c>
      <c r="CG100" s="9" t="n">
        <v>0.39</v>
      </c>
      <c r="CH100" s="9" t="n">
        <v>0</v>
      </c>
      <c r="CI100" s="9" t="n">
        <v>0.39</v>
      </c>
      <c r="CJ100" s="9" t="n">
        <v>0.01</v>
      </c>
      <c r="CK100" s="9" t="n">
        <v>0.4</v>
      </c>
      <c r="CL100" s="9" t="n">
        <v>0</v>
      </c>
      <c r="CM100" s="9" t="n">
        <v>0.427</v>
      </c>
      <c r="CN100" s="9" t="n">
        <v>0.281</v>
      </c>
      <c r="CO100" s="9" t="n">
        <v>3</v>
      </c>
      <c r="CP100" s="9" t="n">
        <v>3</v>
      </c>
      <c r="CQ100" s="9" t="n">
        <v>0.5</v>
      </c>
      <c r="CR100" s="9" t="n">
        <v>0.3</v>
      </c>
      <c r="CS100" s="9" t="n">
        <v>0.6</v>
      </c>
      <c r="CT100" s="9" t="n">
        <v>0.8</v>
      </c>
      <c r="CU100" s="9" t="n">
        <v>0.8</v>
      </c>
      <c r="CV100" s="9" t="n">
        <v>0.7</v>
      </c>
      <c r="CW100" s="9" t="n">
        <v>0.5</v>
      </c>
      <c r="CX100" s="9" t="n">
        <v>0.5</v>
      </c>
      <c r="CY100" s="9" t="n">
        <v>1</v>
      </c>
      <c r="CZ100" s="9" t="n">
        <v>0.3</v>
      </c>
      <c r="DA100" s="9" t="n">
        <v>0.8</v>
      </c>
      <c r="DB100" s="9" t="n">
        <v>0.508193484698914</v>
      </c>
      <c r="DC100" s="9" t="n">
        <v>7.124</v>
      </c>
      <c r="DD100" s="9" t="n">
        <v>5.575</v>
      </c>
      <c r="DE100" s="9" t="n">
        <v>13.717125</v>
      </c>
      <c r="DF100" s="9" t="n">
        <v>17.7368180722501</v>
      </c>
      <c r="DG100" s="9" t="n">
        <v>24.3210272652871</v>
      </c>
      <c r="DH100" s="9" t="n">
        <v>16.9276771184229</v>
      </c>
      <c r="DI100" s="9" t="n">
        <v>22.758110478216</v>
      </c>
      <c r="DJ100" s="9" t="n">
        <v>12.771</v>
      </c>
      <c r="DK100" s="9" t="n">
        <v>11.447</v>
      </c>
      <c r="DL100" s="9" t="n">
        <v>23.301</v>
      </c>
      <c r="DM100" s="9" t="n">
        <v>13.4947464648912</v>
      </c>
      <c r="DN100" s="9" t="n">
        <v>13.4947464648912</v>
      </c>
      <c r="DO100" s="9" t="n">
        <v>0.105</v>
      </c>
    </row>
    <row r="101" customFormat="false" ht="15" hidden="false" customHeight="false" outlineLevel="0" collapsed="false">
      <c r="A101" s="9" t="s">
        <v>840</v>
      </c>
      <c r="B101" s="9" t="s">
        <v>841</v>
      </c>
      <c r="C101" s="9" t="n">
        <v>0.005</v>
      </c>
      <c r="D101" s="9" t="n">
        <v>0.005</v>
      </c>
      <c r="E101" s="9" t="n">
        <v>0.01</v>
      </c>
      <c r="F101" s="9" t="n">
        <v>0.005</v>
      </c>
      <c r="G101" s="9" t="n">
        <v>0.005</v>
      </c>
      <c r="H101" s="9" t="n">
        <v>0.01</v>
      </c>
      <c r="I101" s="9" t="n">
        <v>0.005</v>
      </c>
      <c r="J101" s="9" t="n">
        <v>0.005</v>
      </c>
      <c r="K101" s="9" t="n">
        <v>0.01</v>
      </c>
      <c r="L101" s="9" t="n">
        <v>0.01</v>
      </c>
      <c r="M101" s="9" t="n">
        <v>0.005</v>
      </c>
      <c r="N101" s="9" t="n">
        <v>16.849885</v>
      </c>
      <c r="O101" s="9" t="n">
        <v>2.721099</v>
      </c>
      <c r="P101" s="9" t="n">
        <v>25.60842</v>
      </c>
      <c r="Q101" s="9" t="n">
        <v>12.5423144378672</v>
      </c>
      <c r="R101" s="9" t="n">
        <v>5.36089201692663</v>
      </c>
      <c r="S101" s="9" t="n">
        <v>3.65645773024187</v>
      </c>
      <c r="T101" s="9" t="n">
        <v>1.0587404868142</v>
      </c>
      <c r="U101" s="9" t="n">
        <v>0.115339</v>
      </c>
      <c r="V101" s="9" t="n">
        <v>0.04621</v>
      </c>
      <c r="W101" s="9" t="n">
        <v>0.115123</v>
      </c>
      <c r="X101" s="9" t="n">
        <v>15.651362063274</v>
      </c>
      <c r="Y101" s="9" t="n">
        <v>15.651362063274</v>
      </c>
      <c r="Z101" s="9" t="n">
        <v>0</v>
      </c>
      <c r="AA101" s="9" t="n">
        <v>0</v>
      </c>
      <c r="AB101" s="9" t="n">
        <v>0</v>
      </c>
      <c r="AC101" s="9" t="n">
        <v>0</v>
      </c>
      <c r="AD101" s="9" t="n">
        <v>0</v>
      </c>
      <c r="AE101" s="9" t="n">
        <v>18.369</v>
      </c>
      <c r="AF101" s="9" t="n">
        <v>2.31317826688761</v>
      </c>
      <c r="AG101" s="9" t="n">
        <v>2.3480704836</v>
      </c>
      <c r="AH101" s="9" t="n">
        <v>2.12445498131954</v>
      </c>
      <c r="AI101" s="9" t="n">
        <v>2.15480433819554</v>
      </c>
      <c r="AJ101" s="9" t="n">
        <v>62.8460337919902</v>
      </c>
      <c r="AK101" s="9" t="n">
        <v>0</v>
      </c>
      <c r="AL101" s="9" t="n">
        <v>0</v>
      </c>
      <c r="AM101" s="9" t="n">
        <v>0</v>
      </c>
      <c r="AN101" s="9" t="n">
        <v>0</v>
      </c>
      <c r="AO101" s="9" t="n">
        <v>70.345797537294</v>
      </c>
      <c r="AP101" s="9" t="n">
        <v>75.69503998</v>
      </c>
      <c r="AQ101" s="9" t="n">
        <v>68.4863192437658</v>
      </c>
      <c r="AR101" s="9" t="n">
        <v>69.4646952329624</v>
      </c>
      <c r="AS101" s="9" t="n">
        <v>26.929847330711</v>
      </c>
      <c r="AT101" s="9" t="n">
        <v>33.52621968</v>
      </c>
      <c r="AU101" s="9" t="n">
        <v>25.266921315362</v>
      </c>
      <c r="AV101" s="9" t="n">
        <v>26.4041101313123</v>
      </c>
      <c r="AW101" s="9" t="n">
        <v>18.8469914362458</v>
      </c>
      <c r="AX101" s="9" t="n">
        <v>22.7435182128</v>
      </c>
      <c r="AY101" s="9" t="n">
        <v>17.6831841563341</v>
      </c>
      <c r="AZ101" s="9" t="n">
        <v>18.4790515674042</v>
      </c>
      <c r="BA101" s="9" t="n">
        <v>56.6581642392659</v>
      </c>
      <c r="BB101" s="9" t="n">
        <v>65.1172795598422</v>
      </c>
      <c r="BC101" s="9" t="n">
        <v>53.10062001</v>
      </c>
      <c r="BD101" s="9" t="n">
        <v>56.7317826773535</v>
      </c>
      <c r="BE101" s="9" t="n">
        <v>0</v>
      </c>
      <c r="BF101" s="9" t="n">
        <v>0</v>
      </c>
      <c r="BG101" s="9" t="n">
        <v>0</v>
      </c>
      <c r="BH101" s="9" t="n">
        <v>0</v>
      </c>
      <c r="BI101" s="9" t="n">
        <v>14.2322328141482</v>
      </c>
      <c r="BJ101" s="9" t="n">
        <v>14.9935033712963</v>
      </c>
      <c r="BK101" s="9" t="n">
        <v>13.5656161716856</v>
      </c>
      <c r="BL101" s="9" t="n">
        <v>13.759410688424</v>
      </c>
      <c r="BM101" s="9" t="n">
        <v>0</v>
      </c>
      <c r="BN101" s="9" t="n">
        <v>0</v>
      </c>
      <c r="BO101" s="9" t="n">
        <v>0</v>
      </c>
      <c r="BP101" s="9" t="n">
        <v>0</v>
      </c>
      <c r="BQ101" s="9" t="n">
        <v>0</v>
      </c>
      <c r="BR101" s="9" t="n">
        <v>0</v>
      </c>
      <c r="BS101" s="9" t="n">
        <v>0</v>
      </c>
      <c r="BT101" s="9" t="n">
        <v>0</v>
      </c>
      <c r="BU101" s="9" t="n">
        <v>0</v>
      </c>
      <c r="BV101" s="9" t="n">
        <v>25.253251846823</v>
      </c>
      <c r="BW101" s="9" t="n">
        <v>47.2546457689997</v>
      </c>
      <c r="BX101" s="9" t="n">
        <v>22.8269058482475</v>
      </c>
      <c r="BY101" s="9" t="n">
        <v>23.3463573701578</v>
      </c>
      <c r="BZ101" s="9" t="n">
        <v>12.7157885463769</v>
      </c>
      <c r="CA101" s="9" t="n">
        <v>1.98419352773144</v>
      </c>
      <c r="CB101" s="9" t="n">
        <v>3</v>
      </c>
      <c r="CC101" s="9" t="n">
        <v>3</v>
      </c>
      <c r="CD101" s="9" t="n">
        <v>98.964</v>
      </c>
      <c r="CE101" s="9" t="n">
        <v>6.753</v>
      </c>
      <c r="CF101" s="9" t="n">
        <v>5.145</v>
      </c>
      <c r="CG101" s="9" t="n">
        <v>7.507</v>
      </c>
      <c r="CH101" s="9" t="n">
        <v>0</v>
      </c>
      <c r="CI101" s="9" t="n">
        <v>2.362</v>
      </c>
      <c r="CJ101" s="9" t="n">
        <v>1.984</v>
      </c>
      <c r="CK101" s="9" t="n">
        <v>17.171</v>
      </c>
      <c r="CL101" s="9" t="n">
        <v>0.926</v>
      </c>
      <c r="CM101" s="9" t="n">
        <v>38.496</v>
      </c>
      <c r="CN101" s="9" t="n">
        <v>40.187</v>
      </c>
      <c r="CO101" s="9" t="n">
        <v>3</v>
      </c>
      <c r="CP101" s="9" t="n">
        <v>2</v>
      </c>
      <c r="CQ101" s="9" t="n">
        <v>0.5</v>
      </c>
      <c r="CR101" s="9" t="n">
        <v>0.3</v>
      </c>
      <c r="CS101" s="9" t="n">
        <v>0.6</v>
      </c>
      <c r="CT101" s="9" t="n">
        <v>0.8</v>
      </c>
      <c r="CU101" s="9" t="n">
        <v>0.8</v>
      </c>
      <c r="CV101" s="9" t="n">
        <v>0.7</v>
      </c>
      <c r="CW101" s="9" t="n">
        <v>0.5</v>
      </c>
      <c r="CX101" s="9" t="n">
        <v>0.5</v>
      </c>
      <c r="CY101" s="9" t="n">
        <v>1</v>
      </c>
      <c r="CZ101" s="9" t="n">
        <v>0.3</v>
      </c>
      <c r="DA101" s="9" t="n">
        <v>0.8</v>
      </c>
      <c r="DB101" s="9" t="n">
        <v>0.288439847158708</v>
      </c>
      <c r="DC101" s="9" t="n">
        <v>6.996</v>
      </c>
      <c r="DD101" s="9" t="n">
        <v>4.738</v>
      </c>
      <c r="DE101" s="9" t="n">
        <v>12.14244</v>
      </c>
      <c r="DF101" s="9" t="n">
        <v>19.8628026831342</v>
      </c>
      <c r="DG101" s="9" t="n">
        <v>22.2363677854053</v>
      </c>
      <c r="DH101" s="9" t="n">
        <v>17.2720586560434</v>
      </c>
      <c r="DI101" s="9" t="n">
        <v>20.8808573874498</v>
      </c>
      <c r="DJ101" s="9" t="n">
        <v>6.861</v>
      </c>
      <c r="DK101" s="9" t="n">
        <v>5.537</v>
      </c>
      <c r="DL101" s="9" t="n">
        <v>15.98616</v>
      </c>
      <c r="DM101" s="9" t="n">
        <v>14.1151698941595</v>
      </c>
      <c r="DN101" s="9" t="n">
        <v>14.1151698941595</v>
      </c>
      <c r="DO101" s="9" t="n">
        <v>0.12506</v>
      </c>
    </row>
    <row r="102" customFormat="false" ht="15" hidden="false" customHeight="false" outlineLevel="0" collapsed="false">
      <c r="A102" s="9" t="s">
        <v>1034</v>
      </c>
      <c r="B102" s="9" t="s">
        <v>1035</v>
      </c>
      <c r="C102" s="9" t="n">
        <v>0.005</v>
      </c>
      <c r="D102" s="9" t="n">
        <v>0.005</v>
      </c>
      <c r="E102" s="9" t="n">
        <v>0.01</v>
      </c>
      <c r="F102" s="9" t="n">
        <v>0.005</v>
      </c>
      <c r="G102" s="9" t="n">
        <v>0.005</v>
      </c>
      <c r="H102" s="9" t="n">
        <v>0.01</v>
      </c>
      <c r="I102" s="9" t="n">
        <v>0.005</v>
      </c>
      <c r="J102" s="9" t="n">
        <v>0.005</v>
      </c>
      <c r="K102" s="9" t="n">
        <v>0.01</v>
      </c>
      <c r="L102" s="9" t="n">
        <v>0.01</v>
      </c>
      <c r="M102" s="9" t="n">
        <v>0.005</v>
      </c>
      <c r="N102" s="9" t="n">
        <v>0.00505</v>
      </c>
      <c r="O102" s="9" t="n">
        <v>0.026352</v>
      </c>
      <c r="P102" s="9" t="n">
        <v>0.396714</v>
      </c>
      <c r="Q102" s="9" t="n">
        <v>0.40289377799121</v>
      </c>
      <c r="R102" s="9" t="n">
        <v>0.0864747636099096</v>
      </c>
      <c r="S102" s="9" t="n">
        <v>0.0992083737222124</v>
      </c>
      <c r="T102" s="9" t="n">
        <v>0.0319243577580451</v>
      </c>
      <c r="U102" s="9" t="n">
        <v>0.000193</v>
      </c>
      <c r="V102" s="9" t="n">
        <v>0.000174</v>
      </c>
      <c r="W102" s="9" t="n">
        <v>0.000555</v>
      </c>
      <c r="X102" s="9" t="n">
        <v>0.0071802926174325</v>
      </c>
      <c r="Y102" s="9" t="n">
        <v>0.0071802926174325</v>
      </c>
      <c r="Z102" s="9" t="n">
        <v>0</v>
      </c>
      <c r="AA102" s="9" t="n">
        <v>0</v>
      </c>
      <c r="AB102" s="9" t="n">
        <v>0</v>
      </c>
      <c r="AC102" s="9" t="n">
        <v>0</v>
      </c>
      <c r="AD102" s="9" t="n">
        <v>0</v>
      </c>
      <c r="AE102" s="9" t="n">
        <v>0.818</v>
      </c>
      <c r="AF102" s="9" t="n">
        <v>32.8203704838772</v>
      </c>
      <c r="AG102" s="9" t="n">
        <v>28.373441184</v>
      </c>
      <c r="AH102" s="9" t="n">
        <v>30.9917197023754</v>
      </c>
      <c r="AI102" s="9" t="n">
        <v>30.1549432704113</v>
      </c>
      <c r="AJ102" s="9" t="n">
        <v>0</v>
      </c>
      <c r="AK102" s="9" t="n">
        <v>0</v>
      </c>
      <c r="AL102" s="9" t="n">
        <v>0</v>
      </c>
      <c r="AM102" s="9" t="n">
        <v>0</v>
      </c>
      <c r="AN102" s="9" t="n">
        <v>0</v>
      </c>
      <c r="AO102" s="9" t="n">
        <v>2.63489002637712</v>
      </c>
      <c r="AP102" s="9" t="n">
        <v>2.380749201</v>
      </c>
      <c r="AQ102" s="9" t="n">
        <v>2.60044283809513</v>
      </c>
      <c r="AR102" s="9" t="n">
        <v>2.53023088146656</v>
      </c>
      <c r="AS102" s="9" t="n">
        <v>1.50985845386982</v>
      </c>
      <c r="AT102" s="9" t="n">
        <v>1.30726926761173</v>
      </c>
      <c r="AU102" s="9" t="n">
        <v>1.43258498652261</v>
      </c>
      <c r="AV102" s="9" t="n">
        <v>1.54369412196821</v>
      </c>
      <c r="AW102" s="9" t="n">
        <v>1.35524774490033</v>
      </c>
      <c r="AX102" s="9" t="n">
        <v>1.17427933224</v>
      </c>
      <c r="AY102" s="9" t="n">
        <v>1.28588714219316</v>
      </c>
      <c r="AZ102" s="9" t="n">
        <v>1.38561861361985</v>
      </c>
      <c r="BA102" s="9" t="n">
        <v>4.41669812318757</v>
      </c>
      <c r="BB102" s="9" t="n">
        <v>4.56606452350214</v>
      </c>
      <c r="BC102" s="9" t="n">
        <v>3.930725314</v>
      </c>
      <c r="BD102" s="9" t="n">
        <v>4.30811250839867</v>
      </c>
      <c r="BE102" s="9" t="n">
        <v>1.03924103521123</v>
      </c>
      <c r="BF102" s="9" t="n">
        <v>0.908756645193352</v>
      </c>
      <c r="BG102" s="9" t="n">
        <v>0.992615983477719</v>
      </c>
      <c r="BH102" s="9" t="n">
        <v>0.96581535192382</v>
      </c>
      <c r="BI102" s="9" t="n">
        <v>0.717196727918703</v>
      </c>
      <c r="BJ102" s="9" t="n">
        <v>0.642817229999999</v>
      </c>
      <c r="BK102" s="9" t="n">
        <v>0.702135891195726</v>
      </c>
      <c r="BL102" s="9" t="n">
        <v>0.683178222133441</v>
      </c>
      <c r="BM102" s="9" t="n">
        <v>0</v>
      </c>
      <c r="BN102" s="9" t="n">
        <v>0</v>
      </c>
      <c r="BO102" s="9" t="n">
        <v>0</v>
      </c>
      <c r="BP102" s="9" t="n">
        <v>0</v>
      </c>
      <c r="BQ102" s="9" t="n">
        <v>0</v>
      </c>
      <c r="BR102" s="9" t="n">
        <v>0</v>
      </c>
      <c r="BS102" s="9" t="n">
        <v>0</v>
      </c>
      <c r="BT102" s="9" t="n">
        <v>0</v>
      </c>
      <c r="BU102" s="9" t="n">
        <v>0</v>
      </c>
      <c r="BV102" s="9" t="n">
        <v>2.33962755482261</v>
      </c>
      <c r="BW102" s="9" t="n">
        <v>2.04596982541829</v>
      </c>
      <c r="BX102" s="9" t="n">
        <v>2.23400131694634</v>
      </c>
      <c r="BY102" s="9" t="n">
        <v>2.17403601590846</v>
      </c>
      <c r="BZ102" s="9" t="n">
        <v>0.795862832991708</v>
      </c>
      <c r="CA102" s="9" t="n">
        <v>0</v>
      </c>
      <c r="CB102" s="9" t="n">
        <v>1.385</v>
      </c>
      <c r="CC102" s="9" t="n">
        <v>1.111</v>
      </c>
      <c r="CD102" s="9" t="n">
        <v>2.514</v>
      </c>
      <c r="CE102" s="9" t="n">
        <v>0.175089823258176</v>
      </c>
      <c r="CF102" s="9" t="n">
        <v>0</v>
      </c>
      <c r="CG102" s="9" t="n">
        <v>0.700359293032703</v>
      </c>
      <c r="CH102" s="9" t="n">
        <v>0</v>
      </c>
      <c r="CI102" s="9" t="n">
        <v>0.700359293032703</v>
      </c>
      <c r="CJ102" s="9" t="n">
        <v>0</v>
      </c>
      <c r="CK102" s="9" t="n">
        <v>0.875449116290879</v>
      </c>
      <c r="CL102" s="9" t="n">
        <v>0</v>
      </c>
      <c r="CM102" s="9" t="n">
        <v>3.144</v>
      </c>
      <c r="CN102" s="9" t="n">
        <v>3.144</v>
      </c>
      <c r="CO102" s="9" t="n">
        <v>3</v>
      </c>
      <c r="CP102" s="9" t="n">
        <v>2</v>
      </c>
      <c r="CQ102" s="9" t="n">
        <v>0.5</v>
      </c>
      <c r="CR102" s="9" t="n">
        <v>0.3</v>
      </c>
      <c r="CS102" s="9" t="n">
        <v>0.6</v>
      </c>
      <c r="CT102" s="9" t="n">
        <v>0.8</v>
      </c>
      <c r="CU102" s="9" t="n">
        <v>0.8</v>
      </c>
      <c r="CV102" s="9" t="n">
        <v>0.7</v>
      </c>
      <c r="CW102" s="9" t="n">
        <v>0.5</v>
      </c>
      <c r="CX102" s="9" t="n">
        <v>0.5</v>
      </c>
      <c r="CY102" s="9" t="n">
        <v>1</v>
      </c>
      <c r="CZ102" s="9" t="n">
        <v>0.3</v>
      </c>
      <c r="DA102" s="9" t="n">
        <v>0.8</v>
      </c>
      <c r="DB102" s="9" t="n">
        <v>0.344950603732162</v>
      </c>
      <c r="DC102" s="9" t="n">
        <v>7.124</v>
      </c>
      <c r="DD102" s="9" t="n">
        <v>5.575</v>
      </c>
      <c r="DE102" s="9" t="n">
        <v>14.02195</v>
      </c>
      <c r="DF102" s="9" t="n">
        <v>20.8549681607736</v>
      </c>
      <c r="DG102" s="9" t="n">
        <v>23.8091561447126</v>
      </c>
      <c r="DH102" s="9" t="n">
        <v>17.1531410620143</v>
      </c>
      <c r="DI102" s="9" t="n">
        <v>22.8842950903508</v>
      </c>
      <c r="DJ102" s="9" t="n">
        <v>12.815</v>
      </c>
      <c r="DK102" s="9" t="n">
        <v>11.491</v>
      </c>
      <c r="DL102" s="9" t="n">
        <v>23.8694</v>
      </c>
      <c r="DM102" s="9" t="n">
        <v>13.4947462084719</v>
      </c>
      <c r="DN102" s="9" t="n">
        <v>13.4947462084719</v>
      </c>
      <c r="DO102" s="9" t="n">
        <v>0.105</v>
      </c>
    </row>
    <row r="103" customFormat="false" ht="15" hidden="false" customHeight="false" outlineLevel="0" collapsed="false">
      <c r="A103" s="9" t="s">
        <v>856</v>
      </c>
      <c r="B103" s="9" t="s">
        <v>857</v>
      </c>
      <c r="C103" s="9" t="n">
        <v>0.005</v>
      </c>
      <c r="D103" s="9" t="n">
        <v>0.005</v>
      </c>
      <c r="E103" s="9" t="n">
        <v>0.01</v>
      </c>
      <c r="F103" s="9" t="n">
        <v>0.005</v>
      </c>
      <c r="G103" s="9" t="n">
        <v>0.005</v>
      </c>
      <c r="H103" s="9" t="n">
        <v>0.01</v>
      </c>
      <c r="I103" s="9" t="n">
        <v>0.005</v>
      </c>
      <c r="J103" s="9" t="n">
        <v>0.005</v>
      </c>
      <c r="K103" s="9" t="n">
        <v>0.01</v>
      </c>
      <c r="L103" s="9" t="n">
        <v>0.01</v>
      </c>
      <c r="M103" s="9" t="n">
        <v>0.005</v>
      </c>
      <c r="N103" s="9" t="n">
        <v>7.156577</v>
      </c>
      <c r="O103" s="9" t="n">
        <v>0.280756</v>
      </c>
      <c r="P103" s="9" t="n">
        <v>94.043254</v>
      </c>
      <c r="Q103" s="9" t="n">
        <v>8.0495634959897</v>
      </c>
      <c r="R103" s="9" t="n">
        <v>0.623825055605218</v>
      </c>
      <c r="S103" s="9" t="n">
        <v>10.2564504260762</v>
      </c>
      <c r="T103" s="9" t="n">
        <v>13.031732304066</v>
      </c>
      <c r="U103" s="9" t="n">
        <v>0.234569</v>
      </c>
      <c r="V103" s="9" t="n">
        <v>0.062206</v>
      </c>
      <c r="W103" s="9" t="n">
        <v>0.159509</v>
      </c>
      <c r="X103" s="9" t="n">
        <v>4.00178702529917</v>
      </c>
      <c r="Y103" s="9" t="n">
        <v>4.00178702529917</v>
      </c>
      <c r="Z103" s="9" t="n">
        <v>1.68</v>
      </c>
      <c r="AA103" s="9" t="n">
        <v>3.3</v>
      </c>
      <c r="AB103" s="9" t="n">
        <v>2.51</v>
      </c>
      <c r="AC103" s="9" t="n">
        <v>0</v>
      </c>
      <c r="AD103" s="9" t="n">
        <v>0</v>
      </c>
      <c r="AE103" s="9" t="n">
        <v>15.167</v>
      </c>
      <c r="AF103" s="9" t="n">
        <v>5.25622040607058</v>
      </c>
      <c r="AG103" s="9" t="n">
        <v>4.54006125</v>
      </c>
      <c r="AH103" s="9" t="n">
        <v>4.407642796875</v>
      </c>
      <c r="AI103" s="9" t="n">
        <v>4.4957956528125</v>
      </c>
      <c r="AJ103" s="9" t="n">
        <v>0</v>
      </c>
      <c r="AK103" s="9" t="n">
        <v>3.4080866447506</v>
      </c>
      <c r="AL103" s="9" t="n">
        <v>3.072859992</v>
      </c>
      <c r="AM103" s="9" t="n">
        <v>2.9832349089</v>
      </c>
      <c r="AN103" s="9" t="n">
        <v>3.042899607078</v>
      </c>
      <c r="AO103" s="9" t="n">
        <v>69.3504863669827</v>
      </c>
      <c r="AP103" s="9" t="n">
        <v>68.37836142</v>
      </c>
      <c r="AQ103" s="9" t="n">
        <v>66.38399254525</v>
      </c>
      <c r="AR103" s="9" t="n">
        <v>67.711672396155</v>
      </c>
      <c r="AS103" s="9" t="n">
        <v>24.2124172477851</v>
      </c>
      <c r="AT103" s="9" t="n">
        <v>27.8787623904</v>
      </c>
      <c r="AU103" s="9" t="n">
        <v>27.129404741155</v>
      </c>
      <c r="AV103" s="9" t="n">
        <v>26.185153834006</v>
      </c>
      <c r="AW103" s="9" t="n">
        <v>10.6551158607241</v>
      </c>
      <c r="AX103" s="9" t="n">
        <v>12.2763591144</v>
      </c>
      <c r="AY103" s="9" t="n">
        <v>11.9412212386317</v>
      </c>
      <c r="AZ103" s="9" t="n">
        <v>11.525054720892</v>
      </c>
      <c r="BA103" s="9" t="n">
        <v>10.3138528575708</v>
      </c>
      <c r="BB103" s="9" t="n">
        <v>9.96480884</v>
      </c>
      <c r="BC103" s="9" t="n">
        <v>10.994590440688</v>
      </c>
      <c r="BD103" s="9" t="n">
        <v>9.86765195381</v>
      </c>
      <c r="BE103" s="9" t="n">
        <v>0</v>
      </c>
      <c r="BF103" s="9" t="n">
        <v>0</v>
      </c>
      <c r="BG103" s="9" t="n">
        <v>0</v>
      </c>
      <c r="BH103" s="9" t="n">
        <v>0</v>
      </c>
      <c r="BI103" s="9" t="n">
        <v>1.0994769295183</v>
      </c>
      <c r="BJ103" s="9" t="n">
        <v>1.12786001</v>
      </c>
      <c r="BK103" s="9" t="n">
        <v>1.09496409304167</v>
      </c>
      <c r="BL103" s="9" t="n">
        <v>1.1168633749025</v>
      </c>
      <c r="BM103" s="9" t="n">
        <v>21.7808394299083</v>
      </c>
      <c r="BN103" s="9" t="n">
        <v>16.068603456</v>
      </c>
      <c r="BO103" s="9" t="n">
        <v>15.5999358552</v>
      </c>
      <c r="BP103" s="9" t="n">
        <v>15.911934572304</v>
      </c>
      <c r="BQ103" s="9" t="n">
        <v>7.02995815135477</v>
      </c>
      <c r="BR103" s="9" t="n">
        <v>27.9221183943751</v>
      </c>
      <c r="BS103" s="9" t="n">
        <v>17.1620993196</v>
      </c>
      <c r="BT103" s="9" t="n">
        <v>16.661538089445</v>
      </c>
      <c r="BU103" s="9" t="n">
        <v>16.9947688512339</v>
      </c>
      <c r="BV103" s="9" t="n">
        <v>31.0956492982296</v>
      </c>
      <c r="BW103" s="9" t="n">
        <v>27.8728318048212</v>
      </c>
      <c r="BX103" s="9" t="n">
        <v>29.3492910869111</v>
      </c>
      <c r="BY103" s="9" t="n">
        <v>29.6057423055961</v>
      </c>
      <c r="BZ103" s="9" t="n">
        <v>9.68542586347476</v>
      </c>
      <c r="CA103" s="9" t="n">
        <v>0.945871614188447</v>
      </c>
      <c r="CB103" s="9" t="n">
        <v>2.858</v>
      </c>
      <c r="CC103" s="9" t="n">
        <v>2.912</v>
      </c>
      <c r="CD103" s="9" t="n">
        <v>85.482</v>
      </c>
      <c r="CE103" s="9" t="n">
        <v>1.24</v>
      </c>
      <c r="CF103" s="9" t="n">
        <v>0</v>
      </c>
      <c r="CG103" s="9" t="n">
        <v>1.99</v>
      </c>
      <c r="CH103" s="9" t="n">
        <v>1.48</v>
      </c>
      <c r="CI103" s="9" t="n">
        <v>0.51</v>
      </c>
      <c r="CJ103" s="9" t="n">
        <v>1.67</v>
      </c>
      <c r="CK103" s="9" t="n">
        <v>8.88</v>
      </c>
      <c r="CL103" s="9" t="n">
        <v>3.98</v>
      </c>
      <c r="CM103" s="9" t="n">
        <v>21.85</v>
      </c>
      <c r="CN103" s="9" t="n">
        <v>15.603</v>
      </c>
      <c r="CO103" s="9" t="n">
        <v>1</v>
      </c>
      <c r="CP103" s="9" t="n">
        <v>4</v>
      </c>
      <c r="CQ103" s="9" t="n">
        <v>0.5</v>
      </c>
      <c r="CR103" s="9" t="n">
        <v>0.3</v>
      </c>
      <c r="CS103" s="9" t="n">
        <v>0.6</v>
      </c>
      <c r="CT103" s="9" t="n">
        <v>0.8</v>
      </c>
      <c r="CU103" s="9" t="n">
        <v>0.8</v>
      </c>
      <c r="CV103" s="9" t="n">
        <v>0.7</v>
      </c>
      <c r="CW103" s="9" t="n">
        <v>0.5</v>
      </c>
      <c r="CX103" s="9" t="n">
        <v>0.5</v>
      </c>
      <c r="CY103" s="9" t="n">
        <v>1</v>
      </c>
      <c r="CZ103" s="9" t="n">
        <v>0.3</v>
      </c>
      <c r="DA103" s="9" t="n">
        <v>0.8</v>
      </c>
      <c r="DB103" s="9" t="n">
        <v>0.541001348041542</v>
      </c>
      <c r="DC103" s="9" t="n">
        <v>6.662</v>
      </c>
      <c r="DD103" s="9" t="n">
        <v>5.582</v>
      </c>
      <c r="DE103" s="9" t="n">
        <v>14.26953</v>
      </c>
      <c r="DF103" s="9" t="n">
        <v>22.4819339973868</v>
      </c>
      <c r="DG103" s="9" t="n">
        <v>25.0303262191826</v>
      </c>
      <c r="DH103" s="9" t="n">
        <v>15.656114517978</v>
      </c>
      <c r="DI103" s="9" t="n">
        <v>20.719102136112</v>
      </c>
      <c r="DJ103" s="9" t="n">
        <v>12.917</v>
      </c>
      <c r="DK103" s="9" t="n">
        <v>12.917</v>
      </c>
      <c r="DL103" s="9" t="n">
        <v>22.03652</v>
      </c>
      <c r="DM103" s="9" t="n">
        <v>13.4947462084719</v>
      </c>
      <c r="DN103" s="9" t="n">
        <v>13.4947462084719</v>
      </c>
      <c r="DO103" s="9" t="n">
        <v>0.095</v>
      </c>
    </row>
    <row r="104" customFormat="false" ht="15" hidden="false" customHeight="false" outlineLevel="0" collapsed="false">
      <c r="A104" s="9" t="s">
        <v>854</v>
      </c>
      <c r="B104" s="9" t="s">
        <v>855</v>
      </c>
      <c r="C104" s="9" t="n">
        <v>0.005</v>
      </c>
      <c r="D104" s="9" t="n">
        <v>0.005</v>
      </c>
      <c r="E104" s="9" t="n">
        <v>0.01</v>
      </c>
      <c r="F104" s="9" t="n">
        <v>0.005</v>
      </c>
      <c r="G104" s="9" t="n">
        <v>0.005</v>
      </c>
      <c r="H104" s="9" t="n">
        <v>0.01</v>
      </c>
      <c r="I104" s="9" t="n">
        <v>0.005</v>
      </c>
      <c r="J104" s="9" t="n">
        <v>0.005</v>
      </c>
      <c r="K104" s="9" t="n">
        <v>0.01</v>
      </c>
      <c r="L104" s="9" t="n">
        <v>0.01</v>
      </c>
      <c r="M104" s="9" t="n">
        <v>0.005</v>
      </c>
      <c r="N104" s="9" t="n">
        <v>1.748022</v>
      </c>
      <c r="O104" s="9" t="n">
        <v>0.211374</v>
      </c>
      <c r="P104" s="9" t="n">
        <v>26.726443</v>
      </c>
      <c r="Q104" s="9" t="n">
        <v>0.538621736475937</v>
      </c>
      <c r="R104" s="9" t="n">
        <v>0.186589891717811</v>
      </c>
      <c r="S104" s="9" t="n">
        <v>1.82143395247481</v>
      </c>
      <c r="T104" s="9" t="n">
        <v>1.68147880935084</v>
      </c>
      <c r="U104" s="9" t="n">
        <v>0.129087</v>
      </c>
      <c r="V104" s="9" t="n">
        <v>0.048576</v>
      </c>
      <c r="W104" s="9" t="n">
        <v>0.041763</v>
      </c>
      <c r="X104" s="9" t="n">
        <v>5.52766553479375</v>
      </c>
      <c r="Y104" s="9" t="n">
        <v>5.52766553479375</v>
      </c>
      <c r="Z104" s="9" t="n">
        <v>0.01</v>
      </c>
      <c r="AA104" s="9" t="n">
        <v>0.77</v>
      </c>
      <c r="AB104" s="9" t="n">
        <v>0.23</v>
      </c>
      <c r="AC104" s="9" t="n">
        <v>0</v>
      </c>
      <c r="AD104" s="9" t="n">
        <v>0</v>
      </c>
      <c r="AE104" s="9" t="n">
        <v>7.855</v>
      </c>
      <c r="AF104" s="9" t="n">
        <v>1.6192441977792</v>
      </c>
      <c r="AG104" s="9" t="n">
        <v>1.6361428248</v>
      </c>
      <c r="AH104" s="9" t="n">
        <v>1.45097300986629</v>
      </c>
      <c r="AI104" s="9" t="n">
        <v>1.39148311646177</v>
      </c>
      <c r="AJ104" s="9" t="n">
        <v>0</v>
      </c>
      <c r="AK104" s="9" t="n">
        <v>0.0134688000162528</v>
      </c>
      <c r="AL104" s="9" t="n">
        <v>0.0145784376</v>
      </c>
      <c r="AM104" s="9" t="n">
        <v>0.0129285287097142</v>
      </c>
      <c r="AN104" s="9" t="n">
        <v>0.0123984590326159</v>
      </c>
      <c r="AO104" s="9" t="n">
        <v>47.5823486854524</v>
      </c>
      <c r="AP104" s="9" t="n">
        <v>54.63750363</v>
      </c>
      <c r="AQ104" s="9" t="n">
        <v>48.4539258382238</v>
      </c>
      <c r="AR104" s="9" t="n">
        <v>46.4673148788566</v>
      </c>
      <c r="AS104" s="9" t="n">
        <v>17.9463565482121</v>
      </c>
      <c r="AT104" s="9" t="n">
        <v>19.628304552</v>
      </c>
      <c r="AU104" s="9" t="n">
        <v>17.5712191701676</v>
      </c>
      <c r="AV104" s="9" t="n">
        <v>17.740426916695</v>
      </c>
      <c r="AW104" s="9" t="n">
        <v>3.08949876180397</v>
      </c>
      <c r="AX104" s="9" t="n">
        <v>3.3859782036</v>
      </c>
      <c r="AY104" s="9" t="n">
        <v>3.02280046951822</v>
      </c>
      <c r="AZ104" s="9" t="n">
        <v>3.05377007277635</v>
      </c>
      <c r="BA104" s="9" t="n">
        <v>11.8579686327154</v>
      </c>
      <c r="BB104" s="9" t="n">
        <v>13.58129421</v>
      </c>
      <c r="BC104" s="9" t="n">
        <v>13.7976281</v>
      </c>
      <c r="BD104" s="9" t="n">
        <v>11.5504229254711</v>
      </c>
      <c r="BE104" s="9" t="n">
        <v>0.0328947980235672</v>
      </c>
      <c r="BF104" s="9" t="n">
        <v>0.0368573843847935</v>
      </c>
      <c r="BG104" s="9" t="n">
        <v>0.0326860645329906</v>
      </c>
      <c r="BH104" s="9" t="n">
        <v>0.031345935887138</v>
      </c>
      <c r="BI104" s="9" t="n">
        <v>0.0082805099168408</v>
      </c>
      <c r="BJ104" s="9" t="n">
        <v>0.0097585099999999</v>
      </c>
      <c r="BK104" s="9" t="n">
        <v>0.0086540945031745</v>
      </c>
      <c r="BL104" s="9" t="n">
        <v>0.0082992766285444</v>
      </c>
      <c r="BM104" s="9" t="n">
        <v>12.1850220695104</v>
      </c>
      <c r="BN104" s="9" t="n">
        <v>10.7274482676</v>
      </c>
      <c r="BO104" s="9" t="n">
        <v>9.51337356683829</v>
      </c>
      <c r="BP104" s="9" t="n">
        <v>9.12332525059792</v>
      </c>
      <c r="BQ104" s="9" t="n">
        <v>2.18357691271031</v>
      </c>
      <c r="BR104" s="9" t="n">
        <v>15.4832452927776</v>
      </c>
      <c r="BS104" s="9" t="n">
        <v>15.0902487792</v>
      </c>
      <c r="BT104" s="9" t="n">
        <v>13.382415861808</v>
      </c>
      <c r="BU104" s="9" t="n">
        <v>12.8337368114739</v>
      </c>
      <c r="BV104" s="9" t="n">
        <v>11.0592147574249</v>
      </c>
      <c r="BW104" s="9" t="n">
        <v>12.5219667871838</v>
      </c>
      <c r="BX104" s="9" t="n">
        <v>11.1047899334585</v>
      </c>
      <c r="BY104" s="9" t="n">
        <v>10.6494935461867</v>
      </c>
      <c r="BZ104" s="9" t="n">
        <v>5.84329314167112</v>
      </c>
      <c r="CA104" s="9" t="n">
        <v>1.86934277843369</v>
      </c>
      <c r="CB104" s="9" t="n">
        <v>0.638</v>
      </c>
      <c r="CC104" s="9" t="n">
        <v>1.592</v>
      </c>
      <c r="CD104" s="9" t="n">
        <v>93.252</v>
      </c>
      <c r="CE104" s="9" t="n">
        <v>0.47</v>
      </c>
      <c r="CF104" s="9" t="n">
        <v>0</v>
      </c>
      <c r="CG104" s="9" t="n">
        <v>0.13</v>
      </c>
      <c r="CH104" s="9" t="n">
        <v>0.06</v>
      </c>
      <c r="CI104" s="9" t="n">
        <v>0.07</v>
      </c>
      <c r="CJ104" s="9" t="n">
        <v>0.47</v>
      </c>
      <c r="CK104" s="9" t="n">
        <v>1.54</v>
      </c>
      <c r="CL104" s="9" t="n">
        <v>0.47</v>
      </c>
      <c r="CM104" s="9" t="n">
        <v>8.861</v>
      </c>
      <c r="CN104" s="9" t="n">
        <v>8.247</v>
      </c>
      <c r="CO104" s="9" t="n">
        <v>1</v>
      </c>
      <c r="CP104" s="9" t="n">
        <v>4</v>
      </c>
      <c r="CQ104" s="9" t="n">
        <v>0.5</v>
      </c>
      <c r="CR104" s="9" t="n">
        <v>0.3</v>
      </c>
      <c r="CS104" s="9" t="n">
        <v>0.6</v>
      </c>
      <c r="CT104" s="9" t="n">
        <v>0.8</v>
      </c>
      <c r="CU104" s="9" t="n">
        <v>0.8</v>
      </c>
      <c r="CV104" s="9" t="n">
        <v>0.7</v>
      </c>
      <c r="CW104" s="9" t="n">
        <v>0.5</v>
      </c>
      <c r="CX104" s="9" t="n">
        <v>0.5</v>
      </c>
      <c r="CY104" s="9" t="n">
        <v>1</v>
      </c>
      <c r="CZ104" s="9" t="n">
        <v>0.3</v>
      </c>
      <c r="DA104" s="9" t="n">
        <v>0.8</v>
      </c>
      <c r="DB104" s="9" t="n">
        <v>0.925137403519911</v>
      </c>
      <c r="DC104" s="9" t="n">
        <v>7.109</v>
      </c>
      <c r="DD104" s="9" t="n">
        <v>20.108</v>
      </c>
      <c r="DE104" s="9" t="n">
        <v>31.25538</v>
      </c>
      <c r="DF104" s="9" t="n">
        <v>22.4046854299442</v>
      </c>
      <c r="DG104" s="9" t="n">
        <v>24.2232284254902</v>
      </c>
      <c r="DH104" s="9" t="n">
        <v>18.3176539860342</v>
      </c>
      <c r="DI104" s="9" t="n">
        <v>19.9698688796155</v>
      </c>
      <c r="DJ104" s="9" t="n">
        <v>20.004</v>
      </c>
      <c r="DK104" s="9" t="n">
        <v>20.004</v>
      </c>
      <c r="DL104" s="9" t="n">
        <v>29.59866</v>
      </c>
      <c r="DM104" s="9" t="n">
        <v>13.4947462084719</v>
      </c>
      <c r="DN104" s="9" t="n">
        <v>13.4947462084719</v>
      </c>
      <c r="DO104" s="9" t="n">
        <v>0.055</v>
      </c>
    </row>
    <row r="105" customFormat="false" ht="15" hidden="false" customHeight="false" outlineLevel="0" collapsed="false">
      <c r="A105" s="9" t="s">
        <v>894</v>
      </c>
      <c r="B105" s="9" t="s">
        <v>895</v>
      </c>
      <c r="C105" s="9" t="n">
        <v>0.005</v>
      </c>
      <c r="D105" s="9" t="n">
        <v>0.005</v>
      </c>
      <c r="E105" s="9" t="n">
        <v>0.01</v>
      </c>
      <c r="F105" s="9" t="n">
        <v>0.005</v>
      </c>
      <c r="G105" s="9" t="n">
        <v>0.005</v>
      </c>
      <c r="H105" s="9" t="n">
        <v>0.01</v>
      </c>
      <c r="I105" s="9" t="n">
        <v>0.005</v>
      </c>
      <c r="J105" s="9" t="n">
        <v>0.005</v>
      </c>
      <c r="K105" s="9" t="n">
        <v>0.01</v>
      </c>
      <c r="L105" s="9" t="n">
        <v>0.01</v>
      </c>
      <c r="M105" s="9" t="n">
        <v>0.005</v>
      </c>
      <c r="N105" s="9" t="n">
        <v>5.466355</v>
      </c>
      <c r="O105" s="9" t="n">
        <v>1.3E-005</v>
      </c>
      <c r="P105" s="9" t="n">
        <v>73.313548</v>
      </c>
      <c r="Q105" s="9" t="n">
        <v>8.22870187817786</v>
      </c>
      <c r="R105" s="9" t="n">
        <v>0.799033678832042</v>
      </c>
      <c r="S105" s="9" t="n">
        <v>7.78900969080033</v>
      </c>
      <c r="T105" s="9" t="n">
        <v>7.66351384174079</v>
      </c>
      <c r="U105" s="9" t="n">
        <v>0.776454</v>
      </c>
      <c r="V105" s="9" t="n">
        <v>0.034345</v>
      </c>
      <c r="W105" s="9" t="n">
        <v>0.123828</v>
      </c>
      <c r="X105" s="9" t="n">
        <v>3.32011468195689</v>
      </c>
      <c r="Y105" s="9" t="n">
        <v>3.32011468195689</v>
      </c>
      <c r="Z105" s="9" t="n">
        <v>1.07</v>
      </c>
      <c r="AA105" s="9" t="n">
        <v>0.92</v>
      </c>
      <c r="AB105" s="9" t="n">
        <v>0.13</v>
      </c>
      <c r="AC105" s="9" t="n">
        <v>0</v>
      </c>
      <c r="AD105" s="9" t="n">
        <v>0</v>
      </c>
      <c r="AE105" s="9" t="n">
        <v>7.301</v>
      </c>
      <c r="AF105" s="9" t="n">
        <v>0.657033715577021</v>
      </c>
      <c r="AG105" s="9" t="n">
        <v>0.5927336496</v>
      </c>
      <c r="AH105" s="9" t="n">
        <v>0.567656456732308</v>
      </c>
      <c r="AI105" s="9" t="n">
        <v>0.592589674947242</v>
      </c>
      <c r="AJ105" s="9" t="n">
        <v>0</v>
      </c>
      <c r="AK105" s="9" t="n">
        <v>0.202933302840543</v>
      </c>
      <c r="AL105" s="9" t="n">
        <v>0.1824649308</v>
      </c>
      <c r="AM105" s="9" t="n">
        <v>0.174745260650769</v>
      </c>
      <c r="AN105" s="9" t="n">
        <v>0.182420610176276</v>
      </c>
      <c r="AO105" s="9" t="n">
        <v>34.6704242450944</v>
      </c>
      <c r="AP105" s="9" t="n">
        <v>34.21680957</v>
      </c>
      <c r="AQ105" s="9" t="n">
        <v>32.7691753189615</v>
      </c>
      <c r="AR105" s="9" t="n">
        <v>34.2084983272021</v>
      </c>
      <c r="AS105" s="9" t="n">
        <v>15.8876839081184</v>
      </c>
      <c r="AT105" s="9" t="n">
        <v>17.7947750412</v>
      </c>
      <c r="AU105" s="9" t="n">
        <v>15.4909749237052</v>
      </c>
      <c r="AV105" s="9" t="n">
        <v>16.0760940452659</v>
      </c>
      <c r="AW105" s="9" t="n">
        <v>5.94007758756329</v>
      </c>
      <c r="AX105" s="9" t="n">
        <v>6.4655663832</v>
      </c>
      <c r="AY105" s="9" t="n">
        <v>5.79162793676818</v>
      </c>
      <c r="AZ105" s="9" t="n">
        <v>6.01094540901527</v>
      </c>
      <c r="BA105" s="9" t="n">
        <v>7.12230190247196</v>
      </c>
      <c r="BB105" s="9" t="n">
        <v>6.96210027305932</v>
      </c>
      <c r="BC105" s="9" t="n">
        <v>5.99651929050592</v>
      </c>
      <c r="BD105" s="9" t="n">
        <v>6.96042128702249</v>
      </c>
      <c r="BE105" s="9" t="n">
        <v>0</v>
      </c>
      <c r="BF105" s="9" t="n">
        <v>0</v>
      </c>
      <c r="BG105" s="9" t="n">
        <v>0</v>
      </c>
      <c r="BH105" s="9" t="n">
        <v>0</v>
      </c>
      <c r="BI105" s="9" t="n">
        <v>0.715418228356126</v>
      </c>
      <c r="BJ105" s="9" t="n">
        <v>0.702709555555554</v>
      </c>
      <c r="BK105" s="9" t="n">
        <v>0.672979535897435</v>
      </c>
      <c r="BL105" s="9" t="n">
        <v>0.702538867820314</v>
      </c>
      <c r="BM105" s="9" t="n">
        <v>13.1740988301605</v>
      </c>
      <c r="BN105" s="9" t="n">
        <v>12.0764519748</v>
      </c>
      <c r="BO105" s="9" t="n">
        <v>11.5655251604815</v>
      </c>
      <c r="BP105" s="9" t="n">
        <v>12.0735186117612</v>
      </c>
      <c r="BQ105" s="9" t="n">
        <v>12.1575801981957</v>
      </c>
      <c r="BR105" s="9" t="n">
        <v>12.9235783657984</v>
      </c>
      <c r="BS105" s="9" t="n">
        <v>11.9941185528</v>
      </c>
      <c r="BT105" s="9" t="n">
        <v>11.4866750755662</v>
      </c>
      <c r="BU105" s="9" t="n">
        <v>11.9912051885006</v>
      </c>
      <c r="BV105" s="9" t="n">
        <v>14.4706911637479</v>
      </c>
      <c r="BW105" s="9" t="n">
        <v>14.0131807840548</v>
      </c>
      <c r="BX105" s="9" t="n">
        <v>13.3946502503072</v>
      </c>
      <c r="BY105" s="9" t="n">
        <v>14.009777453681</v>
      </c>
      <c r="BZ105" s="9" t="n">
        <v>6.06326708213381</v>
      </c>
      <c r="CA105" s="9" t="n">
        <v>-0.552873236769856</v>
      </c>
      <c r="CB105" s="9" t="n">
        <v>2.138</v>
      </c>
      <c r="CC105" s="9" t="n">
        <v>2.218</v>
      </c>
      <c r="CD105" s="9" t="n">
        <v>43.988</v>
      </c>
      <c r="CE105" s="9" t="n">
        <v>3.63</v>
      </c>
      <c r="CF105" s="9" t="n">
        <v>0</v>
      </c>
      <c r="CG105" s="9" t="n">
        <v>1.65</v>
      </c>
      <c r="CH105" s="9" t="n">
        <v>1.65</v>
      </c>
      <c r="CI105" s="9" t="n">
        <v>0</v>
      </c>
      <c r="CJ105" s="9" t="n">
        <v>0.82</v>
      </c>
      <c r="CK105" s="9" t="n">
        <v>6.3</v>
      </c>
      <c r="CL105" s="9" t="n">
        <v>0.23</v>
      </c>
      <c r="CM105" s="9" t="n">
        <v>10.85</v>
      </c>
      <c r="CN105" s="9" t="n">
        <v>12.693</v>
      </c>
      <c r="CO105" s="9" t="n">
        <v>1</v>
      </c>
      <c r="CP105" s="9" t="n">
        <v>4</v>
      </c>
      <c r="CQ105" s="9" t="n">
        <v>0.5</v>
      </c>
      <c r="CR105" s="9" t="n">
        <v>0.3</v>
      </c>
      <c r="CS105" s="9" t="n">
        <v>0.6</v>
      </c>
      <c r="CT105" s="9" t="n">
        <v>0.8</v>
      </c>
      <c r="CU105" s="9" t="n">
        <v>0.8</v>
      </c>
      <c r="CV105" s="9" t="n">
        <v>0.7</v>
      </c>
      <c r="CW105" s="9" t="n">
        <v>0.5</v>
      </c>
      <c r="CX105" s="9" t="n">
        <v>0.5</v>
      </c>
      <c r="CY105" s="9" t="n">
        <v>1</v>
      </c>
      <c r="CZ105" s="9" t="n">
        <v>0.3</v>
      </c>
      <c r="DA105" s="9" t="n">
        <v>0.8</v>
      </c>
      <c r="DB105" s="9" t="n">
        <v>0.570746454567866</v>
      </c>
      <c r="DC105" s="9" t="n">
        <v>17.287</v>
      </c>
      <c r="DD105" s="9" t="n">
        <v>10.254</v>
      </c>
      <c r="DE105" s="9" t="n">
        <v>15.72637</v>
      </c>
      <c r="DF105" s="9" t="n">
        <v>21.898319863768</v>
      </c>
      <c r="DG105" s="9" t="n">
        <v>24.8858298631903</v>
      </c>
      <c r="DH105" s="9" t="n">
        <v>15.656114517978</v>
      </c>
      <c r="DI105" s="9" t="n">
        <v>20.8305464615541</v>
      </c>
      <c r="DJ105" s="9" t="n">
        <v>25.808</v>
      </c>
      <c r="DK105" s="9" t="n">
        <v>25.808</v>
      </c>
      <c r="DL105" s="9" t="n">
        <v>31.22768</v>
      </c>
      <c r="DM105" s="9" t="n">
        <v>13.4947462084719</v>
      </c>
      <c r="DN105" s="9" t="n">
        <v>13.4947462084719</v>
      </c>
      <c r="DO105" s="9" t="n">
        <v>0.1059</v>
      </c>
    </row>
    <row r="106" customFormat="false" ht="15" hidden="false" customHeight="false" outlineLevel="0" collapsed="false">
      <c r="A106" s="9" t="s">
        <v>882</v>
      </c>
      <c r="B106" s="9" t="s">
        <v>883</v>
      </c>
      <c r="C106" s="9" t="n">
        <v>0.005</v>
      </c>
      <c r="D106" s="9" t="n">
        <v>0.005</v>
      </c>
      <c r="E106" s="9" t="n">
        <v>0.01</v>
      </c>
      <c r="F106" s="9" t="n">
        <v>0.005</v>
      </c>
      <c r="G106" s="9" t="n">
        <v>0.005</v>
      </c>
      <c r="H106" s="9" t="n">
        <v>0.01</v>
      </c>
      <c r="I106" s="9" t="n">
        <v>0.005</v>
      </c>
      <c r="J106" s="9" t="n">
        <v>0.005</v>
      </c>
      <c r="K106" s="9" t="n">
        <v>0.01</v>
      </c>
      <c r="L106" s="9" t="n">
        <v>0.01</v>
      </c>
      <c r="M106" s="9" t="n">
        <v>0.005</v>
      </c>
      <c r="N106" s="9" t="n">
        <v>0</v>
      </c>
      <c r="O106" s="9" t="n">
        <v>0</v>
      </c>
      <c r="P106" s="9" t="n">
        <v>0</v>
      </c>
      <c r="Q106" s="9" t="n">
        <v>0</v>
      </c>
      <c r="R106" s="9" t="n">
        <v>0</v>
      </c>
      <c r="S106" s="9" t="n">
        <v>0</v>
      </c>
      <c r="T106" s="9" t="n">
        <v>0</v>
      </c>
      <c r="U106" s="9" t="n">
        <v>0</v>
      </c>
      <c r="V106" s="9" t="n">
        <v>0</v>
      </c>
      <c r="W106" s="9" t="n">
        <v>0</v>
      </c>
      <c r="X106" s="9" t="n">
        <v>0</v>
      </c>
      <c r="Y106" s="9" t="n">
        <v>0</v>
      </c>
      <c r="Z106" s="9" t="n">
        <v>0.41</v>
      </c>
      <c r="AA106" s="9" t="n">
        <v>0</v>
      </c>
      <c r="AB106" s="9" t="n">
        <v>0</v>
      </c>
      <c r="AC106" s="9" t="n">
        <v>0</v>
      </c>
      <c r="AD106" s="9" t="n">
        <v>0</v>
      </c>
      <c r="AE106" s="9" t="n">
        <v>2.426</v>
      </c>
      <c r="AF106" s="9" t="n">
        <v>0</v>
      </c>
      <c r="AG106" s="9" t="n">
        <v>0</v>
      </c>
      <c r="AH106" s="9" t="n">
        <v>0</v>
      </c>
      <c r="AI106" s="9" t="n">
        <v>0</v>
      </c>
      <c r="AJ106" s="9" t="n">
        <v>0</v>
      </c>
      <c r="AK106" s="9" t="n">
        <v>0</v>
      </c>
      <c r="AL106" s="9" t="n">
        <v>0</v>
      </c>
      <c r="AM106" s="9" t="n">
        <v>0</v>
      </c>
      <c r="AN106" s="9" t="n">
        <v>0</v>
      </c>
      <c r="AO106" s="9" t="n">
        <v>1.71727317080412</v>
      </c>
      <c r="AP106" s="9" t="n">
        <v>1.5766551</v>
      </c>
      <c r="AQ106" s="9" t="n">
        <v>1.6381446489</v>
      </c>
      <c r="AR106" s="9" t="n">
        <v>1.58453264220873</v>
      </c>
      <c r="AS106" s="9" t="n">
        <v>19.1252353048496</v>
      </c>
      <c r="AT106" s="9" t="n">
        <v>15.1194810168</v>
      </c>
      <c r="AU106" s="9" t="n">
        <v>13.6992252216479</v>
      </c>
      <c r="AV106" s="9" t="n">
        <v>17.8066478617947</v>
      </c>
      <c r="AW106" s="9" t="n">
        <v>5.8892654030805</v>
      </c>
      <c r="AX106" s="9" t="n">
        <v>4.517012916</v>
      </c>
      <c r="AY106" s="9" t="n">
        <v>4.21910238086772</v>
      </c>
      <c r="AZ106" s="9" t="n">
        <v>5.483376165384</v>
      </c>
      <c r="BA106" s="9" t="n">
        <v>3.6471360965048</v>
      </c>
      <c r="BB106" s="9" t="n">
        <v>3.87848563469674</v>
      </c>
      <c r="BC106" s="9" t="n">
        <v>2.95972007293701</v>
      </c>
      <c r="BD106" s="9" t="n">
        <v>3.34051265113196</v>
      </c>
      <c r="BE106" s="9" t="n">
        <v>0</v>
      </c>
      <c r="BF106" s="9" t="n">
        <v>0</v>
      </c>
      <c r="BG106" s="9" t="n">
        <v>0</v>
      </c>
      <c r="BH106" s="9" t="n">
        <v>0</v>
      </c>
      <c r="BI106" s="9" t="n">
        <v>0.759895784425315</v>
      </c>
      <c r="BJ106" s="9" t="n">
        <v>0.706811501597444</v>
      </c>
      <c r="BK106" s="9" t="n">
        <v>0.734377150159744</v>
      </c>
      <c r="BL106" s="9" t="n">
        <v>0.710342988881789</v>
      </c>
      <c r="BM106" s="9" t="n">
        <v>0.227942720430031</v>
      </c>
      <c r="BN106" s="9" t="n">
        <v>0.20249918748</v>
      </c>
      <c r="BO106" s="9" t="n">
        <v>0.21039665579172</v>
      </c>
      <c r="BP106" s="9" t="n">
        <v>0.203510947056718</v>
      </c>
      <c r="BQ106" s="9" t="n">
        <v>2.98488630447132</v>
      </c>
      <c r="BR106" s="9" t="n">
        <v>0.539832282287695</v>
      </c>
      <c r="BS106" s="9" t="n">
        <v>0.44099857476</v>
      </c>
      <c r="BT106" s="9" t="n">
        <v>0.45819751917564</v>
      </c>
      <c r="BU106" s="9" t="n">
        <v>0.443201964002619</v>
      </c>
      <c r="BV106" s="9" t="n">
        <v>4.92982011602289</v>
      </c>
      <c r="BW106" s="9" t="n">
        <v>4.73234812805941</v>
      </c>
      <c r="BX106" s="9" t="n">
        <v>4.68923865147092</v>
      </c>
      <c r="BY106" s="9" t="n">
        <v>4.55914014373462</v>
      </c>
      <c r="BZ106" s="9" t="n">
        <v>6.94847241886948</v>
      </c>
      <c r="CA106" s="9" t="n">
        <v>-3.74358974358975</v>
      </c>
      <c r="CB106" s="9" t="n">
        <v>4.671</v>
      </c>
      <c r="CC106" s="9" t="n">
        <v>2.993</v>
      </c>
      <c r="CD106" s="9" t="n">
        <v>49.467</v>
      </c>
      <c r="CE106" s="9" t="n">
        <v>0.24</v>
      </c>
      <c r="CF106" s="9" t="n">
        <v>0</v>
      </c>
      <c r="CG106" s="9" t="n">
        <v>0.54</v>
      </c>
      <c r="CH106" s="9" t="n">
        <v>0.49</v>
      </c>
      <c r="CI106" s="9" t="n">
        <v>0.05</v>
      </c>
      <c r="CJ106" s="9" t="n">
        <v>0</v>
      </c>
      <c r="CK106" s="9" t="n">
        <v>0.78</v>
      </c>
      <c r="CL106" s="9" t="n">
        <v>0</v>
      </c>
      <c r="CM106" s="9" t="n">
        <v>2.596</v>
      </c>
      <c r="CN106" s="9" t="n">
        <v>2.596</v>
      </c>
      <c r="CO106" s="9" t="n">
        <v>1</v>
      </c>
      <c r="CP106" s="9" t="n">
        <v>4</v>
      </c>
      <c r="CQ106" s="9" t="n">
        <v>0.5</v>
      </c>
      <c r="CR106" s="9" t="n">
        <v>0.3</v>
      </c>
      <c r="CS106" s="9" t="n">
        <v>0.6</v>
      </c>
      <c r="CT106" s="9" t="n">
        <v>0.8</v>
      </c>
      <c r="CU106" s="9" t="n">
        <v>0.8</v>
      </c>
      <c r="CV106" s="9" t="n">
        <v>0.7</v>
      </c>
      <c r="CW106" s="9" t="n">
        <v>0.5</v>
      </c>
      <c r="CX106" s="9" t="n">
        <v>0.5</v>
      </c>
      <c r="CY106" s="9" t="n">
        <v>1</v>
      </c>
      <c r="CZ106" s="9" t="n">
        <v>0.3</v>
      </c>
      <c r="DA106" s="9" t="n">
        <v>0.8</v>
      </c>
      <c r="DB106" s="9" t="n">
        <v>0.566320923203737</v>
      </c>
      <c r="DC106" s="9" t="n">
        <v>7.124</v>
      </c>
      <c r="DD106" s="9" t="n">
        <v>4.833</v>
      </c>
      <c r="DE106" s="9" t="n">
        <v>11.451</v>
      </c>
      <c r="DF106" s="9" t="n">
        <v>19.6808221113768</v>
      </c>
      <c r="DG106" s="9" t="n">
        <v>20.5892294309309</v>
      </c>
      <c r="DH106" s="9" t="n">
        <v>17.2720586560434</v>
      </c>
      <c r="DI106" s="9" t="n">
        <v>19.783016350672</v>
      </c>
      <c r="DJ106" s="9" t="n">
        <v>13.543</v>
      </c>
      <c r="DK106" s="9" t="n">
        <v>12.219</v>
      </c>
      <c r="DL106" s="9" t="n">
        <v>21.484</v>
      </c>
      <c r="DM106" s="9" t="n">
        <v>14.1151698941595</v>
      </c>
      <c r="DN106" s="9" t="n">
        <v>14.1151698941595</v>
      </c>
      <c r="DO106" s="9" t="n">
        <v>0.055</v>
      </c>
    </row>
    <row r="107" customFormat="false" ht="15" hidden="false" customHeight="false" outlineLevel="0" collapsed="false">
      <c r="A107" s="9" t="s">
        <v>808</v>
      </c>
      <c r="B107" s="9" t="s">
        <v>809</v>
      </c>
      <c r="C107" s="9" t="n">
        <v>0.005</v>
      </c>
      <c r="D107" s="9" t="n">
        <v>0.005</v>
      </c>
      <c r="E107" s="9" t="n">
        <v>0.01</v>
      </c>
      <c r="F107" s="9" t="n">
        <v>0.005</v>
      </c>
      <c r="G107" s="9" t="n">
        <v>0.005</v>
      </c>
      <c r="H107" s="9" t="n">
        <v>0.01</v>
      </c>
      <c r="I107" s="9" t="n">
        <v>0.005</v>
      </c>
      <c r="J107" s="9" t="n">
        <v>0.005</v>
      </c>
      <c r="K107" s="9" t="n">
        <v>0.01</v>
      </c>
      <c r="L107" s="9" t="n">
        <v>0.01</v>
      </c>
      <c r="M107" s="9" t="n">
        <v>0.005</v>
      </c>
      <c r="N107" s="9" t="n">
        <v>0.274205</v>
      </c>
      <c r="O107" s="9" t="n">
        <v>3.252727</v>
      </c>
      <c r="P107" s="9" t="n">
        <v>27.950271</v>
      </c>
      <c r="Q107" s="9" t="n">
        <v>10.635392928686</v>
      </c>
      <c r="R107" s="9" t="n">
        <v>2.10762218992764</v>
      </c>
      <c r="S107" s="9" t="n">
        <v>3.10449359809874</v>
      </c>
      <c r="T107" s="9" t="n">
        <v>0.971113361449161</v>
      </c>
      <c r="U107" s="9" t="n">
        <v>0.08783</v>
      </c>
      <c r="V107" s="9" t="n">
        <v>0.06365</v>
      </c>
      <c r="W107" s="9" t="n">
        <v>0.080514</v>
      </c>
      <c r="X107" s="9" t="n">
        <v>7.34853266468862</v>
      </c>
      <c r="Y107" s="9" t="n">
        <v>7.34853266468862</v>
      </c>
      <c r="Z107" s="9" t="n">
        <v>5.99</v>
      </c>
      <c r="AA107" s="9" t="n">
        <v>1.09</v>
      </c>
      <c r="AB107" s="9" t="n">
        <v>2.45</v>
      </c>
      <c r="AC107" s="9" t="n">
        <v>3</v>
      </c>
      <c r="AD107" s="9" t="n">
        <v>0.018472083</v>
      </c>
      <c r="AE107" s="9" t="n">
        <v>62.223</v>
      </c>
      <c r="AF107" s="9" t="n">
        <v>0.0863685110422405</v>
      </c>
      <c r="AG107" s="9" t="n">
        <v>0.087043572</v>
      </c>
      <c r="AH107" s="9" t="n">
        <v>0.083015388918</v>
      </c>
      <c r="AI107" s="9" t="n">
        <v>0.0787837697020233</v>
      </c>
      <c r="AJ107" s="9" t="n">
        <v>126.895215876482</v>
      </c>
      <c r="AK107" s="9" t="n">
        <v>0.626680610424338</v>
      </c>
      <c r="AL107" s="9" t="n">
        <v>0.63157878</v>
      </c>
      <c r="AM107" s="9" t="n">
        <v>0.60235071757</v>
      </c>
      <c r="AN107" s="9" t="n">
        <v>0.57164654447091</v>
      </c>
      <c r="AO107" s="9" t="n">
        <v>203.220798832255</v>
      </c>
      <c r="AP107" s="9" t="n">
        <v>219.88647787</v>
      </c>
      <c r="AQ107" s="9" t="n">
        <v>209.710620310794</v>
      </c>
      <c r="AR107" s="9" t="n">
        <v>199.020849386778</v>
      </c>
      <c r="AS107" s="9" t="n">
        <v>85.3509260495058</v>
      </c>
      <c r="AT107" s="9" t="n">
        <v>80.9341138908</v>
      </c>
      <c r="AU107" s="9" t="n">
        <v>77.6087706248131</v>
      </c>
      <c r="AV107" s="9" t="n">
        <v>81.9581050652502</v>
      </c>
      <c r="AW107" s="9" t="n">
        <v>45.7316833288237</v>
      </c>
      <c r="AX107" s="9" t="n">
        <v>43.4070844272</v>
      </c>
      <c r="AY107" s="9" t="n">
        <v>41.5831432846639</v>
      </c>
      <c r="AZ107" s="9" t="n">
        <v>43.9175124010897</v>
      </c>
      <c r="BA107" s="9" t="n">
        <v>31.1256315321321</v>
      </c>
      <c r="BB107" s="9" t="n">
        <v>33.35506065</v>
      </c>
      <c r="BC107" s="9" t="n">
        <v>31.8838051136912</v>
      </c>
      <c r="BD107" s="9" t="n">
        <v>30.1899078388766</v>
      </c>
      <c r="BE107" s="9" t="n">
        <v>0</v>
      </c>
      <c r="BF107" s="9" t="n">
        <v>0</v>
      </c>
      <c r="BG107" s="9" t="n">
        <v>0</v>
      </c>
      <c r="BH107" s="9" t="n">
        <v>0</v>
      </c>
      <c r="BI107" s="9" t="n">
        <v>111.707084633577</v>
      </c>
      <c r="BJ107" s="9" t="n">
        <v>119.08396905</v>
      </c>
      <c r="BK107" s="9" t="n">
        <v>113.573027593408</v>
      </c>
      <c r="BL107" s="9" t="n">
        <v>107.783765960777</v>
      </c>
      <c r="BM107" s="9" t="n">
        <v>3.03039176728636</v>
      </c>
      <c r="BN107" s="9" t="n">
        <v>3.2364633888</v>
      </c>
      <c r="BO107" s="9" t="n">
        <v>3.0866870553072</v>
      </c>
      <c r="BP107" s="9" t="n">
        <v>2.92934653775754</v>
      </c>
      <c r="BQ107" s="9" t="n">
        <v>138.203260191356</v>
      </c>
      <c r="BR107" s="9" t="n">
        <v>0.200256531104517</v>
      </c>
      <c r="BS107" s="9" t="n">
        <v>0.2138743044</v>
      </c>
      <c r="BT107" s="9" t="n">
        <v>0.2039766768686</v>
      </c>
      <c r="BU107" s="9" t="n">
        <v>0.193579187479002</v>
      </c>
      <c r="BV107" s="9" t="n">
        <v>120.998273874292</v>
      </c>
      <c r="BW107" s="9" t="n">
        <v>141.950324130145</v>
      </c>
      <c r="BX107" s="9" t="n">
        <v>122.321315591766</v>
      </c>
      <c r="BY107" s="9" t="n">
        <v>116.204541064102</v>
      </c>
      <c r="BZ107" s="9" t="n">
        <v>36.4118359384248</v>
      </c>
      <c r="CA107" s="9" t="n">
        <v>1.70008156244733</v>
      </c>
      <c r="CB107" s="9" t="n">
        <v>4.9</v>
      </c>
      <c r="CC107" s="9" t="n">
        <v>4.872</v>
      </c>
      <c r="CD107" s="9" t="n">
        <v>160.606</v>
      </c>
      <c r="CE107" s="9" t="n">
        <v>0.96</v>
      </c>
      <c r="CF107" s="9" t="n">
        <v>27.52</v>
      </c>
      <c r="CG107" s="9" t="n">
        <v>33.87</v>
      </c>
      <c r="CH107" s="9" t="n">
        <v>4.78</v>
      </c>
      <c r="CI107" s="9" t="n">
        <v>1.57</v>
      </c>
      <c r="CJ107" s="9" t="n">
        <v>2.58</v>
      </c>
      <c r="CK107" s="9" t="n">
        <v>44.15</v>
      </c>
      <c r="CL107" s="9" t="n">
        <v>6.74</v>
      </c>
      <c r="CM107" s="9" t="n">
        <v>104.079</v>
      </c>
      <c r="CN107" s="9" t="n">
        <v>102.157</v>
      </c>
      <c r="CO107" s="9" t="n">
        <v>3</v>
      </c>
      <c r="CP107" s="9" t="n">
        <v>2</v>
      </c>
      <c r="CQ107" s="9" t="n">
        <v>0.5</v>
      </c>
      <c r="CR107" s="9" t="n">
        <v>0.3</v>
      </c>
      <c r="CS107" s="9" t="n">
        <v>0.6</v>
      </c>
      <c r="CT107" s="9" t="n">
        <v>0.8</v>
      </c>
      <c r="CU107" s="9" t="n">
        <v>0.8</v>
      </c>
      <c r="CV107" s="9" t="n">
        <v>0.7</v>
      </c>
      <c r="CW107" s="9" t="n">
        <v>0.5</v>
      </c>
      <c r="CX107" s="9" t="n">
        <v>0.5</v>
      </c>
      <c r="CY107" s="9" t="n">
        <v>1</v>
      </c>
      <c r="CZ107" s="9" t="n">
        <v>0.3</v>
      </c>
      <c r="DA107" s="9" t="n">
        <v>0.8</v>
      </c>
      <c r="DB107" s="9" t="n">
        <v>0.398175304632396</v>
      </c>
      <c r="DC107" s="9" t="n">
        <v>6.606</v>
      </c>
      <c r="DD107" s="9" t="n">
        <v>6.869</v>
      </c>
      <c r="DE107" s="9" t="n">
        <v>14.6316</v>
      </c>
      <c r="DF107" s="9" t="n">
        <v>22.0680736577559</v>
      </c>
      <c r="DG107" s="9" t="n">
        <v>24.6099627849678</v>
      </c>
      <c r="DH107" s="9" t="n">
        <v>17.2720586560434</v>
      </c>
      <c r="DI107" s="9" t="n">
        <v>23.2166885552703</v>
      </c>
      <c r="DJ107" s="9" t="n">
        <v>5.289</v>
      </c>
      <c r="DK107" s="9" t="n">
        <v>3.999</v>
      </c>
      <c r="DL107" s="9" t="n">
        <v>15.6312</v>
      </c>
      <c r="DM107" s="9" t="n">
        <v>14.1180964389959</v>
      </c>
      <c r="DN107" s="9" t="n">
        <v>14.1180964389959</v>
      </c>
      <c r="DO107" s="9" t="n">
        <v>0.0895199999999999</v>
      </c>
    </row>
    <row r="108" customFormat="false" ht="15" hidden="false" customHeight="false" outlineLevel="0" collapsed="false">
      <c r="A108" s="9" t="s">
        <v>966</v>
      </c>
      <c r="B108" s="9" t="s">
        <v>967</v>
      </c>
      <c r="C108" s="9" t="n">
        <v>0.005</v>
      </c>
      <c r="D108" s="9" t="n">
        <v>0.005</v>
      </c>
      <c r="E108" s="9" t="n">
        <v>0.01</v>
      </c>
      <c r="F108" s="9" t="n">
        <v>0.005</v>
      </c>
      <c r="G108" s="9" t="n">
        <v>0.005</v>
      </c>
      <c r="H108" s="9" t="n">
        <v>0.01</v>
      </c>
      <c r="I108" s="9" t="n">
        <v>0.005</v>
      </c>
      <c r="J108" s="9" t="n">
        <v>0.005</v>
      </c>
      <c r="K108" s="9" t="n">
        <v>0.01</v>
      </c>
      <c r="L108" s="9" t="n">
        <v>0.01</v>
      </c>
      <c r="M108" s="9" t="n">
        <v>0.005</v>
      </c>
      <c r="N108" s="9" t="n">
        <v>0.103834</v>
      </c>
      <c r="O108" s="9" t="n">
        <v>2.602423</v>
      </c>
      <c r="P108" s="9" t="n">
        <v>25.807808</v>
      </c>
      <c r="Q108" s="9" t="n">
        <v>12.9438407472921</v>
      </c>
      <c r="R108" s="9" t="n">
        <v>2.18980753073943</v>
      </c>
      <c r="S108" s="9" t="n">
        <v>3.07938023673996</v>
      </c>
      <c r="T108" s="9" t="n">
        <v>3.05666997731951</v>
      </c>
      <c r="U108" s="9" t="n">
        <v>0.165297</v>
      </c>
      <c r="V108" s="9" t="n">
        <v>0.180252</v>
      </c>
      <c r="W108" s="9" t="n">
        <v>0.090693</v>
      </c>
      <c r="X108" s="9" t="n">
        <v>0.642619658777186</v>
      </c>
      <c r="Y108" s="9" t="n">
        <v>0.642619658777186</v>
      </c>
      <c r="Z108" s="9" t="n">
        <v>2.78</v>
      </c>
      <c r="AA108" s="9" t="n">
        <v>0.71</v>
      </c>
      <c r="AB108" s="9" t="n">
        <v>0.25</v>
      </c>
      <c r="AC108" s="9" t="n">
        <v>3</v>
      </c>
      <c r="AD108" s="9" t="n">
        <v>0.0065971725</v>
      </c>
      <c r="AE108" s="9" t="n">
        <v>10.107</v>
      </c>
      <c r="AF108" s="9" t="n">
        <v>1.2214833819096</v>
      </c>
      <c r="AG108" s="9" t="n">
        <v>1.1612466612</v>
      </c>
      <c r="AH108" s="9" t="n">
        <v>1.06248506486606</v>
      </c>
      <c r="AI108" s="9" t="n">
        <v>1.12314554938341</v>
      </c>
      <c r="AJ108" s="9" t="n">
        <v>0</v>
      </c>
      <c r="AK108" s="9" t="n">
        <v>2.7237204518174</v>
      </c>
      <c r="AL108" s="9" t="n">
        <v>2.6632988424</v>
      </c>
      <c r="AM108" s="9" t="n">
        <v>2.43679085406447</v>
      </c>
      <c r="AN108" s="9" t="n">
        <v>2.57591461096513</v>
      </c>
      <c r="AO108" s="9" t="n">
        <v>21.1882580530541</v>
      </c>
      <c r="AP108" s="9" t="n">
        <v>21.12518809</v>
      </c>
      <c r="AQ108" s="9" t="n">
        <v>19.3285350891059</v>
      </c>
      <c r="AR108" s="9" t="n">
        <v>20.4320595924491</v>
      </c>
      <c r="AS108" s="9" t="n">
        <v>10.2861047013533</v>
      </c>
      <c r="AT108" s="9" t="n">
        <v>11.998803582</v>
      </c>
      <c r="AU108" s="9" t="n">
        <v>11.6644336408874</v>
      </c>
      <c r="AV108" s="9" t="n">
        <v>10.4328164685154</v>
      </c>
      <c r="AW108" s="9" t="n">
        <v>6.66743244379424</v>
      </c>
      <c r="AX108" s="9" t="n">
        <v>7.91640144</v>
      </c>
      <c r="AY108" s="9" t="n">
        <v>7.56086249885295</v>
      </c>
      <c r="AZ108" s="9" t="n">
        <v>6.76253071711185</v>
      </c>
      <c r="BA108" s="9" t="n">
        <v>8.09731096852494</v>
      </c>
      <c r="BB108" s="9" t="n">
        <v>8.19725306900855</v>
      </c>
      <c r="BC108" s="9" t="n">
        <v>7.56474129418771</v>
      </c>
      <c r="BD108" s="9" t="n">
        <v>7.91982314869909</v>
      </c>
      <c r="BE108" s="9" t="n">
        <v>0</v>
      </c>
      <c r="BF108" s="9" t="n">
        <v>0</v>
      </c>
      <c r="BG108" s="9" t="n">
        <v>0</v>
      </c>
      <c r="BH108" s="9" t="n">
        <v>0</v>
      </c>
      <c r="BI108" s="9" t="n">
        <v>2.26005386465541</v>
      </c>
      <c r="BJ108" s="9" t="n">
        <v>2.23719603</v>
      </c>
      <c r="BK108" s="9" t="n">
        <v>2.04692719339776</v>
      </c>
      <c r="BL108" s="9" t="n">
        <v>2.16379245525337</v>
      </c>
      <c r="BM108" s="9" t="n">
        <v>22.7879557355248</v>
      </c>
      <c r="BN108" s="9" t="n">
        <v>14.5582111692</v>
      </c>
      <c r="BO108" s="9" t="n">
        <v>13.3200658010566</v>
      </c>
      <c r="BP108" s="9" t="n">
        <v>14.0805486276052</v>
      </c>
      <c r="BQ108" s="9" t="n">
        <v>53.1058514587122</v>
      </c>
      <c r="BR108" s="9" t="n">
        <v>27.9323680131512</v>
      </c>
      <c r="BS108" s="9" t="n">
        <v>19.2086992692</v>
      </c>
      <c r="BT108" s="9" t="n">
        <v>17.5750396284787</v>
      </c>
      <c r="BU108" s="9" t="n">
        <v>18.5784517747093</v>
      </c>
      <c r="BV108" s="9" t="n">
        <v>11.3739557948065</v>
      </c>
      <c r="BW108" s="9" t="n">
        <v>8.63257362697879</v>
      </c>
      <c r="BX108" s="9" t="n">
        <v>9.68919748092348</v>
      </c>
      <c r="BY108" s="9" t="n">
        <v>9.99176028600173</v>
      </c>
      <c r="BZ108" s="9" t="n">
        <v>4.7093158736521</v>
      </c>
      <c r="CA108" s="9" t="n">
        <v>6.2684073739859</v>
      </c>
      <c r="CB108" s="9" t="n">
        <v>2.416</v>
      </c>
      <c r="CC108" s="9" t="n">
        <v>1.9</v>
      </c>
      <c r="CD108" s="9" t="n">
        <v>18.208</v>
      </c>
      <c r="CE108" s="9" t="n">
        <v>0.37</v>
      </c>
      <c r="CF108" s="9" t="n">
        <v>0</v>
      </c>
      <c r="CG108" s="9" t="n">
        <v>2.07</v>
      </c>
      <c r="CH108" s="9" t="n">
        <v>1.85</v>
      </c>
      <c r="CI108" s="9" t="n">
        <v>0.22</v>
      </c>
      <c r="CJ108" s="9" t="n">
        <v>0.23</v>
      </c>
      <c r="CK108" s="9" t="n">
        <v>2.89</v>
      </c>
      <c r="CL108" s="9" t="n">
        <v>0.22</v>
      </c>
      <c r="CM108" s="9" t="n">
        <v>14.001</v>
      </c>
      <c r="CN108" s="9" t="n">
        <v>14.178</v>
      </c>
      <c r="CO108" s="9" t="n">
        <v>3</v>
      </c>
      <c r="CP108" s="9" t="n">
        <v>2</v>
      </c>
      <c r="CQ108" s="9" t="n">
        <v>0.5</v>
      </c>
      <c r="CR108" s="9" t="n">
        <v>0.3</v>
      </c>
      <c r="CS108" s="9" t="n">
        <v>0.6</v>
      </c>
      <c r="CT108" s="9" t="n">
        <v>0.8</v>
      </c>
      <c r="CU108" s="9" t="n">
        <v>0.8</v>
      </c>
      <c r="CV108" s="9" t="n">
        <v>0.7</v>
      </c>
      <c r="CW108" s="9" t="n">
        <v>0.5</v>
      </c>
      <c r="CX108" s="9" t="n">
        <v>0.5</v>
      </c>
      <c r="CY108" s="9" t="n">
        <v>1</v>
      </c>
      <c r="CZ108" s="9" t="n">
        <v>0.3</v>
      </c>
      <c r="DA108" s="9" t="n">
        <v>0.8</v>
      </c>
      <c r="DB108" s="9" t="n">
        <v>0.405776430736317</v>
      </c>
      <c r="DC108" s="9" t="n">
        <v>6.942</v>
      </c>
      <c r="DD108" s="9" t="n">
        <v>4.239</v>
      </c>
      <c r="DE108" s="9" t="n">
        <v>12.8364</v>
      </c>
      <c r="DF108" s="9" t="n">
        <v>21.4589334442324</v>
      </c>
      <c r="DG108" s="9" t="n">
        <v>24.8226323672981</v>
      </c>
      <c r="DH108" s="9" t="n">
        <v>15.656114517978</v>
      </c>
      <c r="DI108" s="9" t="n">
        <v>23.0992317444667</v>
      </c>
      <c r="DJ108" s="9" t="n">
        <v>22.26</v>
      </c>
      <c r="DK108" s="9" t="n">
        <v>20.206</v>
      </c>
      <c r="DL108" s="9" t="n">
        <v>32.9688</v>
      </c>
      <c r="DM108" s="9" t="n">
        <v>13.4947462084719</v>
      </c>
      <c r="DN108" s="9" t="n">
        <v>13.4947462084719</v>
      </c>
      <c r="DO108" s="9" t="n">
        <v>0.105</v>
      </c>
    </row>
    <row r="109" customFormat="false" ht="15" hidden="false" customHeight="false" outlineLevel="0" collapsed="false">
      <c r="A109" s="9" t="s">
        <v>960</v>
      </c>
      <c r="B109" s="9" t="s">
        <v>961</v>
      </c>
      <c r="C109" s="9" t="n">
        <v>0.005</v>
      </c>
      <c r="D109" s="9" t="n">
        <v>0.005</v>
      </c>
      <c r="E109" s="9" t="n">
        <v>0.01</v>
      </c>
      <c r="F109" s="9" t="n">
        <v>0.005</v>
      </c>
      <c r="G109" s="9" t="n">
        <v>0.005</v>
      </c>
      <c r="H109" s="9" t="n">
        <v>0.01</v>
      </c>
      <c r="I109" s="9" t="n">
        <v>0.005</v>
      </c>
      <c r="J109" s="9" t="n">
        <v>0.005</v>
      </c>
      <c r="K109" s="9" t="n">
        <v>0.01</v>
      </c>
      <c r="L109" s="9" t="n">
        <v>0.01</v>
      </c>
      <c r="M109" s="9" t="n">
        <v>0.005</v>
      </c>
      <c r="N109" s="9" t="n">
        <v>0.211922</v>
      </c>
      <c r="O109" s="9" t="n">
        <v>0.172157</v>
      </c>
      <c r="P109" s="9" t="n">
        <v>0.233346</v>
      </c>
      <c r="Q109" s="9" t="n">
        <v>0.0444829480691746</v>
      </c>
      <c r="R109" s="9" t="n">
        <v>0.0085502494442337</v>
      </c>
      <c r="S109" s="9" t="n">
        <v>0.0445576727905904</v>
      </c>
      <c r="T109" s="9" t="n">
        <v>0.0144687550956875</v>
      </c>
      <c r="U109" s="9" t="n">
        <v>0.002052</v>
      </c>
      <c r="V109" s="9" t="n">
        <v>0.000472</v>
      </c>
      <c r="W109" s="9" t="n">
        <v>0.000475</v>
      </c>
      <c r="X109" s="9" t="n">
        <v>0.361928999330609</v>
      </c>
      <c r="Y109" s="9" t="n">
        <v>0.361928999330609</v>
      </c>
      <c r="Z109" s="9" t="n">
        <v>0.62</v>
      </c>
      <c r="AA109" s="9" t="n">
        <v>0.06</v>
      </c>
      <c r="AB109" s="9" t="n">
        <v>0</v>
      </c>
      <c r="AC109" s="9" t="n">
        <v>0</v>
      </c>
      <c r="AD109" s="9" t="n">
        <v>0</v>
      </c>
      <c r="AE109" s="9" t="n">
        <v>3.565</v>
      </c>
      <c r="AF109" s="9" t="n">
        <v>4.56102169876081</v>
      </c>
      <c r="AG109" s="9" t="n">
        <v>3.62336139</v>
      </c>
      <c r="AH109" s="9" t="n">
        <v>4.32633563176919</v>
      </c>
      <c r="AI109" s="9" t="n">
        <v>4.15946268597237</v>
      </c>
      <c r="AJ109" s="9" t="n">
        <v>17.8436757566481</v>
      </c>
      <c r="AK109" s="9" t="n">
        <v>0</v>
      </c>
      <c r="AL109" s="9" t="n">
        <v>0</v>
      </c>
      <c r="AM109" s="9" t="n">
        <v>0</v>
      </c>
      <c r="AN109" s="9" t="n">
        <v>0</v>
      </c>
      <c r="AO109" s="9" t="n">
        <v>16.1751957579453</v>
      </c>
      <c r="AP109" s="9" t="n">
        <v>13.27614908</v>
      </c>
      <c r="AQ109" s="9" t="n">
        <v>15.8518763753465</v>
      </c>
      <c r="AR109" s="9" t="n">
        <v>15.2404468580117</v>
      </c>
      <c r="AS109" s="9" t="n">
        <v>7.91836104570003</v>
      </c>
      <c r="AT109" s="9" t="n">
        <v>6.2764025724</v>
      </c>
      <c r="AU109" s="9" t="n">
        <v>6.95412955285255</v>
      </c>
      <c r="AV109" s="9" t="n">
        <v>7.31771659168266</v>
      </c>
      <c r="AW109" s="9" t="n">
        <v>3.248522702534</v>
      </c>
      <c r="AX109" s="9" t="n">
        <v>2.5601947056</v>
      </c>
      <c r="AY109" s="9" t="n">
        <v>2.85294489584707</v>
      </c>
      <c r="AZ109" s="9" t="n">
        <v>3.00210717111717</v>
      </c>
      <c r="BA109" s="9" t="n">
        <v>6.66921585709567</v>
      </c>
      <c r="BB109" s="9" t="n">
        <v>6.19460288847404</v>
      </c>
      <c r="BC109" s="9" t="n">
        <v>5.59158840046267</v>
      </c>
      <c r="BD109" s="9" t="n">
        <v>6.18294620175049</v>
      </c>
      <c r="BE109" s="9" t="n">
        <v>2.02760888831643</v>
      </c>
      <c r="BF109" s="9" t="n">
        <v>1.65185722</v>
      </c>
      <c r="BG109" s="9" t="n">
        <v>1.97233672832209</v>
      </c>
      <c r="BH109" s="9" t="n">
        <v>1.89626088308681</v>
      </c>
      <c r="BI109" s="9" t="n">
        <v>0.544128357284046</v>
      </c>
      <c r="BJ109" s="9" t="n">
        <v>0.43871395</v>
      </c>
      <c r="BK109" s="9" t="n">
        <v>0.523829557625</v>
      </c>
      <c r="BL109" s="9" t="n">
        <v>0.503624703259464</v>
      </c>
      <c r="BM109" s="9" t="n">
        <v>0</v>
      </c>
      <c r="BN109" s="9" t="n">
        <v>0</v>
      </c>
      <c r="BO109" s="9" t="n">
        <v>0</v>
      </c>
      <c r="BP109" s="9" t="n">
        <v>0</v>
      </c>
      <c r="BQ109" s="9" t="n">
        <v>0</v>
      </c>
      <c r="BR109" s="9" t="n">
        <v>0</v>
      </c>
      <c r="BS109" s="9" t="n">
        <v>0</v>
      </c>
      <c r="BT109" s="9" t="n">
        <v>0</v>
      </c>
      <c r="BU109" s="9" t="n">
        <v>0</v>
      </c>
      <c r="BV109" s="9" t="n">
        <v>9.71311887629893</v>
      </c>
      <c r="BW109" s="9" t="n">
        <v>22.8418841389575</v>
      </c>
      <c r="BX109" s="9" t="n">
        <v>9.15615117540436</v>
      </c>
      <c r="BY109" s="9" t="n">
        <v>8.86813202210484</v>
      </c>
      <c r="BZ109" s="9" t="n">
        <v>3.10191215228723</v>
      </c>
      <c r="CA109" s="9" t="n">
        <v>3.06175008268406</v>
      </c>
      <c r="CB109" s="9" t="n">
        <v>2.835</v>
      </c>
      <c r="CC109" s="9" t="n">
        <v>3.636</v>
      </c>
      <c r="CD109" s="9" t="n">
        <v>17.593</v>
      </c>
      <c r="CE109" s="9" t="n">
        <v>0.93</v>
      </c>
      <c r="CF109" s="9" t="n">
        <v>0.5</v>
      </c>
      <c r="CG109" s="9" t="n">
        <v>1.4</v>
      </c>
      <c r="CH109" s="9" t="n">
        <v>0</v>
      </c>
      <c r="CI109" s="9" t="n">
        <v>0.9</v>
      </c>
      <c r="CJ109" s="9" t="n">
        <v>0.1</v>
      </c>
      <c r="CK109" s="9" t="n">
        <v>2.43</v>
      </c>
      <c r="CL109" s="9" t="n">
        <v>0</v>
      </c>
      <c r="CM109" s="9" t="n">
        <v>38.051</v>
      </c>
      <c r="CN109" s="9" t="n">
        <v>47.292</v>
      </c>
      <c r="CO109" s="9" t="n">
        <v>3</v>
      </c>
      <c r="CP109" s="9" t="n">
        <v>1</v>
      </c>
      <c r="CQ109" s="9" t="n">
        <v>0.5</v>
      </c>
      <c r="CR109" s="9" t="n">
        <v>0.3</v>
      </c>
      <c r="CS109" s="9" t="n">
        <v>0.6</v>
      </c>
      <c r="CT109" s="9" t="n">
        <v>0.8</v>
      </c>
      <c r="CU109" s="9" t="n">
        <v>0.8</v>
      </c>
      <c r="CV109" s="9" t="n">
        <v>0.7</v>
      </c>
      <c r="CW109" s="9" t="n">
        <v>0.5</v>
      </c>
      <c r="CX109" s="9" t="n">
        <v>0.5</v>
      </c>
      <c r="CY109" s="9" t="n">
        <v>1</v>
      </c>
      <c r="CZ109" s="9" t="n">
        <v>0.3</v>
      </c>
      <c r="DA109" s="9" t="n">
        <v>0.8</v>
      </c>
      <c r="DB109" s="9" t="n">
        <v>0.291414752116082</v>
      </c>
      <c r="DC109" s="9" t="n">
        <v>6.83</v>
      </c>
      <c r="DD109" s="9" t="n">
        <v>5.362</v>
      </c>
      <c r="DE109" s="9" t="n">
        <v>13.98</v>
      </c>
      <c r="DF109" s="9" t="n">
        <v>16.7852476418541</v>
      </c>
      <c r="DG109" s="9" t="n">
        <v>23.4346609382855</v>
      </c>
      <c r="DH109" s="9" t="n">
        <v>17.8018764062288</v>
      </c>
      <c r="DI109" s="9" t="n">
        <v>22.1413458508127</v>
      </c>
      <c r="DJ109" s="9" t="n">
        <v>8.176</v>
      </c>
      <c r="DK109" s="9" t="n">
        <v>6.853</v>
      </c>
      <c r="DL109" s="9" t="n">
        <v>19.3416</v>
      </c>
      <c r="DM109" s="9" t="n">
        <v>12.7596168532155</v>
      </c>
      <c r="DN109" s="9" t="n">
        <v>12.7596168532155</v>
      </c>
      <c r="DO109" s="9" t="n">
        <v>0.105</v>
      </c>
    </row>
    <row r="110" customFormat="false" ht="15" hidden="false" customHeight="false" outlineLevel="0" collapsed="false">
      <c r="A110" s="9" t="s">
        <v>1002</v>
      </c>
      <c r="B110" s="9" t="s">
        <v>1003</v>
      </c>
      <c r="C110" s="9" t="n">
        <v>0.005</v>
      </c>
      <c r="D110" s="9" t="n">
        <v>0.005</v>
      </c>
      <c r="E110" s="9" t="n">
        <v>0.01</v>
      </c>
      <c r="F110" s="9" t="n">
        <v>0.005</v>
      </c>
      <c r="G110" s="9" t="n">
        <v>0.005</v>
      </c>
      <c r="H110" s="9" t="n">
        <v>0.01</v>
      </c>
      <c r="I110" s="9" t="n">
        <v>0.005</v>
      </c>
      <c r="J110" s="9" t="n">
        <v>0.005</v>
      </c>
      <c r="K110" s="9" t="n">
        <v>0.01</v>
      </c>
      <c r="L110" s="9" t="n">
        <v>0.01</v>
      </c>
      <c r="M110" s="9" t="n">
        <v>0.005</v>
      </c>
      <c r="N110" s="9" t="n">
        <v>3.183203</v>
      </c>
      <c r="O110" s="9" t="n">
        <v>0.239863</v>
      </c>
      <c r="P110" s="9" t="n">
        <v>9.83436</v>
      </c>
      <c r="Q110" s="9" t="n">
        <v>2.18773520124177</v>
      </c>
      <c r="R110" s="9" t="n">
        <v>0.69694541623701</v>
      </c>
      <c r="S110" s="9" t="n">
        <v>1.58256561980373</v>
      </c>
      <c r="T110" s="9" t="n">
        <v>0.462495890096199</v>
      </c>
      <c r="U110" s="9" t="n">
        <v>0.073704</v>
      </c>
      <c r="V110" s="9" t="n">
        <v>0.000337</v>
      </c>
      <c r="W110" s="9" t="n">
        <v>0.0324</v>
      </c>
      <c r="X110" s="9" t="n">
        <v>0.86112087470583</v>
      </c>
      <c r="Y110" s="9" t="n">
        <v>0.86112087470583</v>
      </c>
      <c r="Z110" s="9" t="n">
        <v>0.61</v>
      </c>
      <c r="AA110" s="9" t="n">
        <v>0.07</v>
      </c>
      <c r="AB110" s="9" t="n">
        <v>0</v>
      </c>
      <c r="AC110" s="9" t="n">
        <v>0</v>
      </c>
      <c r="AD110" s="9" t="n">
        <v>0</v>
      </c>
      <c r="AE110" s="9" t="n">
        <v>2.473</v>
      </c>
      <c r="AF110" s="9" t="n">
        <v>0</v>
      </c>
      <c r="AG110" s="9" t="n">
        <v>0</v>
      </c>
      <c r="AH110" s="9" t="n">
        <v>0</v>
      </c>
      <c r="AI110" s="9" t="n">
        <v>0</v>
      </c>
      <c r="AJ110" s="9" t="n">
        <v>0</v>
      </c>
      <c r="AK110" s="9" t="n">
        <v>0</v>
      </c>
      <c r="AL110" s="9" t="n">
        <v>0</v>
      </c>
      <c r="AM110" s="9" t="n">
        <v>0</v>
      </c>
      <c r="AN110" s="9" t="n">
        <v>0</v>
      </c>
      <c r="AO110" s="9" t="n">
        <v>11.7225958050563</v>
      </c>
      <c r="AP110" s="9" t="n">
        <v>11.032878388</v>
      </c>
      <c r="AQ110" s="9" t="n">
        <v>10.70189203636</v>
      </c>
      <c r="AR110" s="9" t="n">
        <v>10.8802569036327</v>
      </c>
      <c r="AS110" s="9" t="n">
        <v>2.92395050192102</v>
      </c>
      <c r="AT110" s="9" t="n">
        <v>1.8096856848</v>
      </c>
      <c r="AU110" s="9" t="n">
        <v>2.20112281985722</v>
      </c>
      <c r="AV110" s="9" t="n">
        <v>2.53080014432401</v>
      </c>
      <c r="AW110" s="9" t="n">
        <v>3.21606129864823</v>
      </c>
      <c r="AX110" s="9" t="n">
        <v>2.135184264</v>
      </c>
      <c r="AY110" s="9" t="n">
        <v>2.42102111847086</v>
      </c>
      <c r="AZ110" s="9" t="n">
        <v>2.78363412562093</v>
      </c>
      <c r="BA110" s="9" t="n">
        <v>2.9781009220851</v>
      </c>
      <c r="BB110" s="9" t="n">
        <v>2.30665805057687</v>
      </c>
      <c r="BC110" s="9" t="n">
        <v>3.43487838668823</v>
      </c>
      <c r="BD110" s="9" t="n">
        <v>2.81845906552353</v>
      </c>
      <c r="BE110" s="9" t="n">
        <v>0</v>
      </c>
      <c r="BF110" s="9" t="n">
        <v>0</v>
      </c>
      <c r="BG110" s="9" t="n">
        <v>0</v>
      </c>
      <c r="BH110" s="9" t="n">
        <v>0</v>
      </c>
      <c r="BI110" s="9" t="n">
        <v>0.802585455032732</v>
      </c>
      <c r="BJ110" s="9" t="n">
        <v>0.789263893637226</v>
      </c>
      <c r="BK110" s="9" t="n">
        <v>0.765585976828109</v>
      </c>
      <c r="BL110" s="9" t="n">
        <v>0.778345743108577</v>
      </c>
      <c r="BM110" s="9" t="n">
        <v>0</v>
      </c>
      <c r="BN110" s="9" t="n">
        <v>0</v>
      </c>
      <c r="BO110" s="9" t="n">
        <v>0</v>
      </c>
      <c r="BP110" s="9" t="n">
        <v>0</v>
      </c>
      <c r="BQ110" s="9" t="n">
        <v>0</v>
      </c>
      <c r="BR110" s="9" t="n">
        <v>0</v>
      </c>
      <c r="BS110" s="9" t="n">
        <v>0</v>
      </c>
      <c r="BT110" s="9" t="n">
        <v>0</v>
      </c>
      <c r="BU110" s="9" t="n">
        <v>0</v>
      </c>
      <c r="BV110" s="9" t="n">
        <v>15.0537611246373</v>
      </c>
      <c r="BW110" s="9" t="n">
        <v>12.2718353682046</v>
      </c>
      <c r="BX110" s="9" t="n">
        <v>13.0052800302726</v>
      </c>
      <c r="BY110" s="9" t="n">
        <v>13.7995404083972</v>
      </c>
      <c r="BZ110" s="9" t="n">
        <v>1.70555883349146</v>
      </c>
      <c r="CA110" s="9" t="n">
        <v>0.368814192343606</v>
      </c>
      <c r="CB110" s="9" t="n">
        <v>5.031</v>
      </c>
      <c r="CC110" s="9" t="n">
        <v>3.022</v>
      </c>
      <c r="CD110" s="9" t="n">
        <v>7.052</v>
      </c>
      <c r="CE110" s="9" t="n">
        <v>0</v>
      </c>
      <c r="CF110" s="9" t="n">
        <v>0</v>
      </c>
      <c r="CG110" s="9" t="n">
        <v>0.79</v>
      </c>
      <c r="CH110" s="9" t="n">
        <v>0</v>
      </c>
      <c r="CI110" s="9" t="n">
        <v>0.79</v>
      </c>
      <c r="CJ110" s="9" t="n">
        <v>0.06</v>
      </c>
      <c r="CK110" s="9" t="n">
        <v>0.85</v>
      </c>
      <c r="CL110" s="9" t="n">
        <v>0</v>
      </c>
      <c r="CM110" s="9" t="n">
        <v>2.714</v>
      </c>
      <c r="CN110" s="9" t="n">
        <v>2.714</v>
      </c>
      <c r="CO110" s="9" t="n">
        <v>3</v>
      </c>
      <c r="CP110" s="9" t="n">
        <v>3</v>
      </c>
      <c r="CQ110" s="9" t="n">
        <v>0.5</v>
      </c>
      <c r="CR110" s="9" t="n">
        <v>0.3</v>
      </c>
      <c r="CS110" s="9" t="n">
        <v>0.6</v>
      </c>
      <c r="CT110" s="9" t="n">
        <v>0.8</v>
      </c>
      <c r="CU110" s="9" t="n">
        <v>0.8</v>
      </c>
      <c r="CV110" s="9" t="n">
        <v>0.7</v>
      </c>
      <c r="CW110" s="9" t="n">
        <v>0.5</v>
      </c>
      <c r="CX110" s="9" t="n">
        <v>0.5</v>
      </c>
      <c r="CY110" s="9" t="n">
        <v>1</v>
      </c>
      <c r="CZ110" s="9" t="n">
        <v>0.3</v>
      </c>
      <c r="DA110" s="9" t="n">
        <v>0.8</v>
      </c>
      <c r="DB110" s="9" t="n">
        <v>0.51086641553173</v>
      </c>
      <c r="DC110" s="9" t="n">
        <v>7.124</v>
      </c>
      <c r="DD110" s="9" t="n">
        <v>4.833</v>
      </c>
      <c r="DE110" s="9" t="n">
        <v>12.13806</v>
      </c>
      <c r="DF110" s="9" t="n">
        <v>19.7856881812373</v>
      </c>
      <c r="DG110" s="9" t="n">
        <v>21.462927662602</v>
      </c>
      <c r="DH110" s="9" t="n">
        <v>17.2720586560434</v>
      </c>
      <c r="DI110" s="9" t="n">
        <v>20.9699973317123</v>
      </c>
      <c r="DJ110" s="9" t="n">
        <v>13.439</v>
      </c>
      <c r="DK110" s="9" t="n">
        <v>12.116</v>
      </c>
      <c r="DL110" s="9" t="n">
        <v>22.66386</v>
      </c>
      <c r="DM110" s="9" t="n">
        <v>14.1415676435678</v>
      </c>
      <c r="DN110" s="9" t="n">
        <v>14.1415676435678</v>
      </c>
      <c r="DO110" s="9" t="n">
        <v>0.105</v>
      </c>
    </row>
    <row r="111" customFormat="false" ht="15" hidden="false" customHeight="false" outlineLevel="0" collapsed="false">
      <c r="A111" s="9" t="s">
        <v>720</v>
      </c>
      <c r="B111" s="9" t="s">
        <v>721</v>
      </c>
      <c r="C111" s="9" t="n">
        <v>0.005</v>
      </c>
      <c r="D111" s="9" t="n">
        <v>0.005</v>
      </c>
      <c r="E111" s="9" t="n">
        <v>0.01</v>
      </c>
      <c r="F111" s="9" t="n">
        <v>0.005</v>
      </c>
      <c r="G111" s="9" t="n">
        <v>0.005</v>
      </c>
      <c r="H111" s="9" t="n">
        <v>0.01</v>
      </c>
      <c r="I111" s="9" t="n">
        <v>0.005</v>
      </c>
      <c r="J111" s="9" t="n">
        <v>0.005</v>
      </c>
      <c r="K111" s="9" t="n">
        <v>0.01</v>
      </c>
      <c r="L111" s="9" t="n">
        <v>0.01</v>
      </c>
      <c r="M111" s="9" t="n">
        <v>0.005</v>
      </c>
      <c r="N111" s="9" t="n">
        <v>13.71221</v>
      </c>
      <c r="O111" s="9" t="n">
        <v>2.160589</v>
      </c>
      <c r="P111" s="9" t="n">
        <v>72.175112</v>
      </c>
      <c r="Q111" s="9" t="n">
        <v>9.4264970898392</v>
      </c>
      <c r="R111" s="9" t="n">
        <v>5.83970598580373</v>
      </c>
      <c r="S111" s="9" t="n">
        <v>6.20784808803459</v>
      </c>
      <c r="T111" s="9" t="n">
        <v>5.25754994144583</v>
      </c>
      <c r="U111" s="9" t="n">
        <v>0.599614</v>
      </c>
      <c r="V111" s="9" t="n">
        <v>0.147458</v>
      </c>
      <c r="W111" s="9" t="n">
        <v>0.204969</v>
      </c>
      <c r="X111" s="9" t="n">
        <v>9.90632651389944</v>
      </c>
      <c r="Y111" s="9" t="n">
        <v>9.90632651389944</v>
      </c>
      <c r="Z111" s="9" t="n">
        <v>92.55</v>
      </c>
      <c r="AA111" s="9" t="n">
        <v>12.93</v>
      </c>
      <c r="AB111" s="9" t="n">
        <v>7.51</v>
      </c>
      <c r="AC111" s="9" t="n">
        <v>3</v>
      </c>
      <c r="AD111" s="9" t="n">
        <v>19.5793056286481</v>
      </c>
      <c r="AE111" s="9" t="n">
        <v>582.567</v>
      </c>
      <c r="AF111" s="9" t="n">
        <v>71.4171112815929</v>
      </c>
      <c r="AG111" s="9" t="n">
        <v>62.0886572028</v>
      </c>
      <c r="AH111" s="9" t="n">
        <v>66.1792040302786</v>
      </c>
      <c r="AI111" s="9" t="n">
        <v>64.4585447254914</v>
      </c>
      <c r="AJ111" s="9" t="n">
        <v>1945.70923462067</v>
      </c>
      <c r="AK111" s="9" t="n">
        <v>0</v>
      </c>
      <c r="AL111" s="9" t="n">
        <v>0</v>
      </c>
      <c r="AM111" s="9" t="n">
        <v>0</v>
      </c>
      <c r="AN111" s="9" t="n">
        <v>0</v>
      </c>
      <c r="AO111" s="9" t="n">
        <v>321.147651702366</v>
      </c>
      <c r="AP111" s="9" t="n">
        <v>305.52065188864</v>
      </c>
      <c r="AQ111" s="9" t="n">
        <v>325.649071307186</v>
      </c>
      <c r="AR111" s="9" t="n">
        <v>317.182195453199</v>
      </c>
      <c r="AS111" s="9" t="n">
        <v>831.131485094669</v>
      </c>
      <c r="AT111" s="9" t="n">
        <v>812.0841586092</v>
      </c>
      <c r="AU111" s="9" t="n">
        <v>871.371155681912</v>
      </c>
      <c r="AV111" s="9" t="n">
        <v>867.131302604108</v>
      </c>
      <c r="AW111" s="9" t="n">
        <v>255.838126852888</v>
      </c>
      <c r="AX111" s="9" t="n">
        <v>250.0631990892</v>
      </c>
      <c r="AY111" s="9" t="n">
        <v>268.256681708824</v>
      </c>
      <c r="AZ111" s="9" t="n">
        <v>266.94317599211</v>
      </c>
      <c r="BA111" s="9" t="n">
        <v>1258.74950228652</v>
      </c>
      <c r="BB111" s="9" t="n">
        <v>1190.63507728148</v>
      </c>
      <c r="BC111" s="9" t="n">
        <v>1547.58574731276</v>
      </c>
      <c r="BD111" s="9" t="n">
        <v>1236.08091780774</v>
      </c>
      <c r="BE111" s="9" t="n">
        <v>0</v>
      </c>
      <c r="BF111" s="9" t="n">
        <v>0</v>
      </c>
      <c r="BG111" s="9" t="n">
        <v>0</v>
      </c>
      <c r="BH111" s="9" t="n">
        <v>0</v>
      </c>
      <c r="BI111" s="9" t="n">
        <v>287.688677810604</v>
      </c>
      <c r="BJ111" s="9" t="n">
        <v>279.70932019</v>
      </c>
      <c r="BK111" s="9" t="n">
        <v>298.137228343694</v>
      </c>
      <c r="BL111" s="9" t="n">
        <v>290.385660406758</v>
      </c>
      <c r="BM111" s="9" t="n">
        <v>1351.69083383702</v>
      </c>
      <c r="BN111" s="9" t="n">
        <v>853.3160999532</v>
      </c>
      <c r="BO111" s="9" t="n">
        <v>909.534572420705</v>
      </c>
      <c r="BP111" s="9" t="n">
        <v>885.886673537767</v>
      </c>
      <c r="BQ111" s="9" t="n">
        <v>794.636302320516</v>
      </c>
      <c r="BR111" s="9" t="n">
        <v>79.3893487899227</v>
      </c>
      <c r="BS111" s="9" t="n">
        <v>50.57999811</v>
      </c>
      <c r="BT111" s="9" t="n">
        <v>53.9123273972471</v>
      </c>
      <c r="BU111" s="9" t="n">
        <v>52.5106068849186</v>
      </c>
      <c r="BV111" s="9" t="n">
        <v>719.916684783295</v>
      </c>
      <c r="BW111" s="9" t="n">
        <v>1037.34071855152</v>
      </c>
      <c r="BX111" s="9" t="n">
        <v>722.345898257519</v>
      </c>
      <c r="BY111" s="9" t="n">
        <v>693.481156869766</v>
      </c>
      <c r="BZ111" s="9" t="n">
        <v>301.936003318766</v>
      </c>
      <c r="CA111" s="9" t="n">
        <v>-0.563744446216615</v>
      </c>
      <c r="CB111" s="9" t="n">
        <v>0.562</v>
      </c>
      <c r="CC111" s="9" t="n">
        <v>1.639</v>
      </c>
      <c r="CD111" s="9" t="n">
        <v>1830.489</v>
      </c>
      <c r="CE111" s="9" t="n">
        <v>44.87</v>
      </c>
      <c r="CF111" s="9" t="n">
        <v>10.88</v>
      </c>
      <c r="CG111" s="9" t="n">
        <v>264.38</v>
      </c>
      <c r="CH111" s="9" t="n">
        <v>219.92</v>
      </c>
      <c r="CI111" s="9" t="n">
        <v>33.58</v>
      </c>
      <c r="CJ111" s="9" t="n">
        <v>26.34</v>
      </c>
      <c r="CK111" s="9" t="n">
        <v>356.97</v>
      </c>
      <c r="CL111" s="9" t="n">
        <v>21.38</v>
      </c>
      <c r="CM111" s="9" t="n">
        <v>944.503</v>
      </c>
      <c r="CN111" s="9" t="n">
        <v>959.826</v>
      </c>
      <c r="CO111" s="9" t="n">
        <v>3</v>
      </c>
      <c r="CP111" s="9" t="n">
        <v>3</v>
      </c>
      <c r="CQ111" s="9" t="n">
        <v>0.5</v>
      </c>
      <c r="CR111" s="9" t="n">
        <v>0.3</v>
      </c>
      <c r="CS111" s="9" t="n">
        <v>0.6</v>
      </c>
      <c r="CT111" s="9" t="n">
        <v>0.8</v>
      </c>
      <c r="CU111" s="9" t="n">
        <v>0.8</v>
      </c>
      <c r="CV111" s="9" t="n">
        <v>0.7</v>
      </c>
      <c r="CW111" s="9" t="n">
        <v>0.5</v>
      </c>
      <c r="CX111" s="9" t="n">
        <v>0.5</v>
      </c>
      <c r="CY111" s="9" t="n">
        <v>1</v>
      </c>
      <c r="CZ111" s="9" t="n">
        <v>0.3</v>
      </c>
      <c r="DA111" s="9" t="n">
        <v>0.8</v>
      </c>
      <c r="DB111" s="9" t="n">
        <v>0.552683209319796</v>
      </c>
      <c r="DC111" s="9" t="n">
        <v>3.06</v>
      </c>
      <c r="DD111" s="9" t="n">
        <v>2.863</v>
      </c>
      <c r="DE111" s="9" t="n">
        <v>11.38076</v>
      </c>
      <c r="DF111" s="9" t="n">
        <v>18.0046005932669</v>
      </c>
      <c r="DG111" s="9" t="n">
        <v>25.0776814468738</v>
      </c>
      <c r="DH111" s="9" t="n">
        <v>15.0468241052648</v>
      </c>
      <c r="DI111" s="9" t="n">
        <v>22.6745175365774</v>
      </c>
      <c r="DJ111" s="9" t="n">
        <v>3.757</v>
      </c>
      <c r="DK111" s="9" t="n">
        <v>4.758</v>
      </c>
      <c r="DL111" s="9" t="n">
        <v>12.13244</v>
      </c>
      <c r="DM111" s="9" t="n">
        <v>13.4947462084719</v>
      </c>
      <c r="DN111" s="9" t="n">
        <v>13.4947462084719</v>
      </c>
      <c r="DO111" s="9" t="n">
        <v>0.11</v>
      </c>
    </row>
    <row r="112" customFormat="false" ht="15" hidden="false" customHeight="false" outlineLevel="0" collapsed="false">
      <c r="A112" s="9" t="s">
        <v>970</v>
      </c>
      <c r="B112" s="9" t="s">
        <v>971</v>
      </c>
      <c r="C112" s="9" t="n">
        <v>0.005</v>
      </c>
      <c r="D112" s="9" t="n">
        <v>0.005</v>
      </c>
      <c r="E112" s="9" t="n">
        <v>0.01</v>
      </c>
      <c r="F112" s="9" t="n">
        <v>0.005</v>
      </c>
      <c r="G112" s="9" t="n">
        <v>0.005</v>
      </c>
      <c r="H112" s="9" t="n">
        <v>0.01</v>
      </c>
      <c r="I112" s="9" t="n">
        <v>0.005</v>
      </c>
      <c r="J112" s="9" t="n">
        <v>0.005</v>
      </c>
      <c r="K112" s="9" t="n">
        <v>0.01</v>
      </c>
      <c r="L112" s="9" t="n">
        <v>0.01</v>
      </c>
      <c r="M112" s="9" t="n">
        <v>0.005</v>
      </c>
      <c r="N112" s="9" t="n">
        <v>9.995942</v>
      </c>
      <c r="O112" s="9" t="n">
        <v>3.067695</v>
      </c>
      <c r="P112" s="9" t="n">
        <v>98.401596</v>
      </c>
      <c r="Q112" s="9" t="n">
        <v>5.51154183689639</v>
      </c>
      <c r="R112" s="9" t="n">
        <v>0.629172536026862</v>
      </c>
      <c r="S112" s="9" t="n">
        <v>3.05763121809485</v>
      </c>
      <c r="T112" s="9" t="n">
        <v>2.34603299782086</v>
      </c>
      <c r="U112" s="9" t="n">
        <v>0.496063</v>
      </c>
      <c r="V112" s="9" t="n">
        <v>0.133938</v>
      </c>
      <c r="W112" s="9" t="n">
        <v>0.220737</v>
      </c>
      <c r="X112" s="9" t="n">
        <v>4.93534588425458</v>
      </c>
      <c r="Y112" s="9" t="n">
        <v>4.93534588425458</v>
      </c>
      <c r="Z112" s="9" t="n">
        <v>1.24</v>
      </c>
      <c r="AA112" s="9" t="n">
        <v>1.06</v>
      </c>
      <c r="AB112" s="9" t="n">
        <v>0.1</v>
      </c>
      <c r="AC112" s="9" t="n">
        <v>3</v>
      </c>
      <c r="AD112" s="9" t="n">
        <v>0.0039583035</v>
      </c>
      <c r="AE112" s="9" t="n">
        <v>9.271</v>
      </c>
      <c r="AF112" s="9" t="n">
        <v>4.92118422693992</v>
      </c>
      <c r="AG112" s="9" t="n">
        <v>3.7591518744</v>
      </c>
      <c r="AH112" s="9" t="n">
        <v>4.43037494939742</v>
      </c>
      <c r="AI112" s="9" t="n">
        <v>4.71391894615885</v>
      </c>
      <c r="AJ112" s="9" t="n">
        <v>15.8984869847173</v>
      </c>
      <c r="AK112" s="9" t="n">
        <v>0.0758648714318856</v>
      </c>
      <c r="AL112" s="9" t="n">
        <v>0.0578866968</v>
      </c>
      <c r="AM112" s="9" t="n">
        <v>0.0682227747042056</v>
      </c>
      <c r="AN112" s="9" t="n">
        <v>0.0725890322852747</v>
      </c>
      <c r="AO112" s="9" t="n">
        <v>32.6470588222246</v>
      </c>
      <c r="AP112" s="9" t="n">
        <v>24.91933365</v>
      </c>
      <c r="AQ112" s="9" t="n">
        <v>29.3688563929749</v>
      </c>
      <c r="AR112" s="9" t="n">
        <v>31.2484632021253</v>
      </c>
      <c r="AS112" s="9" t="n">
        <v>14.4143021690985</v>
      </c>
      <c r="AT112" s="9" t="n">
        <v>11.6915050224</v>
      </c>
      <c r="AU112" s="9" t="n">
        <v>13.7663087659131</v>
      </c>
      <c r="AV112" s="9" t="n">
        <v>14.8704757457466</v>
      </c>
      <c r="AW112" s="9" t="n">
        <v>14.723002672626</v>
      </c>
      <c r="AX112" s="9" t="n">
        <v>11.9404982052</v>
      </c>
      <c r="AY112" s="9" t="n">
        <v>14.0617725228094</v>
      </c>
      <c r="AZ112" s="9" t="n">
        <v>15.1898142062021</v>
      </c>
      <c r="BA112" s="9" t="n">
        <v>4.85885499582402</v>
      </c>
      <c r="BB112" s="9" t="n">
        <v>3.71472408949041</v>
      </c>
      <c r="BC112" s="9" t="n">
        <v>4.10115246053412</v>
      </c>
      <c r="BD112" s="9" t="n">
        <v>4.65820195502386</v>
      </c>
      <c r="BE112" s="9" t="n">
        <v>0</v>
      </c>
      <c r="BF112" s="9" t="n">
        <v>0</v>
      </c>
      <c r="BG112" s="9" t="n">
        <v>0</v>
      </c>
      <c r="BH112" s="9" t="n">
        <v>0</v>
      </c>
      <c r="BI112" s="9" t="n">
        <v>0.262452943383707</v>
      </c>
      <c r="BJ112" s="9" t="n">
        <v>0.19928478</v>
      </c>
      <c r="BK112" s="9" t="n">
        <v>0.234868482734312</v>
      </c>
      <c r="BL112" s="9" t="n">
        <v>0.249900065629308</v>
      </c>
      <c r="BM112" s="9" t="n">
        <v>4.04336971661337</v>
      </c>
      <c r="BN112" s="9" t="n">
        <v>2.5976665656</v>
      </c>
      <c r="BO112" s="9" t="n">
        <v>3.06149824844689</v>
      </c>
      <c r="BP112" s="9" t="n">
        <v>3.25743413634749</v>
      </c>
      <c r="BQ112" s="9" t="n">
        <v>17.2230902810238</v>
      </c>
      <c r="BR112" s="9" t="n">
        <v>0.946005851308967</v>
      </c>
      <c r="BS112" s="9" t="n">
        <v>0.580667292</v>
      </c>
      <c r="BT112" s="9" t="n">
        <v>0.68434953158732</v>
      </c>
      <c r="BU112" s="9" t="n">
        <v>0.728147901608908</v>
      </c>
      <c r="BV112" s="9" t="n">
        <v>18.4578016307663</v>
      </c>
      <c r="BW112" s="9" t="n">
        <v>13.6173577471833</v>
      </c>
      <c r="BX112" s="9" t="n">
        <v>16.8311972064867</v>
      </c>
      <c r="BY112" s="9" t="n">
        <v>17.3710191285189</v>
      </c>
      <c r="BZ112" s="9" t="n">
        <v>8.09369578936791</v>
      </c>
      <c r="CA112" s="9" t="n">
        <v>8.66473814830622</v>
      </c>
      <c r="CB112" s="9" t="n">
        <v>3.487</v>
      </c>
      <c r="CC112" s="9" t="n">
        <v>3.1</v>
      </c>
      <c r="CD112" s="9" t="n">
        <v>16.954</v>
      </c>
      <c r="CE112" s="9" t="n">
        <v>1.26</v>
      </c>
      <c r="CF112" s="9" t="n">
        <v>2.07</v>
      </c>
      <c r="CG112" s="9" t="n">
        <v>3.33</v>
      </c>
      <c r="CH112" s="9" t="n">
        <v>1.09</v>
      </c>
      <c r="CI112" s="9" t="n">
        <v>0.17</v>
      </c>
      <c r="CJ112" s="9" t="n">
        <v>2.21</v>
      </c>
      <c r="CK112" s="9" t="n">
        <v>7.1</v>
      </c>
      <c r="CL112" s="9" t="n">
        <v>0.3</v>
      </c>
      <c r="CM112" s="9" t="n">
        <v>12.22</v>
      </c>
      <c r="CN112" s="9" t="n">
        <v>12.22</v>
      </c>
      <c r="CO112" s="9" t="n">
        <v>3</v>
      </c>
      <c r="CP112" s="9" t="n">
        <v>3</v>
      </c>
      <c r="CQ112" s="9" t="n">
        <v>0.5</v>
      </c>
      <c r="CR112" s="9" t="n">
        <v>0.3</v>
      </c>
      <c r="CS112" s="9" t="n">
        <v>0.6</v>
      </c>
      <c r="CT112" s="9" t="n">
        <v>0.8</v>
      </c>
      <c r="CU112" s="9" t="n">
        <v>0.8</v>
      </c>
      <c r="CV112" s="9" t="n">
        <v>0.7</v>
      </c>
      <c r="CW112" s="9" t="n">
        <v>0.5</v>
      </c>
      <c r="CX112" s="9" t="n">
        <v>0.5</v>
      </c>
      <c r="CY112" s="9" t="n">
        <v>1</v>
      </c>
      <c r="CZ112" s="9" t="n">
        <v>0.3</v>
      </c>
      <c r="DA112" s="9" t="n">
        <v>0.8</v>
      </c>
      <c r="DB112" s="9" t="n">
        <v>0.333858453782837</v>
      </c>
      <c r="DC112" s="9" t="n">
        <v>4.418</v>
      </c>
      <c r="DD112" s="9" t="n">
        <v>2.691</v>
      </c>
      <c r="DE112" s="9" t="n">
        <v>8.16796</v>
      </c>
      <c r="DF112" s="9" t="n">
        <v>21.9429100642737</v>
      </c>
      <c r="DG112" s="9" t="n">
        <v>24.412020220911</v>
      </c>
      <c r="DH112" s="9" t="n">
        <v>15.656114517978</v>
      </c>
      <c r="DI112" s="9" t="n">
        <v>20.1271632547174</v>
      </c>
      <c r="DJ112" s="9" t="n">
        <v>14.265</v>
      </c>
      <c r="DK112" s="9" t="n">
        <v>14.265</v>
      </c>
      <c r="DL112" s="9" t="n">
        <v>29.9071</v>
      </c>
      <c r="DM112" s="9" t="n">
        <v>13.4947462084719</v>
      </c>
      <c r="DN112" s="9" t="n">
        <v>13.4947462084719</v>
      </c>
      <c r="DO112" s="9" t="n">
        <v>0.105</v>
      </c>
    </row>
    <row r="113" customFormat="false" ht="15" hidden="false" customHeight="false" outlineLevel="0" collapsed="false">
      <c r="A113" s="9" t="s">
        <v>918</v>
      </c>
      <c r="B113" s="9" t="s">
        <v>919</v>
      </c>
      <c r="C113" s="9" t="n">
        <v>0.005</v>
      </c>
      <c r="D113" s="9" t="n">
        <v>0.005</v>
      </c>
      <c r="E113" s="9" t="n">
        <v>0.01</v>
      </c>
      <c r="F113" s="9" t="n">
        <v>0.005</v>
      </c>
      <c r="G113" s="9" t="n">
        <v>0.005</v>
      </c>
      <c r="H113" s="9" t="n">
        <v>0.01</v>
      </c>
      <c r="I113" s="9" t="n">
        <v>0.005</v>
      </c>
      <c r="J113" s="9" t="n">
        <v>0.005</v>
      </c>
      <c r="K113" s="9" t="n">
        <v>0.01</v>
      </c>
      <c r="L113" s="9" t="n">
        <v>0.01</v>
      </c>
      <c r="M113" s="9" t="n">
        <v>0.005</v>
      </c>
      <c r="N113" s="9" t="n">
        <v>0.008719</v>
      </c>
      <c r="O113" s="9" t="n">
        <v>0.033555</v>
      </c>
      <c r="P113" s="9" t="n">
        <v>0.374338</v>
      </c>
      <c r="Q113" s="9" t="n">
        <v>0.0670327728589129</v>
      </c>
      <c r="R113" s="9" t="n">
        <v>0.0128968645463191</v>
      </c>
      <c r="S113" s="9" t="n">
        <v>0.0299347028854739</v>
      </c>
      <c r="T113" s="9" t="n">
        <v>0.0092708645251188</v>
      </c>
      <c r="U113" s="9" t="n">
        <v>0.000387</v>
      </c>
      <c r="V113" s="9" t="n">
        <v>0.000137</v>
      </c>
      <c r="W113" s="9" t="n">
        <v>0.000719</v>
      </c>
      <c r="X113" s="9" t="n">
        <v>0.158667282560369</v>
      </c>
      <c r="Y113" s="9" t="n">
        <v>0.158667282560369</v>
      </c>
      <c r="Z113" s="9" t="n">
        <v>0.61</v>
      </c>
      <c r="AA113" s="9" t="n">
        <v>0.14</v>
      </c>
      <c r="AB113" s="9" t="n">
        <v>0</v>
      </c>
      <c r="AC113" s="9" t="n">
        <v>0</v>
      </c>
      <c r="AD113" s="9" t="n">
        <v>0</v>
      </c>
      <c r="AE113" s="9" t="n">
        <v>6.997</v>
      </c>
      <c r="AF113" s="9" t="n">
        <v>2.64662938189282</v>
      </c>
      <c r="AG113" s="9" t="n">
        <v>2.3272411536</v>
      </c>
      <c r="AH113" s="9" t="n">
        <v>2.48682340413257</v>
      </c>
      <c r="AI113" s="9" t="n">
        <v>2.41719234881686</v>
      </c>
      <c r="AJ113" s="9" t="n">
        <v>0</v>
      </c>
      <c r="AK113" s="9" t="n">
        <v>0</v>
      </c>
      <c r="AL113" s="9" t="n">
        <v>0</v>
      </c>
      <c r="AM113" s="9" t="n">
        <v>0</v>
      </c>
      <c r="AN113" s="9" t="n">
        <v>0</v>
      </c>
      <c r="AO113" s="9" t="n">
        <v>37.0370754628363</v>
      </c>
      <c r="AP113" s="9" t="n">
        <v>34.10032757</v>
      </c>
      <c r="AQ113" s="9" t="n">
        <v>36.4386357462286</v>
      </c>
      <c r="AR113" s="9" t="n">
        <v>35.4183539453342</v>
      </c>
      <c r="AS113" s="9" t="n">
        <v>8.6630333800162</v>
      </c>
      <c r="AT113" s="9" t="n">
        <v>7.067444004</v>
      </c>
      <c r="AU113" s="9" t="n">
        <v>8.37601387689758</v>
      </c>
      <c r="AV113" s="9" t="n">
        <v>8.28117931522152</v>
      </c>
      <c r="AW113" s="9" t="n">
        <v>5.66370042906059</v>
      </c>
      <c r="AX113" s="9" t="n">
        <v>4.701650796</v>
      </c>
      <c r="AY113" s="9" t="n">
        <v>5.47605339924404</v>
      </c>
      <c r="AZ113" s="9" t="n">
        <v>5.41405265145822</v>
      </c>
      <c r="BA113" s="9" t="n">
        <v>26.5216082048626</v>
      </c>
      <c r="BB113" s="9" t="n">
        <v>24.8016796890695</v>
      </c>
      <c r="BC113" s="9" t="n">
        <v>24.8514284176203</v>
      </c>
      <c r="BD113" s="9" t="n">
        <v>24.9450437039534</v>
      </c>
      <c r="BE113" s="9" t="n">
        <v>0</v>
      </c>
      <c r="BF113" s="9" t="n">
        <v>0</v>
      </c>
      <c r="BG113" s="9" t="n">
        <v>0</v>
      </c>
      <c r="BH113" s="9" t="n">
        <v>0</v>
      </c>
      <c r="BI113" s="9" t="n">
        <v>0.791517644835697</v>
      </c>
      <c r="BJ113" s="9" t="n">
        <v>0.712739949999999</v>
      </c>
      <c r="BK113" s="9" t="n">
        <v>0.761613546571428</v>
      </c>
      <c r="BL113" s="9" t="n">
        <v>0.740288367267428</v>
      </c>
      <c r="BM113" s="9" t="n">
        <v>0</v>
      </c>
      <c r="BN113" s="9" t="n">
        <v>0</v>
      </c>
      <c r="BO113" s="9" t="n">
        <v>0</v>
      </c>
      <c r="BP113" s="9" t="n">
        <v>0</v>
      </c>
      <c r="BQ113" s="9" t="n">
        <v>0</v>
      </c>
      <c r="BR113" s="9" t="n">
        <v>0</v>
      </c>
      <c r="BS113" s="9" t="n">
        <v>0</v>
      </c>
      <c r="BT113" s="9" t="n">
        <v>0</v>
      </c>
      <c r="BU113" s="9" t="n">
        <v>0</v>
      </c>
      <c r="BV113" s="9" t="n">
        <v>33.7852973802939</v>
      </c>
      <c r="BW113" s="9" t="n">
        <v>32.2304176651514</v>
      </c>
      <c r="BX113" s="9" t="n">
        <v>34.9182071618037</v>
      </c>
      <c r="BY113" s="9" t="n">
        <v>34.0786694791061</v>
      </c>
      <c r="BZ113" s="9" t="n">
        <v>3.97964828029911</v>
      </c>
      <c r="CA113" s="9" t="n">
        <v>-6.54106905597384</v>
      </c>
      <c r="CB113" s="9" t="n">
        <v>4.9</v>
      </c>
      <c r="CC113" s="9" t="n">
        <v>5.5</v>
      </c>
      <c r="CD113" s="9" t="n">
        <v>26.777</v>
      </c>
      <c r="CE113" s="9" t="n">
        <v>0.99</v>
      </c>
      <c r="CF113" s="9" t="n">
        <v>0</v>
      </c>
      <c r="CG113" s="9" t="n">
        <v>4.8</v>
      </c>
      <c r="CH113" s="9" t="n">
        <v>0</v>
      </c>
      <c r="CI113" s="9" t="n">
        <v>4.8</v>
      </c>
      <c r="CJ113" s="9" t="n">
        <v>0.17</v>
      </c>
      <c r="CK113" s="9" t="n">
        <v>5.96</v>
      </c>
      <c r="CL113" s="9" t="n">
        <v>0</v>
      </c>
      <c r="CM113" s="9" t="n">
        <v>50.869</v>
      </c>
      <c r="CN113" s="9" t="n">
        <v>50.873</v>
      </c>
      <c r="CO113" s="9" t="n">
        <v>3</v>
      </c>
      <c r="CP113" s="9" t="n">
        <v>1</v>
      </c>
      <c r="CQ113" s="9" t="n">
        <v>0.5</v>
      </c>
      <c r="CR113" s="9" t="n">
        <v>0.3</v>
      </c>
      <c r="CS113" s="9" t="n">
        <v>0.6</v>
      </c>
      <c r="CT113" s="9" t="n">
        <v>0.8</v>
      </c>
      <c r="CU113" s="9" t="n">
        <v>0.8</v>
      </c>
      <c r="CV113" s="9" t="n">
        <v>0.7</v>
      </c>
      <c r="CW113" s="9" t="n">
        <v>0.5</v>
      </c>
      <c r="CX113" s="9" t="n">
        <v>0.5</v>
      </c>
      <c r="CY113" s="9" t="n">
        <v>1</v>
      </c>
      <c r="CZ113" s="9" t="n">
        <v>0.3</v>
      </c>
      <c r="DA113" s="9" t="n">
        <v>0.8</v>
      </c>
      <c r="DB113" s="9" t="n">
        <v>0.328737692439905</v>
      </c>
      <c r="DC113" s="9" t="n">
        <v>6.987</v>
      </c>
      <c r="DD113" s="9" t="n">
        <v>5.362</v>
      </c>
      <c r="DE113" s="9" t="n">
        <v>14.38774</v>
      </c>
      <c r="DF113" s="9" t="n">
        <v>19.3219554585994</v>
      </c>
      <c r="DG113" s="9" t="n">
        <v>22.5297357086441</v>
      </c>
      <c r="DH113" s="9" t="n">
        <v>13.9342068298755</v>
      </c>
      <c r="DI113" s="9" t="n">
        <v>21.3892809076621</v>
      </c>
      <c r="DJ113" s="9" t="n">
        <v>12.815</v>
      </c>
      <c r="DK113" s="9" t="n">
        <v>11.492</v>
      </c>
      <c r="DL113" s="9" t="n">
        <v>24.49326</v>
      </c>
      <c r="DM113" s="9" t="n">
        <v>12.5097807153656</v>
      </c>
      <c r="DN113" s="9" t="n">
        <v>12.5097807153656</v>
      </c>
      <c r="DO113" s="9" t="n">
        <v>0.105</v>
      </c>
    </row>
    <row r="114" customFormat="false" ht="15" hidden="false" customHeight="false" outlineLevel="0" collapsed="false">
      <c r="A114" s="9" t="s">
        <v>936</v>
      </c>
      <c r="B114" s="9" t="s">
        <v>937</v>
      </c>
      <c r="C114" s="9" t="n">
        <v>0.005</v>
      </c>
      <c r="D114" s="9" t="n">
        <v>0.005</v>
      </c>
      <c r="E114" s="9" t="n">
        <v>0.01</v>
      </c>
      <c r="F114" s="9" t="n">
        <v>0.005</v>
      </c>
      <c r="G114" s="9" t="n">
        <v>0.005</v>
      </c>
      <c r="H114" s="9" t="n">
        <v>0.01</v>
      </c>
      <c r="I114" s="9" t="n">
        <v>0.005</v>
      </c>
      <c r="J114" s="9" t="n">
        <v>0.005</v>
      </c>
      <c r="K114" s="9" t="n">
        <v>0.01</v>
      </c>
      <c r="L114" s="9" t="n">
        <v>0.01</v>
      </c>
      <c r="M114" s="9" t="n">
        <v>0.005</v>
      </c>
      <c r="N114" s="9" t="n">
        <v>9.534115</v>
      </c>
      <c r="O114" s="9" t="n">
        <v>-0.294878</v>
      </c>
      <c r="P114" s="9" t="n">
        <v>27.817227</v>
      </c>
      <c r="Q114" s="9" t="n">
        <v>1.93279615950475</v>
      </c>
      <c r="R114" s="9" t="n">
        <v>0.353019496284502</v>
      </c>
      <c r="S114" s="9" t="n">
        <v>1.59207584841956</v>
      </c>
      <c r="T114" s="9" t="n">
        <v>1.90537600616668</v>
      </c>
      <c r="U114" s="9" t="n">
        <v>0.319686</v>
      </c>
      <c r="V114" s="9" t="n">
        <v>0.027941</v>
      </c>
      <c r="W114" s="9" t="n">
        <v>0.098799</v>
      </c>
      <c r="X114" s="9" t="n">
        <v>0.749240083745447</v>
      </c>
      <c r="Y114" s="9" t="n">
        <v>0.749240083745447</v>
      </c>
      <c r="Z114" s="9" t="n">
        <v>0.55</v>
      </c>
      <c r="AA114" s="9" t="n">
        <v>0.25</v>
      </c>
      <c r="AB114" s="9" t="n">
        <v>0</v>
      </c>
      <c r="AC114" s="9" t="n">
        <v>0</v>
      </c>
      <c r="AD114" s="9" t="n">
        <v>0</v>
      </c>
      <c r="AE114" s="9" t="n">
        <v>1.775</v>
      </c>
      <c r="AF114" s="9" t="n">
        <v>0</v>
      </c>
      <c r="AG114" s="9" t="n">
        <v>0</v>
      </c>
      <c r="AH114" s="9" t="n">
        <v>0</v>
      </c>
      <c r="AI114" s="9" t="n">
        <v>0</v>
      </c>
      <c r="AJ114" s="9" t="n">
        <v>0</v>
      </c>
      <c r="AK114" s="9" t="n">
        <v>0</v>
      </c>
      <c r="AL114" s="9" t="n">
        <v>0</v>
      </c>
      <c r="AM114" s="9" t="n">
        <v>0</v>
      </c>
      <c r="AN114" s="9" t="n">
        <v>0</v>
      </c>
      <c r="AO114" s="9" t="n">
        <v>5.97670720324336</v>
      </c>
      <c r="AP114" s="9" t="n">
        <v>5.24652526</v>
      </c>
      <c r="AQ114" s="9" t="n">
        <v>5.50140275256914</v>
      </c>
      <c r="AR114" s="9" t="n">
        <v>5.84604077445122</v>
      </c>
      <c r="AS114" s="9" t="n">
        <v>7.41401029515728</v>
      </c>
      <c r="AT114" s="9" t="n">
        <v>5.5945947528</v>
      </c>
      <c r="AU114" s="9" t="n">
        <v>6.1472717118954</v>
      </c>
      <c r="AV114" s="9" t="n">
        <v>7.18224595159082</v>
      </c>
      <c r="AW114" s="9" t="n">
        <v>4.47235304621159</v>
      </c>
      <c r="AX114" s="9" t="n">
        <v>3.4121666376</v>
      </c>
      <c r="AY114" s="9" t="n">
        <v>3.70819552236854</v>
      </c>
      <c r="AZ114" s="9" t="n">
        <v>4.33263562017175</v>
      </c>
      <c r="BA114" s="9" t="n">
        <v>3.79277213584954</v>
      </c>
      <c r="BB114" s="9" t="n">
        <v>3.30317815231852</v>
      </c>
      <c r="BC114" s="9" t="n">
        <v>3.63472830434135</v>
      </c>
      <c r="BD114" s="9" t="n">
        <v>3.68063385054701</v>
      </c>
      <c r="BE114" s="9" t="n">
        <v>0</v>
      </c>
      <c r="BF114" s="9" t="n">
        <v>0</v>
      </c>
      <c r="BG114" s="9" t="n">
        <v>0</v>
      </c>
      <c r="BH114" s="9" t="n">
        <v>0</v>
      </c>
      <c r="BI114" s="9" t="n">
        <v>0.629046391697241</v>
      </c>
      <c r="BJ114" s="9" t="n">
        <v>0.53515937</v>
      </c>
      <c r="BK114" s="9" t="n">
        <v>0.561157544332715</v>
      </c>
      <c r="BL114" s="9" t="n">
        <v>0.59631152864203</v>
      </c>
      <c r="BM114" s="9" t="n">
        <v>0</v>
      </c>
      <c r="BN114" s="9" t="n">
        <v>0</v>
      </c>
      <c r="BO114" s="9" t="n">
        <v>0</v>
      </c>
      <c r="BP114" s="9" t="n">
        <v>0</v>
      </c>
      <c r="BQ114" s="9" t="n">
        <v>13.7344471526226</v>
      </c>
      <c r="BR114" s="9" t="n">
        <v>0</v>
      </c>
      <c r="BS114" s="9" t="n">
        <v>0</v>
      </c>
      <c r="BT114" s="9" t="n">
        <v>0</v>
      </c>
      <c r="BU114" s="9" t="n">
        <v>0</v>
      </c>
      <c r="BV114" s="9" t="n">
        <v>3.62600750938647</v>
      </c>
      <c r="BW114" s="9" t="n">
        <v>2.97041671534308</v>
      </c>
      <c r="BX114" s="9" t="n">
        <v>3.05624866150925</v>
      </c>
      <c r="BY114" s="9" t="n">
        <v>3.52406168297754</v>
      </c>
      <c r="BZ114" s="9" t="n">
        <v>3.30176759482469</v>
      </c>
      <c r="CA114" s="9" t="n">
        <v>0.97941896631593</v>
      </c>
      <c r="CB114" s="9" t="n">
        <v>3.962</v>
      </c>
      <c r="CC114" s="9" t="n">
        <v>3.7</v>
      </c>
      <c r="CD114" s="9" t="n">
        <v>25.035</v>
      </c>
      <c r="CE114" s="9" t="n">
        <v>0.01</v>
      </c>
      <c r="CF114" s="9" t="n">
        <v>0</v>
      </c>
      <c r="CG114" s="9" t="n">
        <v>1.84</v>
      </c>
      <c r="CH114" s="9" t="n">
        <v>1.82</v>
      </c>
      <c r="CI114" s="9" t="n">
        <v>0.02</v>
      </c>
      <c r="CJ114" s="9" t="n">
        <v>0.34</v>
      </c>
      <c r="CK114" s="9" t="n">
        <v>2.19</v>
      </c>
      <c r="CL114" s="9" t="n">
        <v>0</v>
      </c>
      <c r="CM114" s="9" t="n">
        <v>2.328</v>
      </c>
      <c r="CN114" s="9" t="n">
        <v>2.328</v>
      </c>
      <c r="CO114" s="9" t="n">
        <v>1</v>
      </c>
      <c r="CP114" s="9" t="n">
        <v>4</v>
      </c>
      <c r="CQ114" s="9" t="n">
        <v>0.5</v>
      </c>
      <c r="CR114" s="9" t="n">
        <v>0.3</v>
      </c>
      <c r="CS114" s="9" t="n">
        <v>0.6</v>
      </c>
      <c r="CT114" s="9" t="n">
        <v>0.8</v>
      </c>
      <c r="CU114" s="9" t="n">
        <v>0.8</v>
      </c>
      <c r="CV114" s="9" t="n">
        <v>0.7</v>
      </c>
      <c r="CW114" s="9" t="n">
        <v>0.5</v>
      </c>
      <c r="CX114" s="9" t="n">
        <v>0.5</v>
      </c>
      <c r="CY114" s="9" t="n">
        <v>1</v>
      </c>
      <c r="CZ114" s="9" t="n">
        <v>0.3</v>
      </c>
      <c r="DA114" s="9" t="n">
        <v>0.8</v>
      </c>
      <c r="DB114" s="9" t="n">
        <v>0.60411186988731</v>
      </c>
      <c r="DC114" s="9" t="n">
        <v>7.124</v>
      </c>
      <c r="DD114" s="9" t="n">
        <v>5.575</v>
      </c>
      <c r="DE114" s="9" t="n">
        <v>14.38774</v>
      </c>
      <c r="DF114" s="9" t="n">
        <v>21.1451664410344</v>
      </c>
      <c r="DG114" s="9" t="n">
        <v>24.2489077699748</v>
      </c>
      <c r="DH114" s="9" t="n">
        <v>17.2720586560434</v>
      </c>
      <c r="DI114" s="9" t="n">
        <v>21.5293912116986</v>
      </c>
      <c r="DJ114" s="9" t="n">
        <v>11.815</v>
      </c>
      <c r="DK114" s="9" t="n">
        <v>10.492</v>
      </c>
      <c r="DL114" s="9" t="n">
        <v>23.31326</v>
      </c>
      <c r="DM114" s="9" t="n">
        <v>14.1151698941595</v>
      </c>
      <c r="DN114" s="9" t="n">
        <v>14.1151698941595</v>
      </c>
      <c r="DO114" s="9" t="n">
        <v>0.055</v>
      </c>
    </row>
    <row r="115" customFormat="false" ht="15" hidden="false" customHeight="false" outlineLevel="0" collapsed="false">
      <c r="A115" s="9" t="s">
        <v>862</v>
      </c>
      <c r="B115" s="9" t="s">
        <v>863</v>
      </c>
      <c r="C115" s="9" t="n">
        <v>0.005</v>
      </c>
      <c r="D115" s="9" t="n">
        <v>0.005</v>
      </c>
      <c r="E115" s="9" t="n">
        <v>0.01</v>
      </c>
      <c r="F115" s="9" t="n">
        <v>0.005</v>
      </c>
      <c r="G115" s="9" t="n">
        <v>0.005</v>
      </c>
      <c r="H115" s="9" t="n">
        <v>0.01</v>
      </c>
      <c r="I115" s="9" t="n">
        <v>0.005</v>
      </c>
      <c r="J115" s="9" t="n">
        <v>0.005</v>
      </c>
      <c r="K115" s="9" t="n">
        <v>0.01</v>
      </c>
      <c r="L115" s="9" t="n">
        <v>0.01</v>
      </c>
      <c r="M115" s="9" t="n">
        <v>0.005</v>
      </c>
      <c r="N115" s="9" t="n">
        <v>0.01018</v>
      </c>
      <c r="O115" s="9" t="n">
        <v>0.260284</v>
      </c>
      <c r="P115" s="9" t="n">
        <v>7.239541</v>
      </c>
      <c r="Q115" s="9" t="n">
        <v>17.1889458131196</v>
      </c>
      <c r="R115" s="9" t="n">
        <v>3.76579865906924</v>
      </c>
      <c r="S115" s="9" t="n">
        <v>2.0106053801785</v>
      </c>
      <c r="T115" s="9" t="n">
        <v>0.400741846899592</v>
      </c>
      <c r="U115" s="9" t="n">
        <v>0.045639</v>
      </c>
      <c r="V115" s="9" t="n">
        <v>0.025915</v>
      </c>
      <c r="W115" s="9" t="n">
        <v>0.027793</v>
      </c>
      <c r="X115" s="9" t="n">
        <v>0.698543810125673</v>
      </c>
      <c r="Y115" s="9" t="n">
        <v>0.698543810125673</v>
      </c>
      <c r="Z115" s="9" t="n">
        <v>2.63</v>
      </c>
      <c r="AA115" s="9" t="n">
        <v>0.22</v>
      </c>
      <c r="AB115" s="9" t="n">
        <v>0</v>
      </c>
      <c r="AC115" s="9" t="n">
        <v>0</v>
      </c>
      <c r="AD115" s="9" t="n">
        <v>0</v>
      </c>
      <c r="AE115" s="9" t="n">
        <v>42.531</v>
      </c>
      <c r="AF115" s="9" t="n">
        <v>8.86337803733769</v>
      </c>
      <c r="AG115" s="9" t="n">
        <v>8.7918110784</v>
      </c>
      <c r="AH115" s="9" t="n">
        <v>9.04823890152</v>
      </c>
      <c r="AI115" s="9" t="n">
        <v>8.822032928982</v>
      </c>
      <c r="AJ115" s="9" t="n">
        <v>55.7783486245142</v>
      </c>
      <c r="AK115" s="9" t="n">
        <v>0</v>
      </c>
      <c r="AL115" s="9" t="n">
        <v>0</v>
      </c>
      <c r="AM115" s="9" t="n">
        <v>0</v>
      </c>
      <c r="AN115" s="9" t="n">
        <v>0</v>
      </c>
      <c r="AO115" s="9" t="n">
        <v>21.935454235528</v>
      </c>
      <c r="AP115" s="9" t="n">
        <v>20.03418751</v>
      </c>
      <c r="AQ115" s="9" t="n">
        <v>20.6185179790417</v>
      </c>
      <c r="AR115" s="9" t="n">
        <v>20.1030550295656</v>
      </c>
      <c r="AS115" s="9" t="n">
        <v>44.4793860606421</v>
      </c>
      <c r="AT115" s="9" t="n">
        <v>34.7509717236</v>
      </c>
      <c r="AU115" s="9" t="n">
        <v>38.3814240877892</v>
      </c>
      <c r="AV115" s="9" t="n">
        <v>42.2063493058432</v>
      </c>
      <c r="AW115" s="9" t="n">
        <v>31.7837702226738</v>
      </c>
      <c r="AX115" s="9" t="n">
        <v>25.199637444</v>
      </c>
      <c r="AY115" s="9" t="n">
        <v>27.4263309831232</v>
      </c>
      <c r="AZ115" s="9" t="n">
        <v>30.1595194332469</v>
      </c>
      <c r="BA115" s="9" t="n">
        <v>43.2581729507067</v>
      </c>
      <c r="BB115" s="9" t="n">
        <v>36.4393537239129</v>
      </c>
      <c r="BC115" s="9" t="n">
        <v>53.058389629046</v>
      </c>
      <c r="BD115" s="9" t="n">
        <v>43.4920445038625</v>
      </c>
      <c r="BE115" s="9" t="n">
        <v>0</v>
      </c>
      <c r="BF115" s="9" t="n">
        <v>0</v>
      </c>
      <c r="BG115" s="9" t="n">
        <v>0</v>
      </c>
      <c r="BH115" s="9" t="n">
        <v>0</v>
      </c>
      <c r="BI115" s="9" t="n">
        <v>0.0481061825633441</v>
      </c>
      <c r="BJ115" s="9" t="n">
        <v>0.046223182142857</v>
      </c>
      <c r="BK115" s="9" t="n">
        <v>0.0475713582886904</v>
      </c>
      <c r="BL115" s="9" t="n">
        <v>0.0463820743314731</v>
      </c>
      <c r="BM115" s="9" t="n">
        <v>33.5810331113093</v>
      </c>
      <c r="BN115" s="9" t="n">
        <v>33.1354112076</v>
      </c>
      <c r="BO115" s="9" t="n">
        <v>34.101860701155</v>
      </c>
      <c r="BP115" s="9" t="n">
        <v>33.2493141836261</v>
      </c>
      <c r="BQ115" s="9" t="n">
        <v>98.4231484831144</v>
      </c>
      <c r="BR115" s="9" t="n">
        <v>0.364826062187839</v>
      </c>
      <c r="BS115" s="9" t="n">
        <v>0.359394912</v>
      </c>
      <c r="BT115" s="9" t="n">
        <v>0.3698772636</v>
      </c>
      <c r="BU115" s="9" t="n">
        <v>0.36063033201</v>
      </c>
      <c r="BV115" s="9" t="n">
        <v>186.38245648643</v>
      </c>
      <c r="BW115" s="9" t="n">
        <v>158.047130534417</v>
      </c>
      <c r="BX115" s="9" t="n">
        <v>171.335073114256</v>
      </c>
      <c r="BY115" s="9" t="n">
        <v>161.935894452352</v>
      </c>
      <c r="BZ115" s="9" t="n">
        <v>21.1842100786989</v>
      </c>
      <c r="CA115" s="9" t="n">
        <v>-0.497073151763772</v>
      </c>
      <c r="CB115" s="9" t="n">
        <v>-1.964</v>
      </c>
      <c r="CC115" s="9" t="n">
        <v>2.995</v>
      </c>
      <c r="CD115" s="9" t="n">
        <v>76.759</v>
      </c>
      <c r="CE115" s="9" t="n">
        <v>10.27</v>
      </c>
      <c r="CF115" s="9" t="n">
        <v>1.2</v>
      </c>
      <c r="CG115" s="9" t="n">
        <v>11.32</v>
      </c>
      <c r="CH115" s="9" t="n">
        <v>10</v>
      </c>
      <c r="CI115" s="9" t="n">
        <v>0.12</v>
      </c>
      <c r="CJ115" s="9" t="n">
        <v>0.12</v>
      </c>
      <c r="CK115" s="9" t="n">
        <v>21.71</v>
      </c>
      <c r="CL115" s="9" t="n">
        <v>0</v>
      </c>
      <c r="CM115" s="9" t="n">
        <v>173.541</v>
      </c>
      <c r="CN115" s="9" t="n">
        <v>310.039</v>
      </c>
      <c r="CO115" s="9" t="n">
        <v>3</v>
      </c>
      <c r="CP115" s="9" t="n">
        <v>2</v>
      </c>
      <c r="CQ115" s="9" t="n">
        <v>0.5</v>
      </c>
      <c r="CR115" s="9" t="n">
        <v>0.3</v>
      </c>
      <c r="CS115" s="9" t="n">
        <v>0.6</v>
      </c>
      <c r="CT115" s="9" t="n">
        <v>0.8</v>
      </c>
      <c r="CU115" s="9" t="n">
        <v>0.8</v>
      </c>
      <c r="CV115" s="9" t="n">
        <v>0.7</v>
      </c>
      <c r="CW115" s="9" t="n">
        <v>0.5</v>
      </c>
      <c r="CX115" s="9" t="n">
        <v>0.5</v>
      </c>
      <c r="CY115" s="9" t="n">
        <v>1</v>
      </c>
      <c r="CZ115" s="9" t="n">
        <v>0.3</v>
      </c>
      <c r="DA115" s="9" t="n">
        <v>0.8</v>
      </c>
      <c r="DB115" s="9" t="n">
        <v>0.279526154025433</v>
      </c>
      <c r="DC115" s="9" t="n">
        <v>3.373</v>
      </c>
      <c r="DD115" s="9" t="n">
        <v>2.049</v>
      </c>
      <c r="DE115" s="9" t="n">
        <v>5.358</v>
      </c>
      <c r="DF115" s="9" t="n">
        <v>19.6808221113768</v>
      </c>
      <c r="DG115" s="9" t="n">
        <v>20.5892294309309</v>
      </c>
      <c r="DH115" s="9" t="n">
        <v>17.2720586560434</v>
      </c>
      <c r="DI115" s="9" t="n">
        <v>19.783016350672</v>
      </c>
      <c r="DJ115" s="9" t="n">
        <v>6.804</v>
      </c>
      <c r="DK115" s="9" t="n">
        <v>6.142</v>
      </c>
      <c r="DL115" s="9" t="n">
        <v>10.774</v>
      </c>
      <c r="DM115" s="9" t="n">
        <v>14.1151698941595</v>
      </c>
      <c r="DN115" s="9" t="n">
        <v>14.1151698941595</v>
      </c>
      <c r="DO115" s="9" t="n">
        <v>0.105</v>
      </c>
    </row>
    <row r="116" customFormat="false" ht="15" hidden="false" customHeight="false" outlineLevel="0" collapsed="false">
      <c r="A116" s="9" t="s">
        <v>996</v>
      </c>
      <c r="B116" s="9" t="s">
        <v>997</v>
      </c>
      <c r="C116" s="9" t="n">
        <v>0.005</v>
      </c>
      <c r="D116" s="9" t="n">
        <v>0.005</v>
      </c>
      <c r="E116" s="9" t="n">
        <v>0.01</v>
      </c>
      <c r="F116" s="9" t="n">
        <v>0.005</v>
      </c>
      <c r="G116" s="9" t="n">
        <v>0.005</v>
      </c>
      <c r="H116" s="9" t="n">
        <v>0.01</v>
      </c>
      <c r="I116" s="9" t="n">
        <v>0.005</v>
      </c>
      <c r="J116" s="9" t="n">
        <v>0.005</v>
      </c>
      <c r="K116" s="9" t="n">
        <v>0.01</v>
      </c>
      <c r="L116" s="9" t="n">
        <v>0.01</v>
      </c>
      <c r="M116" s="9" t="n">
        <v>0.005</v>
      </c>
      <c r="N116" s="9" t="n">
        <v>0</v>
      </c>
      <c r="O116" s="9" t="n">
        <v>0</v>
      </c>
      <c r="P116" s="9" t="n">
        <v>0</v>
      </c>
      <c r="Q116" s="9" t="n">
        <v>0</v>
      </c>
      <c r="R116" s="9" t="n">
        <v>0</v>
      </c>
      <c r="S116" s="9" t="n">
        <v>0</v>
      </c>
      <c r="T116" s="9" t="n">
        <v>0</v>
      </c>
      <c r="U116" s="9" t="n">
        <v>0</v>
      </c>
      <c r="V116" s="9" t="n">
        <v>0</v>
      </c>
      <c r="W116" s="9" t="n">
        <v>0</v>
      </c>
      <c r="X116" s="9" t="n">
        <v>0</v>
      </c>
      <c r="Y116" s="9" t="n">
        <v>0</v>
      </c>
      <c r="Z116" s="9" t="n">
        <v>0.22</v>
      </c>
      <c r="AA116" s="9" t="n">
        <v>0.1</v>
      </c>
      <c r="AB116" s="9" t="n">
        <v>0.12</v>
      </c>
      <c r="AC116" s="9" t="n">
        <v>3</v>
      </c>
      <c r="AD116" s="9" t="n">
        <v>0</v>
      </c>
      <c r="AE116" s="9" t="n">
        <v>0</v>
      </c>
      <c r="AF116" s="9" t="n">
        <v>0.155976177870331</v>
      </c>
      <c r="AG116" s="9" t="n">
        <v>0.1544008104</v>
      </c>
      <c r="AH116" s="9" t="n">
        <v>0.1544008104</v>
      </c>
      <c r="AI116" s="9" t="n">
        <v>0.1544008104</v>
      </c>
      <c r="AJ116" s="9" t="n">
        <v>15.1261278605258</v>
      </c>
      <c r="AK116" s="9" t="n">
        <v>0.212673695117307</v>
      </c>
      <c r="AL116" s="9" t="n">
        <v>0.2105457984</v>
      </c>
      <c r="AM116" s="9" t="n">
        <v>0.2105457984</v>
      </c>
      <c r="AN116" s="9" t="n">
        <v>0.2105457984</v>
      </c>
      <c r="AO116" s="9" t="n">
        <v>10.6420069629054</v>
      </c>
      <c r="AP116" s="9" t="n">
        <v>10.15507674</v>
      </c>
      <c r="AQ116" s="9" t="n">
        <v>10.15507674</v>
      </c>
      <c r="AR116" s="9" t="n">
        <v>10.15507674</v>
      </c>
      <c r="AS116" s="9" t="n">
        <v>7.20776594197493</v>
      </c>
      <c r="AT116" s="9" t="n">
        <v>5.9086801152</v>
      </c>
      <c r="AU116" s="9" t="n">
        <v>6.24617717928886</v>
      </c>
      <c r="AV116" s="9" t="n">
        <v>7.04784806941064</v>
      </c>
      <c r="AW116" s="9" t="n">
        <v>5.79892413624879</v>
      </c>
      <c r="AX116" s="9" t="n">
        <v>4.8110393196</v>
      </c>
      <c r="AY116" s="9" t="n">
        <v>5.02537354869914</v>
      </c>
      <c r="AZ116" s="9" t="n">
        <v>5.67048024781954</v>
      </c>
      <c r="BA116" s="9" t="n">
        <v>1.75151252131477</v>
      </c>
      <c r="BB116" s="9" t="n">
        <v>1.67768019</v>
      </c>
      <c r="BC116" s="9" t="n">
        <v>1.69055338763226</v>
      </c>
      <c r="BD116" s="9" t="n">
        <v>1.67768019</v>
      </c>
      <c r="BE116" s="9" t="n">
        <v>0</v>
      </c>
      <c r="BF116" s="9" t="n">
        <v>0</v>
      </c>
      <c r="BG116" s="9" t="n">
        <v>0</v>
      </c>
      <c r="BH116" s="9" t="n">
        <v>0</v>
      </c>
      <c r="BI116" s="9" t="n">
        <v>0.0865491931188728</v>
      </c>
      <c r="BJ116" s="9" t="n">
        <v>0.0831702503186006</v>
      </c>
      <c r="BK116" s="9" t="n">
        <v>0.0831702503186006</v>
      </c>
      <c r="BL116" s="9" t="n">
        <v>0.0831702503186006</v>
      </c>
      <c r="BM116" s="9" t="n">
        <v>0</v>
      </c>
      <c r="BN116" s="9" t="n">
        <v>0</v>
      </c>
      <c r="BO116" s="9" t="n">
        <v>0</v>
      </c>
      <c r="BP116" s="9" t="n">
        <v>0</v>
      </c>
      <c r="BQ116" s="9" t="n">
        <v>0</v>
      </c>
      <c r="BR116" s="9" t="n">
        <v>0</v>
      </c>
      <c r="BS116" s="9" t="n">
        <v>0</v>
      </c>
      <c r="BT116" s="9" t="n">
        <v>0</v>
      </c>
      <c r="BU116" s="9" t="n">
        <v>0</v>
      </c>
      <c r="BV116" s="9" t="n">
        <v>3.99418224449706</v>
      </c>
      <c r="BW116" s="9" t="n">
        <v>3.70669369048711</v>
      </c>
      <c r="BX116" s="9" t="n">
        <v>3.70703156285485</v>
      </c>
      <c r="BY116" s="9" t="n">
        <v>3.70669369048711</v>
      </c>
      <c r="BZ116" s="9" t="n">
        <v>3.61296946617325</v>
      </c>
      <c r="CA116" s="9" t="n">
        <v>7.47918355316484</v>
      </c>
      <c r="CB116" s="9" t="n">
        <v>2.7</v>
      </c>
      <c r="CC116" s="9" t="n">
        <v>2.8</v>
      </c>
      <c r="CD116" s="9" t="n">
        <v>8.272</v>
      </c>
      <c r="CE116" s="9" t="n">
        <v>1.44</v>
      </c>
      <c r="CF116" s="9" t="n">
        <v>0.6</v>
      </c>
      <c r="CG116" s="9" t="n">
        <v>0.6</v>
      </c>
      <c r="CH116" s="9" t="n">
        <v>0</v>
      </c>
      <c r="CI116" s="9" t="n">
        <v>0</v>
      </c>
      <c r="CJ116" s="9" t="n">
        <v>0.14</v>
      </c>
      <c r="CK116" s="9" t="n">
        <v>2.46</v>
      </c>
      <c r="CL116" s="9" t="n">
        <v>0.28</v>
      </c>
      <c r="CM116" s="9" t="n">
        <v>0</v>
      </c>
      <c r="CN116" s="9" t="n">
        <v>0</v>
      </c>
      <c r="CO116" s="9" t="n">
        <v>3</v>
      </c>
      <c r="CP116" s="9" t="n">
        <v>3</v>
      </c>
      <c r="CQ116" s="9" t="n">
        <v>0.5</v>
      </c>
      <c r="CR116" s="9" t="n">
        <v>0.3</v>
      </c>
      <c r="CS116" s="9" t="n">
        <v>0.6</v>
      </c>
      <c r="CT116" s="9" t="n">
        <v>0.8</v>
      </c>
      <c r="CU116" s="9" t="n">
        <v>0.8</v>
      </c>
      <c r="CV116" s="9" t="n">
        <v>0.7</v>
      </c>
      <c r="CW116" s="9" t="n">
        <v>0.5</v>
      </c>
      <c r="CX116" s="9" t="n">
        <v>0.5</v>
      </c>
      <c r="CY116" s="9" t="n">
        <v>1</v>
      </c>
      <c r="CZ116" s="9" t="n">
        <v>0.3</v>
      </c>
      <c r="DA116" s="9" t="n">
        <v>0.8</v>
      </c>
      <c r="DB116" s="9" t="n">
        <v>0.407166765111242</v>
      </c>
      <c r="DC116" s="9" t="n">
        <v>3.373</v>
      </c>
      <c r="DD116" s="9" t="n">
        <v>2.049</v>
      </c>
      <c r="DE116" s="9" t="n">
        <v>6.48318</v>
      </c>
      <c r="DF116" s="9" t="n">
        <v>21.8657687492677</v>
      </c>
      <c r="DG116" s="9" t="n">
        <v>24.9401911481183</v>
      </c>
      <c r="DH116" s="9" t="n">
        <v>15.656114517978</v>
      </c>
      <c r="DI116" s="9" t="n">
        <v>20.2952801034699</v>
      </c>
      <c r="DJ116" s="9" t="n">
        <v>12.815</v>
      </c>
      <c r="DK116" s="9" t="n">
        <v>11.492</v>
      </c>
      <c r="DL116" s="9" t="n">
        <v>25.11597</v>
      </c>
      <c r="DM116" s="9" t="n">
        <v>13.4947462084719</v>
      </c>
      <c r="DN116" s="9" t="n">
        <v>13.4947462084719</v>
      </c>
      <c r="DO116" s="9" t="n">
        <v>0.10976</v>
      </c>
    </row>
    <row r="117" customFormat="false" ht="15" hidden="false" customHeight="false" outlineLevel="0" collapsed="false">
      <c r="A117" s="9" t="s">
        <v>928</v>
      </c>
      <c r="B117" s="9" t="s">
        <v>929</v>
      </c>
      <c r="C117" s="9" t="n">
        <v>0.005</v>
      </c>
      <c r="D117" s="9" t="n">
        <v>0.005</v>
      </c>
      <c r="E117" s="9" t="n">
        <v>0.01</v>
      </c>
      <c r="F117" s="9" t="n">
        <v>0.005</v>
      </c>
      <c r="G117" s="9" t="n">
        <v>0.005</v>
      </c>
      <c r="H117" s="9" t="n">
        <v>0.01</v>
      </c>
      <c r="I117" s="9" t="n">
        <v>0.005</v>
      </c>
      <c r="J117" s="9" t="n">
        <v>0.005</v>
      </c>
      <c r="K117" s="9" t="n">
        <v>0.01</v>
      </c>
      <c r="L117" s="9" t="n">
        <v>0.01</v>
      </c>
      <c r="M117" s="9" t="n">
        <v>0.005</v>
      </c>
      <c r="N117" s="9" t="n">
        <v>7.127113</v>
      </c>
      <c r="O117" s="9" t="n">
        <v>1.790112</v>
      </c>
      <c r="P117" s="9" t="n">
        <v>25.73394</v>
      </c>
      <c r="Q117" s="9" t="n">
        <v>9.36887571828968</v>
      </c>
      <c r="R117" s="9" t="n">
        <v>2.1751377047699</v>
      </c>
      <c r="S117" s="9" t="n">
        <v>3.26057790730336</v>
      </c>
      <c r="T117" s="9" t="n">
        <v>0.675105130523715</v>
      </c>
      <c r="U117" s="9" t="n">
        <v>0.257072</v>
      </c>
      <c r="V117" s="9" t="n">
        <v>0.027902</v>
      </c>
      <c r="W117" s="9" t="n">
        <v>0.113416</v>
      </c>
      <c r="X117" s="9" t="n">
        <v>1.35866409987807</v>
      </c>
      <c r="Y117" s="9" t="n">
        <v>1.35866409987807</v>
      </c>
      <c r="Z117" s="9" t="n">
        <v>1.4</v>
      </c>
      <c r="AA117" s="9" t="n">
        <v>0.13</v>
      </c>
      <c r="AB117" s="9" t="n">
        <v>0.16</v>
      </c>
      <c r="AC117" s="9" t="n">
        <v>0</v>
      </c>
      <c r="AD117" s="9" t="n">
        <v>0</v>
      </c>
      <c r="AE117" s="9" t="n">
        <v>24.876</v>
      </c>
      <c r="AF117" s="9" t="n">
        <v>21.8303975736149</v>
      </c>
      <c r="AG117" s="9" t="n">
        <v>21.3563350764</v>
      </c>
      <c r="AH117" s="9" t="n">
        <v>21.3563350764</v>
      </c>
      <c r="AI117" s="9" t="n">
        <v>21.71227399434</v>
      </c>
      <c r="AJ117" s="9" t="n">
        <v>169.56606347227</v>
      </c>
      <c r="AK117" s="9" t="n">
        <v>15.0909171903597</v>
      </c>
      <c r="AL117" s="9" t="n">
        <v>14.6069245872</v>
      </c>
      <c r="AM117" s="9" t="n">
        <v>14.6069245872</v>
      </c>
      <c r="AN117" s="9" t="n">
        <v>14.85037333032</v>
      </c>
      <c r="AO117" s="9" t="n">
        <v>12.6848653546606</v>
      </c>
      <c r="AP117" s="9" t="n">
        <v>11.69863922</v>
      </c>
      <c r="AQ117" s="9" t="n">
        <v>11.69863922</v>
      </c>
      <c r="AR117" s="9" t="n">
        <v>11.8936165403333</v>
      </c>
      <c r="AS117" s="9" t="n">
        <v>30.1684724576093</v>
      </c>
      <c r="AT117" s="9" t="n">
        <v>21.1237206552</v>
      </c>
      <c r="AU117" s="9" t="n">
        <v>23.7826285014715</v>
      </c>
      <c r="AV117" s="9" t="n">
        <v>27.3986202325395</v>
      </c>
      <c r="AW117" s="9" t="n">
        <v>9.51733645752841</v>
      </c>
      <c r="AX117" s="9" t="n">
        <v>6.663962088</v>
      </c>
      <c r="AY117" s="9" t="n">
        <v>7.50277554194884</v>
      </c>
      <c r="AZ117" s="9" t="n">
        <v>8.64352305512081</v>
      </c>
      <c r="BA117" s="9" t="n">
        <v>27.2797000517392</v>
      </c>
      <c r="BB117" s="9" t="n">
        <v>21.6122462954354</v>
      </c>
      <c r="BC117" s="9" t="n">
        <v>30.50521958</v>
      </c>
      <c r="BD117" s="9" t="n">
        <v>26.1045142566667</v>
      </c>
      <c r="BE117" s="9" t="n">
        <v>0</v>
      </c>
      <c r="BF117" s="9" t="n">
        <v>0</v>
      </c>
      <c r="BG117" s="9" t="n">
        <v>0</v>
      </c>
      <c r="BH117" s="9" t="n">
        <v>0</v>
      </c>
      <c r="BI117" s="9" t="n">
        <v>0</v>
      </c>
      <c r="BJ117" s="9" t="n">
        <v>0</v>
      </c>
      <c r="BK117" s="9" t="n">
        <v>0</v>
      </c>
      <c r="BL117" s="9" t="n">
        <v>0</v>
      </c>
      <c r="BM117" s="9" t="n">
        <v>0</v>
      </c>
      <c r="BN117" s="9" t="n">
        <v>0</v>
      </c>
      <c r="BO117" s="9" t="n">
        <v>0</v>
      </c>
      <c r="BP117" s="9" t="n">
        <v>0</v>
      </c>
      <c r="BQ117" s="9" t="n">
        <v>0</v>
      </c>
      <c r="BR117" s="9" t="n">
        <v>0</v>
      </c>
      <c r="BS117" s="9" t="n">
        <v>0</v>
      </c>
      <c r="BT117" s="9" t="n">
        <v>0</v>
      </c>
      <c r="BU117" s="9" t="n">
        <v>0</v>
      </c>
      <c r="BV117" s="9" t="n">
        <v>30.2370464384821</v>
      </c>
      <c r="BW117" s="9" t="n">
        <v>31.1008562340873</v>
      </c>
      <c r="BX117" s="9" t="n">
        <v>26.6585522617981</v>
      </c>
      <c r="BY117" s="9" t="n">
        <v>27.2336753250373</v>
      </c>
      <c r="BZ117" s="9" t="n">
        <v>11.0238358097605</v>
      </c>
      <c r="CA117" s="9" t="n">
        <v>-0.482439495322751</v>
      </c>
      <c r="CB117" s="9" t="n">
        <v>6.844</v>
      </c>
      <c r="CC117" s="9" t="n">
        <v>5.261</v>
      </c>
      <c r="CD117" s="9" t="n">
        <v>23.795</v>
      </c>
      <c r="CE117" s="9" t="n">
        <v>0.06</v>
      </c>
      <c r="CF117" s="9" t="n">
        <v>8.31</v>
      </c>
      <c r="CG117" s="9" t="n">
        <v>8.88</v>
      </c>
      <c r="CH117" s="9" t="n">
        <v>0</v>
      </c>
      <c r="CI117" s="9" t="n">
        <v>0.57</v>
      </c>
      <c r="CJ117" s="9" t="n">
        <v>0.21</v>
      </c>
      <c r="CK117" s="9" t="n">
        <v>9.69</v>
      </c>
      <c r="CL117" s="9" t="n">
        <v>0.54</v>
      </c>
      <c r="CM117" s="9" t="n">
        <v>65.161</v>
      </c>
      <c r="CN117" s="9" t="n">
        <v>86.509</v>
      </c>
      <c r="CO117" s="9" t="n">
        <v>3</v>
      </c>
      <c r="CP117" s="9" t="n">
        <v>2</v>
      </c>
      <c r="CQ117" s="9" t="n">
        <v>0.5</v>
      </c>
      <c r="CR117" s="9" t="n">
        <v>0.3</v>
      </c>
      <c r="CS117" s="9" t="n">
        <v>0.6</v>
      </c>
      <c r="CT117" s="9" t="n">
        <v>0.8</v>
      </c>
      <c r="CU117" s="9" t="n">
        <v>0.8</v>
      </c>
      <c r="CV117" s="9" t="n">
        <v>0.7</v>
      </c>
      <c r="CW117" s="9" t="n">
        <v>0.5</v>
      </c>
      <c r="CX117" s="9" t="n">
        <v>0.5</v>
      </c>
      <c r="CY117" s="9" t="n">
        <v>1</v>
      </c>
      <c r="CZ117" s="9" t="n">
        <v>0.3</v>
      </c>
      <c r="DA117" s="9" t="n">
        <v>0.8</v>
      </c>
      <c r="DB117" s="9" t="n">
        <v>0.352106423593128</v>
      </c>
      <c r="DC117" s="9" t="n">
        <v>3.38</v>
      </c>
      <c r="DD117" s="9" t="n">
        <v>2.054</v>
      </c>
      <c r="DE117" s="9" t="n">
        <v>5.907</v>
      </c>
      <c r="DF117" s="9" t="n">
        <v>19.7036132541489</v>
      </c>
      <c r="DG117" s="9" t="n">
        <v>22.6481523740239</v>
      </c>
      <c r="DH117" s="9" t="n">
        <v>17.2720586560434</v>
      </c>
      <c r="DI117" s="9" t="n">
        <v>19.783016350672</v>
      </c>
      <c r="DJ117" s="9" t="n">
        <v>13.531</v>
      </c>
      <c r="DK117" s="9" t="n">
        <v>12.208</v>
      </c>
      <c r="DL117" s="9" t="n">
        <v>23.6203</v>
      </c>
      <c r="DM117" s="9" t="n">
        <v>14.1151698941595</v>
      </c>
      <c r="DN117" s="9" t="n">
        <v>14.1151698941595</v>
      </c>
      <c r="DO117" s="9" t="n">
        <v>0.1016</v>
      </c>
    </row>
    <row r="118" customFormat="false" ht="15" hidden="false" customHeight="false" outlineLevel="0" collapsed="false">
      <c r="A118" s="9" t="s">
        <v>954</v>
      </c>
      <c r="B118" s="9" t="s">
        <v>955</v>
      </c>
      <c r="C118" s="9" t="n">
        <v>0.005</v>
      </c>
      <c r="D118" s="9" t="n">
        <v>0.005</v>
      </c>
      <c r="E118" s="9" t="n">
        <v>0.01</v>
      </c>
      <c r="F118" s="9" t="n">
        <v>0.005</v>
      </c>
      <c r="G118" s="9" t="n">
        <v>0.005</v>
      </c>
      <c r="H118" s="9" t="n">
        <v>0.01</v>
      </c>
      <c r="I118" s="9" t="n">
        <v>0.005</v>
      </c>
      <c r="J118" s="9" t="n">
        <v>0.005</v>
      </c>
      <c r="K118" s="9" t="n">
        <v>0.01</v>
      </c>
      <c r="L118" s="9" t="n">
        <v>0.01</v>
      </c>
      <c r="M118" s="9" t="n">
        <v>0.005</v>
      </c>
      <c r="N118" s="9" t="n">
        <v>0.00247</v>
      </c>
      <c r="O118" s="9" t="n">
        <v>0.00343</v>
      </c>
      <c r="P118" s="9" t="n">
        <v>0.125403</v>
      </c>
      <c r="Q118" s="9" t="n">
        <v>0.0188228026187827</v>
      </c>
      <c r="R118" s="9" t="n">
        <v>0.0036031151504129</v>
      </c>
      <c r="S118" s="9" t="n">
        <v>0.0049802868517425</v>
      </c>
      <c r="T118" s="9" t="n">
        <v>0.0015128188974043</v>
      </c>
      <c r="U118" s="9" t="n">
        <v>0.000109</v>
      </c>
      <c r="V118" s="9" t="n">
        <v>0</v>
      </c>
      <c r="W118" s="9" t="n">
        <v>0.000286</v>
      </c>
      <c r="X118" s="9" t="n">
        <v>0.00028345216916</v>
      </c>
      <c r="Y118" s="9" t="n">
        <v>0.00028345216916</v>
      </c>
      <c r="Z118" s="9" t="n">
        <v>0.66</v>
      </c>
      <c r="AA118" s="9" t="n">
        <v>0.18</v>
      </c>
      <c r="AB118" s="9" t="n">
        <v>0</v>
      </c>
      <c r="AC118" s="9" t="n">
        <v>3</v>
      </c>
      <c r="AD118" s="9" t="n">
        <v>0</v>
      </c>
      <c r="AE118" s="9" t="n">
        <v>8.972</v>
      </c>
      <c r="AF118" s="9" t="n">
        <v>0.297996407673103</v>
      </c>
      <c r="AG118" s="9" t="n">
        <v>0.269671788</v>
      </c>
      <c r="AH118" s="9" t="n">
        <v>0.30251602448</v>
      </c>
      <c r="AI118" s="9" t="n">
        <v>0.293207839111385</v>
      </c>
      <c r="AJ118" s="9" t="n">
        <v>0</v>
      </c>
      <c r="AK118" s="9" t="n">
        <v>0</v>
      </c>
      <c r="AL118" s="9" t="n">
        <v>0</v>
      </c>
      <c r="AM118" s="9" t="n">
        <v>0</v>
      </c>
      <c r="AN118" s="9" t="n">
        <v>0</v>
      </c>
      <c r="AO118" s="9" t="n">
        <v>44.9760956529771</v>
      </c>
      <c r="AP118" s="9" t="n">
        <v>40.18048266</v>
      </c>
      <c r="AQ118" s="9" t="n">
        <v>45.0741991445942</v>
      </c>
      <c r="AR118" s="9" t="n">
        <v>43.6873007093759</v>
      </c>
      <c r="AS118" s="9" t="n">
        <v>41.3154738935654</v>
      </c>
      <c r="AT118" s="9" t="n">
        <v>39.1973784444</v>
      </c>
      <c r="AU118" s="9" t="n">
        <v>41.5923301005287</v>
      </c>
      <c r="AV118" s="9" t="n">
        <v>47.8672031265944</v>
      </c>
      <c r="AW118" s="9" t="n">
        <v>6.05628863975346</v>
      </c>
      <c r="AX118" s="9" t="n">
        <v>5.7449971692</v>
      </c>
      <c r="AY118" s="9" t="n">
        <v>6.09687200823658</v>
      </c>
      <c r="AZ118" s="9" t="n">
        <v>7.01668336805679</v>
      </c>
      <c r="BA118" s="9" t="n">
        <v>18.6684341316231</v>
      </c>
      <c r="BB118" s="9" t="n">
        <v>18.8223042446727</v>
      </c>
      <c r="BC118" s="9" t="n">
        <v>16.20865466</v>
      </c>
      <c r="BD118" s="9" t="n">
        <v>17.930545691975</v>
      </c>
      <c r="BE118" s="9" t="n">
        <v>0.757926587006786</v>
      </c>
      <c r="BF118" s="9" t="n">
        <v>0.66309409124376</v>
      </c>
      <c r="BG118" s="9" t="n">
        <v>0.743854556781597</v>
      </c>
      <c r="BH118" s="9" t="n">
        <v>0.72096672426524</v>
      </c>
      <c r="BI118" s="9" t="n">
        <v>1.31032717077306</v>
      </c>
      <c r="BJ118" s="9" t="n">
        <v>1.15326817</v>
      </c>
      <c r="BK118" s="9" t="n">
        <v>1.29372858961325</v>
      </c>
      <c r="BL118" s="9" t="n">
        <v>1.25392155608669</v>
      </c>
      <c r="BM118" s="9" t="n">
        <v>11.2938069348816</v>
      </c>
      <c r="BN118" s="9" t="n">
        <v>10.0790259912</v>
      </c>
      <c r="BO118" s="9" t="n">
        <v>11.306584556366</v>
      </c>
      <c r="BP118" s="9" t="n">
        <v>10.9586896469394</v>
      </c>
      <c r="BQ118" s="9" t="n">
        <v>14.0082520160119</v>
      </c>
      <c r="BR118" s="9" t="n">
        <v>0.335727714031512</v>
      </c>
      <c r="BS118" s="9" t="n">
        <v>0.298246698</v>
      </c>
      <c r="BT118" s="9" t="n">
        <v>0.334571169132631</v>
      </c>
      <c r="BU118" s="9" t="n">
        <v>0.324276671620858</v>
      </c>
      <c r="BV118" s="9" t="n">
        <v>10.235206928437</v>
      </c>
      <c r="BW118" s="9" t="n">
        <v>10.6297249991194</v>
      </c>
      <c r="BX118" s="9" t="n">
        <v>10.1062296768859</v>
      </c>
      <c r="BY118" s="9" t="n">
        <v>9.7952684417786</v>
      </c>
      <c r="BZ118" s="9" t="n">
        <v>13.1588229259219</v>
      </c>
      <c r="CA118" s="9" t="n">
        <v>0.148707058615285</v>
      </c>
      <c r="CB118" s="9" t="n">
        <v>-0.524</v>
      </c>
      <c r="CC118" s="9" t="n">
        <v>0.519</v>
      </c>
      <c r="CD118" s="9" t="n">
        <v>22.745</v>
      </c>
      <c r="CE118" s="9" t="n">
        <v>16.43</v>
      </c>
      <c r="CF118" s="9" t="n">
        <v>0</v>
      </c>
      <c r="CG118" s="9" t="n">
        <v>3.28</v>
      </c>
      <c r="CH118" s="9" t="n">
        <v>3.13</v>
      </c>
      <c r="CI118" s="9" t="n">
        <v>0.15</v>
      </c>
      <c r="CJ118" s="9" t="n">
        <v>0.08</v>
      </c>
      <c r="CK118" s="9" t="n">
        <v>19.79</v>
      </c>
      <c r="CL118" s="9" t="n">
        <v>0</v>
      </c>
      <c r="CM118" s="9" t="n">
        <v>39.193</v>
      </c>
      <c r="CN118" s="9" t="n">
        <v>104.042</v>
      </c>
      <c r="CO118" s="9" t="n">
        <v>3</v>
      </c>
      <c r="CP118" s="9" t="n">
        <v>1</v>
      </c>
      <c r="CQ118" s="9" t="n">
        <v>0.5</v>
      </c>
      <c r="CR118" s="9" t="n">
        <v>0.3</v>
      </c>
      <c r="CS118" s="9" t="n">
        <v>0.6</v>
      </c>
      <c r="CT118" s="9" t="n">
        <v>0.8</v>
      </c>
      <c r="CU118" s="9" t="n">
        <v>0.8</v>
      </c>
      <c r="CV118" s="9" t="n">
        <v>0.7</v>
      </c>
      <c r="CW118" s="9" t="n">
        <v>0.5</v>
      </c>
      <c r="CX118" s="9" t="n">
        <v>0.5</v>
      </c>
      <c r="CY118" s="9" t="n">
        <v>1</v>
      </c>
      <c r="CZ118" s="9" t="n">
        <v>0.3</v>
      </c>
      <c r="DA118" s="9" t="n">
        <v>0.8</v>
      </c>
      <c r="DB118" s="9" t="n">
        <v>0.384452858253609</v>
      </c>
      <c r="DC118" s="9" t="n">
        <v>3.373</v>
      </c>
      <c r="DD118" s="9" t="n">
        <v>2.049</v>
      </c>
      <c r="DE118" s="9" t="n">
        <v>6.26886</v>
      </c>
      <c r="DF118" s="9" t="n">
        <v>21.2369209005236</v>
      </c>
      <c r="DG118" s="9" t="n">
        <v>24.2232284254902</v>
      </c>
      <c r="DH118" s="9" t="n">
        <v>17.1515780996512</v>
      </c>
      <c r="DI118" s="9" t="n">
        <v>22.2523634837453</v>
      </c>
      <c r="DJ118" s="9" t="n">
        <v>4.901</v>
      </c>
      <c r="DK118" s="9" t="n">
        <v>4.239</v>
      </c>
      <c r="DL118" s="9" t="n">
        <v>10.37907</v>
      </c>
      <c r="DM118" s="9" t="n">
        <v>13.4947462084719</v>
      </c>
      <c r="DN118" s="9" t="n">
        <v>13.4947462084719</v>
      </c>
      <c r="DO118" s="9" t="n">
        <v>0.105</v>
      </c>
    </row>
    <row r="119" customFormat="false" ht="15" hidden="false" customHeight="false" outlineLevel="0" collapsed="false">
      <c r="A119" s="9" t="s">
        <v>988</v>
      </c>
      <c r="B119" s="9" t="s">
        <v>989</v>
      </c>
      <c r="C119" s="9" t="n">
        <v>0.005</v>
      </c>
      <c r="D119" s="9" t="n">
        <v>0.005</v>
      </c>
      <c r="E119" s="9" t="n">
        <v>0.01</v>
      </c>
      <c r="F119" s="9" t="n">
        <v>0.005</v>
      </c>
      <c r="G119" s="9" t="n">
        <v>0.005</v>
      </c>
      <c r="H119" s="9" t="n">
        <v>0.01</v>
      </c>
      <c r="I119" s="9" t="n">
        <v>0.005</v>
      </c>
      <c r="J119" s="9" t="n">
        <v>0.005</v>
      </c>
      <c r="K119" s="9" t="n">
        <v>0.01</v>
      </c>
      <c r="L119" s="9" t="n">
        <v>0.01</v>
      </c>
      <c r="M119" s="9" t="n">
        <v>0.005</v>
      </c>
      <c r="N119" s="9" t="n">
        <v>0.026373</v>
      </c>
      <c r="O119" s="9" t="n">
        <v>0.221364</v>
      </c>
      <c r="P119" s="9" t="n">
        <v>1.006191</v>
      </c>
      <c r="Q119" s="9" t="n">
        <v>0.405816406887859</v>
      </c>
      <c r="R119" s="9" t="n">
        <v>0.0896775326324988</v>
      </c>
      <c r="S119" s="9" t="n">
        <v>0.10726160352503</v>
      </c>
      <c r="T119" s="9" t="n">
        <v>0.0333595961991723</v>
      </c>
      <c r="U119" s="9" t="n">
        <v>0.001169</v>
      </c>
      <c r="V119" s="9" t="n">
        <v>0.001288</v>
      </c>
      <c r="W119" s="9" t="n">
        <v>0.001877</v>
      </c>
      <c r="X119" s="9" t="n">
        <v>0.110099735390436</v>
      </c>
      <c r="Y119" s="9" t="n">
        <v>0.110099735390436</v>
      </c>
      <c r="Z119" s="9" t="n">
        <v>0.42</v>
      </c>
      <c r="AA119" s="9" t="n">
        <v>0.16</v>
      </c>
      <c r="AB119" s="9" t="n">
        <v>0.14</v>
      </c>
      <c r="AC119" s="9" t="n">
        <v>0</v>
      </c>
      <c r="AD119" s="9" t="n">
        <v>0</v>
      </c>
      <c r="AE119" s="9" t="n">
        <v>4.812</v>
      </c>
      <c r="AF119" s="9" t="n">
        <v>0</v>
      </c>
      <c r="AG119" s="9" t="n">
        <v>0</v>
      </c>
      <c r="AH119" s="9" t="n">
        <v>0</v>
      </c>
      <c r="AI119" s="9" t="n">
        <v>0</v>
      </c>
      <c r="AJ119" s="9" t="n">
        <v>0</v>
      </c>
      <c r="AK119" s="9" t="n">
        <v>0</v>
      </c>
      <c r="AL119" s="9" t="n">
        <v>0</v>
      </c>
      <c r="AM119" s="9" t="n">
        <v>0</v>
      </c>
      <c r="AN119" s="9" t="n">
        <v>0</v>
      </c>
      <c r="AO119" s="9" t="n">
        <v>26.1441855257665</v>
      </c>
      <c r="AP119" s="9" t="n">
        <v>23.16606586</v>
      </c>
      <c r="AQ119" s="9" t="n">
        <v>24.49811464695</v>
      </c>
      <c r="AR119" s="9" t="n">
        <v>23.8703504591219</v>
      </c>
      <c r="AS119" s="9" t="n">
        <v>4.42019948567058</v>
      </c>
      <c r="AT119" s="9" t="n">
        <v>3.4700365872</v>
      </c>
      <c r="AU119" s="9" t="n">
        <v>3.97955553820676</v>
      </c>
      <c r="AV119" s="9" t="n">
        <v>4.23169241259039</v>
      </c>
      <c r="AW119" s="9" t="n">
        <v>2.88182383861488</v>
      </c>
      <c r="AX119" s="9" t="n">
        <v>2.2974939396</v>
      </c>
      <c r="AY119" s="9" t="n">
        <v>2.59453856195276</v>
      </c>
      <c r="AZ119" s="9" t="n">
        <v>2.75892346302977</v>
      </c>
      <c r="BA119" s="9" t="n">
        <v>3.43948607172772</v>
      </c>
      <c r="BB119" s="9" t="n">
        <v>2.78989593747743</v>
      </c>
      <c r="BC119" s="9" t="n">
        <v>3.11889354</v>
      </c>
      <c r="BD119" s="9" t="n">
        <v>2.95570167850336</v>
      </c>
      <c r="BE119" s="9" t="n">
        <v>0</v>
      </c>
      <c r="BF119" s="9" t="n">
        <v>0</v>
      </c>
      <c r="BG119" s="9" t="n">
        <v>0</v>
      </c>
      <c r="BH119" s="9" t="n">
        <v>0</v>
      </c>
      <c r="BI119" s="9" t="n">
        <v>3.52629808462852</v>
      </c>
      <c r="BJ119" s="9" t="n">
        <v>3.252278</v>
      </c>
      <c r="BK119" s="9" t="n">
        <v>3.439283985</v>
      </c>
      <c r="BL119" s="9" t="n">
        <v>3.35115233288437</v>
      </c>
      <c r="BM119" s="9" t="n">
        <v>0</v>
      </c>
      <c r="BN119" s="9" t="n">
        <v>0</v>
      </c>
      <c r="BO119" s="9" t="n">
        <v>0</v>
      </c>
      <c r="BP119" s="9" t="n">
        <v>0</v>
      </c>
      <c r="BQ119" s="9" t="n">
        <v>0</v>
      </c>
      <c r="BR119" s="9" t="n">
        <v>0</v>
      </c>
      <c r="BS119" s="9" t="n">
        <v>0</v>
      </c>
      <c r="BT119" s="9" t="n">
        <v>0</v>
      </c>
      <c r="BU119" s="9" t="n">
        <v>0</v>
      </c>
      <c r="BV119" s="9" t="n">
        <v>32.0470458177707</v>
      </c>
      <c r="BW119" s="9" t="n">
        <v>30.7680705459904</v>
      </c>
      <c r="BX119" s="9" t="n">
        <v>32.3402971299034</v>
      </c>
      <c r="BY119" s="9" t="n">
        <v>31.4756002366535</v>
      </c>
      <c r="BZ119" s="9" t="n">
        <v>2.02833981230152</v>
      </c>
      <c r="CA119" s="9" t="n">
        <v>-1.92523288285534</v>
      </c>
      <c r="CB119" s="9" t="n">
        <v>4.215</v>
      </c>
      <c r="CC119" s="9" t="n">
        <v>4.417</v>
      </c>
      <c r="CD119" s="9" t="n">
        <v>11.003</v>
      </c>
      <c r="CE119" s="9" t="n">
        <v>0.21</v>
      </c>
      <c r="CF119" s="9" t="n">
        <v>0</v>
      </c>
      <c r="CG119" s="9" t="n">
        <v>1.6</v>
      </c>
      <c r="CH119" s="9" t="n">
        <v>0</v>
      </c>
      <c r="CI119" s="9" t="n">
        <v>1.6</v>
      </c>
      <c r="CJ119" s="9" t="n">
        <v>0.16</v>
      </c>
      <c r="CK119" s="9" t="n">
        <v>2.07</v>
      </c>
      <c r="CL119" s="9" t="n">
        <v>0.1</v>
      </c>
      <c r="CM119" s="9" t="n">
        <v>17.744</v>
      </c>
      <c r="CN119" s="9" t="n">
        <v>16.662</v>
      </c>
      <c r="CO119" s="9" t="n">
        <v>3</v>
      </c>
      <c r="CP119" s="9" t="n">
        <v>2</v>
      </c>
      <c r="CQ119" s="9" t="n">
        <v>0.5</v>
      </c>
      <c r="CR119" s="9" t="n">
        <v>0.3</v>
      </c>
      <c r="CS119" s="9" t="n">
        <v>0.6</v>
      </c>
      <c r="CT119" s="9" t="n">
        <v>0.8</v>
      </c>
      <c r="CU119" s="9" t="n">
        <v>0.8</v>
      </c>
      <c r="CV119" s="9" t="n">
        <v>0.7</v>
      </c>
      <c r="CW119" s="9" t="n">
        <v>0.5</v>
      </c>
      <c r="CX119" s="9" t="n">
        <v>0.5</v>
      </c>
      <c r="CY119" s="9" t="n">
        <v>1</v>
      </c>
      <c r="CZ119" s="9" t="n">
        <v>0.3</v>
      </c>
      <c r="DA119" s="9" t="n">
        <v>0.8</v>
      </c>
      <c r="DB119" s="9" t="n">
        <v>0.288436836448476</v>
      </c>
      <c r="DC119" s="9" t="n">
        <v>7.124</v>
      </c>
      <c r="DD119" s="9" t="n">
        <v>5.575</v>
      </c>
      <c r="DE119" s="9" t="n">
        <v>14.14388</v>
      </c>
      <c r="DF119" s="9" t="n">
        <v>20.9072000973852</v>
      </c>
      <c r="DG119" s="9" t="n">
        <v>24.0161922851014</v>
      </c>
      <c r="DH119" s="9" t="n">
        <v>15.656114517978</v>
      </c>
      <c r="DI119" s="9" t="n">
        <v>23.0832889607017</v>
      </c>
      <c r="DJ119" s="9" t="n">
        <v>8.376</v>
      </c>
      <c r="DK119" s="9" t="n">
        <v>7.053</v>
      </c>
      <c r="DL119" s="9" t="n">
        <v>18.92888</v>
      </c>
      <c r="DM119" s="9" t="n">
        <v>13.4947462084719</v>
      </c>
      <c r="DN119" s="9" t="n">
        <v>13.4947462084719</v>
      </c>
      <c r="DO119" s="9" t="n">
        <v>0.105</v>
      </c>
    </row>
    <row r="120" customFormat="false" ht="15" hidden="false" customHeight="false" outlineLevel="0" collapsed="false">
      <c r="A120" s="9" t="s">
        <v>974</v>
      </c>
      <c r="B120" s="9" t="s">
        <v>975</v>
      </c>
      <c r="C120" s="9" t="n">
        <v>0.005</v>
      </c>
      <c r="D120" s="9" t="n">
        <v>0.005</v>
      </c>
      <c r="E120" s="9" t="n">
        <v>0.01</v>
      </c>
      <c r="F120" s="9" t="n">
        <v>0.005</v>
      </c>
      <c r="G120" s="9" t="n">
        <v>0.005</v>
      </c>
      <c r="H120" s="9" t="n">
        <v>0.01</v>
      </c>
      <c r="I120" s="9" t="n">
        <v>0.005</v>
      </c>
      <c r="J120" s="9" t="n">
        <v>0.005</v>
      </c>
      <c r="K120" s="9" t="n">
        <v>0.01</v>
      </c>
      <c r="L120" s="9" t="n">
        <v>0.01</v>
      </c>
      <c r="M120" s="9" t="n">
        <v>0.005</v>
      </c>
      <c r="N120" s="9" t="n">
        <v>1.333346</v>
      </c>
      <c r="O120" s="9" t="n">
        <v>1.754665</v>
      </c>
      <c r="P120" s="9" t="n">
        <v>34.977603</v>
      </c>
      <c r="Q120" s="9" t="n">
        <v>3.18215298004917</v>
      </c>
      <c r="R120" s="9" t="n">
        <v>0.788796256420551</v>
      </c>
      <c r="S120" s="9" t="n">
        <v>1.64256748001222</v>
      </c>
      <c r="T120" s="9" t="n">
        <v>0.514668746942579</v>
      </c>
      <c r="U120" s="9" t="n">
        <v>0.01966</v>
      </c>
      <c r="V120" s="9" t="n">
        <v>0.013101</v>
      </c>
      <c r="W120" s="9" t="n">
        <v>0.078873</v>
      </c>
      <c r="X120" s="9" t="n">
        <v>2.57744848028172</v>
      </c>
      <c r="Y120" s="9" t="n">
        <v>2.57744848028172</v>
      </c>
      <c r="Z120" s="9" t="n">
        <v>0.65</v>
      </c>
      <c r="AA120" s="9" t="n">
        <v>0.16</v>
      </c>
      <c r="AB120" s="9" t="n">
        <v>0.01</v>
      </c>
      <c r="AC120" s="9" t="n">
        <v>0</v>
      </c>
      <c r="AD120" s="9" t="n">
        <v>0</v>
      </c>
      <c r="AE120" s="9" t="n">
        <v>4.774</v>
      </c>
      <c r="AF120" s="9" t="n">
        <v>1.16862706452848</v>
      </c>
      <c r="AG120" s="9" t="n">
        <v>1.0739393208</v>
      </c>
      <c r="AH120" s="9" t="n">
        <v>1.0739393208</v>
      </c>
      <c r="AI120" s="9" t="n">
        <v>1.0739393208</v>
      </c>
      <c r="AJ120" s="9" t="n">
        <v>30.9457566216534</v>
      </c>
      <c r="AK120" s="9" t="n">
        <v>0</v>
      </c>
      <c r="AL120" s="9" t="n">
        <v>0</v>
      </c>
      <c r="AM120" s="9" t="n">
        <v>0</v>
      </c>
      <c r="AN120" s="9" t="n">
        <v>0</v>
      </c>
      <c r="AO120" s="9" t="n">
        <v>6.94783220266307</v>
      </c>
      <c r="AP120" s="9" t="n">
        <v>6.66380533</v>
      </c>
      <c r="AQ120" s="9" t="n">
        <v>6.66380533</v>
      </c>
      <c r="AR120" s="9" t="n">
        <v>6.66380533</v>
      </c>
      <c r="AS120" s="9" t="n">
        <v>8.2218526217602</v>
      </c>
      <c r="AT120" s="9" t="n">
        <v>6.3625669164</v>
      </c>
      <c r="AU120" s="9" t="n">
        <v>7.15829236881586</v>
      </c>
      <c r="AV120" s="9" t="n">
        <v>7.85400938653936</v>
      </c>
      <c r="AW120" s="9" t="n">
        <v>4.47091778294456</v>
      </c>
      <c r="AX120" s="9" t="n">
        <v>3.5388843264</v>
      </c>
      <c r="AY120" s="9" t="n">
        <v>3.89256997413844</v>
      </c>
      <c r="AZ120" s="9" t="n">
        <v>4.27089025419367</v>
      </c>
      <c r="BA120" s="9" t="n">
        <v>7.89654177035736</v>
      </c>
      <c r="BB120" s="9" t="n">
        <v>6.54945174663518</v>
      </c>
      <c r="BC120" s="9" t="n">
        <v>8.57127769</v>
      </c>
      <c r="BD120" s="9" t="n">
        <v>7.4924742</v>
      </c>
      <c r="BE120" s="9" t="n">
        <v>0</v>
      </c>
      <c r="BF120" s="9" t="n">
        <v>0</v>
      </c>
      <c r="BG120" s="9" t="n">
        <v>0</v>
      </c>
      <c r="BH120" s="9" t="n">
        <v>0</v>
      </c>
      <c r="BI120" s="9" t="n">
        <v>2.72886589960801</v>
      </c>
      <c r="BJ120" s="9" t="n">
        <v>2.59190048</v>
      </c>
      <c r="BK120" s="9" t="n">
        <v>2.59190048</v>
      </c>
      <c r="BL120" s="9" t="n">
        <v>2.59190048</v>
      </c>
      <c r="BM120" s="9" t="n">
        <v>0</v>
      </c>
      <c r="BN120" s="9" t="n">
        <v>0</v>
      </c>
      <c r="BO120" s="9" t="n">
        <v>0</v>
      </c>
      <c r="BP120" s="9" t="n">
        <v>0</v>
      </c>
      <c r="BQ120" s="9" t="n">
        <v>0</v>
      </c>
      <c r="BR120" s="9" t="n">
        <v>0</v>
      </c>
      <c r="BS120" s="9" t="n">
        <v>0</v>
      </c>
      <c r="BT120" s="9" t="n">
        <v>0</v>
      </c>
      <c r="BU120" s="9" t="n">
        <v>0</v>
      </c>
      <c r="BV120" s="9" t="n">
        <v>5.88447610993748</v>
      </c>
      <c r="BW120" s="9" t="n">
        <v>13.8369754324352</v>
      </c>
      <c r="BX120" s="9" t="n">
        <v>7.96296328372211</v>
      </c>
      <c r="BY120" s="9" t="n">
        <v>6.74051807155904</v>
      </c>
      <c r="BZ120" s="9" t="n">
        <v>3.52576955686243</v>
      </c>
      <c r="CA120" s="9" t="n">
        <v>-1.17203974146471</v>
      </c>
      <c r="CB120" s="9" t="n">
        <v>3.1</v>
      </c>
      <c r="CC120" s="9" t="n">
        <v>3.4</v>
      </c>
      <c r="CD120" s="9" t="n">
        <v>14.986</v>
      </c>
      <c r="CE120" s="9" t="n">
        <v>0.43</v>
      </c>
      <c r="CF120" s="9" t="n">
        <v>1.34</v>
      </c>
      <c r="CG120" s="9" t="n">
        <v>2.8</v>
      </c>
      <c r="CH120" s="9" t="n">
        <v>0</v>
      </c>
      <c r="CI120" s="9" t="n">
        <v>1.46</v>
      </c>
      <c r="CJ120" s="9" t="n">
        <v>0.17</v>
      </c>
      <c r="CK120" s="9" t="n">
        <v>3.41</v>
      </c>
      <c r="CL120" s="9" t="n">
        <v>0.01</v>
      </c>
      <c r="CM120" s="9" t="n">
        <v>6.966</v>
      </c>
      <c r="CN120" s="9" t="n">
        <v>6.941</v>
      </c>
      <c r="CO120" s="9" t="n">
        <v>3</v>
      </c>
      <c r="CP120" s="9" t="n">
        <v>3</v>
      </c>
      <c r="CQ120" s="9" t="n">
        <v>0.5</v>
      </c>
      <c r="CR120" s="9" t="n">
        <v>0.3</v>
      </c>
      <c r="CS120" s="9" t="n">
        <v>0.6</v>
      </c>
      <c r="CT120" s="9" t="n">
        <v>0.8</v>
      </c>
      <c r="CU120" s="9" t="n">
        <v>0.8</v>
      </c>
      <c r="CV120" s="9" t="n">
        <v>0.7</v>
      </c>
      <c r="CW120" s="9" t="n">
        <v>0.5</v>
      </c>
      <c r="CX120" s="9" t="n">
        <v>0.5</v>
      </c>
      <c r="CY120" s="9" t="n">
        <v>1</v>
      </c>
      <c r="CZ120" s="9" t="n">
        <v>0.3</v>
      </c>
      <c r="DA120" s="9" t="n">
        <v>0.8</v>
      </c>
      <c r="DB120" s="9" t="n">
        <v>0.381789462957302</v>
      </c>
      <c r="DC120" s="9" t="n">
        <v>6.884</v>
      </c>
      <c r="DD120" s="9" t="n">
        <v>5.35</v>
      </c>
      <c r="DE120" s="9" t="n">
        <v>13.52055</v>
      </c>
      <c r="DF120" s="9" t="n">
        <v>18.6605833084642</v>
      </c>
      <c r="DG120" s="9" t="n">
        <v>23.3412373097427</v>
      </c>
      <c r="DH120" s="9" t="n">
        <v>20.0800927320259</v>
      </c>
      <c r="DI120" s="9" t="n">
        <v>12.6460410656841</v>
      </c>
      <c r="DJ120" s="9" t="n">
        <v>5.104</v>
      </c>
      <c r="DK120" s="9" t="n">
        <v>3.781</v>
      </c>
      <c r="DL120" s="9" t="n">
        <v>15.0029</v>
      </c>
      <c r="DM120" s="9" t="n">
        <v>16.484446544797</v>
      </c>
      <c r="DN120" s="9" t="n">
        <v>16.484446544797</v>
      </c>
      <c r="DO120" s="9" t="n">
        <v>0.0669200000000001</v>
      </c>
    </row>
    <row r="121" customFormat="false" ht="15" hidden="false" customHeight="false" outlineLevel="0" collapsed="false">
      <c r="A121" s="9" t="s">
        <v>992</v>
      </c>
      <c r="B121" s="9" t="s">
        <v>993</v>
      </c>
      <c r="C121" s="9" t="n">
        <v>0.005</v>
      </c>
      <c r="D121" s="9" t="n">
        <v>0.005</v>
      </c>
      <c r="E121" s="9" t="n">
        <v>0.01</v>
      </c>
      <c r="F121" s="9" t="n">
        <v>0.005</v>
      </c>
      <c r="G121" s="9" t="n">
        <v>0.005</v>
      </c>
      <c r="H121" s="9" t="n">
        <v>0.01</v>
      </c>
      <c r="I121" s="9" t="n">
        <v>0.005</v>
      </c>
      <c r="J121" s="9" t="n">
        <v>0.005</v>
      </c>
      <c r="K121" s="9" t="n">
        <v>0.01</v>
      </c>
      <c r="L121" s="9" t="n">
        <v>0.01</v>
      </c>
      <c r="M121" s="9" t="n">
        <v>0.005</v>
      </c>
      <c r="N121" s="9" t="n">
        <v>0.057385</v>
      </c>
      <c r="O121" s="9" t="n">
        <v>0.006138</v>
      </c>
      <c r="P121" s="9" t="n">
        <v>0.11813</v>
      </c>
      <c r="Q121" s="9" t="n">
        <v>0.0163828096867183</v>
      </c>
      <c r="R121" s="9" t="n">
        <v>0.0031455767186144</v>
      </c>
      <c r="S121" s="9" t="n">
        <v>0.0122652809167915</v>
      </c>
      <c r="T121" s="9" t="n">
        <v>0.0038014423575801</v>
      </c>
      <c r="U121" s="9" t="n">
        <v>0.000261</v>
      </c>
      <c r="V121" s="9" t="n">
        <v>0.000453</v>
      </c>
      <c r="W121" s="9" t="n">
        <v>0.000152</v>
      </c>
      <c r="X121" s="9" t="n">
        <v>0.0481121973241471</v>
      </c>
      <c r="Y121" s="9" t="n">
        <v>0.0481121973241471</v>
      </c>
      <c r="Z121" s="9" t="n">
        <v>0.13</v>
      </c>
      <c r="AA121" s="9" t="n">
        <v>0.1</v>
      </c>
      <c r="AB121" s="9" t="n">
        <v>0</v>
      </c>
      <c r="AC121" s="9" t="n">
        <v>0</v>
      </c>
      <c r="AD121" s="9" t="n">
        <v>0</v>
      </c>
      <c r="AE121" s="9" t="n">
        <v>5.956</v>
      </c>
      <c r="AF121" s="9" t="n">
        <v>1.22678839349675</v>
      </c>
      <c r="AG121" s="9" t="n">
        <v>1.061102592</v>
      </c>
      <c r="AH121" s="9" t="n">
        <v>1.15459433388973</v>
      </c>
      <c r="AI121" s="9" t="n">
        <v>1.1245748812086</v>
      </c>
      <c r="AJ121" s="9" t="n">
        <v>0</v>
      </c>
      <c r="AK121" s="9" t="n">
        <v>0.213361807599479</v>
      </c>
      <c r="AL121" s="9" t="n">
        <v>0.19343016</v>
      </c>
      <c r="AM121" s="9" t="n">
        <v>0.210472925448649</v>
      </c>
      <c r="AN121" s="9" t="n">
        <v>0.205000629386984</v>
      </c>
      <c r="AO121" s="9" t="n">
        <v>7.20540404844299</v>
      </c>
      <c r="AP121" s="9" t="n">
        <v>6.23844072</v>
      </c>
      <c r="AQ121" s="9" t="n">
        <v>6.78809792938378</v>
      </c>
      <c r="AR121" s="9" t="n">
        <v>6.61160738321981</v>
      </c>
      <c r="AS121" s="9" t="n">
        <v>4.84815569118583</v>
      </c>
      <c r="AT121" s="9" t="n">
        <v>4.07053265931716</v>
      </c>
      <c r="AU121" s="9" t="n">
        <v>4.34091274082569</v>
      </c>
      <c r="AV121" s="9" t="n">
        <v>4.72924631991325</v>
      </c>
      <c r="AW121" s="9" t="n">
        <v>2.8553712273085</v>
      </c>
      <c r="AX121" s="9" t="n">
        <v>2.3915504016</v>
      </c>
      <c r="AY121" s="9" t="n">
        <v>2.55662526740738</v>
      </c>
      <c r="AZ121" s="9" t="n">
        <v>2.78533832840504</v>
      </c>
      <c r="BA121" s="9" t="n">
        <v>10.2750786241887</v>
      </c>
      <c r="BB121" s="9" t="n">
        <v>10.9963332523174</v>
      </c>
      <c r="BC121" s="9" t="n">
        <v>8.27013013916013</v>
      </c>
      <c r="BD121" s="9" t="n">
        <v>9.6889137938897</v>
      </c>
      <c r="BE121" s="9" t="n">
        <v>0.0463132591309761</v>
      </c>
      <c r="BF121" s="9" t="n">
        <v>0.0406748439999999</v>
      </c>
      <c r="BG121" s="9" t="n">
        <v>0.0442586275524323</v>
      </c>
      <c r="BH121" s="9" t="n">
        <v>0.0431079032360691</v>
      </c>
      <c r="BI121" s="9" t="n">
        <v>0.0860294757739314</v>
      </c>
      <c r="BJ121" s="9" t="n">
        <v>0.0704716099999999</v>
      </c>
      <c r="BK121" s="9" t="n">
        <v>0.0766807302324323</v>
      </c>
      <c r="BL121" s="9" t="n">
        <v>0.074687031246389</v>
      </c>
      <c r="BM121" s="9" t="n">
        <v>0</v>
      </c>
      <c r="BN121" s="9" t="n">
        <v>0</v>
      </c>
      <c r="BO121" s="9" t="n">
        <v>0</v>
      </c>
      <c r="BP121" s="9" t="n">
        <v>0</v>
      </c>
      <c r="BQ121" s="9" t="n">
        <v>0</v>
      </c>
      <c r="BR121" s="9" t="n">
        <v>0</v>
      </c>
      <c r="BS121" s="9" t="n">
        <v>0</v>
      </c>
      <c r="BT121" s="9" t="n">
        <v>0</v>
      </c>
      <c r="BU121" s="9" t="n">
        <v>0</v>
      </c>
      <c r="BV121" s="9" t="n">
        <v>3.58877883251116</v>
      </c>
      <c r="BW121" s="9" t="n">
        <v>3.06371385588919</v>
      </c>
      <c r="BX121" s="9" t="n">
        <v>3.2747123674141</v>
      </c>
      <c r="BY121" s="9" t="n">
        <v>3.19106515340789</v>
      </c>
      <c r="BZ121" s="9" t="n">
        <v>2.13986858847065</v>
      </c>
      <c r="CA121" s="9" t="n">
        <v>0</v>
      </c>
      <c r="CB121" s="9" t="n">
        <v>2.087</v>
      </c>
      <c r="CC121" s="9" t="n">
        <v>2.227</v>
      </c>
      <c r="CD121" s="9" t="n">
        <v>11.79</v>
      </c>
      <c r="CE121" s="9" t="n">
        <v>1.74</v>
      </c>
      <c r="CF121" s="9" t="n">
        <v>0</v>
      </c>
      <c r="CG121" s="9" t="n">
        <v>0.08</v>
      </c>
      <c r="CH121" s="9" t="n">
        <v>0</v>
      </c>
      <c r="CI121" s="9" t="n">
        <v>0.08</v>
      </c>
      <c r="CJ121" s="9" t="n">
        <v>0.01</v>
      </c>
      <c r="CK121" s="9" t="n">
        <v>1.83</v>
      </c>
      <c r="CL121" s="9" t="n">
        <v>0</v>
      </c>
      <c r="CM121" s="9" t="n">
        <v>21.3</v>
      </c>
      <c r="CN121" s="9" t="n">
        <v>29.604</v>
      </c>
      <c r="CO121" s="9" t="n">
        <v>3</v>
      </c>
      <c r="CP121" s="9" t="n">
        <v>1</v>
      </c>
      <c r="CQ121" s="9" t="n">
        <v>0.5</v>
      </c>
      <c r="CR121" s="9" t="n">
        <v>0.3</v>
      </c>
      <c r="CS121" s="9" t="n">
        <v>0.6</v>
      </c>
      <c r="CT121" s="9" t="n">
        <v>0.8</v>
      </c>
      <c r="CU121" s="9" t="n">
        <v>0.8</v>
      </c>
      <c r="CV121" s="9" t="n">
        <v>0.7</v>
      </c>
      <c r="CW121" s="9" t="n">
        <v>0.5</v>
      </c>
      <c r="CX121" s="9" t="n">
        <v>0.5</v>
      </c>
      <c r="CY121" s="9" t="n">
        <v>1</v>
      </c>
      <c r="CZ121" s="9" t="n">
        <v>0.3</v>
      </c>
      <c r="DA121" s="9" t="n">
        <v>0.8</v>
      </c>
      <c r="DB121" s="9" t="n">
        <v>0.292657498882987</v>
      </c>
      <c r="DC121" s="9" t="n">
        <v>7.124</v>
      </c>
      <c r="DD121" s="9" t="n">
        <v>5.575</v>
      </c>
      <c r="DE121" s="9" t="n">
        <v>14.204845</v>
      </c>
      <c r="DF121" s="9" t="n">
        <v>21.0163294515995</v>
      </c>
      <c r="DG121" s="9" t="n">
        <v>24.1197103552958</v>
      </c>
      <c r="DH121" s="9" t="n">
        <v>18.2393734134444</v>
      </c>
      <c r="DI121" s="9" t="n">
        <v>23.1827858958771</v>
      </c>
      <c r="DJ121" s="9" t="n">
        <v>12.761</v>
      </c>
      <c r="DK121" s="9" t="n">
        <v>11.438</v>
      </c>
      <c r="DL121" s="9" t="n">
        <v>24.118995</v>
      </c>
      <c r="DM121" s="9" t="n">
        <v>14.0830083523607</v>
      </c>
      <c r="DN121" s="9" t="n">
        <v>14.0830083523607</v>
      </c>
      <c r="DO121" s="9" t="n">
        <v>0.105</v>
      </c>
    </row>
    <row r="122" customFormat="false" ht="15" hidden="false" customHeight="false" outlineLevel="0" collapsed="false">
      <c r="A122" s="9" t="s">
        <v>760</v>
      </c>
      <c r="B122" s="9" t="s">
        <v>761</v>
      </c>
      <c r="C122" s="9" t="n">
        <v>0.005</v>
      </c>
      <c r="D122" s="9" t="n">
        <v>0.005</v>
      </c>
      <c r="E122" s="9" t="n">
        <v>0.01</v>
      </c>
      <c r="F122" s="9" t="n">
        <v>0.005</v>
      </c>
      <c r="G122" s="9" t="n">
        <v>0.005</v>
      </c>
      <c r="H122" s="9" t="n">
        <v>0.01</v>
      </c>
      <c r="I122" s="9" t="n">
        <v>0.005</v>
      </c>
      <c r="J122" s="9" t="n">
        <v>0.005</v>
      </c>
      <c r="K122" s="9" t="n">
        <v>0.01</v>
      </c>
      <c r="L122" s="9" t="n">
        <v>0.01</v>
      </c>
      <c r="M122" s="9" t="n">
        <v>0.005</v>
      </c>
      <c r="N122" s="9" t="n">
        <v>13.695957</v>
      </c>
      <c r="O122" s="9" t="n">
        <v>2.964863</v>
      </c>
      <c r="P122" s="9" t="n">
        <v>67.657012</v>
      </c>
      <c r="Q122" s="9" t="n">
        <v>25.9133148269254</v>
      </c>
      <c r="R122" s="9" t="n">
        <v>2.94654750078211</v>
      </c>
      <c r="S122" s="9" t="n">
        <v>2.34423161747023</v>
      </c>
      <c r="T122" s="9" t="n">
        <v>1.38384138884357</v>
      </c>
      <c r="U122" s="9" t="n">
        <v>0.219266</v>
      </c>
      <c r="V122" s="9" t="n">
        <v>0.244833</v>
      </c>
      <c r="W122" s="9" t="n">
        <v>0.143551</v>
      </c>
      <c r="X122" s="9" t="n">
        <v>6.97248524622769</v>
      </c>
      <c r="Y122" s="9" t="n">
        <v>6.97248524622769</v>
      </c>
      <c r="Z122" s="9" t="n">
        <v>31.76</v>
      </c>
      <c r="AA122" s="9" t="n">
        <v>3.07</v>
      </c>
      <c r="AB122" s="9" t="n">
        <v>0</v>
      </c>
      <c r="AC122" s="9" t="n">
        <v>3</v>
      </c>
      <c r="AD122" s="9" t="n">
        <v>1.75975713233695</v>
      </c>
      <c r="AE122" s="9" t="n">
        <v>276.641</v>
      </c>
      <c r="AF122" s="9" t="n">
        <v>39.4522905477423</v>
      </c>
      <c r="AG122" s="9" t="n">
        <v>32.71377114</v>
      </c>
      <c r="AH122" s="9" t="n">
        <v>35.8167618022696</v>
      </c>
      <c r="AI122" s="9" t="n">
        <v>36.2772630254416</v>
      </c>
      <c r="AJ122" s="9" t="n">
        <v>718.938352100597</v>
      </c>
      <c r="AK122" s="9" t="n">
        <v>0</v>
      </c>
      <c r="AL122" s="9" t="n">
        <v>0</v>
      </c>
      <c r="AM122" s="9" t="n">
        <v>0</v>
      </c>
      <c r="AN122" s="9" t="n">
        <v>0</v>
      </c>
      <c r="AO122" s="9" t="n">
        <v>249.578409013323</v>
      </c>
      <c r="AP122" s="9" t="n">
        <v>244.65409581</v>
      </c>
      <c r="AQ122" s="9" t="n">
        <v>267.860205907658</v>
      </c>
      <c r="AR122" s="9" t="n">
        <v>271.304122840757</v>
      </c>
      <c r="AS122" s="9" t="n">
        <v>586.538970322741</v>
      </c>
      <c r="AT122" s="9" t="n">
        <v>426.551184</v>
      </c>
      <c r="AU122" s="9" t="n">
        <v>498.724799311442</v>
      </c>
      <c r="AV122" s="9" t="n">
        <v>544.733784229305</v>
      </c>
      <c r="AW122" s="9" t="n">
        <v>181.095758553043</v>
      </c>
      <c r="AX122" s="9" t="n">
        <v>132.889032</v>
      </c>
      <c r="AY122" s="9" t="n">
        <v>153.979694492723</v>
      </c>
      <c r="AZ122" s="9" t="n">
        <v>168.187206082387</v>
      </c>
      <c r="BA122" s="9" t="n">
        <v>500.240919928128</v>
      </c>
      <c r="BB122" s="9" t="n">
        <v>436.991966349652</v>
      </c>
      <c r="BC122" s="9" t="n">
        <v>473.82867212655</v>
      </c>
      <c r="BD122" s="9" t="n">
        <v>482.251343286551</v>
      </c>
      <c r="BE122" s="9" t="n">
        <v>0.537356833663216</v>
      </c>
      <c r="BF122" s="9" t="n">
        <v>0.466372723114546</v>
      </c>
      <c r="BG122" s="9" t="n">
        <v>0.510609451395382</v>
      </c>
      <c r="BH122" s="9" t="n">
        <v>0.51717443005618</v>
      </c>
      <c r="BI122" s="9" t="n">
        <v>45.8523193362328</v>
      </c>
      <c r="BJ122" s="9" t="n">
        <v>39.8356158663883</v>
      </c>
      <c r="BK122" s="9" t="n">
        <v>43.6141329786517</v>
      </c>
      <c r="BL122" s="9" t="n">
        <v>44.1748861169487</v>
      </c>
      <c r="BM122" s="9" t="n">
        <v>904.811815515127</v>
      </c>
      <c r="BN122" s="9" t="n">
        <v>776.400192</v>
      </c>
      <c r="BO122" s="9" t="n">
        <v>850.043873605835</v>
      </c>
      <c r="BP122" s="9" t="n">
        <v>860.973009123624</v>
      </c>
      <c r="BQ122" s="9" t="n">
        <v>753.306445073403</v>
      </c>
      <c r="BR122" s="9" t="n">
        <v>0.589240231916722</v>
      </c>
      <c r="BS122" s="9" t="n">
        <v>0.502416</v>
      </c>
      <c r="BT122" s="9" t="n">
        <v>0.550071531669004</v>
      </c>
      <c r="BU122" s="9" t="n">
        <v>0.55714387993332</v>
      </c>
      <c r="BV122" s="9" t="n">
        <v>204.407133858243</v>
      </c>
      <c r="BW122" s="9" t="n">
        <v>194.904265881491</v>
      </c>
      <c r="BX122" s="9" t="n">
        <v>212.826319408181</v>
      </c>
      <c r="BY122" s="9" t="n">
        <v>218.812546413094</v>
      </c>
      <c r="BZ122" s="9" t="n">
        <v>213.231869132162</v>
      </c>
      <c r="CA122" s="9" t="n">
        <v>0.392834004303514</v>
      </c>
      <c r="CB122" s="9" t="n">
        <v>5.171</v>
      </c>
      <c r="CC122" s="9" t="n">
        <v>4.7</v>
      </c>
      <c r="CD122" s="9" t="n">
        <v>422.227</v>
      </c>
      <c r="CE122" s="9" t="n">
        <v>37.02</v>
      </c>
      <c r="CF122" s="9" t="n">
        <v>89.6</v>
      </c>
      <c r="CG122" s="9" t="n">
        <v>159.56</v>
      </c>
      <c r="CH122" s="9" t="n">
        <v>67.89</v>
      </c>
      <c r="CI122" s="9" t="n">
        <v>2.07</v>
      </c>
      <c r="CJ122" s="9" t="n">
        <v>4.51</v>
      </c>
      <c r="CK122" s="9" t="n">
        <v>201.09</v>
      </c>
      <c r="CL122" s="9" t="n">
        <v>0</v>
      </c>
      <c r="CM122" s="9" t="n">
        <v>355.617</v>
      </c>
      <c r="CN122" s="9" t="n">
        <v>409.34</v>
      </c>
      <c r="CO122" s="9" t="n">
        <v>3</v>
      </c>
      <c r="CP122" s="9" t="n">
        <v>3</v>
      </c>
      <c r="CQ122" s="9" t="n">
        <v>0.5</v>
      </c>
      <c r="CR122" s="9" t="n">
        <v>0.3</v>
      </c>
      <c r="CS122" s="9" t="n">
        <v>0.6</v>
      </c>
      <c r="CT122" s="9" t="n">
        <v>0.8</v>
      </c>
      <c r="CU122" s="9" t="n">
        <v>0.8</v>
      </c>
      <c r="CV122" s="9" t="n">
        <v>0.7</v>
      </c>
      <c r="CW122" s="9" t="n">
        <v>0.5</v>
      </c>
      <c r="CX122" s="9" t="n">
        <v>0.5</v>
      </c>
      <c r="CY122" s="9" t="n">
        <v>1</v>
      </c>
      <c r="CZ122" s="9" t="n">
        <v>0.3</v>
      </c>
      <c r="DA122" s="9" t="n">
        <v>0.8</v>
      </c>
      <c r="DB122" s="9" t="n">
        <v>0.305761741238698</v>
      </c>
      <c r="DC122" s="9" t="n">
        <v>6.754</v>
      </c>
      <c r="DD122" s="9" t="n">
        <v>4.558</v>
      </c>
      <c r="DE122" s="9" t="n">
        <v>11.9361</v>
      </c>
      <c r="DF122" s="9" t="n">
        <v>20.2618621865179</v>
      </c>
      <c r="DG122" s="9" t="n">
        <v>22.6188127220849</v>
      </c>
      <c r="DH122" s="9" t="n">
        <v>17.42663298466</v>
      </c>
      <c r="DI122" s="9" t="n">
        <v>21.1574317140779</v>
      </c>
      <c r="DJ122" s="9" t="n">
        <v>7.43</v>
      </c>
      <c r="DK122" s="9" t="n">
        <v>6.626</v>
      </c>
      <c r="DL122" s="9" t="n">
        <v>13.4838</v>
      </c>
      <c r="DM122" s="9" t="n">
        <v>14.1151698941595</v>
      </c>
      <c r="DN122" s="9" t="n">
        <v>14.1151698941595</v>
      </c>
      <c r="DO122" s="9" t="n">
        <v>0.06559</v>
      </c>
    </row>
    <row r="123" customFormat="false" ht="15" hidden="false" customHeight="false" outlineLevel="0" collapsed="false">
      <c r="A123" s="9" t="s">
        <v>982</v>
      </c>
      <c r="B123" s="9" t="s">
        <v>983</v>
      </c>
      <c r="C123" s="9" t="n">
        <v>0.005</v>
      </c>
      <c r="D123" s="9" t="n">
        <v>0.005</v>
      </c>
      <c r="E123" s="9" t="n">
        <v>0.01</v>
      </c>
      <c r="F123" s="9" t="n">
        <v>0.005</v>
      </c>
      <c r="G123" s="9" t="n">
        <v>0.005</v>
      </c>
      <c r="H123" s="9" t="n">
        <v>0.01</v>
      </c>
      <c r="I123" s="9" t="n">
        <v>0.005</v>
      </c>
      <c r="J123" s="9" t="n">
        <v>0.005</v>
      </c>
      <c r="K123" s="9" t="n">
        <v>0.01</v>
      </c>
      <c r="L123" s="9" t="n">
        <v>0.01</v>
      </c>
      <c r="M123" s="9" t="n">
        <v>0.005</v>
      </c>
      <c r="N123" s="9" t="n">
        <v>0.159603</v>
      </c>
      <c r="O123" s="9" t="n">
        <v>0.091121</v>
      </c>
      <c r="P123" s="9" t="n">
        <v>16.712688</v>
      </c>
      <c r="Q123" s="9" t="n">
        <v>2.29477313294288</v>
      </c>
      <c r="R123" s="9" t="n">
        <v>0.571208135948394</v>
      </c>
      <c r="S123" s="9" t="n">
        <v>0.687385549090512</v>
      </c>
      <c r="T123" s="9" t="n">
        <v>0.222074056093327</v>
      </c>
      <c r="U123" s="9" t="n">
        <v>0.006752</v>
      </c>
      <c r="V123" s="9" t="n">
        <v>0.001267</v>
      </c>
      <c r="W123" s="9" t="n">
        <v>0.047294</v>
      </c>
      <c r="X123" s="9" t="n">
        <v>0.299753599187836</v>
      </c>
      <c r="Y123" s="9" t="n">
        <v>0.299753599187836</v>
      </c>
      <c r="Z123" s="9" t="n">
        <v>0.19</v>
      </c>
      <c r="AA123" s="9" t="n">
        <v>0.24</v>
      </c>
      <c r="AB123" s="9" t="n">
        <v>0.01</v>
      </c>
      <c r="AC123" s="9" t="n">
        <v>0</v>
      </c>
      <c r="AD123" s="9" t="n">
        <v>0</v>
      </c>
      <c r="AE123" s="9" t="n">
        <v>4.261</v>
      </c>
      <c r="AF123" s="9" t="n">
        <v>0</v>
      </c>
      <c r="AG123" s="9" t="n">
        <v>0</v>
      </c>
      <c r="AH123" s="9" t="n">
        <v>0</v>
      </c>
      <c r="AI123" s="9" t="n">
        <v>0</v>
      </c>
      <c r="AJ123" s="9" t="n">
        <v>1.19091351469976</v>
      </c>
      <c r="AK123" s="9" t="n">
        <v>0</v>
      </c>
      <c r="AL123" s="9" t="n">
        <v>0</v>
      </c>
      <c r="AM123" s="9" t="n">
        <v>0</v>
      </c>
      <c r="AN123" s="9" t="n">
        <v>0</v>
      </c>
      <c r="AO123" s="9" t="n">
        <v>16.0248454807419</v>
      </c>
      <c r="AP123" s="9" t="n">
        <v>14.744191</v>
      </c>
      <c r="AQ123" s="9" t="n">
        <v>16.1192184553125</v>
      </c>
      <c r="AR123" s="9" t="n">
        <v>15.8290725231169</v>
      </c>
      <c r="AS123" s="9" t="n">
        <v>11.128599296353</v>
      </c>
      <c r="AT123" s="9" t="n">
        <v>9.0421942788</v>
      </c>
      <c r="AU123" s="9" t="n">
        <v>10.1050491848263</v>
      </c>
      <c r="AV123" s="9" t="n">
        <v>10.8850797582274</v>
      </c>
      <c r="AW123" s="9" t="n">
        <v>4.47052646049251</v>
      </c>
      <c r="AX123" s="9" t="n">
        <v>3.63634047</v>
      </c>
      <c r="AY123" s="9" t="n">
        <v>4.05935091760818</v>
      </c>
      <c r="AZ123" s="9" t="n">
        <v>4.37270098310346</v>
      </c>
      <c r="BA123" s="9" t="n">
        <v>13.3663077739815</v>
      </c>
      <c r="BB123" s="9" t="n">
        <v>15.2087846794579</v>
      </c>
      <c r="BC123" s="9" t="n">
        <v>11.2914445055023</v>
      </c>
      <c r="BD123" s="9" t="n">
        <v>13.4553504034371</v>
      </c>
      <c r="BE123" s="9" t="n">
        <v>0.527945970040453</v>
      </c>
      <c r="BF123" s="9" t="n">
        <v>0.481703349999999</v>
      </c>
      <c r="BG123" s="9" t="n">
        <v>0.526626488310267</v>
      </c>
      <c r="BH123" s="9" t="n">
        <v>0.517147211520682</v>
      </c>
      <c r="BI123" s="9" t="n">
        <v>0</v>
      </c>
      <c r="BJ123" s="9" t="n">
        <v>0</v>
      </c>
      <c r="BK123" s="9" t="n">
        <v>0</v>
      </c>
      <c r="BL123" s="9" t="n">
        <v>0</v>
      </c>
      <c r="BM123" s="9" t="n">
        <v>0</v>
      </c>
      <c r="BN123" s="9" t="n">
        <v>0</v>
      </c>
      <c r="BO123" s="9" t="n">
        <v>0</v>
      </c>
      <c r="BP123" s="9" t="n">
        <v>0</v>
      </c>
      <c r="BQ123" s="9" t="n">
        <v>0</v>
      </c>
      <c r="BR123" s="9" t="n">
        <v>0</v>
      </c>
      <c r="BS123" s="9" t="n">
        <v>0</v>
      </c>
      <c r="BT123" s="9" t="n">
        <v>0</v>
      </c>
      <c r="BU123" s="9" t="n">
        <v>0</v>
      </c>
      <c r="BV123" s="9" t="n">
        <v>18.7387890195671</v>
      </c>
      <c r="BW123" s="9" t="n">
        <v>17.1553567998588</v>
      </c>
      <c r="BX123" s="9" t="n">
        <v>18.6563866111369</v>
      </c>
      <c r="BY123" s="9" t="n">
        <v>18.3684183971944</v>
      </c>
      <c r="BZ123" s="9" t="n">
        <v>4.33309048801264</v>
      </c>
      <c r="CA123" s="9" t="n">
        <v>0.0699940774242179</v>
      </c>
      <c r="CB123" s="9" t="n">
        <v>2.44</v>
      </c>
      <c r="CC123" s="9" t="n">
        <v>2.396</v>
      </c>
      <c r="CD123" s="9" t="n">
        <v>13.37</v>
      </c>
      <c r="CE123" s="9" t="n">
        <v>1</v>
      </c>
      <c r="CF123" s="9" t="n">
        <v>0.04</v>
      </c>
      <c r="CG123" s="9" t="n">
        <v>0.04</v>
      </c>
      <c r="CH123" s="9" t="n">
        <v>0</v>
      </c>
      <c r="CI123" s="9" t="n">
        <v>0</v>
      </c>
      <c r="CJ123" s="9" t="n">
        <v>0.58</v>
      </c>
      <c r="CK123" s="9" t="n">
        <v>1.64</v>
      </c>
      <c r="CL123" s="9" t="n">
        <v>0.02</v>
      </c>
      <c r="CM123" s="9" t="n">
        <v>13.577</v>
      </c>
      <c r="CN123" s="9" t="n">
        <v>23.616</v>
      </c>
      <c r="CO123" s="9" t="n">
        <v>3</v>
      </c>
      <c r="CP123" s="9" t="n">
        <v>3</v>
      </c>
      <c r="CQ123" s="9" t="n">
        <v>0.5</v>
      </c>
      <c r="CR123" s="9" t="n">
        <v>0.3</v>
      </c>
      <c r="CS123" s="9" t="n">
        <v>0.6</v>
      </c>
      <c r="CT123" s="9" t="n">
        <v>0.8</v>
      </c>
      <c r="CU123" s="9" t="n">
        <v>0.8</v>
      </c>
      <c r="CV123" s="9" t="n">
        <v>0.7</v>
      </c>
      <c r="CW123" s="9" t="n">
        <v>0.5</v>
      </c>
      <c r="CX123" s="9" t="n">
        <v>0.5</v>
      </c>
      <c r="CY123" s="9" t="n">
        <v>1</v>
      </c>
      <c r="CZ123" s="9" t="n">
        <v>0.3</v>
      </c>
      <c r="DA123" s="9" t="n">
        <v>0.8</v>
      </c>
      <c r="DB123" s="9" t="n">
        <v>0.377012661083383</v>
      </c>
      <c r="DC123" s="9" t="n">
        <v>7.124</v>
      </c>
      <c r="DD123" s="9" t="n">
        <v>5.575</v>
      </c>
      <c r="DE123" s="9" t="n">
        <v>14.02195</v>
      </c>
      <c r="DF123" s="9" t="n">
        <v>21.0339188511977</v>
      </c>
      <c r="DG123" s="9" t="n">
        <v>23.7470453025959</v>
      </c>
      <c r="DH123" s="9" t="n">
        <v>18.0045316956747</v>
      </c>
      <c r="DI123" s="9" t="n">
        <v>19.8993870350877</v>
      </c>
      <c r="DJ123" s="9" t="n">
        <v>12.766</v>
      </c>
      <c r="DK123" s="9" t="n">
        <v>11.442</v>
      </c>
      <c r="DL123" s="9" t="n">
        <v>23.81305</v>
      </c>
      <c r="DM123" s="9" t="n">
        <v>13.4947462084719</v>
      </c>
      <c r="DN123" s="9" t="n">
        <v>13.4947462084719</v>
      </c>
      <c r="DO123" s="9" t="n">
        <v>0.06284</v>
      </c>
    </row>
    <row r="124" customFormat="false" ht="15" hidden="false" customHeight="false" outlineLevel="0" collapsed="false">
      <c r="A124" s="9" t="s">
        <v>940</v>
      </c>
      <c r="B124" s="9" t="s">
        <v>941</v>
      </c>
      <c r="C124" s="9" t="n">
        <v>0.005</v>
      </c>
      <c r="D124" s="9" t="n">
        <v>0.005</v>
      </c>
      <c r="E124" s="9" t="n">
        <v>0.01</v>
      </c>
      <c r="F124" s="9" t="n">
        <v>0.005</v>
      </c>
      <c r="G124" s="9" t="n">
        <v>0.005</v>
      </c>
      <c r="H124" s="9" t="n">
        <v>0.01</v>
      </c>
      <c r="I124" s="9" t="n">
        <v>0.005</v>
      </c>
      <c r="J124" s="9" t="n">
        <v>0.005</v>
      </c>
      <c r="K124" s="9" t="n">
        <v>0.01</v>
      </c>
      <c r="L124" s="9" t="n">
        <v>0.01</v>
      </c>
      <c r="M124" s="9" t="n">
        <v>0.005</v>
      </c>
      <c r="N124" s="9" t="n">
        <v>0.001048</v>
      </c>
      <c r="O124" s="9" t="n">
        <v>0.001886</v>
      </c>
      <c r="P124" s="9" t="n">
        <v>0.113644</v>
      </c>
      <c r="Q124" s="9" t="n">
        <v>0.0080171196339259</v>
      </c>
      <c r="R124" s="9" t="n">
        <v>0.0015441922073198</v>
      </c>
      <c r="S124" s="9" t="n">
        <v>0.0036822333637883</v>
      </c>
      <c r="T124" s="9" t="n">
        <v>0.0013188677567114</v>
      </c>
      <c r="U124" s="9" t="n">
        <v>4.6E-005</v>
      </c>
      <c r="V124" s="9" t="n">
        <v>0</v>
      </c>
      <c r="W124" s="9" t="n">
        <v>0.000186</v>
      </c>
      <c r="X124" s="9" t="n">
        <v>0.0025105032088491</v>
      </c>
      <c r="Y124" s="9" t="n">
        <v>0.0025105032088491</v>
      </c>
      <c r="Z124" s="9" t="n">
        <v>0.44</v>
      </c>
      <c r="AA124" s="9" t="n">
        <v>0.08</v>
      </c>
      <c r="AB124" s="9" t="n">
        <v>0</v>
      </c>
      <c r="AC124" s="9" t="n">
        <v>0</v>
      </c>
      <c r="AD124" s="9" t="n">
        <v>0</v>
      </c>
      <c r="AE124" s="9" t="n">
        <v>2.672</v>
      </c>
      <c r="AF124" s="9" t="n">
        <v>0</v>
      </c>
      <c r="AG124" s="9" t="n">
        <v>0</v>
      </c>
      <c r="AH124" s="9" t="n">
        <v>0</v>
      </c>
      <c r="AI124" s="9" t="n">
        <v>0</v>
      </c>
      <c r="AJ124" s="9" t="n">
        <v>4.77952732585105</v>
      </c>
      <c r="AK124" s="9" t="n">
        <v>0.0222305747061932</v>
      </c>
      <c r="AL124" s="9" t="n">
        <v>0.0218802168</v>
      </c>
      <c r="AM124" s="9" t="n">
        <v>0.0221865398352</v>
      </c>
      <c r="AN124" s="9" t="n">
        <v>0.021151167976224</v>
      </c>
      <c r="AO124" s="9" t="n">
        <v>6.23469477640691</v>
      </c>
      <c r="AP124" s="9" t="n">
        <v>6.53666816</v>
      </c>
      <c r="AQ124" s="9" t="n">
        <v>6.62818151424</v>
      </c>
      <c r="AR124" s="9" t="n">
        <v>6.3188663769088</v>
      </c>
      <c r="AS124" s="9" t="n">
        <v>2.69958574160664</v>
      </c>
      <c r="AT124" s="9" t="n">
        <v>2.1238631568</v>
      </c>
      <c r="AU124" s="9" t="n">
        <v>2.39305243946002</v>
      </c>
      <c r="AV124" s="9" t="n">
        <v>2.50061676026417</v>
      </c>
      <c r="AW124" s="9" t="n">
        <v>3.48137567555473</v>
      </c>
      <c r="AX124" s="9" t="n">
        <v>2.8022712948</v>
      </c>
      <c r="AY124" s="9" t="n">
        <v>3.08607147558308</v>
      </c>
      <c r="AZ124" s="9" t="n">
        <v>3.22478602138678</v>
      </c>
      <c r="BA124" s="9" t="n">
        <v>11.5345960240569</v>
      </c>
      <c r="BB124" s="9" t="n">
        <v>12.3373228592413</v>
      </c>
      <c r="BC124" s="9" t="n">
        <v>9.95320254000001</v>
      </c>
      <c r="BD124" s="9" t="n">
        <v>10.6378935902096</v>
      </c>
      <c r="BE124" s="9" t="n">
        <v>0.2385476027513</v>
      </c>
      <c r="BF124" s="9" t="n">
        <v>0.23491654</v>
      </c>
      <c r="BG124" s="9" t="n">
        <v>0.23820537156</v>
      </c>
      <c r="BH124" s="9" t="n">
        <v>0.2270891208872</v>
      </c>
      <c r="BI124" s="9" t="n">
        <v>2.16717898448532</v>
      </c>
      <c r="BJ124" s="9" t="n">
        <v>2.05279921463773</v>
      </c>
      <c r="BK124" s="9" t="n">
        <v>2.08153840364266</v>
      </c>
      <c r="BL124" s="9" t="n">
        <v>1.984399944806</v>
      </c>
      <c r="BM124" s="9" t="n">
        <v>0.205502248679163</v>
      </c>
      <c r="BN124" s="9" t="n">
        <v>0.195021144</v>
      </c>
      <c r="BO124" s="9" t="n">
        <v>0.197751440016</v>
      </c>
      <c r="BP124" s="9" t="n">
        <v>0.18852303948192</v>
      </c>
      <c r="BQ124" s="9" t="n">
        <v>4.94108891510105</v>
      </c>
      <c r="BR124" s="9" t="n">
        <v>0</v>
      </c>
      <c r="BS124" s="9" t="n">
        <v>0</v>
      </c>
      <c r="BT124" s="9" t="n">
        <v>0</v>
      </c>
      <c r="BU124" s="9" t="n">
        <v>0</v>
      </c>
      <c r="BV124" s="9" t="n">
        <v>7.34017936971114</v>
      </c>
      <c r="BW124" s="9" t="n">
        <v>12.0948247943332</v>
      </c>
      <c r="BX124" s="9" t="n">
        <v>8.55316080880008</v>
      </c>
      <c r="BY124" s="9" t="n">
        <v>7.61157996157304</v>
      </c>
      <c r="BZ124" s="9" t="n">
        <v>1.71693372698927</v>
      </c>
      <c r="CA124" s="9" t="n">
        <v>0.113664442797131</v>
      </c>
      <c r="CB124" s="9" t="n">
        <v>6.9</v>
      </c>
      <c r="CC124" s="9" t="n">
        <v>6.728</v>
      </c>
      <c r="CD124" s="9" t="n">
        <v>19.866</v>
      </c>
      <c r="CE124" s="9" t="n">
        <v>0</v>
      </c>
      <c r="CF124" s="9" t="n">
        <v>0.17</v>
      </c>
      <c r="CG124" s="9" t="n">
        <v>0.92</v>
      </c>
      <c r="CH124" s="9" t="n">
        <v>0.05</v>
      </c>
      <c r="CI124" s="9" t="n">
        <v>0.7</v>
      </c>
      <c r="CJ124" s="9" t="n">
        <v>0.03</v>
      </c>
      <c r="CK124" s="9" t="n">
        <v>0.95</v>
      </c>
      <c r="CL124" s="9" t="n">
        <v>0</v>
      </c>
      <c r="CM124" s="9" t="n">
        <v>44.807</v>
      </c>
      <c r="CN124" s="9" t="n">
        <v>45.989</v>
      </c>
      <c r="CO124" s="9" t="n">
        <v>3</v>
      </c>
      <c r="CP124" s="9" t="n">
        <v>1</v>
      </c>
      <c r="CQ124" s="9" t="n">
        <v>0.5</v>
      </c>
      <c r="CR124" s="9" t="n">
        <v>0.3</v>
      </c>
      <c r="CS124" s="9" t="n">
        <v>0.6</v>
      </c>
      <c r="CT124" s="9" t="n">
        <v>0.8</v>
      </c>
      <c r="CU124" s="9" t="n">
        <v>0.8</v>
      </c>
      <c r="CV124" s="9" t="n">
        <v>0.7</v>
      </c>
      <c r="CW124" s="9" t="n">
        <v>0.5</v>
      </c>
      <c r="CX124" s="9" t="n">
        <v>0.5</v>
      </c>
      <c r="CY124" s="9" t="n">
        <v>1</v>
      </c>
      <c r="CZ124" s="9" t="n">
        <v>0.3</v>
      </c>
      <c r="DA124" s="9" t="n">
        <v>0.8</v>
      </c>
      <c r="DB124" s="9" t="n">
        <v>0.355626364970821</v>
      </c>
      <c r="DC124" s="9" t="n">
        <v>3.373</v>
      </c>
      <c r="DD124" s="9" t="n">
        <v>2.049</v>
      </c>
      <c r="DE124" s="9" t="n">
        <v>6.37602</v>
      </c>
      <c r="DF124" s="9" t="n">
        <v>20.8831755515926</v>
      </c>
      <c r="DG124" s="9" t="n">
        <v>24.6373007062678</v>
      </c>
      <c r="DH124" s="9" t="n">
        <v>18.6307762763938</v>
      </c>
      <c r="DI124" s="9" t="n">
        <v>21.8937090343761</v>
      </c>
      <c r="DJ124" s="9" t="n">
        <v>6.853</v>
      </c>
      <c r="DK124" s="9" t="n">
        <v>6.191</v>
      </c>
      <c r="DL124" s="9" t="n">
        <v>12.87937</v>
      </c>
      <c r="DM124" s="9" t="n">
        <v>13.4947462084719</v>
      </c>
      <c r="DN124" s="9" t="n">
        <v>13.4947462084719</v>
      </c>
      <c r="DO124" s="9" t="n">
        <v>0.105</v>
      </c>
    </row>
    <row r="125" customFormat="false" ht="15" hidden="false" customHeight="false" outlineLevel="0" collapsed="false">
      <c r="A125" s="9" t="s">
        <v>792</v>
      </c>
      <c r="B125" s="9" t="s">
        <v>793</v>
      </c>
      <c r="C125" s="9" t="n">
        <v>0.005</v>
      </c>
      <c r="D125" s="9" t="n">
        <v>0.005</v>
      </c>
      <c r="E125" s="9" t="n">
        <v>0.01</v>
      </c>
      <c r="F125" s="9" t="n">
        <v>0.005</v>
      </c>
      <c r="G125" s="9" t="n">
        <v>0.005</v>
      </c>
      <c r="H125" s="9" t="n">
        <v>0.01</v>
      </c>
      <c r="I125" s="9" t="n">
        <v>0.005</v>
      </c>
      <c r="J125" s="9" t="n">
        <v>0.005</v>
      </c>
      <c r="K125" s="9" t="n">
        <v>0.01</v>
      </c>
      <c r="L125" s="9" t="n">
        <v>0.01</v>
      </c>
      <c r="M125" s="9" t="n">
        <v>0.005</v>
      </c>
      <c r="N125" s="9" t="n">
        <v>0.941094</v>
      </c>
      <c r="O125" s="9" t="n">
        <v>0.174824</v>
      </c>
      <c r="P125" s="9" t="n">
        <v>8.014578</v>
      </c>
      <c r="Q125" s="9" t="n">
        <v>1.11660511717463</v>
      </c>
      <c r="R125" s="9" t="n">
        <v>0.214556928361492</v>
      </c>
      <c r="S125" s="9" t="n">
        <v>0.465338929987819</v>
      </c>
      <c r="T125" s="9" t="n">
        <v>0.165246371870319</v>
      </c>
      <c r="U125" s="9" t="n">
        <v>0.012469</v>
      </c>
      <c r="V125" s="9" t="n">
        <v>0.030779</v>
      </c>
      <c r="W125" s="9" t="n">
        <v>0.013579</v>
      </c>
      <c r="X125" s="9" t="n">
        <v>2.02164198726166</v>
      </c>
      <c r="Y125" s="9" t="n">
        <v>2.02164198726166</v>
      </c>
      <c r="Z125" s="9" t="n">
        <v>12.25</v>
      </c>
      <c r="AA125" s="9" t="n">
        <v>0.28</v>
      </c>
      <c r="AB125" s="9" t="n">
        <v>0</v>
      </c>
      <c r="AC125" s="9" t="n">
        <v>3</v>
      </c>
      <c r="AD125" s="9" t="n">
        <v>0.015833214</v>
      </c>
      <c r="AE125" s="9" t="n">
        <v>126.142</v>
      </c>
      <c r="AF125" s="9" t="n">
        <v>36.8267368809622</v>
      </c>
      <c r="AG125" s="9" t="n">
        <v>38.4420001752</v>
      </c>
      <c r="AH125" s="9" t="n">
        <v>37.7430547174691</v>
      </c>
      <c r="AI125" s="9" t="n">
        <v>36.2658696449061</v>
      </c>
      <c r="AJ125" s="9" t="n">
        <v>0</v>
      </c>
      <c r="AK125" s="9" t="n">
        <v>0</v>
      </c>
      <c r="AL125" s="9" t="n">
        <v>0</v>
      </c>
      <c r="AM125" s="9" t="n">
        <v>0</v>
      </c>
      <c r="AN125" s="9" t="n">
        <v>0</v>
      </c>
      <c r="AO125" s="9" t="n">
        <v>165.582889677598</v>
      </c>
      <c r="AP125" s="9" t="n">
        <v>169.905338</v>
      </c>
      <c r="AQ125" s="9" t="n">
        <v>166.816150036364</v>
      </c>
      <c r="AR125" s="9" t="n">
        <v>160.287311060803</v>
      </c>
      <c r="AS125" s="9" t="n">
        <v>68.5031491203218</v>
      </c>
      <c r="AT125" s="9" t="n">
        <v>53.0263160424</v>
      </c>
      <c r="AU125" s="9" t="n">
        <v>56.1011788296193</v>
      </c>
      <c r="AV125" s="9" t="n">
        <v>54.4130152495002</v>
      </c>
      <c r="AW125" s="9" t="n">
        <v>76.2048683254323</v>
      </c>
      <c r="AX125" s="9" t="n">
        <v>59.9717566944</v>
      </c>
      <c r="AY125" s="9" t="n">
        <v>62.4085607816885</v>
      </c>
      <c r="AZ125" s="9" t="n">
        <v>60.5305991844952</v>
      </c>
      <c r="BA125" s="9" t="n">
        <v>670.604419679335</v>
      </c>
      <c r="BB125" s="9" t="n">
        <v>590.481396637838</v>
      </c>
      <c r="BC125" s="9" t="n">
        <v>686.57430504</v>
      </c>
      <c r="BD125" s="9" t="n">
        <v>606.21051818175</v>
      </c>
      <c r="BE125" s="9" t="n">
        <v>24.9574550574132</v>
      </c>
      <c r="BF125" s="9" t="n">
        <v>25.5448238972062</v>
      </c>
      <c r="BG125" s="9" t="n">
        <v>25.0803725536206</v>
      </c>
      <c r="BH125" s="9" t="n">
        <v>24.0987786622979</v>
      </c>
      <c r="BI125" s="9" t="n">
        <v>34.8892919573904</v>
      </c>
      <c r="BJ125" s="9" t="n">
        <v>38.5276994499999</v>
      </c>
      <c r="BK125" s="9" t="n">
        <v>37.8271958236363</v>
      </c>
      <c r="BL125" s="9" t="n">
        <v>36.346717642263</v>
      </c>
      <c r="BM125" s="9" t="n">
        <v>284.129216398958</v>
      </c>
      <c r="BN125" s="9" t="n">
        <v>296.5644333864</v>
      </c>
      <c r="BO125" s="9" t="n">
        <v>291.172352779375</v>
      </c>
      <c r="BP125" s="9" t="n">
        <v>279.776469317147</v>
      </c>
      <c r="BQ125" s="9" t="n">
        <v>335.832937918279</v>
      </c>
      <c r="BR125" s="9" t="n">
        <v>0.0038941811232685</v>
      </c>
      <c r="BS125" s="9" t="n">
        <v>0.0041281847999999</v>
      </c>
      <c r="BT125" s="9" t="n">
        <v>0.0040531268945454</v>
      </c>
      <c r="BU125" s="9" t="n">
        <v>0.0038944958936727</v>
      </c>
      <c r="BV125" s="9" t="n">
        <v>29.3262758026469</v>
      </c>
      <c r="BW125" s="9" t="n">
        <v>30.2255774607548</v>
      </c>
      <c r="BX125" s="9" t="n">
        <v>29.6760215069229</v>
      </c>
      <c r="BY125" s="9" t="n">
        <v>28.5145634238071</v>
      </c>
      <c r="BZ125" s="9" t="n">
        <v>40.1966715127095</v>
      </c>
      <c r="CA125" s="9" t="n">
        <v>2.20289469460845</v>
      </c>
      <c r="CB125" s="9" t="n">
        <v>4.013</v>
      </c>
      <c r="CC125" s="9" t="n">
        <v>4.058</v>
      </c>
      <c r="CD125" s="9" t="n">
        <v>252.109</v>
      </c>
      <c r="CE125" s="9" t="n">
        <v>12.88</v>
      </c>
      <c r="CF125" s="9" t="n">
        <v>0</v>
      </c>
      <c r="CG125" s="9" t="n">
        <v>28.53</v>
      </c>
      <c r="CH125" s="9" t="n">
        <v>28.53</v>
      </c>
      <c r="CI125" s="9" t="n">
        <v>0</v>
      </c>
      <c r="CJ125" s="9" t="n">
        <v>0.13</v>
      </c>
      <c r="CK125" s="9" t="n">
        <v>41.54</v>
      </c>
      <c r="CL125" s="9" t="n">
        <v>0</v>
      </c>
      <c r="CM125" s="9" t="n">
        <v>422.553</v>
      </c>
      <c r="CN125" s="9" t="n">
        <v>468.575</v>
      </c>
      <c r="CO125" s="9" t="n">
        <v>3</v>
      </c>
      <c r="CP125" s="9" t="n">
        <v>2</v>
      </c>
      <c r="CQ125" s="9" t="n">
        <v>0.5</v>
      </c>
      <c r="CR125" s="9" t="n">
        <v>0.3</v>
      </c>
      <c r="CS125" s="9" t="n">
        <v>0.6</v>
      </c>
      <c r="CT125" s="9" t="n">
        <v>0.8</v>
      </c>
      <c r="CU125" s="9" t="n">
        <v>0.8</v>
      </c>
      <c r="CV125" s="9" t="n">
        <v>0.7</v>
      </c>
      <c r="CW125" s="9" t="n">
        <v>0.5</v>
      </c>
      <c r="CX125" s="9" t="n">
        <v>0.5</v>
      </c>
      <c r="CY125" s="9" t="n">
        <v>1</v>
      </c>
      <c r="CZ125" s="9" t="n">
        <v>0.3</v>
      </c>
      <c r="DA125" s="9" t="n">
        <v>0.8</v>
      </c>
      <c r="DB125" s="9" t="n">
        <v>0.119068118606693</v>
      </c>
      <c r="DC125" s="9" t="n">
        <v>3.373</v>
      </c>
      <c r="DD125" s="9" t="n">
        <v>2.049</v>
      </c>
      <c r="DE125" s="9" t="n">
        <v>5.75985</v>
      </c>
      <c r="DF125" s="9" t="n">
        <v>23.924747400402</v>
      </c>
      <c r="DG125" s="9" t="n">
        <v>26.6215876926737</v>
      </c>
      <c r="DH125" s="9" t="n">
        <v>19.9667117334862</v>
      </c>
      <c r="DI125" s="9" t="n">
        <v>21.3865655916924</v>
      </c>
      <c r="DJ125" s="9" t="n">
        <v>5.007</v>
      </c>
      <c r="DK125" s="9" t="n">
        <v>4.62</v>
      </c>
      <c r="DL125" s="9" t="n">
        <v>14.457675</v>
      </c>
      <c r="DM125" s="9" t="n">
        <v>13.4947462084719</v>
      </c>
      <c r="DN125" s="9" t="n">
        <v>13.4947462084719</v>
      </c>
      <c r="DO125" s="9" t="n">
        <v>0.105</v>
      </c>
    </row>
    <row r="126" customFormat="false" ht="15" hidden="false" customHeight="false" outlineLevel="0" collapsed="false">
      <c r="A126" s="9" t="s">
        <v>948</v>
      </c>
      <c r="B126" s="9" t="s">
        <v>949</v>
      </c>
      <c r="C126" s="9" t="n">
        <v>0.005</v>
      </c>
      <c r="D126" s="9" t="n">
        <v>0.005</v>
      </c>
      <c r="E126" s="9" t="n">
        <v>0.01</v>
      </c>
      <c r="F126" s="9" t="n">
        <v>0.005</v>
      </c>
      <c r="G126" s="9" t="n">
        <v>0.005</v>
      </c>
      <c r="H126" s="9" t="n">
        <v>0.01</v>
      </c>
      <c r="I126" s="9" t="n">
        <v>0.005</v>
      </c>
      <c r="J126" s="9" t="n">
        <v>0.005</v>
      </c>
      <c r="K126" s="9" t="n">
        <v>0.01</v>
      </c>
      <c r="L126" s="9" t="n">
        <v>0.01</v>
      </c>
      <c r="M126" s="9" t="n">
        <v>0.005</v>
      </c>
      <c r="N126" s="9" t="n">
        <v>0.725063</v>
      </c>
      <c r="O126" s="9" t="n">
        <v>0.080722</v>
      </c>
      <c r="P126" s="9" t="n">
        <v>1.063703</v>
      </c>
      <c r="Q126" s="9" t="n">
        <v>1.16084674726151</v>
      </c>
      <c r="R126" s="9" t="n">
        <v>0.195883641113717</v>
      </c>
      <c r="S126" s="9" t="n">
        <v>0.110572964463689</v>
      </c>
      <c r="T126" s="9" t="n">
        <v>0.0908855045286752</v>
      </c>
      <c r="U126" s="9" t="n">
        <v>0.014237</v>
      </c>
      <c r="V126" s="9" t="n">
        <v>0.002347</v>
      </c>
      <c r="W126" s="9" t="n">
        <v>0.002793</v>
      </c>
      <c r="X126" s="9" t="n">
        <v>0.811304864041577</v>
      </c>
      <c r="Y126" s="9" t="n">
        <v>0.811304864041577</v>
      </c>
      <c r="Z126" s="9" t="n">
        <v>0.38</v>
      </c>
      <c r="AA126" s="9" t="n">
        <v>0.04</v>
      </c>
      <c r="AB126" s="9" t="n">
        <v>0.19</v>
      </c>
      <c r="AC126" s="9" t="n">
        <v>0</v>
      </c>
      <c r="AD126" s="9" t="n">
        <v>0</v>
      </c>
      <c r="AE126" s="9" t="n">
        <v>5.756</v>
      </c>
      <c r="AF126" s="9" t="n">
        <v>0</v>
      </c>
      <c r="AG126" s="9" t="n">
        <v>0</v>
      </c>
      <c r="AH126" s="9" t="n">
        <v>0</v>
      </c>
      <c r="AI126" s="9" t="n">
        <v>0</v>
      </c>
      <c r="AJ126" s="9" t="n">
        <v>0</v>
      </c>
      <c r="AK126" s="9" t="n">
        <v>0</v>
      </c>
      <c r="AL126" s="9" t="n">
        <v>0</v>
      </c>
      <c r="AM126" s="9" t="n">
        <v>0</v>
      </c>
      <c r="AN126" s="9" t="n">
        <v>0</v>
      </c>
      <c r="AO126" s="9" t="n">
        <v>19.4615330423055</v>
      </c>
      <c r="AP126" s="9" t="n">
        <v>18.68663323</v>
      </c>
      <c r="AQ126" s="9" t="n">
        <v>19.3423876633938</v>
      </c>
      <c r="AR126" s="9" t="n">
        <v>18.8647491108896</v>
      </c>
      <c r="AS126" s="9" t="n">
        <v>12.7553010127108</v>
      </c>
      <c r="AT126" s="9" t="n">
        <v>9.4286736</v>
      </c>
      <c r="AU126" s="9" t="n">
        <v>11.477179124986</v>
      </c>
      <c r="AV126" s="9" t="n">
        <v>12.0942907758442</v>
      </c>
      <c r="AW126" s="9" t="n">
        <v>5.93461893397849</v>
      </c>
      <c r="AX126" s="9" t="n">
        <v>4.5343044</v>
      </c>
      <c r="AY126" s="9" t="n">
        <v>5.33995116821858</v>
      </c>
      <c r="AZ126" s="9" t="n">
        <v>5.62707277231966</v>
      </c>
      <c r="BA126" s="9" t="n">
        <v>15.7928199781673</v>
      </c>
      <c r="BB126" s="9" t="n">
        <v>15.5610342482152</v>
      </c>
      <c r="BC126" s="9" t="n">
        <v>15.0334808167473</v>
      </c>
      <c r="BD126" s="9" t="n">
        <v>15.1767719739225</v>
      </c>
      <c r="BE126" s="9" t="n">
        <v>0.0904213960139259</v>
      </c>
      <c r="BF126" s="9" t="n">
        <v>0.0825923491086301</v>
      </c>
      <c r="BG126" s="9" t="n">
        <v>0.0854906935255067</v>
      </c>
      <c r="BH126" s="9" t="n">
        <v>0.083379596807836</v>
      </c>
      <c r="BI126" s="9" t="n">
        <v>2.96337578672202</v>
      </c>
      <c r="BJ126" s="9" t="n">
        <v>2.78634580999999</v>
      </c>
      <c r="BK126" s="9" t="n">
        <v>2.88412471941543</v>
      </c>
      <c r="BL126" s="9" t="n">
        <v>2.81290449675231</v>
      </c>
      <c r="BM126" s="9" t="n">
        <v>0</v>
      </c>
      <c r="BN126" s="9" t="n">
        <v>0</v>
      </c>
      <c r="BO126" s="9" t="n">
        <v>0</v>
      </c>
      <c r="BP126" s="9" t="n">
        <v>0</v>
      </c>
      <c r="BQ126" s="9" t="n">
        <v>0</v>
      </c>
      <c r="BR126" s="9" t="n">
        <v>0</v>
      </c>
      <c r="BS126" s="9" t="n">
        <v>0</v>
      </c>
      <c r="BT126" s="9" t="n">
        <v>0</v>
      </c>
      <c r="BU126" s="9" t="n">
        <v>0</v>
      </c>
      <c r="BV126" s="9" t="n">
        <v>30.7378686762916</v>
      </c>
      <c r="BW126" s="9" t="n">
        <v>28.5271195668551</v>
      </c>
      <c r="BX126" s="9" t="n">
        <v>30.9772266012656</v>
      </c>
      <c r="BY126" s="9" t="n">
        <v>30.2631250104285</v>
      </c>
      <c r="BZ126" s="9" t="n">
        <v>5.19164442963591</v>
      </c>
      <c r="CA126" s="9" t="n">
        <v>-2.24391987051479</v>
      </c>
      <c r="CB126" s="9" t="n">
        <v>4.924</v>
      </c>
      <c r="CC126" s="9" t="n">
        <v>3.84</v>
      </c>
      <c r="CD126" s="9" t="n">
        <v>19.697</v>
      </c>
      <c r="CE126" s="9" t="n">
        <v>2.23</v>
      </c>
      <c r="CF126" s="9" t="n">
        <v>0</v>
      </c>
      <c r="CG126" s="9" t="n">
        <v>1.7</v>
      </c>
      <c r="CH126" s="9" t="n">
        <v>0</v>
      </c>
      <c r="CI126" s="9" t="n">
        <v>1.7</v>
      </c>
      <c r="CJ126" s="9" t="n">
        <v>0.03</v>
      </c>
      <c r="CK126" s="9" t="n">
        <v>4.52</v>
      </c>
      <c r="CL126" s="9" t="n">
        <v>0.56</v>
      </c>
      <c r="CM126" s="9" t="n">
        <v>21.413</v>
      </c>
      <c r="CN126" s="9" t="n">
        <v>40.391</v>
      </c>
      <c r="CO126" s="9" t="n">
        <v>3</v>
      </c>
      <c r="CP126" s="9" t="n">
        <v>2</v>
      </c>
      <c r="CQ126" s="9" t="n">
        <v>0.5</v>
      </c>
      <c r="CR126" s="9" t="n">
        <v>0.3</v>
      </c>
      <c r="CS126" s="9" t="n">
        <v>0.6</v>
      </c>
      <c r="CT126" s="9" t="n">
        <v>0.8</v>
      </c>
      <c r="CU126" s="9" t="n">
        <v>0.8</v>
      </c>
      <c r="CV126" s="9" t="n">
        <v>0.7</v>
      </c>
      <c r="CW126" s="9" t="n">
        <v>0.5</v>
      </c>
      <c r="CX126" s="9" t="n">
        <v>0.5</v>
      </c>
      <c r="CY126" s="9" t="n">
        <v>1</v>
      </c>
      <c r="CZ126" s="9" t="n">
        <v>0.3</v>
      </c>
      <c r="DA126" s="9" t="n">
        <v>0.8</v>
      </c>
      <c r="DB126" s="9" t="n">
        <v>0.326568846887176</v>
      </c>
      <c r="DC126" s="9" t="n">
        <v>7.124</v>
      </c>
      <c r="DD126" s="9" t="n">
        <v>5.575</v>
      </c>
      <c r="DE126" s="9" t="n">
        <v>14.02195</v>
      </c>
      <c r="DF126" s="9" t="n">
        <v>17.6577730264948</v>
      </c>
      <c r="DG126" s="9" t="n">
        <v>24.5880867286974</v>
      </c>
      <c r="DH126" s="9" t="n">
        <v>16.0907240184551</v>
      </c>
      <c r="DI126" s="9" t="n">
        <v>22.0241993618343</v>
      </c>
      <c r="DJ126" s="9" t="n">
        <v>7.414</v>
      </c>
      <c r="DK126" s="9" t="n">
        <v>6.09</v>
      </c>
      <c r="DL126" s="9" t="n">
        <v>17.65825</v>
      </c>
      <c r="DM126" s="9" t="n">
        <v>13.4947462084719</v>
      </c>
      <c r="DN126" s="9" t="n">
        <v>13.4947462084719</v>
      </c>
      <c r="DO126" s="9" t="n">
        <v>0.105</v>
      </c>
    </row>
    <row r="127" customFormat="false" ht="15" hidden="false" customHeight="false" outlineLevel="0" collapsed="false">
      <c r="A127" s="9" t="s">
        <v>730</v>
      </c>
      <c r="B127" s="9" t="s">
        <v>731</v>
      </c>
      <c r="C127" s="9" t="n">
        <v>0.005</v>
      </c>
      <c r="D127" s="9" t="n">
        <v>0.005</v>
      </c>
      <c r="E127" s="9" t="n">
        <v>0.01</v>
      </c>
      <c r="F127" s="9" t="n">
        <v>0.005</v>
      </c>
      <c r="G127" s="9" t="n">
        <v>0.005</v>
      </c>
      <c r="H127" s="9" t="n">
        <v>0.01</v>
      </c>
      <c r="I127" s="9" t="n">
        <v>0.005</v>
      </c>
      <c r="J127" s="9" t="n">
        <v>0.005</v>
      </c>
      <c r="K127" s="9" t="n">
        <v>0.01</v>
      </c>
      <c r="L127" s="9" t="n">
        <v>0.01</v>
      </c>
      <c r="M127" s="9" t="n">
        <v>0.005</v>
      </c>
      <c r="N127" s="9" t="n">
        <v>3.092045</v>
      </c>
      <c r="O127" s="9" t="n">
        <v>1.866565</v>
      </c>
      <c r="P127" s="9" t="n">
        <v>65.873565</v>
      </c>
      <c r="Q127" s="9" t="n">
        <v>6.44254661257926</v>
      </c>
      <c r="R127" s="9" t="n">
        <v>1.78394234558221</v>
      </c>
      <c r="S127" s="9" t="n">
        <v>10.4042960692654</v>
      </c>
      <c r="T127" s="9" t="n">
        <v>6.98177558220538</v>
      </c>
      <c r="U127" s="9" t="n">
        <v>0.327356</v>
      </c>
      <c r="V127" s="9" t="n">
        <v>0.07615</v>
      </c>
      <c r="W127" s="9" t="n">
        <v>0.27827</v>
      </c>
      <c r="X127" s="9" t="n">
        <v>4.97400767147698</v>
      </c>
      <c r="Y127" s="9" t="n">
        <v>4.97400767147698</v>
      </c>
      <c r="Z127" s="9" t="n">
        <v>19.5</v>
      </c>
      <c r="AA127" s="9" t="n">
        <v>25.88</v>
      </c>
      <c r="AB127" s="9" t="n">
        <v>11.78</v>
      </c>
      <c r="AC127" s="9" t="n">
        <v>0</v>
      </c>
      <c r="AD127" s="9" t="n">
        <v>0</v>
      </c>
      <c r="AE127" s="9" t="n">
        <v>122.936</v>
      </c>
      <c r="AF127" s="9" t="n">
        <v>35.7386121283295</v>
      </c>
      <c r="AG127" s="9" t="n">
        <v>32.7994288812</v>
      </c>
      <c r="AH127" s="9" t="n">
        <v>31.3845293801524</v>
      </c>
      <c r="AI127" s="9" t="n">
        <v>31.6983746739539</v>
      </c>
      <c r="AJ127" s="9" t="n">
        <v>99.2759295248464</v>
      </c>
      <c r="AK127" s="9" t="n">
        <v>0.877273704488612</v>
      </c>
      <c r="AL127" s="9" t="n">
        <v>0.8007296868</v>
      </c>
      <c r="AM127" s="9" t="n">
        <v>0.766187864793559</v>
      </c>
      <c r="AN127" s="9" t="n">
        <v>0.773849743441494</v>
      </c>
      <c r="AO127" s="9" t="n">
        <v>189.913847094287</v>
      </c>
      <c r="AP127" s="9" t="n">
        <v>195.76769868881</v>
      </c>
      <c r="AQ127" s="9" t="n">
        <v>187.322685203992</v>
      </c>
      <c r="AR127" s="9" t="n">
        <v>189.195912056032</v>
      </c>
      <c r="AS127" s="9" t="n">
        <v>241.376787329114</v>
      </c>
      <c r="AT127" s="9" t="n">
        <v>303.4295335332</v>
      </c>
      <c r="AU127" s="9" t="n">
        <v>301.079144896375</v>
      </c>
      <c r="AV127" s="9" t="n">
        <v>376.062018907658</v>
      </c>
      <c r="AW127" s="9" t="n">
        <v>63.753807797544</v>
      </c>
      <c r="AX127" s="9" t="n">
        <v>80.8912871136</v>
      </c>
      <c r="AY127" s="9" t="n">
        <v>79.6379199855119</v>
      </c>
      <c r="AZ127" s="9" t="n">
        <v>99.6326494571686</v>
      </c>
      <c r="BA127" s="9" t="n">
        <v>154.103702310677</v>
      </c>
      <c r="BB127" s="9" t="n">
        <v>159.883318281342</v>
      </c>
      <c r="BC127" s="9" t="n">
        <v>163.728234767137</v>
      </c>
      <c r="BD127" s="9" t="n">
        <v>154.516145550995</v>
      </c>
      <c r="BE127" s="9" t="n">
        <v>0.55830317313325</v>
      </c>
      <c r="BF127" s="9" t="n">
        <v>0.567416632493429</v>
      </c>
      <c r="BG127" s="9" t="n">
        <v>0.542939452933108</v>
      </c>
      <c r="BH127" s="9" t="n">
        <v>0.548368847462439</v>
      </c>
      <c r="BI127" s="9" t="n">
        <v>0.96335026947689</v>
      </c>
      <c r="BJ127" s="9" t="n">
        <v>0.989941969999999</v>
      </c>
      <c r="BK127" s="9" t="n">
        <v>0.947237921569999</v>
      </c>
      <c r="BL127" s="9" t="n">
        <v>0.956710300785699</v>
      </c>
      <c r="BM127" s="9" t="n">
        <v>251.78235608572</v>
      </c>
      <c r="BN127" s="9" t="n">
        <v>230.737750902</v>
      </c>
      <c r="BO127" s="9" t="n">
        <v>220.784201716538</v>
      </c>
      <c r="BP127" s="9" t="n">
        <v>222.992043733703</v>
      </c>
      <c r="BQ127" s="9" t="n">
        <v>123.143120511809</v>
      </c>
      <c r="BR127" s="9" t="n">
        <v>591.899638949498</v>
      </c>
      <c r="BS127" s="9" t="n">
        <v>556.8961865292</v>
      </c>
      <c r="BT127" s="9" t="n">
        <v>532.872837241337</v>
      </c>
      <c r="BU127" s="9" t="n">
        <v>538.20156561375</v>
      </c>
      <c r="BV127" s="9" t="n">
        <v>294.876539385975</v>
      </c>
      <c r="BW127" s="9" t="n">
        <v>314.050013465538</v>
      </c>
      <c r="BX127" s="9" t="n">
        <v>286.032669247525</v>
      </c>
      <c r="BY127" s="9" t="n">
        <v>288.904354910455</v>
      </c>
      <c r="BZ127" s="9" t="n">
        <v>84.7584986462938</v>
      </c>
      <c r="CA127" s="9" t="n">
        <v>3.5308684555068</v>
      </c>
      <c r="CB127" s="9" t="n">
        <v>1.856</v>
      </c>
      <c r="CC127" s="9" t="n">
        <v>1.233</v>
      </c>
      <c r="CD127" s="9" t="n">
        <v>1214.562</v>
      </c>
      <c r="CE127" s="9" t="n">
        <v>10.891</v>
      </c>
      <c r="CF127" s="9" t="n">
        <v>9.55</v>
      </c>
      <c r="CG127" s="9" t="n">
        <v>61.87</v>
      </c>
      <c r="CH127" s="9" t="n">
        <v>47.09</v>
      </c>
      <c r="CI127" s="9" t="n">
        <v>5.23</v>
      </c>
      <c r="CJ127" s="9" t="n">
        <v>28.5</v>
      </c>
      <c r="CK127" s="9" t="n">
        <v>134.961</v>
      </c>
      <c r="CL127" s="9" t="n">
        <v>33.7</v>
      </c>
      <c r="CM127" s="9" t="n">
        <v>151.045</v>
      </c>
      <c r="CN127" s="9" t="n">
        <v>155.145</v>
      </c>
      <c r="CO127" s="9" t="n">
        <v>1</v>
      </c>
      <c r="CP127" s="9" t="n">
        <v>4</v>
      </c>
      <c r="CQ127" s="9" t="n">
        <v>0.5</v>
      </c>
      <c r="CR127" s="9" t="n">
        <v>0.3</v>
      </c>
      <c r="CS127" s="9" t="n">
        <v>0.6</v>
      </c>
      <c r="CT127" s="9" t="n">
        <v>0.8</v>
      </c>
      <c r="CU127" s="9" t="n">
        <v>0.8</v>
      </c>
      <c r="CV127" s="9" t="n">
        <v>0.7</v>
      </c>
      <c r="CW127" s="9" t="n">
        <v>0.5</v>
      </c>
      <c r="CX127" s="9" t="n">
        <v>0.5</v>
      </c>
      <c r="CY127" s="9" t="n">
        <v>1</v>
      </c>
      <c r="CZ127" s="9" t="n">
        <v>0.3</v>
      </c>
      <c r="DA127" s="9" t="n">
        <v>0.8</v>
      </c>
      <c r="DB127" s="9" t="n">
        <v>0.832041662299442</v>
      </c>
      <c r="DC127" s="9" t="n">
        <v>9.912</v>
      </c>
      <c r="DD127" s="9" t="n">
        <v>6.635</v>
      </c>
      <c r="DE127" s="9" t="n">
        <v>16.03613</v>
      </c>
      <c r="DF127" s="9" t="n">
        <v>21.7050777861703</v>
      </c>
      <c r="DG127" s="9" t="n">
        <v>25.9855806763219</v>
      </c>
      <c r="DH127" s="9" t="n">
        <v>18.6886853564891</v>
      </c>
      <c r="DI127" s="9" t="n">
        <v>20.8945503379827</v>
      </c>
      <c r="DJ127" s="9" t="n">
        <v>12.708</v>
      </c>
      <c r="DK127" s="9" t="n">
        <v>12.708</v>
      </c>
      <c r="DL127" s="9" t="n">
        <v>27.84089</v>
      </c>
      <c r="DM127" s="9" t="n">
        <v>12.8123945330884</v>
      </c>
      <c r="DN127" s="9" t="n">
        <v>12.8123945330884</v>
      </c>
      <c r="DO127" s="9" t="n">
        <v>0.02327</v>
      </c>
    </row>
    <row r="128" customFormat="false" ht="15" hidden="false" customHeight="false" outlineLevel="0" collapsed="false">
      <c r="A128" s="9" t="s">
        <v>762</v>
      </c>
      <c r="B128" s="9" t="s">
        <v>763</v>
      </c>
      <c r="C128" s="9" t="n">
        <v>0.005</v>
      </c>
      <c r="D128" s="9" t="n">
        <v>0.005</v>
      </c>
      <c r="E128" s="9" t="n">
        <v>0.01</v>
      </c>
      <c r="F128" s="9" t="n">
        <v>0.005</v>
      </c>
      <c r="G128" s="9" t="n">
        <v>0.005</v>
      </c>
      <c r="H128" s="9" t="n">
        <v>0.01</v>
      </c>
      <c r="I128" s="9" t="n">
        <v>0.005</v>
      </c>
      <c r="J128" s="9" t="n">
        <v>0.005</v>
      </c>
      <c r="K128" s="9" t="n">
        <v>0.01</v>
      </c>
      <c r="L128" s="9" t="n">
        <v>0.01</v>
      </c>
      <c r="M128" s="9" t="n">
        <v>0.005</v>
      </c>
      <c r="N128" s="9" t="n">
        <v>1.886535</v>
      </c>
      <c r="O128" s="9" t="n">
        <v>0.00035</v>
      </c>
      <c r="P128" s="9" t="n">
        <v>68.792576</v>
      </c>
      <c r="Q128" s="9" t="n">
        <v>1.39833045494607</v>
      </c>
      <c r="R128" s="9" t="n">
        <v>0.458024566382249</v>
      </c>
      <c r="S128" s="9" t="n">
        <v>3.45531242138399</v>
      </c>
      <c r="T128" s="9" t="n">
        <v>3.11962651758841</v>
      </c>
      <c r="U128" s="9" t="n">
        <v>0.428294</v>
      </c>
      <c r="V128" s="9" t="n">
        <v>0.010033</v>
      </c>
      <c r="W128" s="9" t="n">
        <v>0.070278</v>
      </c>
      <c r="X128" s="9" t="n">
        <v>0.300552411822114</v>
      </c>
      <c r="Y128" s="9" t="n">
        <v>0.300552411822114</v>
      </c>
      <c r="Z128" s="9" t="n">
        <v>0.48</v>
      </c>
      <c r="AA128" s="9" t="n">
        <v>0.9</v>
      </c>
      <c r="AB128" s="9" t="n">
        <v>5.16</v>
      </c>
      <c r="AC128" s="9" t="n">
        <v>0</v>
      </c>
      <c r="AD128" s="9" t="n">
        <v>0</v>
      </c>
      <c r="AE128" s="9" t="n">
        <v>40.74</v>
      </c>
      <c r="AF128" s="9" t="n">
        <v>28.0571738548306</v>
      </c>
      <c r="AG128" s="9" t="n">
        <v>25.677204786</v>
      </c>
      <c r="AH128" s="9" t="n">
        <v>24.983920256778</v>
      </c>
      <c r="AI128" s="9" t="n">
        <v>24.0595152072772</v>
      </c>
      <c r="AJ128" s="9" t="n">
        <v>0</v>
      </c>
      <c r="AK128" s="9" t="n">
        <v>0.0045718894410457</v>
      </c>
      <c r="AL128" s="9" t="n">
        <v>0.003935592</v>
      </c>
      <c r="AM128" s="9" t="n">
        <v>0.0038293310159999</v>
      </c>
      <c r="AN128" s="9" t="n">
        <v>0.003687645768408</v>
      </c>
      <c r="AO128" s="9" t="n">
        <v>135.743481202803</v>
      </c>
      <c r="AP128" s="9" t="n">
        <v>140.81935522</v>
      </c>
      <c r="AQ128" s="9" t="n">
        <v>137.01723262906</v>
      </c>
      <c r="AR128" s="9" t="n">
        <v>131.947595021785</v>
      </c>
      <c r="AS128" s="9" t="n">
        <v>254.221526346402</v>
      </c>
      <c r="AT128" s="9" t="n">
        <v>290.3326286076</v>
      </c>
      <c r="AU128" s="9" t="n">
        <v>239.562797274684</v>
      </c>
      <c r="AV128" s="9" t="n">
        <v>241.175830833307</v>
      </c>
      <c r="AW128" s="9" t="n">
        <v>135.501707017482</v>
      </c>
      <c r="AX128" s="9" t="n">
        <v>149.6798082144</v>
      </c>
      <c r="AY128" s="9" t="n">
        <v>127.597674183898</v>
      </c>
      <c r="AZ128" s="9" t="n">
        <v>128.50594590317</v>
      </c>
      <c r="BA128" s="9" t="n">
        <v>26.3186710670193</v>
      </c>
      <c r="BB128" s="9" t="n">
        <v>26.86615011</v>
      </c>
      <c r="BC128" s="9" t="n">
        <v>26.659416059559</v>
      </c>
      <c r="BD128" s="9" t="n">
        <v>25.1735557869199</v>
      </c>
      <c r="BE128" s="9" t="n">
        <v>0</v>
      </c>
      <c r="BF128" s="9" t="n">
        <v>0</v>
      </c>
      <c r="BG128" s="9" t="n">
        <v>0</v>
      </c>
      <c r="BH128" s="9" t="n">
        <v>0</v>
      </c>
      <c r="BI128" s="9" t="n">
        <v>0.211501443104681</v>
      </c>
      <c r="BJ128" s="9" t="n">
        <v>0.219475687011034</v>
      </c>
      <c r="BK128" s="9" t="n">
        <v>0.213549843461736</v>
      </c>
      <c r="BL128" s="9" t="n">
        <v>0.205648499253652</v>
      </c>
      <c r="BM128" s="9" t="n">
        <v>190.864349893587</v>
      </c>
      <c r="BN128" s="9" t="n">
        <v>181.485366138</v>
      </c>
      <c r="BO128" s="9" t="n">
        <v>176.585261252274</v>
      </c>
      <c r="BP128" s="9" t="n">
        <v>170.05160658594</v>
      </c>
      <c r="BQ128" s="9" t="n">
        <v>0</v>
      </c>
      <c r="BR128" s="9" t="n">
        <v>3.85641088033313</v>
      </c>
      <c r="BS128" s="9" t="n">
        <v>3.6440065008</v>
      </c>
      <c r="BT128" s="9" t="n">
        <v>3.5456183252784</v>
      </c>
      <c r="BU128" s="9" t="n">
        <v>3.4144304472431</v>
      </c>
      <c r="BV128" s="9" t="n">
        <v>124.753246036441</v>
      </c>
      <c r="BW128" s="9" t="n">
        <v>131.251358918083</v>
      </c>
      <c r="BX128" s="9" t="n">
        <v>121.785202091712</v>
      </c>
      <c r="BY128" s="9" t="n">
        <v>117.279138163718</v>
      </c>
      <c r="BZ128" s="9" t="n">
        <v>108.25645371219</v>
      </c>
      <c r="CA128" s="9" t="n">
        <v>0.117900654352437</v>
      </c>
      <c r="CB128" s="9" t="n">
        <v>1.085</v>
      </c>
      <c r="CC128" s="9" t="n">
        <v>1.475</v>
      </c>
      <c r="CD128" s="9" t="n">
        <v>500.886</v>
      </c>
      <c r="CE128" s="9" t="n">
        <v>145.12</v>
      </c>
      <c r="CF128" s="9" t="n">
        <v>0</v>
      </c>
      <c r="CG128" s="9" t="n">
        <v>1.61</v>
      </c>
      <c r="CH128" s="9" t="n">
        <v>0.9</v>
      </c>
      <c r="CI128" s="9" t="n">
        <v>0.71</v>
      </c>
      <c r="CJ128" s="9" t="n">
        <v>0.53</v>
      </c>
      <c r="CK128" s="9" t="n">
        <v>160.84</v>
      </c>
      <c r="CL128" s="9" t="n">
        <v>13.58</v>
      </c>
      <c r="CM128" s="9" t="n">
        <v>49.318</v>
      </c>
      <c r="CN128" s="9" t="n">
        <v>33.581</v>
      </c>
      <c r="CO128" s="9" t="n">
        <v>1</v>
      </c>
      <c r="CP128" s="9" t="n">
        <v>4</v>
      </c>
      <c r="CQ128" s="9" t="n">
        <v>0.5</v>
      </c>
      <c r="CR128" s="9" t="n">
        <v>0.3</v>
      </c>
      <c r="CS128" s="9" t="n">
        <v>0.6</v>
      </c>
      <c r="CT128" s="9" t="n">
        <v>0.8</v>
      </c>
      <c r="CU128" s="9" t="n">
        <v>0.8</v>
      </c>
      <c r="CV128" s="9" t="n">
        <v>0.7</v>
      </c>
      <c r="CW128" s="9" t="n">
        <v>0.5</v>
      </c>
      <c r="CX128" s="9" t="n">
        <v>0.5</v>
      </c>
      <c r="CY128" s="9" t="n">
        <v>1</v>
      </c>
      <c r="CZ128" s="9" t="n">
        <v>0.3</v>
      </c>
      <c r="DA128" s="9" t="n">
        <v>0.8</v>
      </c>
      <c r="DB128" s="9" t="n">
        <v>0.830835835254698</v>
      </c>
      <c r="DC128" s="9" t="n">
        <v>6.94</v>
      </c>
      <c r="DD128" s="9" t="n">
        <v>5.604</v>
      </c>
      <c r="DE128" s="9" t="n">
        <v>15.075</v>
      </c>
      <c r="DF128" s="9" t="n">
        <v>21.7017529606365</v>
      </c>
      <c r="DG128" s="9" t="n">
        <v>25.3599826592934</v>
      </c>
      <c r="DH128" s="9" t="n">
        <v>15.656114517978</v>
      </c>
      <c r="DI128" s="9" t="n">
        <v>19.9847255369925</v>
      </c>
      <c r="DJ128" s="9" t="n">
        <v>4.058</v>
      </c>
      <c r="DK128" s="9" t="n">
        <v>3.383</v>
      </c>
      <c r="DL128" s="9" t="n">
        <v>10.135</v>
      </c>
      <c r="DM128" s="9" t="n">
        <v>13.4947462084719</v>
      </c>
      <c r="DN128" s="9" t="n">
        <v>13.4947462084719</v>
      </c>
      <c r="DO128" s="9" t="n">
        <v>0.0478</v>
      </c>
    </row>
    <row r="129" customFormat="false" ht="15" hidden="false" customHeight="false" outlineLevel="0" collapsed="false">
      <c r="A129" s="9" t="s">
        <v>892</v>
      </c>
      <c r="B129" s="9" t="s">
        <v>893</v>
      </c>
      <c r="C129" s="9" t="n">
        <v>0.005</v>
      </c>
      <c r="D129" s="9" t="n">
        <v>0.005</v>
      </c>
      <c r="E129" s="9" t="n">
        <v>0.01</v>
      </c>
      <c r="F129" s="9" t="n">
        <v>0.005</v>
      </c>
      <c r="G129" s="9" t="n">
        <v>0.005</v>
      </c>
      <c r="H129" s="9" t="n">
        <v>0.01</v>
      </c>
      <c r="I129" s="9" t="n">
        <v>0.005</v>
      </c>
      <c r="J129" s="9" t="n">
        <v>0.005</v>
      </c>
      <c r="K129" s="9" t="n">
        <v>0.01</v>
      </c>
      <c r="L129" s="9" t="n">
        <v>0.01</v>
      </c>
      <c r="M129" s="9" t="n">
        <v>0.005</v>
      </c>
      <c r="N129" s="9" t="n">
        <v>6.65482</v>
      </c>
      <c r="O129" s="9" t="n">
        <v>1.057979</v>
      </c>
      <c r="P129" s="9" t="n">
        <v>2.575872</v>
      </c>
      <c r="Q129" s="9" t="n">
        <v>17.1372233255817</v>
      </c>
      <c r="R129" s="9" t="n">
        <v>6.44076850442697</v>
      </c>
      <c r="S129" s="9" t="n">
        <v>3.85400027839849</v>
      </c>
      <c r="T129" s="9" t="n">
        <v>1.34819316918422</v>
      </c>
      <c r="U129" s="9" t="n">
        <v>0.260329</v>
      </c>
      <c r="V129" s="9" t="n">
        <v>0.030678</v>
      </c>
      <c r="W129" s="9" t="n">
        <v>0.010878</v>
      </c>
      <c r="X129" s="9" t="n">
        <v>1.12759470573655</v>
      </c>
      <c r="Y129" s="9" t="n">
        <v>1.12759470573655</v>
      </c>
      <c r="Z129" s="9" t="n">
        <v>0.05</v>
      </c>
      <c r="AA129" s="9" t="n">
        <v>0.17</v>
      </c>
      <c r="AB129" s="9" t="n">
        <v>0</v>
      </c>
      <c r="AC129" s="9" t="n">
        <v>0</v>
      </c>
      <c r="AD129" s="9" t="n">
        <v>0</v>
      </c>
      <c r="AE129" s="9" t="n">
        <v>17.984</v>
      </c>
      <c r="AF129" s="9" t="n">
        <v>63.4709672231607</v>
      </c>
      <c r="AG129" s="9" t="n">
        <v>57.474987822</v>
      </c>
      <c r="AH129" s="9" t="n">
        <v>58.04973770022</v>
      </c>
      <c r="AI129" s="9" t="n">
        <v>58.04973770022</v>
      </c>
      <c r="AJ129" s="9" t="n">
        <v>0</v>
      </c>
      <c r="AK129" s="9" t="n">
        <v>0.698158530142869</v>
      </c>
      <c r="AL129" s="9" t="n">
        <v>0.6130019484</v>
      </c>
      <c r="AM129" s="9" t="n">
        <v>0.619131967884</v>
      </c>
      <c r="AN129" s="9" t="n">
        <v>0.619131967884</v>
      </c>
      <c r="AO129" s="9" t="n">
        <v>43.6614881393177</v>
      </c>
      <c r="AP129" s="9" t="n">
        <v>40.52492999</v>
      </c>
      <c r="AQ129" s="9" t="n">
        <v>40.9301792899</v>
      </c>
      <c r="AR129" s="9" t="n">
        <v>40.9301792899</v>
      </c>
      <c r="AS129" s="9" t="n">
        <v>23.5212708683816</v>
      </c>
      <c r="AT129" s="9" t="n">
        <v>18.3815969292</v>
      </c>
      <c r="AU129" s="9" t="n">
        <v>19.6993123608314</v>
      </c>
      <c r="AV129" s="9" t="n">
        <v>26.0867418201934</v>
      </c>
      <c r="AW129" s="9" t="n">
        <v>17.7834380710459</v>
      </c>
      <c r="AX129" s="9" t="n">
        <v>13.9679979732</v>
      </c>
      <c r="AY129" s="9" t="n">
        <v>14.8936125154003</v>
      </c>
      <c r="AZ129" s="9" t="n">
        <v>19.7235847157857</v>
      </c>
      <c r="BA129" s="9" t="n">
        <v>23.1075142725572</v>
      </c>
      <c r="BB129" s="9" t="n">
        <v>20.1324080060784</v>
      </c>
      <c r="BC129" s="9" t="n">
        <v>22.5862167604253</v>
      </c>
      <c r="BD129" s="9" t="n">
        <v>21.4304008466</v>
      </c>
      <c r="BE129" s="9" t="n">
        <v>0.46126869944733</v>
      </c>
      <c r="BF129" s="9" t="n">
        <v>0.420205246126145</v>
      </c>
      <c r="BG129" s="9" t="n">
        <v>0.424407298587406</v>
      </c>
      <c r="BH129" s="9" t="n">
        <v>0.424407298587406</v>
      </c>
      <c r="BI129" s="9" t="n">
        <v>19.4324681189737</v>
      </c>
      <c r="BJ129" s="9" t="n">
        <v>18.7378138997849</v>
      </c>
      <c r="BK129" s="9" t="n">
        <v>18.9251920387828</v>
      </c>
      <c r="BL129" s="9" t="n">
        <v>18.9251920387828</v>
      </c>
      <c r="BM129" s="9" t="n">
        <v>0</v>
      </c>
      <c r="BN129" s="9" t="n">
        <v>0</v>
      </c>
      <c r="BO129" s="9" t="n">
        <v>0</v>
      </c>
      <c r="BP129" s="9" t="n">
        <v>0</v>
      </c>
      <c r="BQ129" s="9" t="n">
        <v>0</v>
      </c>
      <c r="BR129" s="9" t="n">
        <v>0</v>
      </c>
      <c r="BS129" s="9" t="n">
        <v>0</v>
      </c>
      <c r="BT129" s="9" t="n">
        <v>0</v>
      </c>
      <c r="BU129" s="9" t="n">
        <v>0</v>
      </c>
      <c r="BV129" s="9" t="n">
        <v>52.3386268216735</v>
      </c>
      <c r="BW129" s="9" t="n">
        <v>37.4185136180349</v>
      </c>
      <c r="BX129" s="9" t="n">
        <v>38.1593221184667</v>
      </c>
      <c r="BY129" s="9" t="n">
        <v>60.895963164584</v>
      </c>
      <c r="BZ129" s="9" t="n">
        <v>11.4735302609521</v>
      </c>
      <c r="CA129" s="9" t="n">
        <v>0</v>
      </c>
      <c r="CB129" s="9" t="n">
        <v>4.604</v>
      </c>
      <c r="CC129" s="9" t="n">
        <v>2.956</v>
      </c>
      <c r="CD129" s="9" t="n">
        <v>42.914</v>
      </c>
      <c r="CE129" s="9" t="n">
        <v>11</v>
      </c>
      <c r="CF129" s="9" t="n">
        <v>0</v>
      </c>
      <c r="CG129" s="9" t="n">
        <v>0</v>
      </c>
      <c r="CH129" s="9" t="n">
        <v>0</v>
      </c>
      <c r="CI129" s="9" t="n">
        <v>0</v>
      </c>
      <c r="CJ129" s="9" t="n">
        <v>0.12</v>
      </c>
      <c r="CK129" s="9" t="n">
        <v>11.13</v>
      </c>
      <c r="CL129" s="9" t="n">
        <v>0.01</v>
      </c>
      <c r="CM129" s="9" t="n">
        <v>59.3</v>
      </c>
      <c r="CN129" s="9" t="n">
        <v>61.605</v>
      </c>
      <c r="CO129" s="9" t="n">
        <v>3</v>
      </c>
      <c r="CP129" s="9" t="n">
        <v>1</v>
      </c>
      <c r="CQ129" s="9" t="n">
        <v>0.5</v>
      </c>
      <c r="CR129" s="9" t="n">
        <v>0.3</v>
      </c>
      <c r="CS129" s="9" t="n">
        <v>0.6</v>
      </c>
      <c r="CT129" s="9" t="n">
        <v>0.8</v>
      </c>
      <c r="CU129" s="9" t="n">
        <v>0.8</v>
      </c>
      <c r="CV129" s="9" t="n">
        <v>0.7</v>
      </c>
      <c r="CW129" s="9" t="n">
        <v>0.5</v>
      </c>
      <c r="CX129" s="9" t="n">
        <v>0.5</v>
      </c>
      <c r="CY129" s="9" t="n">
        <v>1</v>
      </c>
      <c r="CZ129" s="9" t="n">
        <v>0.3</v>
      </c>
      <c r="DA129" s="9" t="n">
        <v>0.8</v>
      </c>
      <c r="DB129" s="9" t="n">
        <v>0.251925515427605</v>
      </c>
      <c r="DC129" s="9" t="n">
        <v>7.103</v>
      </c>
      <c r="DD129" s="9" t="n">
        <v>4.817</v>
      </c>
      <c r="DE129" s="9" t="n">
        <v>12.90121</v>
      </c>
      <c r="DF129" s="9" t="n">
        <v>20.3695436328384</v>
      </c>
      <c r="DG129" s="9" t="n">
        <v>22.8911338774609</v>
      </c>
      <c r="DH129" s="9" t="n">
        <v>17.859626540999</v>
      </c>
      <c r="DI129" s="9" t="n">
        <v>21.7573225922409</v>
      </c>
      <c r="DJ129" s="9" t="n">
        <v>7.785</v>
      </c>
      <c r="DK129" s="9" t="n">
        <v>6.461</v>
      </c>
      <c r="DL129" s="9" t="n">
        <v>17.77038</v>
      </c>
      <c r="DM129" s="9" t="n">
        <v>14.1151698941595</v>
      </c>
      <c r="DN129" s="9" t="n">
        <v>14.1151698941595</v>
      </c>
      <c r="DO129" s="9" t="n">
        <v>0.105</v>
      </c>
    </row>
    <row r="130" customFormat="false" ht="15" hidden="false" customHeight="false" outlineLevel="0" collapsed="false">
      <c r="A130" s="9" t="s">
        <v>1064</v>
      </c>
      <c r="B130" s="9" t="s">
        <v>1065</v>
      </c>
      <c r="C130" s="9" t="n">
        <v>0.005</v>
      </c>
      <c r="D130" s="9" t="n">
        <v>0.005</v>
      </c>
      <c r="E130" s="9" t="n">
        <v>0.01</v>
      </c>
      <c r="F130" s="9" t="n">
        <v>0.005</v>
      </c>
      <c r="G130" s="9" t="n">
        <v>0.005</v>
      </c>
      <c r="H130" s="9" t="n">
        <v>0.01</v>
      </c>
      <c r="I130" s="9" t="n">
        <v>0.005</v>
      </c>
      <c r="J130" s="9" t="n">
        <v>0.005</v>
      </c>
      <c r="K130" s="9" t="n">
        <v>0.01</v>
      </c>
      <c r="L130" s="9" t="n">
        <v>0.01</v>
      </c>
      <c r="M130" s="9" t="n">
        <v>0.005</v>
      </c>
      <c r="N130" s="9" t="n">
        <v>0</v>
      </c>
      <c r="O130" s="9" t="n">
        <v>0</v>
      </c>
      <c r="P130" s="9" t="n">
        <v>0</v>
      </c>
      <c r="Q130" s="9" t="n">
        <v>0</v>
      </c>
      <c r="R130" s="9" t="n">
        <v>0</v>
      </c>
      <c r="S130" s="9" t="n">
        <v>0</v>
      </c>
      <c r="T130" s="9" t="n">
        <v>0</v>
      </c>
      <c r="U130" s="9" t="n">
        <v>0</v>
      </c>
      <c r="V130" s="9" t="n">
        <v>0</v>
      </c>
      <c r="W130" s="9" t="n">
        <v>0</v>
      </c>
      <c r="X130" s="9" t="n">
        <v>0</v>
      </c>
      <c r="Y130" s="9" t="n">
        <v>0</v>
      </c>
      <c r="Z130" s="9" t="n">
        <v>0.02</v>
      </c>
      <c r="AA130" s="9" t="n">
        <v>0</v>
      </c>
      <c r="AB130" s="9" t="n">
        <v>0</v>
      </c>
      <c r="AC130" s="9" t="n">
        <v>0</v>
      </c>
      <c r="AD130" s="9" t="n">
        <v>0</v>
      </c>
      <c r="AE130" s="9" t="n">
        <v>0.101</v>
      </c>
      <c r="AF130" s="9" t="n">
        <v>0</v>
      </c>
      <c r="AG130" s="9" t="n">
        <v>0</v>
      </c>
      <c r="AH130" s="9" t="n">
        <v>0</v>
      </c>
      <c r="AI130" s="9" t="n">
        <v>0</v>
      </c>
      <c r="AJ130" s="9" t="n">
        <v>0</v>
      </c>
      <c r="AK130" s="9" t="n">
        <v>0</v>
      </c>
      <c r="AL130" s="9" t="n">
        <v>0</v>
      </c>
      <c r="AM130" s="9" t="n">
        <v>0</v>
      </c>
      <c r="AN130" s="9" t="n">
        <v>0</v>
      </c>
      <c r="AO130" s="9" t="n">
        <v>0.303435401644863</v>
      </c>
      <c r="AP130" s="9" t="n">
        <v>0.289465668749455</v>
      </c>
      <c r="AQ130" s="9" t="n">
        <v>0.289465668749455</v>
      </c>
      <c r="AR130" s="9" t="n">
        <v>0.289465668749455</v>
      </c>
      <c r="AS130" s="9" t="n">
        <v>0.0651389428813137</v>
      </c>
      <c r="AT130" s="9" t="n">
        <v>0.0625607985552546</v>
      </c>
      <c r="AU130" s="9" t="n">
        <v>0.0636978778042742</v>
      </c>
      <c r="AV130" s="9" t="n">
        <v>0.0636523674600594</v>
      </c>
      <c r="AW130" s="9" t="n">
        <v>0.0706596560161205</v>
      </c>
      <c r="AX130" s="9" t="n">
        <v>0.068292000274658</v>
      </c>
      <c r="AY130" s="9" t="n">
        <v>0.069096456520759</v>
      </c>
      <c r="AZ130" s="9" t="n">
        <v>0.0690470890437145</v>
      </c>
      <c r="BA130" s="9" t="n">
        <v>0.15035636360532</v>
      </c>
      <c r="BB130" s="9" t="n">
        <v>0.141787723758801</v>
      </c>
      <c r="BC130" s="9" t="n">
        <v>0.145645762013883</v>
      </c>
      <c r="BD130" s="9" t="n">
        <v>0.143703796520013</v>
      </c>
      <c r="BE130" s="9" t="n">
        <v>0</v>
      </c>
      <c r="BF130" s="9" t="n">
        <v>0</v>
      </c>
      <c r="BG130" s="9" t="n">
        <v>0</v>
      </c>
      <c r="BH130" s="9" t="n">
        <v>0</v>
      </c>
      <c r="BI130" s="9" t="n">
        <v>0.0006308847278289</v>
      </c>
      <c r="BJ130" s="9" t="n">
        <v>0.0006059691655518</v>
      </c>
      <c r="BK130" s="9" t="n">
        <v>0.0006059691655518</v>
      </c>
      <c r="BL130" s="9" t="n">
        <v>0.0006059691655518</v>
      </c>
      <c r="BM130" s="9" t="n">
        <v>0</v>
      </c>
      <c r="BN130" s="9" t="n">
        <v>0</v>
      </c>
      <c r="BO130" s="9" t="n">
        <v>0</v>
      </c>
      <c r="BP130" s="9" t="n">
        <v>0</v>
      </c>
      <c r="BQ130" s="9" t="n">
        <v>0</v>
      </c>
      <c r="BR130" s="9" t="n">
        <v>0</v>
      </c>
      <c r="BS130" s="9" t="n">
        <v>0</v>
      </c>
      <c r="BT130" s="9" t="n">
        <v>0</v>
      </c>
      <c r="BU130" s="9" t="n">
        <v>0</v>
      </c>
      <c r="BV130" s="9" t="n">
        <v>0.859561471524208</v>
      </c>
      <c r="BW130" s="9" t="n">
        <v>0.864232960917536</v>
      </c>
      <c r="BX130" s="9" t="n">
        <v>0.854839341316048</v>
      </c>
      <c r="BY130" s="9" t="n">
        <v>0.845688577145377</v>
      </c>
      <c r="BZ130" s="9" t="n">
        <v>0.0377218330270651</v>
      </c>
      <c r="CA130" s="9" t="n">
        <v>6.66666666666667</v>
      </c>
      <c r="CB130" s="9" t="n">
        <v>2.213</v>
      </c>
      <c r="CC130" s="9" t="n">
        <v>2.13</v>
      </c>
      <c r="CD130" s="9" t="n">
        <v>0.168</v>
      </c>
      <c r="CE130" s="9" t="n">
        <v>0</v>
      </c>
      <c r="CF130" s="9" t="n">
        <v>0</v>
      </c>
      <c r="CG130" s="9" t="n">
        <v>0.04</v>
      </c>
      <c r="CH130" s="9" t="n">
        <v>0</v>
      </c>
      <c r="CI130" s="9" t="n">
        <v>0.04</v>
      </c>
      <c r="CJ130" s="9" t="n">
        <v>0.01</v>
      </c>
      <c r="CK130" s="9" t="n">
        <v>0.05</v>
      </c>
      <c r="CL130" s="9" t="n">
        <v>0</v>
      </c>
      <c r="CM130" s="9" t="n">
        <v>0.101</v>
      </c>
      <c r="CN130" s="9" t="n">
        <v>0.101</v>
      </c>
      <c r="CO130" s="9" t="n">
        <v>3</v>
      </c>
      <c r="CP130" s="9" t="n">
        <v>3</v>
      </c>
      <c r="CQ130" s="9" t="n">
        <v>0.5</v>
      </c>
      <c r="CR130" s="9" t="n">
        <v>0.3</v>
      </c>
      <c r="CS130" s="9" t="n">
        <v>0.6</v>
      </c>
      <c r="CT130" s="9" t="n">
        <v>0.8</v>
      </c>
      <c r="CU130" s="9" t="n">
        <v>0.8</v>
      </c>
      <c r="CV130" s="9" t="n">
        <v>0.7</v>
      </c>
      <c r="CW130" s="9" t="n">
        <v>0.5</v>
      </c>
      <c r="CX130" s="9" t="n">
        <v>0.5</v>
      </c>
      <c r="CY130" s="9" t="n">
        <v>1</v>
      </c>
      <c r="CZ130" s="9" t="n">
        <v>0.3</v>
      </c>
      <c r="DA130" s="9" t="n">
        <v>0.8</v>
      </c>
      <c r="DB130" s="9" t="n">
        <v>1.23529411764706</v>
      </c>
      <c r="DC130" s="9" t="n">
        <v>7.124</v>
      </c>
      <c r="DD130" s="9" t="n">
        <v>4.833</v>
      </c>
      <c r="DE130" s="9" t="n">
        <v>11.451</v>
      </c>
      <c r="DF130" s="9" t="n">
        <v>19.6808221113768</v>
      </c>
      <c r="DG130" s="9" t="n">
        <v>20.5892294309309</v>
      </c>
      <c r="DH130" s="9" t="n">
        <v>17.2720586560434</v>
      </c>
      <c r="DI130" s="9" t="n">
        <v>19.783016350672</v>
      </c>
      <c r="DJ130" s="9" t="n">
        <v>13.543</v>
      </c>
      <c r="DK130" s="9" t="n">
        <v>12.219</v>
      </c>
      <c r="DL130" s="9" t="n">
        <v>21.484</v>
      </c>
      <c r="DM130" s="9" t="n">
        <v>14.1151698941595</v>
      </c>
      <c r="DN130" s="9" t="n">
        <v>14.1151698941595</v>
      </c>
      <c r="DO130" s="9" t="n">
        <v>0.105</v>
      </c>
    </row>
    <row r="131" customFormat="false" ht="15" hidden="false" customHeight="false" outlineLevel="0" collapsed="false">
      <c r="A131" s="9" t="s">
        <v>796</v>
      </c>
      <c r="B131" s="9" t="s">
        <v>797</v>
      </c>
      <c r="C131" s="9" t="n">
        <v>0.005</v>
      </c>
      <c r="D131" s="9" t="n">
        <v>0.005</v>
      </c>
      <c r="E131" s="9" t="n">
        <v>0.01</v>
      </c>
      <c r="F131" s="9" t="n">
        <v>0.005</v>
      </c>
      <c r="G131" s="9" t="n">
        <v>0.005</v>
      </c>
      <c r="H131" s="9" t="n">
        <v>0.01</v>
      </c>
      <c r="I131" s="9" t="n">
        <v>0.005</v>
      </c>
      <c r="J131" s="9" t="n">
        <v>0.005</v>
      </c>
      <c r="K131" s="9" t="n">
        <v>0.01</v>
      </c>
      <c r="L131" s="9" t="n">
        <v>0.01</v>
      </c>
      <c r="M131" s="9" t="n">
        <v>0.005</v>
      </c>
      <c r="N131" s="9" t="n">
        <v>0</v>
      </c>
      <c r="O131" s="9" t="n">
        <v>1.342812</v>
      </c>
      <c r="P131" s="9" t="n">
        <v>15.20655</v>
      </c>
      <c r="Q131" s="9" t="n">
        <v>1.23788080983097</v>
      </c>
      <c r="R131" s="9" t="n">
        <v>0.327340151799813</v>
      </c>
      <c r="S131" s="9" t="n">
        <v>1.89576738282582</v>
      </c>
      <c r="T131" s="9" t="n">
        <v>0.42987330823166</v>
      </c>
      <c r="U131" s="9" t="n">
        <v>0.094857</v>
      </c>
      <c r="V131" s="9" t="n">
        <v>0.035253</v>
      </c>
      <c r="W131" s="9" t="n">
        <v>0.032759</v>
      </c>
      <c r="X131" s="9" t="n">
        <v>2.37805094223025</v>
      </c>
      <c r="Y131" s="9" t="n">
        <v>2.37805094223025</v>
      </c>
      <c r="Z131" s="9" t="n">
        <v>2.17</v>
      </c>
      <c r="AA131" s="9" t="n">
        <v>0.84</v>
      </c>
      <c r="AB131" s="9" t="n">
        <v>1.26</v>
      </c>
      <c r="AC131" s="9" t="n">
        <v>3</v>
      </c>
      <c r="AD131" s="9" t="n">
        <v>0</v>
      </c>
      <c r="AE131" s="9" t="n">
        <v>31.995</v>
      </c>
      <c r="AF131" s="9" t="n">
        <v>7.62751625655009</v>
      </c>
      <c r="AG131" s="9" t="n">
        <v>7.8443340516</v>
      </c>
      <c r="AH131" s="9" t="n">
        <v>7.765890711084</v>
      </c>
      <c r="AI131" s="9" t="n">
        <v>7.61057289686232</v>
      </c>
      <c r="AJ131" s="9" t="n">
        <v>12.043193043654</v>
      </c>
      <c r="AK131" s="9" t="n">
        <v>16.7358686411134</v>
      </c>
      <c r="AL131" s="9" t="n">
        <v>17.2105447824</v>
      </c>
      <c r="AM131" s="9" t="n">
        <v>17.038439334576</v>
      </c>
      <c r="AN131" s="9" t="n">
        <v>16.6976705478845</v>
      </c>
      <c r="AO131" s="9" t="n">
        <v>101.449156161899</v>
      </c>
      <c r="AP131" s="9" t="n">
        <v>101.701390406266</v>
      </c>
      <c r="AQ131" s="9" t="n">
        <v>100.684376502203</v>
      </c>
      <c r="AR131" s="9" t="n">
        <v>98.6706889721593</v>
      </c>
      <c r="AS131" s="9" t="n">
        <v>95.7680298192454</v>
      </c>
      <c r="AT131" s="9" t="n">
        <v>92.276067168</v>
      </c>
      <c r="AU131" s="9" t="n">
        <v>91.1233427650714</v>
      </c>
      <c r="AV131" s="9" t="n">
        <v>94.46700188645</v>
      </c>
      <c r="AW131" s="9" t="n">
        <v>49.5790874593007</v>
      </c>
      <c r="AX131" s="9" t="n">
        <v>47.7351847404</v>
      </c>
      <c r="AY131" s="9" t="n">
        <v>47.1710344453732</v>
      </c>
      <c r="AZ131" s="9" t="n">
        <v>48.9047559180563</v>
      </c>
      <c r="BA131" s="9" t="n">
        <v>100.827453314862</v>
      </c>
      <c r="BB131" s="9" t="n">
        <v>103.646219058937</v>
      </c>
      <c r="BC131" s="9" t="n">
        <v>102.422306132819</v>
      </c>
      <c r="BD131" s="9" t="n">
        <v>100.4656688832</v>
      </c>
      <c r="BE131" s="9" t="n">
        <v>0</v>
      </c>
      <c r="BF131" s="9" t="n">
        <v>0</v>
      </c>
      <c r="BG131" s="9" t="n">
        <v>0</v>
      </c>
      <c r="BH131" s="9" t="n">
        <v>0</v>
      </c>
      <c r="BI131" s="9" t="n">
        <v>3.56650756089241</v>
      </c>
      <c r="BJ131" s="9" t="n">
        <v>3.64892854</v>
      </c>
      <c r="BK131" s="9" t="n">
        <v>3.6124392546</v>
      </c>
      <c r="BL131" s="9" t="n">
        <v>3.540190469508</v>
      </c>
      <c r="BM131" s="9" t="n">
        <v>28.6860760757748</v>
      </c>
      <c r="BN131" s="9" t="n">
        <v>33.7755729276</v>
      </c>
      <c r="BO131" s="9" t="n">
        <v>33.437817198324</v>
      </c>
      <c r="BP131" s="9" t="n">
        <v>32.7690608543575</v>
      </c>
      <c r="BQ131" s="9" t="n">
        <v>43.3195033781694</v>
      </c>
      <c r="BR131" s="9" t="n">
        <v>28.1802779028006</v>
      </c>
      <c r="BS131" s="9" t="n">
        <v>32.3486947404</v>
      </c>
      <c r="BT131" s="9" t="n">
        <v>32.025207792996</v>
      </c>
      <c r="BU131" s="9" t="n">
        <v>31.3847036371361</v>
      </c>
      <c r="BV131" s="9" t="n">
        <v>74.5858313821618</v>
      </c>
      <c r="BW131" s="9" t="n">
        <v>71.0126835518226</v>
      </c>
      <c r="BX131" s="9" t="n">
        <v>73.4217267072114</v>
      </c>
      <c r="BY131" s="9" t="n">
        <v>71.4654881931897</v>
      </c>
      <c r="BZ131" s="9" t="n">
        <v>40.3741992440406</v>
      </c>
      <c r="CA131" s="9" t="n">
        <v>0.532039090473409</v>
      </c>
      <c r="CB131" s="9" t="n">
        <v>0.176</v>
      </c>
      <c r="CC131" s="9" t="n">
        <v>2.131</v>
      </c>
      <c r="CD131" s="9" t="n">
        <v>258.827</v>
      </c>
      <c r="CE131" s="9" t="n">
        <v>33.78</v>
      </c>
      <c r="CF131" s="9" t="n">
        <v>0.49</v>
      </c>
      <c r="CG131" s="9" t="n">
        <v>4.97</v>
      </c>
      <c r="CH131" s="9" t="n">
        <v>3.84</v>
      </c>
      <c r="CI131" s="9" t="n">
        <v>0.64</v>
      </c>
      <c r="CJ131" s="9" t="n">
        <v>0.37</v>
      </c>
      <c r="CK131" s="9" t="n">
        <v>43.34</v>
      </c>
      <c r="CL131" s="9" t="n">
        <v>4.22</v>
      </c>
      <c r="CM131" s="9" t="n">
        <v>75.344</v>
      </c>
      <c r="CN131" s="9" t="n">
        <v>54</v>
      </c>
      <c r="CO131" s="9" t="n">
        <v>1</v>
      </c>
      <c r="CP131" s="9" t="n">
        <v>4</v>
      </c>
      <c r="CQ131" s="9" t="n">
        <v>0.5</v>
      </c>
      <c r="CR131" s="9" t="n">
        <v>0.3</v>
      </c>
      <c r="CS131" s="9" t="n">
        <v>0.6</v>
      </c>
      <c r="CT131" s="9" t="n">
        <v>0.8</v>
      </c>
      <c r="CU131" s="9" t="n">
        <v>0.8</v>
      </c>
      <c r="CV131" s="9" t="n">
        <v>0.7</v>
      </c>
      <c r="CW131" s="9" t="n">
        <v>0.5</v>
      </c>
      <c r="CX131" s="9" t="n">
        <v>0.5</v>
      </c>
      <c r="CY131" s="9" t="n">
        <v>1</v>
      </c>
      <c r="CZ131" s="9" t="n">
        <v>0.3</v>
      </c>
      <c r="DA131" s="9" t="n">
        <v>0.8</v>
      </c>
      <c r="DB131" s="9" t="n">
        <v>0.896976313007919</v>
      </c>
      <c r="DC131" s="9" t="n">
        <v>3.896</v>
      </c>
      <c r="DD131" s="9" t="n">
        <v>2.437</v>
      </c>
      <c r="DE131" s="9" t="n">
        <v>7.1392</v>
      </c>
      <c r="DF131" s="9" t="n">
        <v>21.011744409936</v>
      </c>
      <c r="DG131" s="9" t="n">
        <v>23.5913392550245</v>
      </c>
      <c r="DH131" s="9" t="n">
        <v>17.2720586560434</v>
      </c>
      <c r="DI131" s="9" t="n">
        <v>20.9591360678335</v>
      </c>
      <c r="DJ131" s="9" t="n">
        <v>9.364</v>
      </c>
      <c r="DK131" s="9" t="n">
        <v>9.395</v>
      </c>
      <c r="DL131" s="9" t="n">
        <v>27.6092</v>
      </c>
      <c r="DM131" s="9" t="n">
        <v>14.1151698941595</v>
      </c>
      <c r="DN131" s="9" t="n">
        <v>14.1151698941595</v>
      </c>
      <c r="DO131" s="9" t="n">
        <v>0.055</v>
      </c>
    </row>
    <row r="132" customFormat="false" ht="15" hidden="false" customHeight="false" outlineLevel="0" collapsed="false">
      <c r="A132" s="9" t="s">
        <v>832</v>
      </c>
      <c r="B132" s="9" t="s">
        <v>833</v>
      </c>
      <c r="C132" s="9" t="n">
        <v>0.005</v>
      </c>
      <c r="D132" s="9" t="n">
        <v>0.005</v>
      </c>
      <c r="E132" s="9" t="n">
        <v>0.01</v>
      </c>
      <c r="F132" s="9" t="n">
        <v>0.005</v>
      </c>
      <c r="G132" s="9" t="n">
        <v>0.005</v>
      </c>
      <c r="H132" s="9" t="n">
        <v>0.01</v>
      </c>
      <c r="I132" s="9" t="n">
        <v>0.005</v>
      </c>
      <c r="J132" s="9" t="n">
        <v>0.005</v>
      </c>
      <c r="K132" s="9" t="n">
        <v>0.01</v>
      </c>
      <c r="L132" s="9" t="n">
        <v>0.01</v>
      </c>
      <c r="M132" s="9" t="n">
        <v>0.005</v>
      </c>
      <c r="N132" s="9" t="n">
        <v>4.488713</v>
      </c>
      <c r="O132" s="9" t="n">
        <v>0.900573</v>
      </c>
      <c r="P132" s="9" t="n">
        <v>44.155648</v>
      </c>
      <c r="Q132" s="9" t="n">
        <v>2.82489511382031</v>
      </c>
      <c r="R132" s="9" t="n">
        <v>0.646444611827254</v>
      </c>
      <c r="S132" s="9" t="n">
        <v>1.72821251932969</v>
      </c>
      <c r="T132" s="9" t="n">
        <v>2.24820404245538</v>
      </c>
      <c r="U132" s="9" t="n">
        <v>0.24506</v>
      </c>
      <c r="V132" s="9" t="n">
        <v>0.066231</v>
      </c>
      <c r="W132" s="9" t="n">
        <v>0.165269</v>
      </c>
      <c r="X132" s="9" t="n">
        <v>6.23066667989565</v>
      </c>
      <c r="Y132" s="9" t="n">
        <v>6.23066667989565</v>
      </c>
      <c r="Z132" s="9" t="n">
        <v>13.62</v>
      </c>
      <c r="AA132" s="9" t="n">
        <v>1.67</v>
      </c>
      <c r="AB132" s="9" t="n">
        <v>0.05</v>
      </c>
      <c r="AC132" s="9" t="n">
        <v>3</v>
      </c>
      <c r="AD132" s="9" t="n">
        <v>0.141173710619419</v>
      </c>
      <c r="AE132" s="9" t="n">
        <v>96.531</v>
      </c>
      <c r="AF132" s="9" t="n">
        <v>0</v>
      </c>
      <c r="AG132" s="9" t="n">
        <v>0</v>
      </c>
      <c r="AH132" s="9" t="n">
        <v>0</v>
      </c>
      <c r="AI132" s="9" t="n">
        <v>0</v>
      </c>
      <c r="AJ132" s="9" t="n">
        <v>0</v>
      </c>
      <c r="AK132" s="9" t="n">
        <v>0</v>
      </c>
      <c r="AL132" s="9" t="n">
        <v>0</v>
      </c>
      <c r="AM132" s="9" t="n">
        <v>0</v>
      </c>
      <c r="AN132" s="9" t="n">
        <v>0</v>
      </c>
      <c r="AO132" s="9" t="n">
        <v>42.2873457301651</v>
      </c>
      <c r="AP132" s="9" t="n">
        <v>38.15752133</v>
      </c>
      <c r="AQ132" s="9" t="n">
        <v>40.4547775573448</v>
      </c>
      <c r="AR132" s="9" t="n">
        <v>41.8784004437675</v>
      </c>
      <c r="AS132" s="9" t="n">
        <v>86.6278646744813</v>
      </c>
      <c r="AT132" s="9" t="n">
        <v>70.5802286664</v>
      </c>
      <c r="AU132" s="9" t="n">
        <v>69.9801554242374</v>
      </c>
      <c r="AV132" s="9" t="n">
        <v>73.1554754771084</v>
      </c>
      <c r="AW132" s="9" t="n">
        <v>71.5246813689405</v>
      </c>
      <c r="AX132" s="9" t="n">
        <v>56.9390229936</v>
      </c>
      <c r="AY132" s="9" t="n">
        <v>57.7794262582345</v>
      </c>
      <c r="AZ132" s="9" t="n">
        <v>60.4011433683056</v>
      </c>
      <c r="BA132" s="9" t="n">
        <v>121.100449782735</v>
      </c>
      <c r="BB132" s="9" t="n">
        <v>92.2273647407632</v>
      </c>
      <c r="BC132" s="9" t="n">
        <v>135.88612883</v>
      </c>
      <c r="BD132" s="9" t="n">
        <v>119.325307368851</v>
      </c>
      <c r="BE132" s="9" t="n">
        <v>0.432406514615687</v>
      </c>
      <c r="BF132" s="9" t="n">
        <v>0.390443024445149</v>
      </c>
      <c r="BG132" s="9" t="n">
        <v>0.413949469257767</v>
      </c>
      <c r="BH132" s="9" t="n">
        <v>0.428516548199743</v>
      </c>
      <c r="BI132" s="9" t="n">
        <v>12.400871999989</v>
      </c>
      <c r="BJ132" s="9" t="n">
        <v>10.94852028</v>
      </c>
      <c r="BK132" s="9" t="n">
        <v>11.6076709668573</v>
      </c>
      <c r="BL132" s="9" t="n">
        <v>12.0161504356433</v>
      </c>
      <c r="BM132" s="9" t="n">
        <v>434.934438206886</v>
      </c>
      <c r="BN132" s="9" t="n">
        <v>395.9223010956</v>
      </c>
      <c r="BO132" s="9" t="n">
        <v>419.758623268378</v>
      </c>
      <c r="BP132" s="9" t="n">
        <v>434.530129106251</v>
      </c>
      <c r="BQ132" s="9" t="n">
        <v>301.566470015873</v>
      </c>
      <c r="BR132" s="9" t="n">
        <v>324.138276466004</v>
      </c>
      <c r="BS132" s="9" t="n">
        <v>294.8040640188</v>
      </c>
      <c r="BT132" s="9" t="n">
        <v>312.552608691205</v>
      </c>
      <c r="BU132" s="9" t="n">
        <v>323.551483825624</v>
      </c>
      <c r="BV132" s="9" t="n">
        <v>51.2458773984667</v>
      </c>
      <c r="BW132" s="9" t="n">
        <v>59.7433899959119</v>
      </c>
      <c r="BX132" s="9" t="n">
        <v>48.0138348487809</v>
      </c>
      <c r="BY132" s="9" t="n">
        <v>49.7079292854658</v>
      </c>
      <c r="BZ132" s="9" t="n">
        <v>43.9312627898394</v>
      </c>
      <c r="CA132" s="9" t="n">
        <v>0.0202938501897305</v>
      </c>
      <c r="CB132" s="9" t="n">
        <v>2.396</v>
      </c>
      <c r="CC132" s="9" t="n">
        <v>3.452</v>
      </c>
      <c r="CD132" s="9" t="n">
        <v>107.137</v>
      </c>
      <c r="CE132" s="9" t="n">
        <v>0</v>
      </c>
      <c r="CF132" s="9" t="n">
        <v>0</v>
      </c>
      <c r="CG132" s="9" t="n">
        <v>50.44</v>
      </c>
      <c r="CH132" s="9" t="n">
        <v>48.54</v>
      </c>
      <c r="CI132" s="9" t="n">
        <v>1.9</v>
      </c>
      <c r="CJ132" s="9" t="n">
        <v>2.3</v>
      </c>
      <c r="CK132" s="9" t="n">
        <v>52.84</v>
      </c>
      <c r="CL132" s="9" t="n">
        <v>0.1</v>
      </c>
      <c r="CM132" s="9" t="n">
        <v>145.34</v>
      </c>
      <c r="CN132" s="9" t="n">
        <v>145.358</v>
      </c>
      <c r="CO132" s="9" t="n">
        <v>3</v>
      </c>
      <c r="CP132" s="9" t="n">
        <v>4</v>
      </c>
      <c r="CQ132" s="9" t="n">
        <v>0.5</v>
      </c>
      <c r="CR132" s="9" t="n">
        <v>0.3</v>
      </c>
      <c r="CS132" s="9" t="n">
        <v>0.6</v>
      </c>
      <c r="CT132" s="9" t="n">
        <v>0.8</v>
      </c>
      <c r="CU132" s="9" t="n">
        <v>0.8</v>
      </c>
      <c r="CV132" s="9" t="n">
        <v>0.7</v>
      </c>
      <c r="CW132" s="9" t="n">
        <v>0.5</v>
      </c>
      <c r="CX132" s="9" t="n">
        <v>0.5</v>
      </c>
      <c r="CY132" s="9" t="n">
        <v>1</v>
      </c>
      <c r="CZ132" s="9" t="n">
        <v>0.3</v>
      </c>
      <c r="DA132" s="9" t="n">
        <v>0.8</v>
      </c>
      <c r="DB132" s="9" t="n">
        <v>0.48528345985904</v>
      </c>
      <c r="DC132" s="9" t="n">
        <v>7.124</v>
      </c>
      <c r="DD132" s="9" t="n">
        <v>5.575</v>
      </c>
      <c r="DE132" s="9" t="n">
        <v>12.80265</v>
      </c>
      <c r="DF132" s="9" t="n">
        <v>19.9139620953801</v>
      </c>
      <c r="DG132" s="9" t="n">
        <v>21.6186909024774</v>
      </c>
      <c r="DH132" s="9" t="n">
        <v>17.7038601224445</v>
      </c>
      <c r="DI132" s="9" t="n">
        <v>20.7721671682056</v>
      </c>
      <c r="DJ132" s="9" t="n">
        <v>7.212</v>
      </c>
      <c r="DK132" s="9" t="n">
        <v>6.506</v>
      </c>
      <c r="DL132" s="9" t="n">
        <v>12.01935</v>
      </c>
      <c r="DM132" s="9" t="n">
        <v>14.1151698941595</v>
      </c>
      <c r="DN132" s="9" t="n">
        <v>14.1151698941595</v>
      </c>
      <c r="DO132" s="9" t="n">
        <v>0.105</v>
      </c>
    </row>
    <row r="133" customFormat="false" ht="15" hidden="false" customHeight="false" outlineLevel="0" collapsed="false">
      <c r="A133" s="9" t="s">
        <v>772</v>
      </c>
      <c r="B133" s="9" t="s">
        <v>773</v>
      </c>
      <c r="C133" s="9" t="n">
        <v>0.005</v>
      </c>
      <c r="D133" s="9" t="n">
        <v>0.005</v>
      </c>
      <c r="E133" s="9" t="n">
        <v>0.01</v>
      </c>
      <c r="F133" s="9" t="n">
        <v>0.005</v>
      </c>
      <c r="G133" s="9" t="n">
        <v>0.005</v>
      </c>
      <c r="H133" s="9" t="n">
        <v>0.01</v>
      </c>
      <c r="I133" s="9" t="n">
        <v>0.005</v>
      </c>
      <c r="J133" s="9" t="n">
        <v>0.005</v>
      </c>
      <c r="K133" s="9" t="n">
        <v>0.01</v>
      </c>
      <c r="L133" s="9" t="n">
        <v>0.01</v>
      </c>
      <c r="M133" s="9" t="n">
        <v>0.005</v>
      </c>
      <c r="N133" s="9" t="n">
        <v>13.701737</v>
      </c>
      <c r="O133" s="9" t="n">
        <v>1.36758</v>
      </c>
      <c r="P133" s="9" t="n">
        <v>12.26891</v>
      </c>
      <c r="Q133" s="9" t="n">
        <v>8.88036768280307</v>
      </c>
      <c r="R133" s="9" t="n">
        <v>2.28203012089881</v>
      </c>
      <c r="S133" s="9" t="n">
        <v>2.66935427987149</v>
      </c>
      <c r="T133" s="9" t="n">
        <v>0.946908259090692</v>
      </c>
      <c r="U133" s="9" t="n">
        <v>0.203303</v>
      </c>
      <c r="V133" s="9" t="n">
        <v>0.100463</v>
      </c>
      <c r="W133" s="9" t="n">
        <v>0.056934</v>
      </c>
      <c r="X133" s="9" t="n">
        <v>4.63993064635515</v>
      </c>
      <c r="Y133" s="9" t="n">
        <v>4.63993064635515</v>
      </c>
      <c r="Z133" s="9" t="n">
        <v>30.14</v>
      </c>
      <c r="AA133" s="9" t="n">
        <v>3.72</v>
      </c>
      <c r="AB133" s="9" t="n">
        <v>1.85</v>
      </c>
      <c r="AC133" s="9" t="n">
        <v>3</v>
      </c>
      <c r="AD133" s="9" t="n">
        <v>0.0540968145</v>
      </c>
      <c r="AE133" s="9" t="n">
        <v>186.695</v>
      </c>
      <c r="AF133" s="9" t="n">
        <v>321.173023185624</v>
      </c>
      <c r="AG133" s="9" t="n">
        <v>300.8798853768</v>
      </c>
      <c r="AH133" s="9" t="n">
        <v>292.12701598402</v>
      </c>
      <c r="AI133" s="9" t="n">
        <v>297.385302271733</v>
      </c>
      <c r="AJ133" s="9" t="n">
        <v>220.325169520071</v>
      </c>
      <c r="AK133" s="9" t="n">
        <v>0.0398819421128922</v>
      </c>
      <c r="AL133" s="9" t="n">
        <v>0.0383008464</v>
      </c>
      <c r="AM133" s="9" t="n">
        <v>0.0371866399592727</v>
      </c>
      <c r="AN133" s="9" t="n">
        <v>0.0378559994785396</v>
      </c>
      <c r="AO133" s="9" t="n">
        <v>362.919313900532</v>
      </c>
      <c r="AP133" s="9" t="n">
        <v>353.4815147</v>
      </c>
      <c r="AQ133" s="9" t="n">
        <v>343.198416090545</v>
      </c>
      <c r="AR133" s="9" t="n">
        <v>349.375987580175</v>
      </c>
      <c r="AS133" s="9" t="n">
        <v>213.898331372614</v>
      </c>
      <c r="AT133" s="9" t="n">
        <v>198.2195996184</v>
      </c>
      <c r="AU133" s="9" t="n">
        <v>178.028596027026</v>
      </c>
      <c r="AV133" s="9" t="n">
        <v>182.05333028712</v>
      </c>
      <c r="AW133" s="9" t="n">
        <v>220.806803768592</v>
      </c>
      <c r="AX133" s="9" t="n">
        <v>202.3271979228</v>
      </c>
      <c r="AY133" s="9" t="n">
        <v>183.77855037896</v>
      </c>
      <c r="AZ133" s="9" t="n">
        <v>187.93327520681</v>
      </c>
      <c r="BA133" s="9" t="n">
        <v>414.917991094108</v>
      </c>
      <c r="BB133" s="9" t="n">
        <v>375.755909391821</v>
      </c>
      <c r="BC133" s="9" t="n">
        <v>435.69466952</v>
      </c>
      <c r="BD133" s="9" t="n">
        <v>405.864526599145</v>
      </c>
      <c r="BE133" s="9" t="n">
        <v>6.21486069071012</v>
      </c>
      <c r="BF133" s="9" t="n">
        <v>5.72837960993463</v>
      </c>
      <c r="BG133" s="9" t="n">
        <v>5.5617358394638</v>
      </c>
      <c r="BH133" s="9" t="n">
        <v>5.66184708457415</v>
      </c>
      <c r="BI133" s="9" t="n">
        <v>21.5760822065123</v>
      </c>
      <c r="BJ133" s="9" t="n">
        <v>21.6907351767123</v>
      </c>
      <c r="BK133" s="9" t="n">
        <v>21.0597319715716</v>
      </c>
      <c r="BL133" s="9" t="n">
        <v>21.4388071470599</v>
      </c>
      <c r="BM133" s="9" t="n">
        <v>195.937970245246</v>
      </c>
      <c r="BN133" s="9" t="n">
        <v>310.2177724056</v>
      </c>
      <c r="BO133" s="9" t="n">
        <v>301.193255390164</v>
      </c>
      <c r="BP133" s="9" t="n">
        <v>306.614733987187</v>
      </c>
      <c r="BQ133" s="9" t="n">
        <v>472.522904886148</v>
      </c>
      <c r="BR133" s="9" t="n">
        <v>167.96723048403</v>
      </c>
      <c r="BS133" s="9" t="n">
        <v>310.7242496016</v>
      </c>
      <c r="BT133" s="9" t="n">
        <v>301.684998704099</v>
      </c>
      <c r="BU133" s="9" t="n">
        <v>307.115328680773</v>
      </c>
      <c r="BV133" s="9" t="n">
        <v>125.66216081685</v>
      </c>
      <c r="BW133" s="9" t="n">
        <v>357.290970756376</v>
      </c>
      <c r="BX133" s="9" t="n">
        <v>119.350864221216</v>
      </c>
      <c r="BY133" s="9" t="n">
        <v>121.491001716578</v>
      </c>
      <c r="BZ133" s="9" t="n">
        <v>120.751426428113</v>
      </c>
      <c r="CA133" s="9" t="n">
        <v>4.95927470296253</v>
      </c>
      <c r="CB133" s="9" t="n">
        <v>3.093</v>
      </c>
      <c r="CC133" s="9" t="n">
        <v>3.603</v>
      </c>
      <c r="CD133" s="9" t="n">
        <v>372.243</v>
      </c>
      <c r="CE133" s="9" t="n">
        <v>64.04</v>
      </c>
      <c r="CF133" s="9" t="n">
        <v>24.75</v>
      </c>
      <c r="CG133" s="9" t="n">
        <v>66.68</v>
      </c>
      <c r="CH133" s="9" t="n">
        <v>39.34</v>
      </c>
      <c r="CI133" s="9" t="n">
        <v>2.59</v>
      </c>
      <c r="CJ133" s="9" t="n">
        <v>36.6</v>
      </c>
      <c r="CK133" s="9" t="n">
        <v>171.06</v>
      </c>
      <c r="CL133" s="9" t="n">
        <v>3.74</v>
      </c>
      <c r="CM133" s="9" t="n">
        <v>540.123</v>
      </c>
      <c r="CN133" s="9" t="n">
        <v>546.769</v>
      </c>
      <c r="CO133" s="9" t="n">
        <v>3</v>
      </c>
      <c r="CP133" s="9" t="n">
        <v>2</v>
      </c>
      <c r="CQ133" s="9" t="n">
        <v>0.5</v>
      </c>
      <c r="CR133" s="9" t="n">
        <v>0.3</v>
      </c>
      <c r="CS133" s="9" t="n">
        <v>0.6</v>
      </c>
      <c r="CT133" s="9" t="n">
        <v>0.8</v>
      </c>
      <c r="CU133" s="9" t="n">
        <v>0.8</v>
      </c>
      <c r="CV133" s="9" t="n">
        <v>0.7</v>
      </c>
      <c r="CW133" s="9" t="n">
        <v>0.5</v>
      </c>
      <c r="CX133" s="9" t="n">
        <v>0.5</v>
      </c>
      <c r="CY133" s="9" t="n">
        <v>1</v>
      </c>
      <c r="CZ133" s="9" t="n">
        <v>0.3</v>
      </c>
      <c r="DA133" s="9" t="n">
        <v>0.8</v>
      </c>
      <c r="DB133" s="9" t="n">
        <v>0.233952945819941</v>
      </c>
      <c r="DC133" s="9" t="n">
        <v>6.276</v>
      </c>
      <c r="DD133" s="9" t="n">
        <v>4.204</v>
      </c>
      <c r="DE133" s="9" t="n">
        <v>11.78658</v>
      </c>
      <c r="DF133" s="9" t="n">
        <v>21.0795815760692</v>
      </c>
      <c r="DG133" s="9" t="n">
        <v>24.0893984341891</v>
      </c>
      <c r="DH133" s="9" t="n">
        <v>18.5910134542424</v>
      </c>
      <c r="DI133" s="9" t="n">
        <v>20.9452103759317</v>
      </c>
      <c r="DJ133" s="9" t="n">
        <v>4.545</v>
      </c>
      <c r="DK133" s="9" t="n">
        <v>3.708</v>
      </c>
      <c r="DL133" s="9" t="n">
        <v>11.18871</v>
      </c>
      <c r="DM133" s="9" t="n">
        <v>14.1151745380227</v>
      </c>
      <c r="DN133" s="9" t="n">
        <v>14.1151745380227</v>
      </c>
      <c r="DO133" s="9" t="n">
        <v>0.0891200000000001</v>
      </c>
    </row>
    <row r="134" customFormat="false" ht="15" hidden="false" customHeight="false" outlineLevel="0" collapsed="false">
      <c r="A134" s="9" t="s">
        <v>848</v>
      </c>
      <c r="B134" s="9" t="s">
        <v>849</v>
      </c>
      <c r="C134" s="9" t="n">
        <v>0.005</v>
      </c>
      <c r="D134" s="9" t="n">
        <v>0.005</v>
      </c>
      <c r="E134" s="9" t="n">
        <v>0.01</v>
      </c>
      <c r="F134" s="9" t="n">
        <v>0.005</v>
      </c>
      <c r="G134" s="9" t="n">
        <v>0.005</v>
      </c>
      <c r="H134" s="9" t="n">
        <v>0.01</v>
      </c>
      <c r="I134" s="9" t="n">
        <v>0.005</v>
      </c>
      <c r="J134" s="9" t="n">
        <v>0.005</v>
      </c>
      <c r="K134" s="9" t="n">
        <v>0.01</v>
      </c>
      <c r="L134" s="9" t="n">
        <v>0.01</v>
      </c>
      <c r="M134" s="9" t="n">
        <v>0.005</v>
      </c>
      <c r="N134" s="9" t="n">
        <v>4.489198</v>
      </c>
      <c r="O134" s="9" t="n">
        <v>3.809922</v>
      </c>
      <c r="P134" s="9" t="n">
        <v>18.229224</v>
      </c>
      <c r="Q134" s="9" t="n">
        <v>9.78394264783207</v>
      </c>
      <c r="R134" s="9" t="n">
        <v>1.40518631250904</v>
      </c>
      <c r="S134" s="9" t="n">
        <v>0.914544909482494</v>
      </c>
      <c r="T134" s="9" t="n">
        <v>0.744190526838513</v>
      </c>
      <c r="U134" s="9" t="n">
        <v>0.099715</v>
      </c>
      <c r="V134" s="9" t="n">
        <v>0.020319</v>
      </c>
      <c r="W134" s="9" t="n">
        <v>0.046553</v>
      </c>
      <c r="X134" s="9" t="n">
        <v>1.73478626417715</v>
      </c>
      <c r="Y134" s="9" t="n">
        <v>1.73478626417715</v>
      </c>
      <c r="Z134" s="9" t="n">
        <v>2.29</v>
      </c>
      <c r="AA134" s="9" t="n">
        <v>0.74</v>
      </c>
      <c r="AB134" s="9" t="n">
        <v>0.34</v>
      </c>
      <c r="AC134" s="9" t="n">
        <v>0</v>
      </c>
      <c r="AD134" s="9" t="n">
        <v>0</v>
      </c>
      <c r="AE134" s="9" t="n">
        <v>13.424</v>
      </c>
      <c r="AF134" s="9" t="n">
        <v>0</v>
      </c>
      <c r="AG134" s="9" t="n">
        <v>0</v>
      </c>
      <c r="AH134" s="9" t="n">
        <v>0</v>
      </c>
      <c r="AI134" s="9" t="n">
        <v>0</v>
      </c>
      <c r="AJ134" s="9" t="n">
        <v>25.5543220161859</v>
      </c>
      <c r="AK134" s="9" t="n">
        <v>0</v>
      </c>
      <c r="AL134" s="9" t="n">
        <v>0</v>
      </c>
      <c r="AM134" s="9" t="n">
        <v>0</v>
      </c>
      <c r="AN134" s="9" t="n">
        <v>0</v>
      </c>
      <c r="AO134" s="9" t="n">
        <v>35.2880520610021</v>
      </c>
      <c r="AP134" s="9" t="n">
        <v>28.36870506</v>
      </c>
      <c r="AQ134" s="9" t="n">
        <v>34.079148848321</v>
      </c>
      <c r="AR134" s="9" t="n">
        <v>33.6454142266152</v>
      </c>
      <c r="AS134" s="9" t="n">
        <v>32.4238910543085</v>
      </c>
      <c r="AT134" s="9" t="n">
        <v>23.2129673496</v>
      </c>
      <c r="AU134" s="9" t="n">
        <v>31.2814944794015</v>
      </c>
      <c r="AV134" s="9" t="n">
        <v>31.0309676952869</v>
      </c>
      <c r="AW134" s="9" t="n">
        <v>16.1589530192713</v>
      </c>
      <c r="AX134" s="9" t="n">
        <v>11.9555999928</v>
      </c>
      <c r="AY134" s="9" t="n">
        <v>15.5896218260354</v>
      </c>
      <c r="AZ134" s="9" t="n">
        <v>15.4647678864575</v>
      </c>
      <c r="BA134" s="9" t="n">
        <v>45.5969960214457</v>
      </c>
      <c r="BB134" s="9" t="n">
        <v>41.8128840416679</v>
      </c>
      <c r="BC134" s="9" t="n">
        <v>39.8881959614135</v>
      </c>
      <c r="BD134" s="9" t="n">
        <v>44.1915274724523</v>
      </c>
      <c r="BE134" s="9" t="n">
        <v>0.0278232358784355</v>
      </c>
      <c r="BF134" s="9" t="n">
        <v>0.0230129188647466</v>
      </c>
      <c r="BG134" s="9" t="n">
        <v>0.0276452762213615</v>
      </c>
      <c r="BH134" s="9" t="n">
        <v>0.0272934272512714</v>
      </c>
      <c r="BI134" s="9" t="n">
        <v>8.91245835547327</v>
      </c>
      <c r="BJ134" s="9" t="n">
        <v>7.16948804999998</v>
      </c>
      <c r="BK134" s="9" t="n">
        <v>8.61266137828457</v>
      </c>
      <c r="BL134" s="9" t="n">
        <v>8.5030456880155</v>
      </c>
      <c r="BM134" s="9" t="n">
        <v>0</v>
      </c>
      <c r="BN134" s="9" t="n">
        <v>0</v>
      </c>
      <c r="BO134" s="9" t="n">
        <v>0</v>
      </c>
      <c r="BP134" s="9" t="n">
        <v>0</v>
      </c>
      <c r="BQ134" s="9" t="n">
        <v>17.9324005243777</v>
      </c>
      <c r="BR134" s="9" t="n">
        <v>0</v>
      </c>
      <c r="BS134" s="9" t="n">
        <v>0</v>
      </c>
      <c r="BT134" s="9" t="n">
        <v>0</v>
      </c>
      <c r="BU134" s="9" t="n">
        <v>0</v>
      </c>
      <c r="BV134" s="9" t="n">
        <v>42.8397579702042</v>
      </c>
      <c r="BW134" s="9" t="n">
        <v>28.4095430659542</v>
      </c>
      <c r="BX134" s="9" t="n">
        <v>38.9898772359956</v>
      </c>
      <c r="BY134" s="9" t="n">
        <v>39.7229480524454</v>
      </c>
      <c r="BZ134" s="9" t="n">
        <v>13.4952344648833</v>
      </c>
      <c r="CA134" s="9" t="n">
        <v>-3.46095268428583</v>
      </c>
      <c r="CB134" s="9" t="n">
        <v>4.35</v>
      </c>
      <c r="CC134" s="9" t="n">
        <v>3.84</v>
      </c>
      <c r="CD134" s="9" t="n">
        <v>86.524</v>
      </c>
      <c r="CE134" s="9" t="n">
        <v>7.18</v>
      </c>
      <c r="CF134" s="9" t="n">
        <v>0.5</v>
      </c>
      <c r="CG134" s="9" t="n">
        <v>4.3</v>
      </c>
      <c r="CH134" s="9" t="n">
        <v>2.8</v>
      </c>
      <c r="CI134" s="9" t="n">
        <v>1</v>
      </c>
      <c r="CJ134" s="9" t="n">
        <v>0.99</v>
      </c>
      <c r="CK134" s="9" t="n">
        <v>13.43</v>
      </c>
      <c r="CL134" s="9" t="n">
        <v>0.96</v>
      </c>
      <c r="CM134" s="9" t="n">
        <v>20.839</v>
      </c>
      <c r="CN134" s="9" t="n">
        <v>24.855</v>
      </c>
      <c r="CO134" s="9" t="n">
        <v>3</v>
      </c>
      <c r="CP134" s="9" t="n">
        <v>4</v>
      </c>
      <c r="CQ134" s="9" t="n">
        <v>0.5</v>
      </c>
      <c r="CR134" s="9" t="n">
        <v>0.3</v>
      </c>
      <c r="CS134" s="9" t="n">
        <v>0.6</v>
      </c>
      <c r="CT134" s="9" t="n">
        <v>0.8</v>
      </c>
      <c r="CU134" s="9" t="n">
        <v>0.8</v>
      </c>
      <c r="CV134" s="9" t="n">
        <v>0.7</v>
      </c>
      <c r="CW134" s="9" t="n">
        <v>0.5</v>
      </c>
      <c r="CX134" s="9" t="n">
        <v>0.5</v>
      </c>
      <c r="CY134" s="9" t="n">
        <v>1</v>
      </c>
      <c r="CZ134" s="9" t="n">
        <v>0.3</v>
      </c>
      <c r="DA134" s="9" t="n">
        <v>0.8</v>
      </c>
      <c r="DB134" s="9" t="n">
        <v>0.462502271779686</v>
      </c>
      <c r="DC134" s="9" t="n">
        <v>7.124</v>
      </c>
      <c r="DD134" s="9" t="n">
        <v>5.575</v>
      </c>
      <c r="DE134" s="9" t="n">
        <v>13.04651</v>
      </c>
      <c r="DF134" s="9" t="n">
        <v>17.8349540517155</v>
      </c>
      <c r="DG134" s="9" t="n">
        <v>23.0711466542216</v>
      </c>
      <c r="DH134" s="9" t="n">
        <v>15.0638312550457</v>
      </c>
      <c r="DI134" s="9" t="n">
        <v>21.7831568841812</v>
      </c>
      <c r="DJ134" s="9" t="n">
        <v>8.176</v>
      </c>
      <c r="DK134" s="9" t="n">
        <v>6.853</v>
      </c>
      <c r="DL134" s="9" t="n">
        <v>17.24626</v>
      </c>
      <c r="DM134" s="9" t="n">
        <v>13.4947462084719</v>
      </c>
      <c r="DN134" s="9" t="n">
        <v>13.4947462084719</v>
      </c>
      <c r="DO134" s="9" t="n">
        <v>0.105</v>
      </c>
    </row>
    <row r="135" customFormat="false" ht="15" hidden="false" customHeight="false" outlineLevel="0" collapsed="false">
      <c r="A135" s="9" t="s">
        <v>784</v>
      </c>
      <c r="B135" s="9" t="s">
        <v>785</v>
      </c>
      <c r="C135" s="9" t="n">
        <v>0.005</v>
      </c>
      <c r="D135" s="9" t="n">
        <v>0.005</v>
      </c>
      <c r="E135" s="9" t="n">
        <v>0.01</v>
      </c>
      <c r="F135" s="9" t="n">
        <v>0.005</v>
      </c>
      <c r="G135" s="9" t="n">
        <v>0.005</v>
      </c>
      <c r="H135" s="9" t="n">
        <v>0.01</v>
      </c>
      <c r="I135" s="9" t="n">
        <v>0.005</v>
      </c>
      <c r="J135" s="9" t="n">
        <v>0.005</v>
      </c>
      <c r="K135" s="9" t="n">
        <v>0.01</v>
      </c>
      <c r="L135" s="9" t="n">
        <v>0.01</v>
      </c>
      <c r="M135" s="9" t="n">
        <v>0.005</v>
      </c>
      <c r="N135" s="9" t="n">
        <v>66.147154</v>
      </c>
      <c r="O135" s="9" t="n">
        <v>1.740443</v>
      </c>
      <c r="P135" s="9" t="n">
        <v>25.324755</v>
      </c>
      <c r="Q135" s="9" t="n">
        <v>9.70487078896769</v>
      </c>
      <c r="R135" s="9" t="n">
        <v>1.96813016053308</v>
      </c>
      <c r="S135" s="9" t="n">
        <v>12.9966413391475</v>
      </c>
      <c r="T135" s="9" t="n">
        <v>1.84117817859734</v>
      </c>
      <c r="U135" s="9" t="n">
        <v>0.658696</v>
      </c>
      <c r="V135" s="9" t="n">
        <v>0.046316</v>
      </c>
      <c r="W135" s="9" t="n">
        <v>0.058886</v>
      </c>
      <c r="X135" s="9" t="n">
        <v>60.5625520519141</v>
      </c>
      <c r="Y135" s="9" t="n">
        <v>60.5625520519141</v>
      </c>
      <c r="Z135" s="9" t="n">
        <v>7.89</v>
      </c>
      <c r="AA135" s="9" t="n">
        <v>1.02</v>
      </c>
      <c r="AB135" s="9" t="n">
        <v>1.34</v>
      </c>
      <c r="AC135" s="9" t="n">
        <v>0</v>
      </c>
      <c r="AD135" s="9" t="n">
        <v>0</v>
      </c>
      <c r="AE135" s="9" t="n">
        <v>61.093</v>
      </c>
      <c r="AF135" s="9" t="n">
        <v>25.1498832610672</v>
      </c>
      <c r="AG135" s="9" t="n">
        <v>21.7361238912</v>
      </c>
      <c r="AH135" s="9" t="n">
        <v>23.9526560948461</v>
      </c>
      <c r="AI135" s="9" t="n">
        <v>23.8605304944813</v>
      </c>
      <c r="AJ135" s="9" t="n">
        <v>0.285639495249426</v>
      </c>
      <c r="AK135" s="9" t="n">
        <v>0.0047565219973699</v>
      </c>
      <c r="AL135" s="9" t="n">
        <v>0.004103064</v>
      </c>
      <c r="AM135" s="9" t="n">
        <v>0.0045214722468035</v>
      </c>
      <c r="AN135" s="9" t="n">
        <v>0.0045040819689311</v>
      </c>
      <c r="AO135" s="9" t="n">
        <v>237.569209653181</v>
      </c>
      <c r="AP135" s="9" t="n">
        <v>209.7965263</v>
      </c>
      <c r="AQ135" s="9" t="n">
        <v>231.190439910573</v>
      </c>
      <c r="AR135" s="9" t="n">
        <v>230.301245910917</v>
      </c>
      <c r="AS135" s="9" t="n">
        <v>158.673229600655</v>
      </c>
      <c r="AT135" s="9" t="n">
        <v>141.031897452</v>
      </c>
      <c r="AU135" s="9" t="n">
        <v>163.145742711726</v>
      </c>
      <c r="AV135" s="9" t="n">
        <v>138.626462369552</v>
      </c>
      <c r="AW135" s="9" t="n">
        <v>42.6337156756934</v>
      </c>
      <c r="AX135" s="9" t="n">
        <v>38.1021031908</v>
      </c>
      <c r="AY135" s="9" t="n">
        <v>43.8354297443683</v>
      </c>
      <c r="AZ135" s="9" t="n">
        <v>37.2473743470479</v>
      </c>
      <c r="BA135" s="9" t="n">
        <v>106.11750210264</v>
      </c>
      <c r="BB135" s="9" t="n">
        <v>104.14764237021</v>
      </c>
      <c r="BC135" s="9" t="n">
        <v>88.9051798</v>
      </c>
      <c r="BD135" s="9" t="n">
        <v>100.623740897843</v>
      </c>
      <c r="BE135" s="9" t="n">
        <v>0</v>
      </c>
      <c r="BF135" s="9" t="n">
        <v>0</v>
      </c>
      <c r="BG135" s="9" t="n">
        <v>0</v>
      </c>
      <c r="BH135" s="9" t="n">
        <v>0</v>
      </c>
      <c r="BI135" s="9" t="n">
        <v>42.8103092398447</v>
      </c>
      <c r="BJ135" s="9" t="n">
        <v>38.20325518</v>
      </c>
      <c r="BK135" s="9" t="n">
        <v>42.0990162556379</v>
      </c>
      <c r="BL135" s="9" t="n">
        <v>41.937096962347</v>
      </c>
      <c r="BM135" s="9" t="n">
        <v>135.783375746348</v>
      </c>
      <c r="BN135" s="9" t="n">
        <v>121.9453983144</v>
      </c>
      <c r="BO135" s="9" t="n">
        <v>134.380729645933</v>
      </c>
      <c r="BP135" s="9" t="n">
        <v>133.863880685756</v>
      </c>
      <c r="BQ135" s="9" t="n">
        <v>191.207453751702</v>
      </c>
      <c r="BR135" s="9" t="n">
        <v>18.9676694209559</v>
      </c>
      <c r="BS135" s="9" t="n">
        <v>17.131799448</v>
      </c>
      <c r="BT135" s="9" t="n">
        <v>18.8788075793933</v>
      </c>
      <c r="BU135" s="9" t="n">
        <v>18.806196781011</v>
      </c>
      <c r="BV135" s="9" t="n">
        <v>126.816607649079</v>
      </c>
      <c r="BW135" s="9" t="n">
        <v>116.254356591679</v>
      </c>
      <c r="BX135" s="9" t="n">
        <v>123.173007958059</v>
      </c>
      <c r="BY135" s="9" t="n">
        <v>122.69926721234</v>
      </c>
      <c r="BZ135" s="9" t="n">
        <v>55.9185959100968</v>
      </c>
      <c r="CA135" s="9" t="n">
        <v>2.79945134744906</v>
      </c>
      <c r="CB135" s="9" t="n">
        <v>3.439</v>
      </c>
      <c r="CC135" s="9" t="n">
        <v>2.82</v>
      </c>
      <c r="CD135" s="9" t="n">
        <v>295.22</v>
      </c>
      <c r="CE135" s="9" t="n">
        <v>34.53</v>
      </c>
      <c r="CF135" s="9" t="n">
        <v>0.019</v>
      </c>
      <c r="CG135" s="9" t="n">
        <v>21.979</v>
      </c>
      <c r="CH135" s="9" t="n">
        <v>21.83</v>
      </c>
      <c r="CI135" s="9" t="n">
        <v>0.13</v>
      </c>
      <c r="CJ135" s="9" t="n">
        <v>1.83</v>
      </c>
      <c r="CK135" s="9" t="n">
        <v>60.449</v>
      </c>
      <c r="CL135" s="9" t="n">
        <v>2.11</v>
      </c>
      <c r="CM135" s="9" t="n">
        <v>104.947</v>
      </c>
      <c r="CN135" s="9" t="n">
        <v>190.373</v>
      </c>
      <c r="CO135" s="9" t="n">
        <v>3</v>
      </c>
      <c r="CP135" s="9" t="n">
        <v>3</v>
      </c>
      <c r="CQ135" s="9" t="n">
        <v>0.5</v>
      </c>
      <c r="CR135" s="9" t="n">
        <v>0.3</v>
      </c>
      <c r="CS135" s="9" t="n">
        <v>0.6</v>
      </c>
      <c r="CT135" s="9" t="n">
        <v>0.8</v>
      </c>
      <c r="CU135" s="9" t="n">
        <v>0.8</v>
      </c>
      <c r="CV135" s="9" t="n">
        <v>0.7</v>
      </c>
      <c r="CW135" s="9" t="n">
        <v>0.5</v>
      </c>
      <c r="CX135" s="9" t="n">
        <v>0.5</v>
      </c>
      <c r="CY135" s="9" t="n">
        <v>1</v>
      </c>
      <c r="CZ135" s="9" t="n">
        <v>0.3</v>
      </c>
      <c r="DA135" s="9" t="n">
        <v>0.8</v>
      </c>
      <c r="DB135" s="9" t="n">
        <v>0.475111447285836</v>
      </c>
      <c r="DC135" s="9" t="n">
        <v>5.097</v>
      </c>
      <c r="DD135" s="9" t="n">
        <v>3.67</v>
      </c>
      <c r="DE135" s="9" t="n">
        <v>10.03118</v>
      </c>
      <c r="DF135" s="9" t="n">
        <v>18.5131648343929</v>
      </c>
      <c r="DG135" s="9" t="n">
        <v>25.5100552649233</v>
      </c>
      <c r="DH135" s="9" t="n">
        <v>15.0468241052648</v>
      </c>
      <c r="DI135" s="9" t="n">
        <v>22.2813397841649</v>
      </c>
      <c r="DJ135" s="9" t="n">
        <v>5.917</v>
      </c>
      <c r="DK135" s="9" t="n">
        <v>5.255</v>
      </c>
      <c r="DL135" s="9" t="n">
        <v>11.66784</v>
      </c>
      <c r="DM135" s="9" t="n">
        <v>13.4947462084719</v>
      </c>
      <c r="DN135" s="9" t="n">
        <v>13.4947462084719</v>
      </c>
      <c r="DO135" s="9" t="n">
        <v>0.07592</v>
      </c>
    </row>
    <row r="136" customFormat="false" ht="15" hidden="false" customHeight="false" outlineLevel="0" collapsed="false">
      <c r="A136" s="9" t="s">
        <v>754</v>
      </c>
      <c r="B136" s="9" t="s">
        <v>755</v>
      </c>
      <c r="C136" s="9" t="n">
        <v>0.005</v>
      </c>
      <c r="D136" s="9" t="n">
        <v>0.005</v>
      </c>
      <c r="E136" s="9" t="n">
        <v>0.01</v>
      </c>
      <c r="F136" s="9" t="n">
        <v>0.005</v>
      </c>
      <c r="G136" s="9" t="n">
        <v>0.005</v>
      </c>
      <c r="H136" s="9" t="n">
        <v>0.01</v>
      </c>
      <c r="I136" s="9" t="n">
        <v>0.005</v>
      </c>
      <c r="J136" s="9" t="n">
        <v>0.005</v>
      </c>
      <c r="K136" s="9" t="n">
        <v>0.01</v>
      </c>
      <c r="L136" s="9" t="n">
        <v>0.01</v>
      </c>
      <c r="M136" s="9" t="n">
        <v>0.005</v>
      </c>
      <c r="N136" s="9" t="n">
        <v>20.416182</v>
      </c>
      <c r="O136" s="9" t="n">
        <v>3.977256</v>
      </c>
      <c r="P136" s="9" t="n">
        <v>22.972325</v>
      </c>
      <c r="Q136" s="9" t="n">
        <v>6.82921845953862</v>
      </c>
      <c r="R136" s="9" t="n">
        <v>1.12048302332245</v>
      </c>
      <c r="S136" s="9" t="n">
        <v>3.5579381195949</v>
      </c>
      <c r="T136" s="9" t="n">
        <v>2.43509536162702</v>
      </c>
      <c r="U136" s="9" t="n">
        <v>0.699686</v>
      </c>
      <c r="V136" s="9" t="n">
        <v>0.156576</v>
      </c>
      <c r="W136" s="9" t="n">
        <v>0.048826</v>
      </c>
      <c r="X136" s="9" t="n">
        <v>36.0434230205062</v>
      </c>
      <c r="Y136" s="9" t="n">
        <v>36.0434230205062</v>
      </c>
      <c r="Z136" s="9" t="n">
        <v>21.02</v>
      </c>
      <c r="AA136" s="9" t="n">
        <v>3.89</v>
      </c>
      <c r="AB136" s="9" t="n">
        <v>0.52</v>
      </c>
      <c r="AC136" s="9" t="n">
        <v>0</v>
      </c>
      <c r="AD136" s="9" t="n">
        <v>0</v>
      </c>
      <c r="AE136" s="9" t="n">
        <v>157.056</v>
      </c>
      <c r="AF136" s="9" t="n">
        <v>90.7913571371701</v>
      </c>
      <c r="AG136" s="9" t="n">
        <v>73.9032876396</v>
      </c>
      <c r="AH136" s="9" t="n">
        <v>80.863082379157</v>
      </c>
      <c r="AI136" s="9" t="n">
        <v>82.5958627158532</v>
      </c>
      <c r="AJ136" s="9" t="n">
        <v>598.363441674067</v>
      </c>
      <c r="AK136" s="9" t="n">
        <v>9.48862555822207</v>
      </c>
      <c r="AL136" s="9" t="n">
        <v>7.7236495416</v>
      </c>
      <c r="AM136" s="9" t="n">
        <v>8.45101928612278</v>
      </c>
      <c r="AN136" s="9" t="n">
        <v>8.6321125565397</v>
      </c>
      <c r="AO136" s="9" t="n">
        <v>277.496074452294</v>
      </c>
      <c r="AP136" s="9" t="n">
        <v>226.31563901</v>
      </c>
      <c r="AQ136" s="9" t="n">
        <v>247.628769239639</v>
      </c>
      <c r="AR136" s="9" t="n">
        <v>252.93510000906</v>
      </c>
      <c r="AS136" s="9" t="n">
        <v>245.159507759382</v>
      </c>
      <c r="AT136" s="9" t="n">
        <v>188.7722738244</v>
      </c>
      <c r="AU136" s="9" t="n">
        <v>214.519650485597</v>
      </c>
      <c r="AV136" s="9" t="n">
        <v>243.551303839693</v>
      </c>
      <c r="AW136" s="9" t="n">
        <v>162.894822309929</v>
      </c>
      <c r="AX136" s="9" t="n">
        <v>125.9303903676</v>
      </c>
      <c r="AY136" s="9" t="n">
        <v>142.54630039789</v>
      </c>
      <c r="AZ136" s="9" t="n">
        <v>161.835184520698</v>
      </c>
      <c r="BA136" s="9" t="n">
        <v>244.376816080497</v>
      </c>
      <c r="BB136" s="9" t="n">
        <v>198.082212791556</v>
      </c>
      <c r="BC136" s="9" t="n">
        <v>219.612950297239</v>
      </c>
      <c r="BD136" s="9" t="n">
        <v>222.845044545027</v>
      </c>
      <c r="BE136" s="9" t="n">
        <v>9.73622591168748</v>
      </c>
      <c r="BF136" s="9" t="n">
        <v>7.98101777429657</v>
      </c>
      <c r="BG136" s="9" t="n">
        <v>8.73262500715391</v>
      </c>
      <c r="BH136" s="9" t="n">
        <v>8.91975268587864</v>
      </c>
      <c r="BI136" s="9" t="n">
        <v>62.9492985682888</v>
      </c>
      <c r="BJ136" s="9" t="n">
        <v>52.2726152924107</v>
      </c>
      <c r="BK136" s="9" t="n">
        <v>57.1953553294867</v>
      </c>
      <c r="BL136" s="9" t="n">
        <v>58.4209700865471</v>
      </c>
      <c r="BM136" s="9" t="n">
        <v>5.56876087265323</v>
      </c>
      <c r="BN136" s="9" t="n">
        <v>5.1409465992</v>
      </c>
      <c r="BO136" s="9" t="n">
        <v>5.62509194970107</v>
      </c>
      <c r="BP136" s="9" t="n">
        <v>5.74562963433752</v>
      </c>
      <c r="BQ136" s="9" t="n">
        <v>242.44133548459</v>
      </c>
      <c r="BR136" s="9" t="n">
        <v>0</v>
      </c>
      <c r="BS136" s="9" t="n">
        <v>0</v>
      </c>
      <c r="BT136" s="9" t="n">
        <v>0</v>
      </c>
      <c r="BU136" s="9" t="n">
        <v>0</v>
      </c>
      <c r="BV136" s="9" t="n">
        <v>250.967674691494</v>
      </c>
      <c r="BW136" s="9" t="n">
        <v>216.161875115072</v>
      </c>
      <c r="BX136" s="9" t="n">
        <v>219.086099839996</v>
      </c>
      <c r="BY136" s="9" t="n">
        <v>223.792001793703</v>
      </c>
      <c r="BZ136" s="9" t="n">
        <v>113.348425019253</v>
      </c>
      <c r="CA136" s="9" t="n">
        <v>0.385451154288322</v>
      </c>
      <c r="CB136" s="9" t="n">
        <v>4.403</v>
      </c>
      <c r="CC136" s="9" t="n">
        <v>4.066</v>
      </c>
      <c r="CD136" s="9" t="n">
        <v>461.617</v>
      </c>
      <c r="CE136" s="9" t="n">
        <v>24.25</v>
      </c>
      <c r="CF136" s="9" t="n">
        <v>72.23</v>
      </c>
      <c r="CG136" s="9" t="n">
        <v>94.42</v>
      </c>
      <c r="CH136" s="9" t="n">
        <v>21.25</v>
      </c>
      <c r="CI136" s="9" t="n">
        <v>0.94</v>
      </c>
      <c r="CJ136" s="9" t="n">
        <v>3</v>
      </c>
      <c r="CK136" s="9" t="n">
        <v>123.13</v>
      </c>
      <c r="CL136" s="9" t="n">
        <v>1.46</v>
      </c>
      <c r="CM136" s="9" t="n">
        <v>270.619</v>
      </c>
      <c r="CN136" s="9" t="n">
        <v>273.064</v>
      </c>
      <c r="CO136" s="9" t="n">
        <v>3</v>
      </c>
      <c r="CP136" s="9" t="n">
        <v>2</v>
      </c>
      <c r="CQ136" s="9" t="n">
        <v>0.5</v>
      </c>
      <c r="CR136" s="9" t="n">
        <v>0.3</v>
      </c>
      <c r="CS136" s="9" t="n">
        <v>0.6</v>
      </c>
      <c r="CT136" s="9" t="n">
        <v>0.8</v>
      </c>
      <c r="CU136" s="9" t="n">
        <v>0.8</v>
      </c>
      <c r="CV136" s="9" t="n">
        <v>0.7</v>
      </c>
      <c r="CW136" s="9" t="n">
        <v>0.5</v>
      </c>
      <c r="CX136" s="9" t="n">
        <v>0.5</v>
      </c>
      <c r="CY136" s="9" t="n">
        <v>1</v>
      </c>
      <c r="CZ136" s="9" t="n">
        <v>0.3</v>
      </c>
      <c r="DA136" s="9" t="n">
        <v>0.8</v>
      </c>
      <c r="DB136" s="9" t="n">
        <v>0.337375453039227</v>
      </c>
      <c r="DC136" s="9" t="n">
        <v>2.649</v>
      </c>
      <c r="DD136" s="9" t="n">
        <v>4.479</v>
      </c>
      <c r="DE136" s="9" t="n">
        <v>11.44304</v>
      </c>
      <c r="DF136" s="9" t="n">
        <v>21.3287021731221</v>
      </c>
      <c r="DG136" s="9" t="n">
        <v>26.7710597791119</v>
      </c>
      <c r="DH136" s="9" t="n">
        <v>29.747597746996</v>
      </c>
      <c r="DI136" s="9" t="n">
        <v>31.2861421344812</v>
      </c>
      <c r="DJ136" s="9" t="n">
        <v>7.805</v>
      </c>
      <c r="DK136" s="9" t="n">
        <v>7.034</v>
      </c>
      <c r="DL136" s="9" t="n">
        <v>13.91824</v>
      </c>
      <c r="DM136" s="9" t="n">
        <v>26.6278917805397</v>
      </c>
      <c r="DN136" s="9" t="n">
        <v>26.6278917805397</v>
      </c>
      <c r="DO136" s="9" t="n">
        <v>0.0781399999999999</v>
      </c>
    </row>
    <row r="137" customFormat="false" ht="15" hidden="false" customHeight="false" outlineLevel="0" collapsed="false">
      <c r="A137" s="9" t="s">
        <v>1062</v>
      </c>
      <c r="B137" s="9" t="s">
        <v>1063</v>
      </c>
      <c r="C137" s="9" t="n">
        <v>0.005</v>
      </c>
      <c r="D137" s="9" t="n">
        <v>0.005</v>
      </c>
      <c r="E137" s="9" t="n">
        <v>0.01</v>
      </c>
      <c r="F137" s="9" t="n">
        <v>0.005</v>
      </c>
      <c r="G137" s="9" t="n">
        <v>0.005</v>
      </c>
      <c r="H137" s="9" t="n">
        <v>0.01</v>
      </c>
      <c r="I137" s="9" t="n">
        <v>0.005</v>
      </c>
      <c r="J137" s="9" t="n">
        <v>0.005</v>
      </c>
      <c r="K137" s="9" t="n">
        <v>0.01</v>
      </c>
      <c r="L137" s="9" t="n">
        <v>0.01</v>
      </c>
      <c r="M137" s="9" t="n">
        <v>0.005</v>
      </c>
      <c r="N137" s="9" t="n">
        <v>0</v>
      </c>
      <c r="O137" s="9" t="n">
        <v>0</v>
      </c>
      <c r="P137" s="9" t="n">
        <v>0</v>
      </c>
      <c r="Q137" s="9" t="n">
        <v>0</v>
      </c>
      <c r="R137" s="9" t="n">
        <v>0</v>
      </c>
      <c r="S137" s="9" t="n">
        <v>0</v>
      </c>
      <c r="T137" s="9" t="n">
        <v>0</v>
      </c>
      <c r="U137" s="9" t="n">
        <v>0</v>
      </c>
      <c r="V137" s="9" t="n">
        <v>0</v>
      </c>
      <c r="W137" s="9" t="n">
        <v>0</v>
      </c>
      <c r="X137" s="9" t="n">
        <v>0</v>
      </c>
      <c r="Y137" s="9" t="n">
        <v>0</v>
      </c>
      <c r="Z137" s="9" t="n">
        <v>0</v>
      </c>
      <c r="AA137" s="9" t="n">
        <v>0</v>
      </c>
      <c r="AB137" s="9" t="n">
        <v>0</v>
      </c>
      <c r="AC137" s="9" t="n">
        <v>0</v>
      </c>
      <c r="AD137" s="9" t="n">
        <v>0</v>
      </c>
      <c r="AE137" s="9" t="n">
        <v>1.341</v>
      </c>
      <c r="AF137" s="9" t="n">
        <v>0</v>
      </c>
      <c r="AG137" s="9" t="n">
        <v>0</v>
      </c>
      <c r="AH137" s="9" t="n">
        <v>0</v>
      </c>
      <c r="AI137" s="9" t="n">
        <v>0</v>
      </c>
      <c r="AJ137" s="9" t="n">
        <v>0</v>
      </c>
      <c r="AK137" s="9" t="n">
        <v>0</v>
      </c>
      <c r="AL137" s="9" t="n">
        <v>0</v>
      </c>
      <c r="AM137" s="9" t="n">
        <v>0</v>
      </c>
      <c r="AN137" s="9" t="n">
        <v>0</v>
      </c>
      <c r="AO137" s="9" t="n">
        <v>1.04283661561829</v>
      </c>
      <c r="AP137" s="9" t="n">
        <v>0.988779235751041</v>
      </c>
      <c r="AQ137" s="9" t="n">
        <v>0.988779235751041</v>
      </c>
      <c r="AR137" s="9" t="n">
        <v>0.988779235751041</v>
      </c>
      <c r="AS137" s="9" t="n">
        <v>0.222997238358051</v>
      </c>
      <c r="AT137" s="9" t="n">
        <v>0.2124</v>
      </c>
      <c r="AU137" s="9" t="n">
        <v>0.208828612278606</v>
      </c>
      <c r="AV137" s="9" t="n">
        <v>0.208907684458486</v>
      </c>
      <c r="AW137" s="9" t="n">
        <v>0.106067785768942</v>
      </c>
      <c r="AX137" s="9" t="n">
        <v>0.1008</v>
      </c>
      <c r="AY137" s="9" t="n">
        <v>0.0993285328225815</v>
      </c>
      <c r="AZ137" s="9" t="n">
        <v>0.0993661432033088</v>
      </c>
      <c r="BA137" s="9" t="n">
        <v>0.594593432232958</v>
      </c>
      <c r="BB137" s="9" t="n">
        <v>0</v>
      </c>
      <c r="BC137" s="9" t="n">
        <v>0</v>
      </c>
      <c r="BD137" s="9" t="n">
        <v>0.559194473865555</v>
      </c>
      <c r="BE137" s="9" t="n">
        <v>0.0119621466454705</v>
      </c>
      <c r="BF137" s="9" t="n">
        <v>0.0115445066482215</v>
      </c>
      <c r="BG137" s="9" t="n">
        <v>0.0115445066482215</v>
      </c>
      <c r="BH137" s="9" t="n">
        <v>0.0115445066482215</v>
      </c>
      <c r="BI137" s="9" t="n">
        <v>0.0525553461314749</v>
      </c>
      <c r="BJ137" s="9" t="n">
        <v>0.0505639471433267</v>
      </c>
      <c r="BK137" s="9" t="n">
        <v>0.0505639471433267</v>
      </c>
      <c r="BL137" s="9" t="n">
        <v>0.0505639471433267</v>
      </c>
      <c r="BM137" s="9" t="n">
        <v>0</v>
      </c>
      <c r="BN137" s="9" t="n">
        <v>0</v>
      </c>
      <c r="BO137" s="9" t="n">
        <v>0</v>
      </c>
      <c r="BP137" s="9" t="n">
        <v>0</v>
      </c>
      <c r="BQ137" s="9" t="n">
        <v>0</v>
      </c>
      <c r="BR137" s="9" t="n">
        <v>0</v>
      </c>
      <c r="BS137" s="9" t="n">
        <v>0</v>
      </c>
      <c r="BT137" s="9" t="n">
        <v>0</v>
      </c>
      <c r="BU137" s="9" t="n">
        <v>0</v>
      </c>
      <c r="BV137" s="9" t="n">
        <v>1.15165768323208</v>
      </c>
      <c r="BW137" s="9" t="n">
        <v>1.20339537320912</v>
      </c>
      <c r="BX137" s="9" t="n">
        <v>1.17771161712647</v>
      </c>
      <c r="BY137" s="9" t="n">
        <v>1.15295074205366</v>
      </c>
      <c r="BZ137" s="9" t="n">
        <v>0.0914069511463869</v>
      </c>
      <c r="CA137" s="9" t="n">
        <v>0</v>
      </c>
      <c r="CB137" s="9" t="n">
        <v>6.324</v>
      </c>
      <c r="CC137" s="9" t="n">
        <v>3.3</v>
      </c>
      <c r="CD137" s="9" t="n">
        <v>0.322</v>
      </c>
      <c r="CE137" s="9" t="n">
        <v>0.0201095292522051</v>
      </c>
      <c r="CF137" s="9" t="n">
        <v>0</v>
      </c>
      <c r="CG137" s="9" t="n">
        <v>0.0804381170088204</v>
      </c>
      <c r="CH137" s="9" t="n">
        <v>0</v>
      </c>
      <c r="CI137" s="9" t="n">
        <v>0.0804381170088204</v>
      </c>
      <c r="CJ137" s="9" t="n">
        <v>0</v>
      </c>
      <c r="CK137" s="9" t="n">
        <v>0.100547646261026</v>
      </c>
      <c r="CL137" s="9" t="n">
        <v>0</v>
      </c>
      <c r="CM137" s="9" t="n">
        <v>1.403</v>
      </c>
      <c r="CN137" s="9" t="n">
        <v>1.403</v>
      </c>
      <c r="CO137" s="9" t="n">
        <v>3</v>
      </c>
      <c r="CP137" s="9" t="n">
        <v>4</v>
      </c>
      <c r="CQ137" s="9" t="n">
        <v>0.5</v>
      </c>
      <c r="CR137" s="9" t="n">
        <v>0.3</v>
      </c>
      <c r="CS137" s="9" t="n">
        <v>0.6</v>
      </c>
      <c r="CT137" s="9" t="n">
        <v>0.8</v>
      </c>
      <c r="CU137" s="9" t="n">
        <v>0.8</v>
      </c>
      <c r="CV137" s="9" t="n">
        <v>0.7</v>
      </c>
      <c r="CW137" s="9" t="n">
        <v>0.5</v>
      </c>
      <c r="CX137" s="9" t="n">
        <v>0.5</v>
      </c>
      <c r="CY137" s="9" t="n">
        <v>1</v>
      </c>
      <c r="CZ137" s="9" t="n">
        <v>0.3</v>
      </c>
      <c r="DA137" s="9" t="n">
        <v>0.8</v>
      </c>
      <c r="DB137" s="9" t="n">
        <v>1.03536977491961</v>
      </c>
      <c r="DC137" s="9" t="n">
        <v>7.124</v>
      </c>
      <c r="DD137" s="9" t="n">
        <v>4.833</v>
      </c>
      <c r="DE137" s="9" t="n">
        <v>11.451</v>
      </c>
      <c r="DF137" s="9" t="n">
        <v>19.6808221113768</v>
      </c>
      <c r="DG137" s="9" t="n">
        <v>20.5892294309309</v>
      </c>
      <c r="DH137" s="9" t="n">
        <v>17.2720586560434</v>
      </c>
      <c r="DI137" s="9" t="n">
        <v>19.783016350672</v>
      </c>
      <c r="DJ137" s="9" t="n">
        <v>6.34</v>
      </c>
      <c r="DK137" s="9" t="n">
        <v>5.017</v>
      </c>
      <c r="DL137" s="9" t="n">
        <v>14.282</v>
      </c>
      <c r="DM137" s="9" t="n">
        <v>14.1151698941595</v>
      </c>
      <c r="DN137" s="9" t="n">
        <v>14.1151698941595</v>
      </c>
      <c r="DO137" s="9" t="n">
        <v>0.105</v>
      </c>
    </row>
    <row r="138" customFormat="false" ht="15" hidden="false" customHeight="false" outlineLevel="0" collapsed="false">
      <c r="A138" s="9" t="s">
        <v>912</v>
      </c>
      <c r="B138" s="9" t="s">
        <v>913</v>
      </c>
      <c r="C138" s="9" t="n">
        <v>0.005</v>
      </c>
      <c r="D138" s="9" t="n">
        <v>0.005</v>
      </c>
      <c r="E138" s="9" t="n">
        <v>0.01</v>
      </c>
      <c r="F138" s="9" t="n">
        <v>0.005</v>
      </c>
      <c r="G138" s="9" t="n">
        <v>0.005</v>
      </c>
      <c r="H138" s="9" t="n">
        <v>0.01</v>
      </c>
      <c r="I138" s="9" t="n">
        <v>0.005</v>
      </c>
      <c r="J138" s="9" t="n">
        <v>0.005</v>
      </c>
      <c r="K138" s="9" t="n">
        <v>0.01</v>
      </c>
      <c r="L138" s="9" t="n">
        <v>0.01</v>
      </c>
      <c r="M138" s="9" t="n">
        <v>0.005</v>
      </c>
      <c r="N138" s="9" t="n">
        <v>0.014791</v>
      </c>
      <c r="O138" s="9" t="n">
        <v>0.002521</v>
      </c>
      <c r="P138" s="9" t="n">
        <v>0.588575</v>
      </c>
      <c r="Q138" s="9" t="n">
        <v>0.0569510438209324</v>
      </c>
      <c r="R138" s="9" t="n">
        <v>0.0143266721456893</v>
      </c>
      <c r="S138" s="9" t="n">
        <v>0.0353653348248741</v>
      </c>
      <c r="T138" s="9" t="n">
        <v>0.0074477238026059</v>
      </c>
      <c r="U138" s="9" t="n">
        <v>0.000803</v>
      </c>
      <c r="V138" s="9" t="n">
        <v>0.001512</v>
      </c>
      <c r="W138" s="9" t="n">
        <v>0.005634</v>
      </c>
      <c r="X138" s="9" t="n">
        <v>0.0169739015263351</v>
      </c>
      <c r="Y138" s="9" t="n">
        <v>0.0169739015263351</v>
      </c>
      <c r="Z138" s="9" t="n">
        <v>0.75</v>
      </c>
      <c r="AA138" s="9" t="n">
        <v>0</v>
      </c>
      <c r="AB138" s="9" t="n">
        <v>0</v>
      </c>
      <c r="AC138" s="9" t="n">
        <v>0</v>
      </c>
      <c r="AD138" s="9" t="n">
        <v>0</v>
      </c>
      <c r="AE138" s="9" t="n">
        <v>4.547</v>
      </c>
      <c r="AF138" s="9" t="n">
        <v>0</v>
      </c>
      <c r="AG138" s="9" t="n">
        <v>0</v>
      </c>
      <c r="AH138" s="9" t="n">
        <v>0</v>
      </c>
      <c r="AI138" s="9" t="n">
        <v>0</v>
      </c>
      <c r="AJ138" s="9" t="n">
        <v>0</v>
      </c>
      <c r="AK138" s="9" t="n">
        <v>0</v>
      </c>
      <c r="AL138" s="9" t="n">
        <v>0</v>
      </c>
      <c r="AM138" s="9" t="n">
        <v>0</v>
      </c>
      <c r="AN138" s="9" t="n">
        <v>0</v>
      </c>
      <c r="AO138" s="9" t="n">
        <v>15.3162095238167</v>
      </c>
      <c r="AP138" s="9" t="n">
        <v>13.873772132</v>
      </c>
      <c r="AQ138" s="9" t="n">
        <v>14.2943896680654</v>
      </c>
      <c r="AR138" s="9" t="n">
        <v>14.3658616164057</v>
      </c>
      <c r="AS138" s="9" t="n">
        <v>15.7479166794171</v>
      </c>
      <c r="AT138" s="9" t="n">
        <v>12.6022679935348</v>
      </c>
      <c r="AU138" s="9" t="n">
        <v>13.9832700664772</v>
      </c>
      <c r="AV138" s="9" t="n">
        <v>14.8615270406532</v>
      </c>
      <c r="AW138" s="9" t="n">
        <v>2.11161347145765</v>
      </c>
      <c r="AX138" s="9" t="n">
        <v>1.70030595348</v>
      </c>
      <c r="AY138" s="9" t="n">
        <v>1.87499477222893</v>
      </c>
      <c r="AZ138" s="9" t="n">
        <v>1.9927588737177</v>
      </c>
      <c r="BA138" s="9" t="n">
        <v>4.79297023839132</v>
      </c>
      <c r="BB138" s="9" t="n">
        <v>4.50165296539037</v>
      </c>
      <c r="BC138" s="9" t="n">
        <v>4.57983763580322</v>
      </c>
      <c r="BD138" s="9" t="n">
        <v>4.63193694247785</v>
      </c>
      <c r="BE138" s="9" t="n">
        <v>3.8110985246842</v>
      </c>
      <c r="BF138" s="9" t="n">
        <v>3.30668011070968</v>
      </c>
      <c r="BG138" s="9" t="n">
        <v>3.40693025374865</v>
      </c>
      <c r="BH138" s="9" t="n">
        <v>3.42396490501739</v>
      </c>
      <c r="BI138" s="9" t="n">
        <v>0.128691929690257</v>
      </c>
      <c r="BJ138" s="9" t="n">
        <v>0.114564291884984</v>
      </c>
      <c r="BK138" s="9" t="n">
        <v>0.118037590258005</v>
      </c>
      <c r="BL138" s="9" t="n">
        <v>0.118627778209295</v>
      </c>
      <c r="BM138" s="9" t="n">
        <v>27.7003585545979</v>
      </c>
      <c r="BN138" s="9" t="n">
        <v>23.09931624492</v>
      </c>
      <c r="BO138" s="9" t="n">
        <v>23.7996288485358</v>
      </c>
      <c r="BP138" s="9" t="n">
        <v>23.9186269927785</v>
      </c>
      <c r="BQ138" s="9" t="n">
        <v>26.4578526840806</v>
      </c>
      <c r="BR138" s="9" t="n">
        <v>0</v>
      </c>
      <c r="BS138" s="9" t="n">
        <v>0</v>
      </c>
      <c r="BT138" s="9" t="n">
        <v>0</v>
      </c>
      <c r="BU138" s="9" t="n">
        <v>0</v>
      </c>
      <c r="BV138" s="9" t="n">
        <v>38.3767501497311</v>
      </c>
      <c r="BW138" s="9" t="n">
        <v>55.732394108668</v>
      </c>
      <c r="BX138" s="9" t="n">
        <v>44.081761144755</v>
      </c>
      <c r="BY138" s="9" t="n">
        <v>37.9493764861921</v>
      </c>
      <c r="BZ138" s="9" t="n">
        <v>4.96098059746521</v>
      </c>
      <c r="CA138" s="9" t="n">
        <v>-0.348471625231217</v>
      </c>
      <c r="CB138" s="9" t="n">
        <v>5.637</v>
      </c>
      <c r="CC138" s="9" t="n">
        <v>3.753</v>
      </c>
      <c r="CD138" s="9" t="n">
        <v>30.756</v>
      </c>
      <c r="CE138" s="9" t="n">
        <v>1.11</v>
      </c>
      <c r="CF138" s="9" t="n">
        <v>0</v>
      </c>
      <c r="CG138" s="9" t="n">
        <v>3.61</v>
      </c>
      <c r="CH138" s="9" t="n">
        <v>0.91</v>
      </c>
      <c r="CI138" s="9" t="n">
        <v>2.7</v>
      </c>
      <c r="CJ138" s="9" t="n">
        <v>0.01</v>
      </c>
      <c r="CK138" s="9" t="n">
        <v>4.73</v>
      </c>
      <c r="CL138" s="9" t="n">
        <v>0</v>
      </c>
      <c r="CM138" s="9" t="n">
        <v>8.857</v>
      </c>
      <c r="CN138" s="9" t="n">
        <v>41.144</v>
      </c>
      <c r="CO138" s="9" t="n">
        <v>3</v>
      </c>
      <c r="CP138" s="9" t="n">
        <v>2</v>
      </c>
      <c r="CQ138" s="9" t="n">
        <v>0.5</v>
      </c>
      <c r="CR138" s="9" t="n">
        <v>0.3</v>
      </c>
      <c r="CS138" s="9" t="n">
        <v>0.6</v>
      </c>
      <c r="CT138" s="9" t="n">
        <v>0.8</v>
      </c>
      <c r="CU138" s="9" t="n">
        <v>0.8</v>
      </c>
      <c r="CV138" s="9" t="n">
        <v>0.7</v>
      </c>
      <c r="CW138" s="9" t="n">
        <v>0.5</v>
      </c>
      <c r="CX138" s="9" t="n">
        <v>0.5</v>
      </c>
      <c r="CY138" s="9" t="n">
        <v>1</v>
      </c>
      <c r="CZ138" s="9" t="n">
        <v>0.3</v>
      </c>
      <c r="DA138" s="9" t="n">
        <v>0.8</v>
      </c>
      <c r="DB138" s="9" t="n">
        <v>0.684348716123003</v>
      </c>
      <c r="DC138" s="9" t="n">
        <v>7.124</v>
      </c>
      <c r="DD138" s="9" t="n">
        <v>4.833</v>
      </c>
      <c r="DE138" s="9" t="n">
        <v>12.5961</v>
      </c>
      <c r="DF138" s="9" t="n">
        <v>19.8423710939668</v>
      </c>
      <c r="DG138" s="9" t="n">
        <v>22.6481523740239</v>
      </c>
      <c r="DH138" s="9" t="n">
        <v>18.2795865806834</v>
      </c>
      <c r="DI138" s="9" t="n">
        <v>20.7721671682056</v>
      </c>
      <c r="DJ138" s="9" t="n">
        <v>13.196</v>
      </c>
      <c r="DK138" s="9" t="n">
        <v>11.872</v>
      </c>
      <c r="DL138" s="9" t="n">
        <v>23.2507</v>
      </c>
      <c r="DM138" s="9" t="n">
        <v>14.1151698941595</v>
      </c>
      <c r="DN138" s="9" t="n">
        <v>14.1151698941595</v>
      </c>
      <c r="DO138" s="9" t="n">
        <v>0.105</v>
      </c>
    </row>
    <row r="139" customFormat="false" ht="15" hidden="false" customHeight="false" outlineLevel="0" collapsed="false">
      <c r="A139" s="9" t="s">
        <v>732</v>
      </c>
      <c r="B139" s="9" t="s">
        <v>733</v>
      </c>
      <c r="C139" s="9" t="n">
        <v>0.005</v>
      </c>
      <c r="D139" s="9" t="n">
        <v>0.005</v>
      </c>
      <c r="E139" s="9" t="n">
        <v>0.01</v>
      </c>
      <c r="F139" s="9" t="n">
        <v>0.005</v>
      </c>
      <c r="G139" s="9" t="n">
        <v>0.005</v>
      </c>
      <c r="H139" s="9" t="n">
        <v>0.01</v>
      </c>
      <c r="I139" s="9" t="n">
        <v>0.005</v>
      </c>
      <c r="J139" s="9" t="n">
        <v>0.005</v>
      </c>
      <c r="K139" s="9" t="n">
        <v>0.01</v>
      </c>
      <c r="L139" s="9" t="n">
        <v>0.01</v>
      </c>
      <c r="M139" s="9" t="n">
        <v>0.005</v>
      </c>
      <c r="N139" s="9" t="n">
        <v>2.212037</v>
      </c>
      <c r="O139" s="9" t="n">
        <v>5.917777</v>
      </c>
      <c r="P139" s="9" t="n">
        <v>93.061052</v>
      </c>
      <c r="Q139" s="9" t="n">
        <v>12.3476512654849</v>
      </c>
      <c r="R139" s="9" t="n">
        <v>2.64594475109051</v>
      </c>
      <c r="S139" s="9" t="n">
        <v>5.52385337254526</v>
      </c>
      <c r="T139" s="9" t="n">
        <v>5.10444491098289</v>
      </c>
      <c r="U139" s="9" t="n">
        <v>0.073845</v>
      </c>
      <c r="V139" s="9" t="n">
        <v>0.227125</v>
      </c>
      <c r="W139" s="9" t="n">
        <v>0.271583</v>
      </c>
      <c r="X139" s="9" t="n">
        <v>1.55616010127764</v>
      </c>
      <c r="Y139" s="9" t="n">
        <v>1.55616010127764</v>
      </c>
      <c r="Z139" s="9" t="n">
        <v>32.46</v>
      </c>
      <c r="AA139" s="9" t="n">
        <v>25.42</v>
      </c>
      <c r="AB139" s="9" t="n">
        <v>10.6</v>
      </c>
      <c r="AC139" s="9" t="n">
        <v>0</v>
      </c>
      <c r="AD139" s="9" t="n">
        <v>0</v>
      </c>
      <c r="AE139" s="9" t="n">
        <v>353.737</v>
      </c>
      <c r="AF139" s="9" t="n">
        <v>312.714414220198</v>
      </c>
      <c r="AG139" s="9" t="n">
        <v>261.2383711884</v>
      </c>
      <c r="AH139" s="9" t="n">
        <v>272.107276779871</v>
      </c>
      <c r="AI139" s="9" t="n">
        <v>269.386204012072</v>
      </c>
      <c r="AJ139" s="9" t="n">
        <v>1173.49536794709</v>
      </c>
      <c r="AK139" s="9" t="n">
        <v>308.429099323319</v>
      </c>
      <c r="AL139" s="9" t="n">
        <v>278.4310885764</v>
      </c>
      <c r="AM139" s="9" t="n">
        <v>290.015302647635</v>
      </c>
      <c r="AN139" s="9" t="n">
        <v>287.115149621159</v>
      </c>
      <c r="AO139" s="9" t="n">
        <v>669.999190218244</v>
      </c>
      <c r="AP139" s="9" t="n">
        <v>647.901168069148</v>
      </c>
      <c r="AQ139" s="9" t="n">
        <v>674.857302408496</v>
      </c>
      <c r="AR139" s="9" t="n">
        <v>668.108729384411</v>
      </c>
      <c r="AS139" s="9" t="n">
        <v>573.108128155396</v>
      </c>
      <c r="AT139" s="9" t="n">
        <v>407.149050384</v>
      </c>
      <c r="AU139" s="9" t="n">
        <v>427.238483908033</v>
      </c>
      <c r="AV139" s="9" t="n">
        <v>720.293586829449</v>
      </c>
      <c r="AW139" s="9" t="n">
        <v>155.281565133271</v>
      </c>
      <c r="AX139" s="9" t="n">
        <v>110.1240020088</v>
      </c>
      <c r="AY139" s="9" t="n">
        <v>115.539945760194</v>
      </c>
      <c r="AZ139" s="9" t="n">
        <v>195.458464142369</v>
      </c>
      <c r="BA139" s="9" t="n">
        <v>221.862613417309</v>
      </c>
      <c r="BB139" s="9" t="n">
        <v>214.187803451342</v>
      </c>
      <c r="BC139" s="9" t="n">
        <v>228.297909453252</v>
      </c>
      <c r="BD139" s="9" t="n">
        <v>220.875879528541</v>
      </c>
      <c r="BE139" s="9" t="n">
        <v>0</v>
      </c>
      <c r="BF139" s="9" t="n">
        <v>0</v>
      </c>
      <c r="BG139" s="9" t="n">
        <v>0</v>
      </c>
      <c r="BH139" s="9" t="n">
        <v>0</v>
      </c>
      <c r="BI139" s="9" t="n">
        <v>22.8673358018978</v>
      </c>
      <c r="BJ139" s="9" t="n">
        <v>21.8659470170545</v>
      </c>
      <c r="BK139" s="9" t="n">
        <v>22.7756867031325</v>
      </c>
      <c r="BL139" s="9" t="n">
        <v>22.5479298361012</v>
      </c>
      <c r="BM139" s="9" t="n">
        <v>288.010550233142</v>
      </c>
      <c r="BN139" s="9" t="n">
        <v>221.6024003232</v>
      </c>
      <c r="BO139" s="9" t="n">
        <v>230.822238729784</v>
      </c>
      <c r="BP139" s="9" t="n">
        <v>228.514016342486</v>
      </c>
      <c r="BQ139" s="9" t="n">
        <v>312.455098523176</v>
      </c>
      <c r="BR139" s="9" t="n">
        <v>335.266964720596</v>
      </c>
      <c r="BS139" s="9" t="n">
        <v>298.4240634084</v>
      </c>
      <c r="BT139" s="9" t="n">
        <v>310.840091561744</v>
      </c>
      <c r="BU139" s="9" t="n">
        <v>307.731690646127</v>
      </c>
      <c r="BV139" s="9" t="n">
        <v>347.678899009284</v>
      </c>
      <c r="BW139" s="9" t="n">
        <v>306.323556941199</v>
      </c>
      <c r="BX139" s="9" t="n">
        <v>365.674137442053</v>
      </c>
      <c r="BY139" s="9" t="n">
        <v>425.073298567447</v>
      </c>
      <c r="BZ139" s="9" t="n">
        <v>202.330470357963</v>
      </c>
      <c r="CA139" s="9" t="n">
        <v>3.38401553205808</v>
      </c>
      <c r="CB139" s="9" t="n">
        <v>3.573</v>
      </c>
      <c r="CC139" s="9" t="n">
        <v>3.324</v>
      </c>
      <c r="CD139" s="9" t="n">
        <v>917.623</v>
      </c>
      <c r="CE139" s="9" t="n">
        <v>10.41</v>
      </c>
      <c r="CF139" s="9" t="n">
        <v>87.4</v>
      </c>
      <c r="CG139" s="9" t="n">
        <v>118.64</v>
      </c>
      <c r="CH139" s="9" t="n">
        <v>24.81</v>
      </c>
      <c r="CI139" s="9" t="n">
        <v>6.43</v>
      </c>
      <c r="CJ139" s="9" t="n">
        <v>19.55</v>
      </c>
      <c r="CK139" s="9" t="n">
        <v>172.58</v>
      </c>
      <c r="CL139" s="9" t="n">
        <v>23.98</v>
      </c>
      <c r="CM139" s="9" t="n">
        <v>423.937</v>
      </c>
      <c r="CN139" s="9" t="n">
        <v>403.79</v>
      </c>
      <c r="CO139" s="9" t="n">
        <v>3</v>
      </c>
      <c r="CP139" s="9" t="n">
        <v>4</v>
      </c>
      <c r="CQ139" s="9" t="n">
        <v>0.5</v>
      </c>
      <c r="CR139" s="9" t="n">
        <v>0.3</v>
      </c>
      <c r="CS139" s="9" t="n">
        <v>0.6</v>
      </c>
      <c r="CT139" s="9" t="n">
        <v>0.8</v>
      </c>
      <c r="CU139" s="9" t="n">
        <v>0.8</v>
      </c>
      <c r="CV139" s="9" t="n">
        <v>0.7</v>
      </c>
      <c r="CW139" s="9" t="n">
        <v>0.5</v>
      </c>
      <c r="CX139" s="9" t="n">
        <v>0.5</v>
      </c>
      <c r="CY139" s="9" t="n">
        <v>1</v>
      </c>
      <c r="CZ139" s="9" t="n">
        <v>0.3</v>
      </c>
      <c r="DA139" s="9" t="n">
        <v>0.8</v>
      </c>
      <c r="DB139" s="9" t="n">
        <v>0.47997001831749</v>
      </c>
      <c r="DC139" s="9" t="n">
        <v>8.462</v>
      </c>
      <c r="DD139" s="9" t="n">
        <v>6.682</v>
      </c>
      <c r="DE139" s="9" t="n">
        <v>16.27536</v>
      </c>
      <c r="DF139" s="9" t="n">
        <v>24.140646555226</v>
      </c>
      <c r="DG139" s="9" t="n">
        <v>27.7477613502417</v>
      </c>
      <c r="DH139" s="9" t="n">
        <v>15.656114517978</v>
      </c>
      <c r="DI139" s="9" t="n">
        <v>20.7706543493082</v>
      </c>
      <c r="DJ139" s="9" t="n">
        <v>21.653</v>
      </c>
      <c r="DK139" s="9" t="n">
        <v>21.212</v>
      </c>
      <c r="DL139" s="9" t="n">
        <v>28.66392</v>
      </c>
      <c r="DM139" s="9" t="n">
        <v>13.4947462084719</v>
      </c>
      <c r="DN139" s="9" t="n">
        <v>13.4947462084719</v>
      </c>
      <c r="DO139" s="9" t="n">
        <v>0.05799</v>
      </c>
    </row>
    <row r="140" customFormat="false" ht="15" hidden="false" customHeight="false" outlineLevel="0" collapsed="false">
      <c r="A140" s="9" t="s">
        <v>834</v>
      </c>
      <c r="B140" s="9" t="s">
        <v>835</v>
      </c>
      <c r="C140" s="9" t="n">
        <v>0.005</v>
      </c>
      <c r="D140" s="9" t="n">
        <v>0.005</v>
      </c>
      <c r="E140" s="9" t="n">
        <v>0.01</v>
      </c>
      <c r="F140" s="9" t="n">
        <v>0.005</v>
      </c>
      <c r="G140" s="9" t="n">
        <v>0.005</v>
      </c>
      <c r="H140" s="9" t="n">
        <v>0.01</v>
      </c>
      <c r="I140" s="9" t="n">
        <v>0.005</v>
      </c>
      <c r="J140" s="9" t="n">
        <v>0.005</v>
      </c>
      <c r="K140" s="9" t="n">
        <v>0.01</v>
      </c>
      <c r="L140" s="9" t="n">
        <v>0.01</v>
      </c>
      <c r="M140" s="9" t="n">
        <v>0.005</v>
      </c>
      <c r="N140" s="9" t="n">
        <v>0</v>
      </c>
      <c r="O140" s="9" t="n">
        <v>0</v>
      </c>
      <c r="P140" s="9" t="n">
        <v>0</v>
      </c>
      <c r="Q140" s="9" t="n">
        <v>0</v>
      </c>
      <c r="R140" s="9" t="n">
        <v>0</v>
      </c>
      <c r="S140" s="9" t="n">
        <v>0</v>
      </c>
      <c r="T140" s="9" t="n">
        <v>0</v>
      </c>
      <c r="U140" s="9" t="n">
        <v>0</v>
      </c>
      <c r="V140" s="9" t="n">
        <v>0</v>
      </c>
      <c r="W140" s="9" t="n">
        <v>0</v>
      </c>
      <c r="X140" s="9" t="n">
        <v>0</v>
      </c>
      <c r="Y140" s="9" t="n">
        <v>0</v>
      </c>
      <c r="Z140" s="9" t="n">
        <v>5.42</v>
      </c>
      <c r="AA140" s="9" t="n">
        <v>1.36</v>
      </c>
      <c r="AB140" s="9" t="n">
        <v>0.13</v>
      </c>
      <c r="AC140" s="9" t="n">
        <v>0</v>
      </c>
      <c r="AD140" s="9" t="n">
        <v>0</v>
      </c>
      <c r="AE140" s="9" t="n">
        <v>13.541</v>
      </c>
      <c r="AF140" s="9" t="n">
        <v>0</v>
      </c>
      <c r="AG140" s="9" t="n">
        <v>0</v>
      </c>
      <c r="AH140" s="9" t="n">
        <v>0</v>
      </c>
      <c r="AI140" s="9" t="n">
        <v>0</v>
      </c>
      <c r="AJ140" s="9" t="n">
        <v>0</v>
      </c>
      <c r="AK140" s="9" t="n">
        <v>0</v>
      </c>
      <c r="AL140" s="9" t="n">
        <v>0</v>
      </c>
      <c r="AM140" s="9" t="n">
        <v>0</v>
      </c>
      <c r="AN140" s="9" t="n">
        <v>0</v>
      </c>
      <c r="AO140" s="9" t="n">
        <v>25.8504113798817</v>
      </c>
      <c r="AP140" s="9" t="n">
        <v>24.389811827691</v>
      </c>
      <c r="AQ140" s="9" t="n">
        <v>24.389811827691</v>
      </c>
      <c r="AR140" s="9" t="n">
        <v>24.389811827691</v>
      </c>
      <c r="AS140" s="9" t="n">
        <v>0</v>
      </c>
      <c r="AT140" s="9" t="n">
        <v>0</v>
      </c>
      <c r="AU140" s="9" t="n">
        <v>0</v>
      </c>
      <c r="AV140" s="9" t="n">
        <v>0</v>
      </c>
      <c r="AW140" s="9" t="n">
        <v>0</v>
      </c>
      <c r="AX140" s="9" t="n">
        <v>0</v>
      </c>
      <c r="AY140" s="9" t="n">
        <v>0</v>
      </c>
      <c r="AZ140" s="9" t="n">
        <v>0</v>
      </c>
      <c r="BA140" s="9" t="n">
        <v>78.0447742858119</v>
      </c>
      <c r="BB140" s="9" t="n">
        <v>75.691903226793</v>
      </c>
      <c r="BC140" s="9" t="n">
        <v>65.6027469698086</v>
      </c>
      <c r="BD140" s="9" t="n">
        <v>75.691903226793</v>
      </c>
      <c r="BE140" s="9" t="n">
        <v>0.0394421691858429</v>
      </c>
      <c r="BF140" s="9" t="n">
        <v>0.039475482764644</v>
      </c>
      <c r="BG140" s="9" t="n">
        <v>0.039475482764644</v>
      </c>
      <c r="BH140" s="9" t="n">
        <v>0.039475482764644</v>
      </c>
      <c r="BI140" s="9" t="n">
        <v>6.80394402477497</v>
      </c>
      <c r="BJ140" s="9" t="n">
        <v>6.59630254523179</v>
      </c>
      <c r="BK140" s="9" t="n">
        <v>6.59630254523179</v>
      </c>
      <c r="BL140" s="9" t="n">
        <v>6.59630254523179</v>
      </c>
      <c r="BM140" s="9" t="n">
        <v>0</v>
      </c>
      <c r="BN140" s="9" t="n">
        <v>0</v>
      </c>
      <c r="BO140" s="9" t="n">
        <v>0</v>
      </c>
      <c r="BP140" s="9" t="n">
        <v>0</v>
      </c>
      <c r="BQ140" s="9" t="n">
        <v>0</v>
      </c>
      <c r="BR140" s="9" t="n">
        <v>0</v>
      </c>
      <c r="BS140" s="9" t="n">
        <v>0</v>
      </c>
      <c r="BT140" s="9" t="n">
        <v>0</v>
      </c>
      <c r="BU140" s="9" t="n">
        <v>0</v>
      </c>
      <c r="BV140" s="9" t="n">
        <v>16.5558766194604</v>
      </c>
      <c r="BW140" s="9" t="n">
        <v>105.594683564899</v>
      </c>
      <c r="BX140" s="9" t="n">
        <v>14.4824159276321</v>
      </c>
      <c r="BY140" s="9" t="n">
        <v>14.5139154083935</v>
      </c>
      <c r="BZ140" s="9" t="n">
        <v>0</v>
      </c>
      <c r="CA140" s="9" t="n">
        <v>0.250606111935222</v>
      </c>
      <c r="CB140" s="9" t="n">
        <v>-0.8</v>
      </c>
      <c r="CC140" s="9" t="n">
        <v>-0.1</v>
      </c>
      <c r="CD140" s="9" t="n">
        <v>125.842</v>
      </c>
      <c r="CE140" s="9" t="n">
        <v>0.02</v>
      </c>
      <c r="CF140" s="9" t="n">
        <v>3.06</v>
      </c>
      <c r="CG140" s="9" t="n">
        <v>18.38</v>
      </c>
      <c r="CH140" s="9" t="n">
        <v>5.75</v>
      </c>
      <c r="CI140" s="9" t="n">
        <v>9.57</v>
      </c>
      <c r="CJ140" s="9" t="n">
        <v>0.95</v>
      </c>
      <c r="CK140" s="9" t="n">
        <v>19.58</v>
      </c>
      <c r="CL140" s="9" t="n">
        <v>0.23</v>
      </c>
      <c r="CM140" s="9" t="n">
        <v>16.167</v>
      </c>
      <c r="CN140" s="9" t="n">
        <v>13.542</v>
      </c>
      <c r="CO140" s="9" t="n">
        <v>1</v>
      </c>
      <c r="CP140" s="9" t="n">
        <v>4</v>
      </c>
      <c r="CQ140" s="9" t="n">
        <v>0.5</v>
      </c>
      <c r="CR140" s="9" t="n">
        <v>0.3</v>
      </c>
      <c r="CS140" s="9" t="n">
        <v>0.6</v>
      </c>
      <c r="CT140" s="9" t="n">
        <v>0.8</v>
      </c>
      <c r="CU140" s="9" t="n">
        <v>0.8</v>
      </c>
      <c r="CV140" s="9" t="n">
        <v>0.7</v>
      </c>
      <c r="CW140" s="9" t="n">
        <v>0.5</v>
      </c>
      <c r="CX140" s="9" t="n">
        <v>0.5</v>
      </c>
      <c r="CY140" s="9" t="n">
        <v>1</v>
      </c>
      <c r="CZ140" s="9" t="n">
        <v>0.3</v>
      </c>
      <c r="DA140" s="9" t="n">
        <v>0.8</v>
      </c>
      <c r="DB140" s="9" t="n">
        <v>0.782132557677009</v>
      </c>
      <c r="DC140" s="9" t="n">
        <v>7.124</v>
      </c>
      <c r="DD140" s="9" t="n">
        <v>5.575</v>
      </c>
      <c r="DE140" s="9" t="n">
        <v>13.595195</v>
      </c>
      <c r="DF140" s="9" t="n">
        <v>18.2239854522795</v>
      </c>
      <c r="DG140" s="9" t="n">
        <v>23.9640900961803</v>
      </c>
      <c r="DH140" s="9" t="n">
        <v>16.696411670467</v>
      </c>
      <c r="DI140" s="9" t="n">
        <v>22.6936023288216</v>
      </c>
      <c r="DJ140" s="9" t="n">
        <v>12.771</v>
      </c>
      <c r="DK140" s="9" t="n">
        <v>11.447</v>
      </c>
      <c r="DL140" s="9" t="n">
        <v>23.09388</v>
      </c>
      <c r="DM140" s="9" t="n">
        <v>13.4947462084719</v>
      </c>
      <c r="DN140" s="9" t="n">
        <v>13.4947462084719</v>
      </c>
      <c r="DO140" s="9" t="n">
        <v>0.055</v>
      </c>
    </row>
    <row r="141" customFormat="false" ht="15" hidden="false" customHeight="false" outlineLevel="0" collapsed="false">
      <c r="A141" s="9" t="s">
        <v>786</v>
      </c>
      <c r="B141" s="9" t="s">
        <v>787</v>
      </c>
      <c r="C141" s="9" t="n">
        <v>0.005</v>
      </c>
      <c r="D141" s="9" t="n">
        <v>0.005</v>
      </c>
      <c r="E141" s="9" t="n">
        <v>0.01</v>
      </c>
      <c r="F141" s="9" t="n">
        <v>0.005</v>
      </c>
      <c r="G141" s="9" t="n">
        <v>0.005</v>
      </c>
      <c r="H141" s="9" t="n">
        <v>0.01</v>
      </c>
      <c r="I141" s="9" t="n">
        <v>0.005</v>
      </c>
      <c r="J141" s="9" t="n">
        <v>0.005</v>
      </c>
      <c r="K141" s="9" t="n">
        <v>0.01</v>
      </c>
      <c r="L141" s="9" t="n">
        <v>0.01</v>
      </c>
      <c r="M141" s="9" t="n">
        <v>0.005</v>
      </c>
      <c r="N141" s="9" t="n">
        <v>4.248694</v>
      </c>
      <c r="O141" s="9" t="n">
        <v>1.086916</v>
      </c>
      <c r="P141" s="9" t="n">
        <v>42.953438</v>
      </c>
      <c r="Q141" s="9" t="n">
        <v>3.55839452755168</v>
      </c>
      <c r="R141" s="9" t="n">
        <v>0.600433403279521</v>
      </c>
      <c r="S141" s="9" t="n">
        <v>6.17131715415931</v>
      </c>
      <c r="T141" s="9" t="n">
        <v>6.01380422923544</v>
      </c>
      <c r="U141" s="9" t="n">
        <v>0.346974</v>
      </c>
      <c r="V141" s="9" t="n">
        <v>0.453177</v>
      </c>
      <c r="W141" s="9" t="n">
        <v>0.098275</v>
      </c>
      <c r="X141" s="9" t="n">
        <v>2.24813165478768</v>
      </c>
      <c r="Y141" s="9" t="n">
        <v>2.24813165478768</v>
      </c>
      <c r="Z141" s="9" t="n">
        <v>4.66</v>
      </c>
      <c r="AA141" s="9" t="n">
        <v>6.95</v>
      </c>
      <c r="AB141" s="9" t="n">
        <v>5.61</v>
      </c>
      <c r="AC141" s="9" t="n">
        <v>0</v>
      </c>
      <c r="AD141" s="9" t="n">
        <v>0</v>
      </c>
      <c r="AE141" s="9" t="n">
        <v>45.198</v>
      </c>
      <c r="AF141" s="9" t="n">
        <v>0.517396331002458</v>
      </c>
      <c r="AG141" s="9" t="n">
        <v>0.4178342664</v>
      </c>
      <c r="AH141" s="9" t="n">
        <v>0.450974987335601</v>
      </c>
      <c r="AI141" s="9" t="n">
        <v>0.458641562120306</v>
      </c>
      <c r="AJ141" s="9" t="n">
        <v>55.7562976367798</v>
      </c>
      <c r="AK141" s="9" t="n">
        <v>0</v>
      </c>
      <c r="AL141" s="9" t="n">
        <v>0</v>
      </c>
      <c r="AM141" s="9" t="n">
        <v>0</v>
      </c>
      <c r="AN141" s="9" t="n">
        <v>0</v>
      </c>
      <c r="AO141" s="9" t="n">
        <v>183.840744314302</v>
      </c>
      <c r="AP141" s="9" t="n">
        <v>165.357227660693</v>
      </c>
      <c r="AQ141" s="9" t="n">
        <v>178.472613777306</v>
      </c>
      <c r="AR141" s="9" t="n">
        <v>181.50664821152</v>
      </c>
      <c r="AS141" s="9" t="n">
        <v>146.545891654447</v>
      </c>
      <c r="AT141" s="9" t="n">
        <v>118.9543651416</v>
      </c>
      <c r="AU141" s="9" t="n">
        <v>133.428124556027</v>
      </c>
      <c r="AV141" s="9" t="n">
        <v>144.472221470565</v>
      </c>
      <c r="AW141" s="9" t="n">
        <v>62.8837060250168</v>
      </c>
      <c r="AX141" s="9" t="n">
        <v>51.4005020532</v>
      </c>
      <c r="AY141" s="9" t="n">
        <v>57.2443424820242</v>
      </c>
      <c r="AZ141" s="9" t="n">
        <v>61.9921216727667</v>
      </c>
      <c r="BA141" s="9" t="n">
        <v>48.5873216957062</v>
      </c>
      <c r="BB141" s="9" t="n">
        <v>43.5045088450431</v>
      </c>
      <c r="BC141" s="9" t="n">
        <v>47.3580776712536</v>
      </c>
      <c r="BD141" s="9" t="n">
        <v>47.7533211139047</v>
      </c>
      <c r="BE141" s="9" t="n">
        <v>0.19147845163527</v>
      </c>
      <c r="BF141" s="9" t="n">
        <v>0.167738190931383</v>
      </c>
      <c r="BG141" s="9" t="n">
        <v>0.181042424267233</v>
      </c>
      <c r="BH141" s="9" t="n">
        <v>0.184120145479776</v>
      </c>
      <c r="BI141" s="9" t="n">
        <v>15.3011507122025</v>
      </c>
      <c r="BJ141" s="9" t="n">
        <v>13.9983883623678</v>
      </c>
      <c r="BK141" s="9" t="n">
        <v>15.1086771049893</v>
      </c>
      <c r="BL141" s="9" t="n">
        <v>15.3655246157741</v>
      </c>
      <c r="BM141" s="9" t="n">
        <v>69.9851440905446</v>
      </c>
      <c r="BN141" s="9" t="n">
        <v>51.7934206728</v>
      </c>
      <c r="BO141" s="9" t="n">
        <v>55.9014401409167</v>
      </c>
      <c r="BP141" s="9" t="n">
        <v>56.8517646233122</v>
      </c>
      <c r="BQ141" s="9" t="n">
        <v>54.4164450516942</v>
      </c>
      <c r="BR141" s="9" t="n">
        <v>39.847238103584</v>
      </c>
      <c r="BS141" s="9" t="n">
        <v>30.08037861</v>
      </c>
      <c r="BT141" s="9" t="n">
        <v>32.4662179566392</v>
      </c>
      <c r="BU141" s="9" t="n">
        <v>33.018143661902</v>
      </c>
      <c r="BV141" s="9" t="n">
        <v>83.285103116066</v>
      </c>
      <c r="BW141" s="9" t="n">
        <v>82.7625667923181</v>
      </c>
      <c r="BX141" s="9" t="n">
        <v>78.7441903918362</v>
      </c>
      <c r="BY141" s="9" t="n">
        <v>79.9842683466707</v>
      </c>
      <c r="BZ141" s="9" t="n">
        <v>58.1748882442956</v>
      </c>
      <c r="CA141" s="9" t="n">
        <v>7.10045511584031</v>
      </c>
      <c r="CB141" s="9" t="n">
        <v>1.864</v>
      </c>
      <c r="CC141" s="9" t="n">
        <v>1.93</v>
      </c>
      <c r="CD141" s="9" t="n">
        <v>313.562</v>
      </c>
      <c r="CE141" s="9" t="n">
        <v>18.83</v>
      </c>
      <c r="CF141" s="9" t="n">
        <v>0</v>
      </c>
      <c r="CG141" s="9" t="n">
        <v>9.77</v>
      </c>
      <c r="CH141" s="9" t="n">
        <v>8.42</v>
      </c>
      <c r="CI141" s="9" t="n">
        <v>1.35</v>
      </c>
      <c r="CJ141" s="9" t="n">
        <v>8.86</v>
      </c>
      <c r="CK141" s="9" t="n">
        <v>51.14</v>
      </c>
      <c r="CL141" s="9" t="n">
        <v>13.68</v>
      </c>
      <c r="CM141" s="9" t="n">
        <v>62.361</v>
      </c>
      <c r="CN141" s="9" t="n">
        <v>55.863</v>
      </c>
      <c r="CO141" s="9" t="n">
        <v>1</v>
      </c>
      <c r="CP141" s="9" t="n">
        <v>4</v>
      </c>
      <c r="CQ141" s="9" t="n">
        <v>0.5</v>
      </c>
      <c r="CR141" s="9" t="n">
        <v>0.3</v>
      </c>
      <c r="CS141" s="9" t="n">
        <v>0.6</v>
      </c>
      <c r="CT141" s="9" t="n">
        <v>0.8</v>
      </c>
      <c r="CU141" s="9" t="n">
        <v>0.8</v>
      </c>
      <c r="CV141" s="9" t="n">
        <v>0.7</v>
      </c>
      <c r="CW141" s="9" t="n">
        <v>0.5</v>
      </c>
      <c r="CX141" s="9" t="n">
        <v>0.5</v>
      </c>
      <c r="CY141" s="9" t="n">
        <v>1</v>
      </c>
      <c r="CZ141" s="9" t="n">
        <v>0.3</v>
      </c>
      <c r="DA141" s="9" t="n">
        <v>0.8</v>
      </c>
      <c r="DB141" s="9" t="n">
        <v>0.6067282240213</v>
      </c>
      <c r="DC141" s="9" t="n">
        <v>8.81</v>
      </c>
      <c r="DD141" s="9" t="n">
        <v>4.039</v>
      </c>
      <c r="DE141" s="9" t="n">
        <v>31.9431</v>
      </c>
      <c r="DF141" s="9" t="n">
        <v>23.026400991656</v>
      </c>
      <c r="DG141" s="9" t="n">
        <v>25.4565518645549</v>
      </c>
      <c r="DH141" s="9" t="n">
        <v>15.7776547098705</v>
      </c>
      <c r="DI141" s="9" t="n">
        <v>23.097098281919</v>
      </c>
      <c r="DJ141" s="9" t="n">
        <v>14.363</v>
      </c>
      <c r="DK141" s="9" t="n">
        <v>14.363</v>
      </c>
      <c r="DL141" s="9" t="n">
        <v>32.19279</v>
      </c>
      <c r="DM141" s="9" t="n">
        <v>13.4947462084719</v>
      </c>
      <c r="DN141" s="9" t="n">
        <v>13.4947462084719</v>
      </c>
      <c r="DO141" s="9" t="n">
        <v>0.1003</v>
      </c>
    </row>
    <row r="142" customFormat="false" ht="15" hidden="false" customHeight="false" outlineLevel="0" collapsed="false">
      <c r="A142" s="9" t="s">
        <v>888</v>
      </c>
      <c r="B142" s="9" t="s">
        <v>889</v>
      </c>
      <c r="C142" s="9" t="n">
        <v>0.005</v>
      </c>
      <c r="D142" s="9" t="n">
        <v>0.005</v>
      </c>
      <c r="E142" s="9" t="n">
        <v>0.01</v>
      </c>
      <c r="F142" s="9" t="n">
        <v>0.005</v>
      </c>
      <c r="G142" s="9" t="n">
        <v>0.005</v>
      </c>
      <c r="H142" s="9" t="n">
        <v>0.01</v>
      </c>
      <c r="I142" s="9" t="n">
        <v>0.005</v>
      </c>
      <c r="J142" s="9" t="n">
        <v>0.005</v>
      </c>
      <c r="K142" s="9" t="n">
        <v>0.01</v>
      </c>
      <c r="L142" s="9" t="n">
        <v>0.01</v>
      </c>
      <c r="M142" s="9" t="n">
        <v>0.005</v>
      </c>
      <c r="N142" s="9" t="n">
        <v>3.814733</v>
      </c>
      <c r="O142" s="9" t="n">
        <v>1.058418</v>
      </c>
      <c r="P142" s="9" t="n">
        <v>9.398788</v>
      </c>
      <c r="Q142" s="9" t="n">
        <v>4.07698687149737</v>
      </c>
      <c r="R142" s="9" t="n">
        <v>0.558425656010025</v>
      </c>
      <c r="S142" s="9" t="n">
        <v>0.380356162858084</v>
      </c>
      <c r="T142" s="9" t="n">
        <v>0.231655242443555</v>
      </c>
      <c r="U142" s="9" t="n">
        <v>0.045466</v>
      </c>
      <c r="V142" s="9" t="n">
        <v>0.002491</v>
      </c>
      <c r="W142" s="9" t="n">
        <v>0.019358</v>
      </c>
      <c r="X142" s="9" t="n">
        <v>0.189144657198812</v>
      </c>
      <c r="Y142" s="9" t="n">
        <v>0.189144657198812</v>
      </c>
      <c r="Z142" s="9" t="n">
        <v>0.03</v>
      </c>
      <c r="AA142" s="9" t="n">
        <v>0</v>
      </c>
      <c r="AB142" s="9" t="n">
        <v>0</v>
      </c>
      <c r="AC142" s="9" t="n">
        <v>0</v>
      </c>
      <c r="AD142" s="9" t="n">
        <v>0</v>
      </c>
      <c r="AE142" s="9" t="n">
        <v>19.121</v>
      </c>
      <c r="AF142" s="9" t="n">
        <v>0.0253446603047532</v>
      </c>
      <c r="AG142" s="9" t="n">
        <v>0.023739156</v>
      </c>
      <c r="AH142" s="9" t="n">
        <v>0.023739156</v>
      </c>
      <c r="AI142" s="9" t="n">
        <v>0.023169416256</v>
      </c>
      <c r="AJ142" s="9" t="n">
        <v>0</v>
      </c>
      <c r="AK142" s="9" t="n">
        <v>0</v>
      </c>
      <c r="AL142" s="9" t="n">
        <v>0</v>
      </c>
      <c r="AM142" s="9" t="n">
        <v>0</v>
      </c>
      <c r="AN142" s="9" t="n">
        <v>0</v>
      </c>
      <c r="AO142" s="9" t="n">
        <v>62.5142050014735</v>
      </c>
      <c r="AP142" s="9" t="n">
        <v>60.92953864</v>
      </c>
      <c r="AQ142" s="9" t="n">
        <v>60.92953864</v>
      </c>
      <c r="AR142" s="9" t="n">
        <v>59.46722971264</v>
      </c>
      <c r="AS142" s="9" t="n">
        <v>40.1412799904018</v>
      </c>
      <c r="AT142" s="9" t="n">
        <v>27.9358033536</v>
      </c>
      <c r="AU142" s="9" t="n">
        <v>29.8669087738903</v>
      </c>
      <c r="AV142" s="9" t="n">
        <v>38.9906220240479</v>
      </c>
      <c r="AW142" s="9" t="n">
        <v>31.3254455828251</v>
      </c>
      <c r="AX142" s="9" t="n">
        <v>22.2300909288</v>
      </c>
      <c r="AY142" s="9" t="n">
        <v>23.3075334355909</v>
      </c>
      <c r="AZ142" s="9" t="n">
        <v>30.4274953052535</v>
      </c>
      <c r="BA142" s="9" t="n">
        <v>38.0048179563957</v>
      </c>
      <c r="BB142" s="9" t="n">
        <v>38.2631312458977</v>
      </c>
      <c r="BC142" s="9" t="n">
        <v>27.6519622551068</v>
      </c>
      <c r="BD142" s="9" t="n">
        <v>31.74702610368</v>
      </c>
      <c r="BE142" s="9" t="n">
        <v>0.213211263175102</v>
      </c>
      <c r="BF142" s="9" t="n">
        <v>0.211642486666666</v>
      </c>
      <c r="BG142" s="9" t="n">
        <v>0.211642486666666</v>
      </c>
      <c r="BH142" s="9" t="n">
        <v>0.206563066986666</v>
      </c>
      <c r="BI142" s="9" t="n">
        <v>3.43306625719604</v>
      </c>
      <c r="BJ142" s="9" t="n">
        <v>3.35883389</v>
      </c>
      <c r="BK142" s="9" t="n">
        <v>3.35883389</v>
      </c>
      <c r="BL142" s="9" t="n">
        <v>3.27822187664</v>
      </c>
      <c r="BM142" s="9" t="n">
        <v>0</v>
      </c>
      <c r="BN142" s="9" t="n">
        <v>0</v>
      </c>
      <c r="BO142" s="9" t="n">
        <v>0</v>
      </c>
      <c r="BP142" s="9" t="n">
        <v>0</v>
      </c>
      <c r="BQ142" s="9" t="n">
        <v>0</v>
      </c>
      <c r="BR142" s="9" t="n">
        <v>0</v>
      </c>
      <c r="BS142" s="9" t="n">
        <v>0</v>
      </c>
      <c r="BT142" s="9" t="n">
        <v>0</v>
      </c>
      <c r="BU142" s="9" t="n">
        <v>0</v>
      </c>
      <c r="BV142" s="9" t="n">
        <v>104.591930550183</v>
      </c>
      <c r="BW142" s="9" t="n">
        <v>14.5149150635214</v>
      </c>
      <c r="BX142" s="9" t="n">
        <v>14.4937137528083</v>
      </c>
      <c r="BY142" s="9" t="n">
        <v>103.59598633856</v>
      </c>
      <c r="BZ142" s="9" t="n">
        <v>19.8518682147853</v>
      </c>
      <c r="CA142" s="9" t="n">
        <v>0</v>
      </c>
      <c r="CB142" s="9" t="n">
        <v>6</v>
      </c>
      <c r="CC142" s="9" t="n">
        <v>4.2</v>
      </c>
      <c r="CD142" s="9" t="n">
        <v>44.739</v>
      </c>
      <c r="CE142" s="9" t="n">
        <v>45.35</v>
      </c>
      <c r="CF142" s="9" t="n">
        <v>0</v>
      </c>
      <c r="CG142" s="9" t="n">
        <v>0</v>
      </c>
      <c r="CH142" s="9" t="n">
        <v>0</v>
      </c>
      <c r="CI142" s="9" t="n">
        <v>0</v>
      </c>
      <c r="CJ142" s="9" t="n">
        <v>0</v>
      </c>
      <c r="CK142" s="9" t="n">
        <v>45.35</v>
      </c>
      <c r="CL142" s="9" t="n">
        <v>0</v>
      </c>
      <c r="CM142" s="9" t="n">
        <v>56.773</v>
      </c>
      <c r="CN142" s="9" t="n">
        <v>100.565</v>
      </c>
      <c r="CO142" s="9" t="n">
        <v>3</v>
      </c>
      <c r="CP142" s="9" t="n">
        <v>3</v>
      </c>
      <c r="CQ142" s="9" t="n">
        <v>0.5</v>
      </c>
      <c r="CR142" s="9" t="n">
        <v>0.3</v>
      </c>
      <c r="CS142" s="9" t="n">
        <v>0.6</v>
      </c>
      <c r="CT142" s="9" t="n">
        <v>0.8</v>
      </c>
      <c r="CU142" s="9" t="n">
        <v>0.8</v>
      </c>
      <c r="CV142" s="9" t="n">
        <v>0.7</v>
      </c>
      <c r="CW142" s="9" t="n">
        <v>0.5</v>
      </c>
      <c r="CX142" s="9" t="n">
        <v>0.5</v>
      </c>
      <c r="CY142" s="9" t="n">
        <v>1</v>
      </c>
      <c r="CZ142" s="9" t="n">
        <v>0.3</v>
      </c>
      <c r="DA142" s="9" t="n">
        <v>0.8</v>
      </c>
      <c r="DB142" s="9" t="n">
        <v>0.34654262941418</v>
      </c>
      <c r="DC142" s="9" t="n">
        <v>7.124</v>
      </c>
      <c r="DD142" s="9" t="n">
        <v>5.575</v>
      </c>
      <c r="DE142" s="9" t="n">
        <v>13.4123</v>
      </c>
      <c r="DF142" s="9" t="n">
        <v>18.1385052603298</v>
      </c>
      <c r="DG142" s="9" t="n">
        <v>23.776384954535</v>
      </c>
      <c r="DH142" s="9" t="n">
        <v>16.0499545425783</v>
      </c>
      <c r="DI142" s="9" t="n">
        <v>22.4646236121196</v>
      </c>
      <c r="DJ142" s="9" t="n">
        <v>12.771</v>
      </c>
      <c r="DK142" s="9" t="n">
        <v>11.447</v>
      </c>
      <c r="DL142" s="9" t="n">
        <v>22.7832</v>
      </c>
      <c r="DM142" s="9" t="n">
        <v>13.4947462084719</v>
      </c>
      <c r="DN142" s="9" t="n">
        <v>13.4947462084719</v>
      </c>
      <c r="DO142" s="9" t="n">
        <v>0.105</v>
      </c>
    </row>
    <row r="143" customFormat="false" ht="15" hidden="false" customHeight="false" outlineLevel="0" collapsed="false">
      <c r="A143" s="9" t="s">
        <v>816</v>
      </c>
      <c r="B143" s="9" t="s">
        <v>817</v>
      </c>
      <c r="C143" s="9" t="n">
        <v>0.005</v>
      </c>
      <c r="D143" s="9" t="n">
        <v>0.005</v>
      </c>
      <c r="E143" s="9" t="n">
        <v>0.01</v>
      </c>
      <c r="F143" s="9" t="n">
        <v>0.005</v>
      </c>
      <c r="G143" s="9" t="n">
        <v>0.005</v>
      </c>
      <c r="H143" s="9" t="n">
        <v>0.01</v>
      </c>
      <c r="I143" s="9" t="n">
        <v>0.005</v>
      </c>
      <c r="J143" s="9" t="n">
        <v>0.005</v>
      </c>
      <c r="K143" s="9" t="n">
        <v>0.01</v>
      </c>
      <c r="L143" s="9" t="n">
        <v>0.01</v>
      </c>
      <c r="M143" s="9" t="n">
        <v>0.005</v>
      </c>
      <c r="N143" s="9" t="n">
        <v>1.235423</v>
      </c>
      <c r="O143" s="9" t="n">
        <v>0.772585</v>
      </c>
      <c r="P143" s="9" t="n">
        <v>19.467601</v>
      </c>
      <c r="Q143" s="9" t="n">
        <v>2.21074084888695</v>
      </c>
      <c r="R143" s="9" t="n">
        <v>0.463715200627743</v>
      </c>
      <c r="S143" s="9" t="n">
        <v>1.10904100557555</v>
      </c>
      <c r="T143" s="9" t="n">
        <v>1.4770930972887</v>
      </c>
      <c r="U143" s="9" t="n">
        <v>0.153003</v>
      </c>
      <c r="V143" s="9" t="n">
        <v>-0.002774</v>
      </c>
      <c r="W143" s="9" t="n">
        <v>0.072374</v>
      </c>
      <c r="X143" s="9" t="n">
        <v>1.67078460760165</v>
      </c>
      <c r="Y143" s="9" t="n">
        <v>1.67078460760165</v>
      </c>
      <c r="Z143" s="9" t="n">
        <v>0</v>
      </c>
      <c r="AA143" s="9" t="n">
        <v>1.68</v>
      </c>
      <c r="AB143" s="9" t="n">
        <v>0</v>
      </c>
      <c r="AC143" s="9" t="n">
        <v>3</v>
      </c>
      <c r="AD143" s="9" t="n">
        <v>0.0564694842477676</v>
      </c>
      <c r="AE143" s="9" t="n">
        <v>106.894</v>
      </c>
      <c r="AF143" s="9" t="n">
        <v>0</v>
      </c>
      <c r="AG143" s="9" t="n">
        <v>0</v>
      </c>
      <c r="AH143" s="9" t="n">
        <v>0</v>
      </c>
      <c r="AI143" s="9" t="n">
        <v>0</v>
      </c>
      <c r="AJ143" s="9" t="n">
        <v>0</v>
      </c>
      <c r="AK143" s="9" t="n">
        <v>0</v>
      </c>
      <c r="AL143" s="9" t="n">
        <v>0</v>
      </c>
      <c r="AM143" s="9" t="n">
        <v>0</v>
      </c>
      <c r="AN143" s="9" t="n">
        <v>0</v>
      </c>
      <c r="AO143" s="9" t="n">
        <v>88.2949557972524</v>
      </c>
      <c r="AP143" s="9" t="n">
        <v>87.89017744</v>
      </c>
      <c r="AQ143" s="9" t="n">
        <v>83.7505262640997</v>
      </c>
      <c r="AR143" s="9" t="n">
        <v>87.1214849462298</v>
      </c>
      <c r="AS143" s="9" t="n">
        <v>94.3175402180342</v>
      </c>
      <c r="AT143" s="9" t="n">
        <v>86.82878916</v>
      </c>
      <c r="AU143" s="9" t="n">
        <v>86.1342245160303</v>
      </c>
      <c r="AV143" s="9" t="n">
        <v>92.4380097687874</v>
      </c>
      <c r="AW143" s="9" t="n">
        <v>82.5863485805208</v>
      </c>
      <c r="AX143" s="9" t="n">
        <v>76.625934372</v>
      </c>
      <c r="AY143" s="9" t="n">
        <v>75.4208716019246</v>
      </c>
      <c r="AZ143" s="9" t="n">
        <v>80.9405936499918</v>
      </c>
      <c r="BA143" s="9" t="n">
        <v>82.7993843973583</v>
      </c>
      <c r="BB143" s="9" t="n">
        <v>83.0121773707528</v>
      </c>
      <c r="BC143" s="9" t="n">
        <v>77.10198332</v>
      </c>
      <c r="BD143" s="9" t="n">
        <v>81.2390813388079</v>
      </c>
      <c r="BE143" s="9" t="n">
        <v>0</v>
      </c>
      <c r="BF143" s="9" t="n">
        <v>0</v>
      </c>
      <c r="BG143" s="9" t="n">
        <v>0</v>
      </c>
      <c r="BH143" s="9" t="n">
        <v>0</v>
      </c>
      <c r="BI143" s="9" t="n">
        <v>6.51036874496512</v>
      </c>
      <c r="BJ143" s="9" t="n">
        <v>6.32870169999999</v>
      </c>
      <c r="BK143" s="9" t="n">
        <v>6.03061813483468</v>
      </c>
      <c r="BL143" s="9" t="n">
        <v>6.27335051476177</v>
      </c>
      <c r="BM143" s="9" t="n">
        <v>805.145197001631</v>
      </c>
      <c r="BN143" s="9" t="n">
        <v>807.2404999308</v>
      </c>
      <c r="BO143" s="9" t="n">
        <v>769.219253619696</v>
      </c>
      <c r="BP143" s="9" t="n">
        <v>800.180328577889</v>
      </c>
      <c r="BQ143" s="9" t="n">
        <v>438.328786587605</v>
      </c>
      <c r="BR143" s="9" t="n">
        <v>0</v>
      </c>
      <c r="BS143" s="9" t="n">
        <v>0</v>
      </c>
      <c r="BT143" s="9" t="n">
        <v>0</v>
      </c>
      <c r="BU143" s="9" t="n">
        <v>0</v>
      </c>
      <c r="BV143" s="9" t="n">
        <v>43.5374274394894</v>
      </c>
      <c r="BW143" s="9" t="n">
        <v>42.695397185075</v>
      </c>
      <c r="BX143" s="9" t="n">
        <v>40.6844344218881</v>
      </c>
      <c r="BY143" s="9" t="n">
        <v>42.3219811856032</v>
      </c>
      <c r="BZ143" s="9" t="n">
        <v>49.1399691107097</v>
      </c>
      <c r="CA143" s="9" t="n">
        <v>0.890849635151218</v>
      </c>
      <c r="CB143" s="9" t="n">
        <v>2.798</v>
      </c>
      <c r="CC143" s="9" t="n">
        <v>-8.646</v>
      </c>
      <c r="CD143" s="9" t="n">
        <v>219.163</v>
      </c>
      <c r="CE143" s="9" t="n">
        <v>0.13</v>
      </c>
      <c r="CF143" s="9" t="n">
        <v>0</v>
      </c>
      <c r="CG143" s="9" t="n">
        <v>54.897</v>
      </c>
      <c r="CH143" s="9" t="n">
        <v>54.897</v>
      </c>
      <c r="CI143" s="9" t="n">
        <v>0</v>
      </c>
      <c r="CJ143" s="9" t="n">
        <v>2.15</v>
      </c>
      <c r="CK143" s="9" t="n">
        <v>57.177</v>
      </c>
      <c r="CL143" s="9" t="n">
        <v>0</v>
      </c>
      <c r="CM143" s="9" t="n">
        <v>208.241</v>
      </c>
      <c r="CN143" s="9" t="n">
        <v>208.241</v>
      </c>
      <c r="CO143" s="9" t="n">
        <v>3</v>
      </c>
      <c r="CP143" s="9" t="n">
        <v>4</v>
      </c>
      <c r="CQ143" s="9" t="n">
        <v>0.5</v>
      </c>
      <c r="CR143" s="9" t="n">
        <v>0.3</v>
      </c>
      <c r="CS143" s="9" t="n">
        <v>0.6</v>
      </c>
      <c r="CT143" s="9" t="n">
        <v>0.8</v>
      </c>
      <c r="CU143" s="9" t="n">
        <v>0.8</v>
      </c>
      <c r="CV143" s="9" t="n">
        <v>0.7</v>
      </c>
      <c r="CW143" s="9" t="n">
        <v>0.5</v>
      </c>
      <c r="CX143" s="9" t="n">
        <v>0.5</v>
      </c>
      <c r="CY143" s="9" t="n">
        <v>1</v>
      </c>
      <c r="CZ143" s="9" t="n">
        <v>0.3</v>
      </c>
      <c r="DA143" s="9" t="n">
        <v>0.8</v>
      </c>
      <c r="DB143" s="9" t="n">
        <v>0.607535600333758</v>
      </c>
      <c r="DC143" s="9" t="n">
        <v>7.124</v>
      </c>
      <c r="DD143" s="9" t="n">
        <v>5.575</v>
      </c>
      <c r="DE143" s="9" t="n">
        <v>12.193</v>
      </c>
      <c r="DF143" s="9" t="n">
        <v>19.6808221113768</v>
      </c>
      <c r="DG143" s="9" t="n">
        <v>20.5892294309309</v>
      </c>
      <c r="DH143" s="9" t="n">
        <v>17.2720586560434</v>
      </c>
      <c r="DI143" s="9" t="n">
        <v>19.783016350672</v>
      </c>
      <c r="DJ143" s="9" t="n">
        <v>2.086</v>
      </c>
      <c r="DK143" s="9" t="n">
        <v>2.086</v>
      </c>
      <c r="DL143" s="9" t="n">
        <v>6.057</v>
      </c>
      <c r="DM143" s="9" t="n">
        <v>14.1151698941595</v>
      </c>
      <c r="DN143" s="9" t="n">
        <v>14.1151698941595</v>
      </c>
      <c r="DO143" s="9" t="n">
        <v>0.105</v>
      </c>
    </row>
    <row r="144" customFormat="false" ht="15" hidden="false" customHeight="false" outlineLevel="0" collapsed="false">
      <c r="A144" s="9" t="s">
        <v>776</v>
      </c>
      <c r="B144" s="9" t="s">
        <v>777</v>
      </c>
      <c r="C144" s="9" t="n">
        <v>0.005</v>
      </c>
      <c r="D144" s="9" t="n">
        <v>0.005</v>
      </c>
      <c r="E144" s="9" t="n">
        <v>0.01</v>
      </c>
      <c r="F144" s="9" t="n">
        <v>0.005</v>
      </c>
      <c r="G144" s="9" t="n">
        <v>0.005</v>
      </c>
      <c r="H144" s="9" t="n">
        <v>0.01</v>
      </c>
      <c r="I144" s="9" t="n">
        <v>0.005</v>
      </c>
      <c r="J144" s="9" t="n">
        <v>0.005</v>
      </c>
      <c r="K144" s="9" t="n">
        <v>0.01</v>
      </c>
      <c r="L144" s="9" t="n">
        <v>0.01</v>
      </c>
      <c r="M144" s="9" t="n">
        <v>0.005</v>
      </c>
      <c r="N144" s="9" t="n">
        <v>35.708605</v>
      </c>
      <c r="O144" s="9" t="n">
        <v>13.012126</v>
      </c>
      <c r="P144" s="9" t="n">
        <v>81.646177</v>
      </c>
      <c r="Q144" s="9" t="n">
        <v>15.5321369860296</v>
      </c>
      <c r="R144" s="9" t="n">
        <v>2.02500790683602</v>
      </c>
      <c r="S144" s="9" t="n">
        <v>24.9758471617264</v>
      </c>
      <c r="T144" s="9" t="n">
        <v>25.2952241398475</v>
      </c>
      <c r="U144" s="9" t="n">
        <v>1.511315</v>
      </c>
      <c r="V144" s="9" t="n">
        <v>0.190196</v>
      </c>
      <c r="W144" s="9" t="n">
        <v>0.511022</v>
      </c>
      <c r="X144" s="9" t="n">
        <v>3.65550396932175</v>
      </c>
      <c r="Y144" s="9" t="n">
        <v>3.65550396932175</v>
      </c>
      <c r="Z144" s="9" t="n">
        <v>7.3</v>
      </c>
      <c r="AA144" s="9" t="n">
        <v>6.24</v>
      </c>
      <c r="AB144" s="9" t="n">
        <v>3.28</v>
      </c>
      <c r="AC144" s="9" t="n">
        <v>0</v>
      </c>
      <c r="AD144" s="9" t="n">
        <v>0</v>
      </c>
      <c r="AE144" s="9" t="n">
        <v>90.142</v>
      </c>
      <c r="AF144" s="9" t="n">
        <v>38.0176079742493</v>
      </c>
      <c r="AG144" s="9" t="n">
        <v>26.6202103104</v>
      </c>
      <c r="AH144" s="9" t="n">
        <v>29.7101325131965</v>
      </c>
      <c r="AI144" s="9" t="n">
        <v>31.5190225042885</v>
      </c>
      <c r="AJ144" s="9" t="n">
        <v>61.5060849535938</v>
      </c>
      <c r="AK144" s="9" t="n">
        <v>3.55325548542446</v>
      </c>
      <c r="AL144" s="9" t="n">
        <v>2.7562918572</v>
      </c>
      <c r="AM144" s="9" t="n">
        <v>3.07622649737158</v>
      </c>
      <c r="AN144" s="9" t="n">
        <v>3.26352136450001</v>
      </c>
      <c r="AO144" s="9" t="n">
        <v>241.491236985769</v>
      </c>
      <c r="AP144" s="9" t="n">
        <v>201.5294049</v>
      </c>
      <c r="AQ144" s="9" t="n">
        <v>224.921788936636</v>
      </c>
      <c r="AR144" s="9" t="n">
        <v>238.616065547662</v>
      </c>
      <c r="AS144" s="9" t="n">
        <v>137.01772135027</v>
      </c>
      <c r="AT144" s="9" t="n">
        <v>114.4945606608</v>
      </c>
      <c r="AU144" s="9" t="n">
        <v>126.231379593386</v>
      </c>
      <c r="AV144" s="9" t="n">
        <v>112.446966209015</v>
      </c>
      <c r="AW144" s="9" t="n">
        <v>61.4618040815188</v>
      </c>
      <c r="AX144" s="9" t="n">
        <v>51.2791685892</v>
      </c>
      <c r="AY144" s="9" t="n">
        <v>56.630010757767</v>
      </c>
      <c r="AZ144" s="9" t="n">
        <v>50.3739110279622</v>
      </c>
      <c r="BA144" s="9" t="n">
        <v>65.5759559844833</v>
      </c>
      <c r="BB144" s="9" t="n">
        <v>55.6407387848536</v>
      </c>
      <c r="BC144" s="9" t="n">
        <v>56.6556824536462</v>
      </c>
      <c r="BD144" s="9" t="n">
        <v>66.0314137344559</v>
      </c>
      <c r="BE144" s="9" t="n">
        <v>0</v>
      </c>
      <c r="BF144" s="9" t="n">
        <v>0</v>
      </c>
      <c r="BG144" s="9" t="n">
        <v>0</v>
      </c>
      <c r="BH144" s="9" t="n">
        <v>0</v>
      </c>
      <c r="BI144" s="9" t="n">
        <v>13.585723617572</v>
      </c>
      <c r="BJ144" s="9" t="n">
        <v>10.75943815</v>
      </c>
      <c r="BK144" s="9" t="n">
        <v>12.0083323714071</v>
      </c>
      <c r="BL144" s="9" t="n">
        <v>12.7394550692509</v>
      </c>
      <c r="BM144" s="9" t="n">
        <v>163.796852108594</v>
      </c>
      <c r="BN144" s="9" t="n">
        <v>114.921610074</v>
      </c>
      <c r="BO144" s="9" t="n">
        <v>128.26105519514</v>
      </c>
      <c r="BP144" s="9" t="n">
        <v>136.070180209521</v>
      </c>
      <c r="BQ144" s="9" t="n">
        <v>84.8630525926277</v>
      </c>
      <c r="BR144" s="9" t="n">
        <v>233.783270515317</v>
      </c>
      <c r="BS144" s="9" t="n">
        <v>183.8064317616</v>
      </c>
      <c r="BT144" s="9" t="n">
        <v>205.141634147101</v>
      </c>
      <c r="BU144" s="9" t="n">
        <v>217.631603641518</v>
      </c>
      <c r="BV144" s="9" t="n">
        <v>210.960225704997</v>
      </c>
      <c r="BW144" s="9" t="n">
        <v>124.030393036039</v>
      </c>
      <c r="BX144" s="9" t="n">
        <v>177.774800938593</v>
      </c>
      <c r="BY144" s="9" t="n">
        <v>172.578183790984</v>
      </c>
      <c r="BZ144" s="9" t="n">
        <v>55.1332015088303</v>
      </c>
      <c r="CA144" s="9" t="n">
        <v>1.36941111099531</v>
      </c>
      <c r="CB144" s="9" t="n">
        <v>0.665</v>
      </c>
      <c r="CC144" s="9" t="n">
        <v>0.694</v>
      </c>
      <c r="CD144" s="9" t="n">
        <v>382.65</v>
      </c>
      <c r="CE144" s="9" t="n">
        <v>22.77</v>
      </c>
      <c r="CF144" s="9" t="n">
        <v>7.56</v>
      </c>
      <c r="CG144" s="9" t="n">
        <v>16.17</v>
      </c>
      <c r="CH144" s="9" t="n">
        <v>8.43</v>
      </c>
      <c r="CI144" s="9" t="n">
        <v>0.18</v>
      </c>
      <c r="CJ144" s="9" t="n">
        <v>4.87</v>
      </c>
      <c r="CK144" s="9" t="n">
        <v>49.78</v>
      </c>
      <c r="CL144" s="9" t="n">
        <v>5.97</v>
      </c>
      <c r="CM144" s="9" t="n">
        <v>130.282</v>
      </c>
      <c r="CN144" s="9" t="n">
        <v>81.013</v>
      </c>
      <c r="CO144" s="9" t="n">
        <v>3</v>
      </c>
      <c r="CP144" s="9" t="n">
        <v>3</v>
      </c>
      <c r="CQ144" s="9" t="n">
        <v>0.5</v>
      </c>
      <c r="CR144" s="9" t="n">
        <v>0.3</v>
      </c>
      <c r="CS144" s="9" t="n">
        <v>0.6</v>
      </c>
      <c r="CT144" s="9" t="n">
        <v>0.8</v>
      </c>
      <c r="CU144" s="9" t="n">
        <v>0.8</v>
      </c>
      <c r="CV144" s="9" t="n">
        <v>0.7</v>
      </c>
      <c r="CW144" s="9" t="n">
        <v>0.5</v>
      </c>
      <c r="CX144" s="9" t="n">
        <v>0.5</v>
      </c>
      <c r="CY144" s="9" t="n">
        <v>1</v>
      </c>
      <c r="CZ144" s="9" t="n">
        <v>0.3</v>
      </c>
      <c r="DA144" s="9" t="n">
        <v>0.8</v>
      </c>
      <c r="DB144" s="9" t="n">
        <v>0.431716282354746</v>
      </c>
      <c r="DC144" s="9" t="n">
        <v>3.936</v>
      </c>
      <c r="DD144" s="9" t="n">
        <v>3.141</v>
      </c>
      <c r="DE144" s="9" t="n">
        <v>8.26574</v>
      </c>
      <c r="DF144" s="9" t="n">
        <v>21.9510612494534</v>
      </c>
      <c r="DG144" s="9" t="n">
        <v>24.4422177574097</v>
      </c>
      <c r="DH144" s="9" t="n">
        <v>15.656114517978</v>
      </c>
      <c r="DI144" s="9" t="n">
        <v>21.8056164262734</v>
      </c>
      <c r="DJ144" s="9" t="n">
        <v>14.578</v>
      </c>
      <c r="DK144" s="9" t="n">
        <v>14.578</v>
      </c>
      <c r="DL144" s="9" t="n">
        <v>21.38311</v>
      </c>
      <c r="DM144" s="9" t="n">
        <v>13.522228629845</v>
      </c>
      <c r="DN144" s="9" t="n">
        <v>13.522228629845</v>
      </c>
      <c r="DO144" s="9" t="n">
        <v>0.07191</v>
      </c>
    </row>
    <row r="145" customFormat="false" ht="15" hidden="false" customHeight="false" outlineLevel="0" collapsed="false">
      <c r="A145" s="9" t="s">
        <v>714</v>
      </c>
      <c r="B145" s="9" t="s">
        <v>715</v>
      </c>
      <c r="C145" s="9" t="n">
        <v>0.005</v>
      </c>
      <c r="D145" s="9" t="n">
        <v>0.005</v>
      </c>
      <c r="E145" s="9" t="n">
        <v>0.01</v>
      </c>
      <c r="F145" s="9" t="n">
        <v>0.005</v>
      </c>
      <c r="G145" s="9" t="n">
        <v>0.005</v>
      </c>
      <c r="H145" s="9" t="n">
        <v>0.01</v>
      </c>
      <c r="I145" s="9" t="n">
        <v>0.005</v>
      </c>
      <c r="J145" s="9" t="n">
        <v>0.005</v>
      </c>
      <c r="K145" s="9" t="n">
        <v>0.01</v>
      </c>
      <c r="L145" s="9" t="n">
        <v>0.01</v>
      </c>
      <c r="M145" s="9" t="n">
        <v>0.005</v>
      </c>
      <c r="N145" s="9" t="n">
        <v>4.482255</v>
      </c>
      <c r="O145" s="9" t="n">
        <v>13.272426</v>
      </c>
      <c r="P145" s="9" t="n">
        <v>311.393501</v>
      </c>
      <c r="Q145" s="9" t="n">
        <v>31.1140391026296</v>
      </c>
      <c r="R145" s="9" t="n">
        <v>8.07340860984382</v>
      </c>
      <c r="S145" s="9" t="n">
        <v>10.7127294725358</v>
      </c>
      <c r="T145" s="9" t="n">
        <v>7.30330778324601</v>
      </c>
      <c r="U145" s="9" t="n">
        <v>0.213649</v>
      </c>
      <c r="V145" s="9" t="n">
        <v>1.406916</v>
      </c>
      <c r="W145" s="9" t="n">
        <v>0.765285</v>
      </c>
      <c r="X145" s="9" t="n">
        <v>10.6049760711912</v>
      </c>
      <c r="Y145" s="9" t="n">
        <v>10.6049760711912</v>
      </c>
      <c r="Z145" s="9" t="n">
        <v>151.52</v>
      </c>
      <c r="AA145" s="9" t="n">
        <v>2.43</v>
      </c>
      <c r="AB145" s="9" t="n">
        <v>2.88</v>
      </c>
      <c r="AC145" s="9" t="n">
        <v>3</v>
      </c>
      <c r="AD145" s="9" t="n">
        <v>35.9182440209101</v>
      </c>
      <c r="AE145" s="9" t="n">
        <v>1982.113</v>
      </c>
      <c r="AF145" s="9" t="n">
        <v>2302.84632273934</v>
      </c>
      <c r="AG145" s="9" t="n">
        <v>1817.363501442</v>
      </c>
      <c r="AH145" s="9" t="n">
        <v>1799.18986642758</v>
      </c>
      <c r="AI145" s="9" t="n">
        <v>1882.38124739876</v>
      </c>
      <c r="AJ145" s="9" t="n">
        <v>3853.55497488071</v>
      </c>
      <c r="AK145" s="9" t="n">
        <v>127.554573197415</v>
      </c>
      <c r="AL145" s="9" t="n">
        <v>113.7131572428</v>
      </c>
      <c r="AM145" s="9" t="n">
        <v>112.576025670372</v>
      </c>
      <c r="AN145" s="9" t="n">
        <v>117.781343471745</v>
      </c>
      <c r="AO145" s="9" t="n">
        <v>892.981173825738</v>
      </c>
      <c r="AP145" s="9" t="n">
        <v>815.12818527</v>
      </c>
      <c r="AQ145" s="9" t="n">
        <v>806.9769034173</v>
      </c>
      <c r="AR145" s="9" t="n">
        <v>844.290098794746</v>
      </c>
      <c r="AS145" s="9" t="n">
        <v>2630.15324587341</v>
      </c>
      <c r="AT145" s="9" t="n">
        <v>2274.6681382068</v>
      </c>
      <c r="AU145" s="9" t="n">
        <v>2252.78527768327</v>
      </c>
      <c r="AV145" s="9" t="n">
        <v>2300.62091964549</v>
      </c>
      <c r="AW145" s="9" t="n">
        <v>731.534378082028</v>
      </c>
      <c r="AX145" s="9" t="n">
        <v>632.766240216</v>
      </c>
      <c r="AY145" s="9" t="n">
        <v>626.389307797851</v>
      </c>
      <c r="AZ145" s="9" t="n">
        <v>638.938640887143</v>
      </c>
      <c r="BA145" s="9" t="n">
        <v>1690.74484935154</v>
      </c>
      <c r="BB145" s="9" t="n">
        <v>1505.90806239328</v>
      </c>
      <c r="BC145" s="9" t="n">
        <v>1584.25403012471</v>
      </c>
      <c r="BD145" s="9" t="n">
        <v>1607.90293348953</v>
      </c>
      <c r="BE145" s="9" t="n">
        <v>0</v>
      </c>
      <c r="BF145" s="9" t="n">
        <v>0</v>
      </c>
      <c r="BG145" s="9" t="n">
        <v>0</v>
      </c>
      <c r="BH145" s="9" t="n">
        <v>0</v>
      </c>
      <c r="BI145" s="9" t="n">
        <v>607.536517144086</v>
      </c>
      <c r="BJ145" s="9" t="n">
        <v>529.135651385903</v>
      </c>
      <c r="BK145" s="9" t="n">
        <v>523.844294872043</v>
      </c>
      <c r="BL145" s="9" t="n">
        <v>548.065935465657</v>
      </c>
      <c r="BM145" s="9" t="n">
        <v>5789.17429437686</v>
      </c>
      <c r="BN145" s="9" t="n">
        <v>5260.6187744544</v>
      </c>
      <c r="BO145" s="9" t="n">
        <v>5208.01258670986</v>
      </c>
      <c r="BP145" s="9" t="n">
        <v>5448.82194612669</v>
      </c>
      <c r="BQ145" s="9" t="n">
        <v>6829.40246982475</v>
      </c>
      <c r="BR145" s="9" t="n">
        <v>3231.26420566246</v>
      </c>
      <c r="BS145" s="9" t="n">
        <v>3008.132398944</v>
      </c>
      <c r="BT145" s="9" t="n">
        <v>2978.05107495456</v>
      </c>
      <c r="BU145" s="9" t="n">
        <v>3115.75092873381</v>
      </c>
      <c r="BV145" s="9" t="n">
        <v>1558.48020238045</v>
      </c>
      <c r="BW145" s="9" t="n">
        <v>1514.93829136888</v>
      </c>
      <c r="BX145" s="9" t="n">
        <v>1397.48274394469</v>
      </c>
      <c r="BY145" s="9" t="n">
        <v>1458.92258649909</v>
      </c>
      <c r="BZ145" s="9" t="n">
        <v>933.802117765399</v>
      </c>
      <c r="CA145" s="9" t="n">
        <v>-0.354502487190578</v>
      </c>
      <c r="CB145" s="9" t="n">
        <v>0.981</v>
      </c>
      <c r="CC145" s="9" t="n">
        <v>1.091</v>
      </c>
      <c r="CD145" s="9" t="n">
        <v>2185.848</v>
      </c>
      <c r="CE145" s="9" t="n">
        <v>419.14</v>
      </c>
      <c r="CF145" s="9" t="n">
        <v>219.52</v>
      </c>
      <c r="CG145" s="9" t="n">
        <v>767.16</v>
      </c>
      <c r="CH145" s="9" t="n">
        <v>533.17</v>
      </c>
      <c r="CI145" s="9" t="n">
        <v>14.47</v>
      </c>
      <c r="CJ145" s="9" t="n">
        <v>2.84</v>
      </c>
      <c r="CK145" s="9" t="n">
        <v>1192.78</v>
      </c>
      <c r="CL145" s="9" t="n">
        <v>3.64</v>
      </c>
      <c r="CM145" s="9" t="n">
        <v>2446.295</v>
      </c>
      <c r="CN145" s="9" t="n">
        <v>1907.973</v>
      </c>
      <c r="CO145" s="9" t="n">
        <v>3</v>
      </c>
      <c r="CP145" s="9" t="n">
        <v>3</v>
      </c>
      <c r="CQ145" s="9" t="n">
        <v>0.5</v>
      </c>
      <c r="CR145" s="9" t="n">
        <v>0.3</v>
      </c>
      <c r="CS145" s="9" t="n">
        <v>0.6</v>
      </c>
      <c r="CT145" s="9" t="n">
        <v>0.8</v>
      </c>
      <c r="CU145" s="9" t="n">
        <v>0.8</v>
      </c>
      <c r="CV145" s="9" t="n">
        <v>0.7</v>
      </c>
      <c r="CW145" s="9" t="n">
        <v>0.5</v>
      </c>
      <c r="CX145" s="9" t="n">
        <v>0.5</v>
      </c>
      <c r="CY145" s="9" t="n">
        <v>1</v>
      </c>
      <c r="CZ145" s="9" t="n">
        <v>0.3</v>
      </c>
      <c r="DA145" s="9" t="n">
        <v>0.8</v>
      </c>
      <c r="DB145" s="9" t="n">
        <v>0.31367040849156</v>
      </c>
      <c r="DC145" s="9" t="n">
        <v>4.347</v>
      </c>
      <c r="DD145" s="9" t="n">
        <v>1.376</v>
      </c>
      <c r="DE145" s="9" t="n">
        <v>3.1116</v>
      </c>
      <c r="DF145" s="9" t="n">
        <v>18.4034992179957</v>
      </c>
      <c r="DG145" s="9" t="n">
        <v>18.8484958710016</v>
      </c>
      <c r="DH145" s="9" t="n">
        <v>20.6893831447391</v>
      </c>
      <c r="DI145" s="9" t="n">
        <v>19.8967880898024</v>
      </c>
      <c r="DJ145" s="9" t="n">
        <v>2.456</v>
      </c>
      <c r="DK145" s="9" t="n">
        <v>2.456</v>
      </c>
      <c r="DL145" s="9" t="n">
        <v>7.7652</v>
      </c>
      <c r="DM145" s="9" t="n">
        <v>11.0583459313374</v>
      </c>
      <c r="DN145" s="9" t="n">
        <v>11.0583459313374</v>
      </c>
      <c r="DO145" s="9" t="n">
        <v>0.105</v>
      </c>
    </row>
    <row r="146" customFormat="false" ht="15" hidden="false" customHeight="false" outlineLevel="0" collapsed="false">
      <c r="A146" s="9" t="s">
        <v>958</v>
      </c>
      <c r="B146" s="9" t="s">
        <v>959</v>
      </c>
      <c r="C146" s="9" t="n">
        <v>0.005</v>
      </c>
      <c r="D146" s="9" t="n">
        <v>0.005</v>
      </c>
      <c r="E146" s="9" t="n">
        <v>0.01</v>
      </c>
      <c r="F146" s="9" t="n">
        <v>0.005</v>
      </c>
      <c r="G146" s="9" t="n">
        <v>0.005</v>
      </c>
      <c r="H146" s="9" t="n">
        <v>0.01</v>
      </c>
      <c r="I146" s="9" t="n">
        <v>0.005</v>
      </c>
      <c r="J146" s="9" t="n">
        <v>0.005</v>
      </c>
      <c r="K146" s="9" t="n">
        <v>0.01</v>
      </c>
      <c r="L146" s="9" t="n">
        <v>0.01</v>
      </c>
      <c r="M146" s="9" t="n">
        <v>0.005</v>
      </c>
      <c r="N146" s="9" t="n">
        <v>0.294223</v>
      </c>
      <c r="O146" s="9" t="n">
        <v>0.000394</v>
      </c>
      <c r="P146" s="9" t="n">
        <v>0.672668</v>
      </c>
      <c r="Q146" s="9" t="n">
        <v>0.683412525851189</v>
      </c>
      <c r="R146" s="9" t="n">
        <v>0.146698259695382</v>
      </c>
      <c r="S146" s="9" t="n">
        <v>0.156587636067289</v>
      </c>
      <c r="T146" s="9" t="n">
        <v>0.045811259431654</v>
      </c>
      <c r="U146" s="9" t="n">
        <v>0.002795</v>
      </c>
      <c r="V146" s="9" t="n">
        <v>0.000947</v>
      </c>
      <c r="W146" s="9" t="n">
        <v>0.001078</v>
      </c>
      <c r="X146" s="9" t="n">
        <v>0.593581798109203</v>
      </c>
      <c r="Y146" s="9" t="n">
        <v>0.593581798109203</v>
      </c>
      <c r="Z146" s="9" t="n">
        <v>0.22</v>
      </c>
      <c r="AA146" s="9" t="n">
        <v>0.02</v>
      </c>
      <c r="AB146" s="9" t="n">
        <v>0</v>
      </c>
      <c r="AC146" s="9" t="n">
        <v>0</v>
      </c>
      <c r="AD146" s="9" t="n">
        <v>0</v>
      </c>
      <c r="AE146" s="9" t="n">
        <v>1.886</v>
      </c>
      <c r="AF146" s="9" t="n">
        <v>0.765762423321169</v>
      </c>
      <c r="AG146" s="9" t="n">
        <v>0.7225663176</v>
      </c>
      <c r="AH146" s="9" t="n">
        <v>0.711125684238</v>
      </c>
      <c r="AI146" s="9" t="n">
        <v>0.687398702273521</v>
      </c>
      <c r="AJ146" s="9" t="n">
        <v>3.89705909918066</v>
      </c>
      <c r="AK146" s="9" t="n">
        <v>0</v>
      </c>
      <c r="AL146" s="9" t="n">
        <v>0</v>
      </c>
      <c r="AM146" s="9" t="n">
        <v>0</v>
      </c>
      <c r="AN146" s="9" t="n">
        <v>0</v>
      </c>
      <c r="AO146" s="9" t="n">
        <v>4.35348631100023</v>
      </c>
      <c r="AP146" s="9" t="n">
        <v>4.17790766</v>
      </c>
      <c r="AQ146" s="9" t="n">
        <v>4.11175745538333</v>
      </c>
      <c r="AR146" s="9" t="n">
        <v>3.97456708643929</v>
      </c>
      <c r="AS146" s="9" t="n">
        <v>3.19820864947725</v>
      </c>
      <c r="AT146" s="9" t="n">
        <v>2.3560212168</v>
      </c>
      <c r="AU146" s="9" t="n">
        <v>2.64159628460237</v>
      </c>
      <c r="AV146" s="9" t="n">
        <v>2.82773119241079</v>
      </c>
      <c r="AW146" s="9" t="n">
        <v>0.728523140458654</v>
      </c>
      <c r="AX146" s="9" t="n">
        <v>0.5529548628</v>
      </c>
      <c r="AY146" s="9" t="n">
        <v>0.601731854298184</v>
      </c>
      <c r="AZ146" s="9" t="n">
        <v>0.644131710732734</v>
      </c>
      <c r="BA146" s="9" t="n">
        <v>5.24328580093019</v>
      </c>
      <c r="BB146" s="9" t="n">
        <v>4.16121357860835</v>
      </c>
      <c r="BC146" s="9" t="n">
        <v>5.49466949018351</v>
      </c>
      <c r="BD146" s="9" t="n">
        <v>4.5854005613079</v>
      </c>
      <c r="BE146" s="9" t="n">
        <v>0</v>
      </c>
      <c r="BF146" s="9" t="n">
        <v>0</v>
      </c>
      <c r="BG146" s="9" t="n">
        <v>0</v>
      </c>
      <c r="BH146" s="9" t="n">
        <v>0</v>
      </c>
      <c r="BI146" s="9" t="n">
        <v>1.05281243395232</v>
      </c>
      <c r="BJ146" s="9" t="n">
        <v>1.02191167</v>
      </c>
      <c r="BK146" s="9" t="n">
        <v>1.00573140189167</v>
      </c>
      <c r="BL146" s="9" t="n">
        <v>0.97217478684778</v>
      </c>
      <c r="BM146" s="9" t="n">
        <v>0</v>
      </c>
      <c r="BN146" s="9" t="n">
        <v>0</v>
      </c>
      <c r="BO146" s="9" t="n">
        <v>0</v>
      </c>
      <c r="BP146" s="9" t="n">
        <v>0</v>
      </c>
      <c r="BQ146" s="9" t="n">
        <v>2.85083976812535</v>
      </c>
      <c r="BR146" s="9" t="n">
        <v>0</v>
      </c>
      <c r="BS146" s="9" t="n">
        <v>0</v>
      </c>
      <c r="BT146" s="9" t="n">
        <v>0</v>
      </c>
      <c r="BU146" s="9" t="n">
        <v>0</v>
      </c>
      <c r="BV146" s="9" t="n">
        <v>4.71114149920848</v>
      </c>
      <c r="BW146" s="9" t="n">
        <v>5.96309193731116</v>
      </c>
      <c r="BX146" s="9" t="n">
        <v>4.39527982771222</v>
      </c>
      <c r="BY146" s="9" t="n">
        <v>4.20388087469842</v>
      </c>
      <c r="BZ146" s="9" t="n">
        <v>1.09075883053775</v>
      </c>
      <c r="CA146" s="9" t="n">
        <v>-3.14749262536873</v>
      </c>
      <c r="CB146" s="9" t="n">
        <v>6.978</v>
      </c>
      <c r="CC146" s="9" t="n">
        <v>7.233</v>
      </c>
      <c r="CD146" s="9" t="n">
        <v>15.111</v>
      </c>
      <c r="CE146" s="9" t="n">
        <v>0.52</v>
      </c>
      <c r="CF146" s="9" t="n">
        <v>0.17</v>
      </c>
      <c r="CG146" s="9" t="n">
        <v>0.57</v>
      </c>
      <c r="CH146" s="9" t="n">
        <v>0.3</v>
      </c>
      <c r="CI146" s="9" t="n">
        <v>0.1</v>
      </c>
      <c r="CJ146" s="9" t="n">
        <v>0.04</v>
      </c>
      <c r="CK146" s="9" t="n">
        <v>1.13</v>
      </c>
      <c r="CL146" s="9" t="n">
        <v>0</v>
      </c>
      <c r="CM146" s="9" t="n">
        <v>9.76</v>
      </c>
      <c r="CN146" s="9" t="n">
        <v>10.949</v>
      </c>
      <c r="CO146" s="9" t="n">
        <v>3</v>
      </c>
      <c r="CP146" s="9" t="n">
        <v>1</v>
      </c>
      <c r="CQ146" s="9" t="n">
        <v>0.5</v>
      </c>
      <c r="CR146" s="9" t="n">
        <v>0.3</v>
      </c>
      <c r="CS146" s="9" t="n">
        <v>0.6</v>
      </c>
      <c r="CT146" s="9" t="n">
        <v>0.8</v>
      </c>
      <c r="CU146" s="9" t="n">
        <v>0.8</v>
      </c>
      <c r="CV146" s="9" t="n">
        <v>0.7</v>
      </c>
      <c r="CW146" s="9" t="n">
        <v>0.5</v>
      </c>
      <c r="CX146" s="9" t="n">
        <v>0.5</v>
      </c>
      <c r="CY146" s="9" t="n">
        <v>1</v>
      </c>
      <c r="CZ146" s="9" t="n">
        <v>0.3</v>
      </c>
      <c r="DA146" s="9" t="n">
        <v>0.8</v>
      </c>
      <c r="DB146" s="9" t="n">
        <v>0.280129025082031</v>
      </c>
      <c r="DC146" s="9" t="n">
        <v>2.618</v>
      </c>
      <c r="DD146" s="9" t="n">
        <v>4.268</v>
      </c>
      <c r="DE146" s="9" t="n">
        <v>3.20842</v>
      </c>
      <c r="DF146" s="9" t="n">
        <v>21.0515618770142</v>
      </c>
      <c r="DG146" s="9" t="n">
        <v>24.2547985772843</v>
      </c>
      <c r="DH146" s="9" t="n">
        <v>15.656114517978</v>
      </c>
      <c r="DI146" s="9" t="n">
        <v>22.2275765279648</v>
      </c>
      <c r="DJ146" s="9" t="n">
        <v>12.805</v>
      </c>
      <c r="DK146" s="9" t="n">
        <v>11.482</v>
      </c>
      <c r="DL146" s="9" t="n">
        <v>24.48146</v>
      </c>
      <c r="DM146" s="9" t="n">
        <v>13.4947462084719</v>
      </c>
      <c r="DN146" s="9" t="n">
        <v>13.4947462084719</v>
      </c>
      <c r="DO146" s="9" t="n">
        <v>0.0771200000000001</v>
      </c>
    </row>
    <row r="147" customFormat="false" ht="15" hidden="false" customHeight="false" outlineLevel="0" collapsed="false">
      <c r="A147" s="9" t="s">
        <v>728</v>
      </c>
      <c r="B147" s="9" t="s">
        <v>729</v>
      </c>
      <c r="C147" s="9" t="n">
        <v>0.005</v>
      </c>
      <c r="D147" s="9" t="n">
        <v>0.005</v>
      </c>
      <c r="E147" s="9" t="n">
        <v>0.01</v>
      </c>
      <c r="F147" s="9" t="n">
        <v>0.005</v>
      </c>
      <c r="G147" s="9" t="n">
        <v>0.005</v>
      </c>
      <c r="H147" s="9" t="n">
        <v>0.01</v>
      </c>
      <c r="I147" s="9" t="n">
        <v>0.005</v>
      </c>
      <c r="J147" s="9" t="n">
        <v>0.005</v>
      </c>
      <c r="K147" s="9" t="n">
        <v>0.01</v>
      </c>
      <c r="L147" s="9" t="n">
        <v>0.01</v>
      </c>
      <c r="M147" s="9" t="n">
        <v>0.005</v>
      </c>
      <c r="N147" s="9" t="n">
        <v>0.405995</v>
      </c>
      <c r="O147" s="9" t="n">
        <v>1.205327</v>
      </c>
      <c r="P147" s="9" t="n">
        <v>30.71804</v>
      </c>
      <c r="Q147" s="9" t="n">
        <v>8.79998198159066</v>
      </c>
      <c r="R147" s="9" t="n">
        <v>2.00539094657267</v>
      </c>
      <c r="S147" s="9" t="n">
        <v>1.22854139912986</v>
      </c>
      <c r="T147" s="9" t="n">
        <v>1.09477660875493</v>
      </c>
      <c r="U147" s="9" t="n">
        <v>0.171478</v>
      </c>
      <c r="V147" s="9" t="n">
        <v>0.067898</v>
      </c>
      <c r="W147" s="9" t="n">
        <v>0.056407</v>
      </c>
      <c r="X147" s="9" t="n">
        <v>6.96760496917416</v>
      </c>
      <c r="Y147" s="9" t="n">
        <v>6.96760496917416</v>
      </c>
      <c r="Z147" s="9" t="n">
        <v>97.75</v>
      </c>
      <c r="AA147" s="9" t="n">
        <v>6.2</v>
      </c>
      <c r="AB147" s="9" t="n">
        <v>0.4</v>
      </c>
      <c r="AC147" s="9" t="n">
        <v>3</v>
      </c>
      <c r="AD147" s="9" t="n">
        <v>22.5812455376256</v>
      </c>
      <c r="AE147" s="9" t="n">
        <v>558.375</v>
      </c>
      <c r="AF147" s="9" t="n">
        <v>0</v>
      </c>
      <c r="AG147" s="9" t="n">
        <v>0</v>
      </c>
      <c r="AH147" s="9" t="n">
        <v>0</v>
      </c>
      <c r="AI147" s="9" t="n">
        <v>0</v>
      </c>
      <c r="AJ147" s="9" t="n">
        <v>0</v>
      </c>
      <c r="AK147" s="9" t="n">
        <v>0</v>
      </c>
      <c r="AL147" s="9" t="n">
        <v>0</v>
      </c>
      <c r="AM147" s="9" t="n">
        <v>0</v>
      </c>
      <c r="AN147" s="9" t="n">
        <v>0</v>
      </c>
      <c r="AO147" s="9" t="n">
        <v>782.774575121374</v>
      </c>
      <c r="AP147" s="9" t="n">
        <v>839.07001706</v>
      </c>
      <c r="AQ147" s="9" t="n">
        <v>879.34537787888</v>
      </c>
      <c r="AR147" s="9" t="n">
        <v>932.106100551613</v>
      </c>
      <c r="AS147" s="9" t="n">
        <v>686.931380872348</v>
      </c>
      <c r="AT147" s="9" t="n">
        <v>614.9000174328</v>
      </c>
      <c r="AU147" s="9" t="n">
        <v>688.649240598853</v>
      </c>
      <c r="AV147" s="9" t="n">
        <v>671.461338060939</v>
      </c>
      <c r="AW147" s="9" t="n">
        <v>562.259044073544</v>
      </c>
      <c r="AX147" s="9" t="n">
        <v>512.9388016704</v>
      </c>
      <c r="AY147" s="9" t="n">
        <v>563.665126536177</v>
      </c>
      <c r="AZ147" s="9" t="n">
        <v>549.596685466671</v>
      </c>
      <c r="BA147" s="9" t="n">
        <v>1044.41904845247</v>
      </c>
      <c r="BB147" s="9" t="n">
        <v>898.225816571814</v>
      </c>
      <c r="BC147" s="9" t="n">
        <v>990.21012162</v>
      </c>
      <c r="BD147" s="9" t="n">
        <v>1023.39420597537</v>
      </c>
      <c r="BE147" s="9" t="n">
        <v>44.6601462585885</v>
      </c>
      <c r="BF147" s="9" t="n">
        <v>45.2060981913126</v>
      </c>
      <c r="BG147" s="9" t="n">
        <v>47.3759909044956</v>
      </c>
      <c r="BH147" s="9" t="n">
        <v>50.2185503587654</v>
      </c>
      <c r="BI147" s="9" t="n">
        <v>72.155983077198</v>
      </c>
      <c r="BJ147" s="9" t="n">
        <v>66.3277460899999</v>
      </c>
      <c r="BK147" s="9" t="n">
        <v>69.5114779023199</v>
      </c>
      <c r="BL147" s="9" t="n">
        <v>73.6821665764591</v>
      </c>
      <c r="BM147" s="9" t="n">
        <v>1094.09054307848</v>
      </c>
      <c r="BN147" s="9" t="n">
        <v>976.4683810488</v>
      </c>
      <c r="BO147" s="9" t="n">
        <v>1023.33886333914</v>
      </c>
      <c r="BP147" s="9" t="n">
        <v>1084.73919513949</v>
      </c>
      <c r="BQ147" s="9" t="n">
        <v>3676.82088551616</v>
      </c>
      <c r="BR147" s="9" t="n">
        <v>0</v>
      </c>
      <c r="BS147" s="9" t="n">
        <v>0</v>
      </c>
      <c r="BT147" s="9" t="n">
        <v>0</v>
      </c>
      <c r="BU147" s="9" t="n">
        <v>0</v>
      </c>
      <c r="BV147" s="9" t="n">
        <v>964.061631987251</v>
      </c>
      <c r="BW147" s="9" t="n">
        <v>2450.62963884288</v>
      </c>
      <c r="BX147" s="9" t="n">
        <v>1714.91606769025</v>
      </c>
      <c r="BY147" s="9" t="n">
        <v>1376.18776768591</v>
      </c>
      <c r="BZ147" s="9" t="n">
        <v>346.997340262748</v>
      </c>
      <c r="CA147" s="9" t="n">
        <v>0.63515514225813</v>
      </c>
      <c r="CB147" s="9" t="n">
        <v>4.502</v>
      </c>
      <c r="CC147" s="9" t="n">
        <v>3.115</v>
      </c>
      <c r="CD147" s="9" t="n">
        <v>1254.141</v>
      </c>
      <c r="CE147" s="9" t="n">
        <v>0</v>
      </c>
      <c r="CF147" s="9" t="n">
        <v>0</v>
      </c>
      <c r="CG147" s="9" t="n">
        <v>444.82</v>
      </c>
      <c r="CH147" s="9" t="n">
        <v>287.98</v>
      </c>
      <c r="CI147" s="9" t="n">
        <v>156.84</v>
      </c>
      <c r="CJ147" s="9" t="n">
        <v>8.23</v>
      </c>
      <c r="CK147" s="9" t="n">
        <v>454.64</v>
      </c>
      <c r="CL147" s="9" t="n">
        <v>1.59</v>
      </c>
      <c r="CM147" s="9" t="n">
        <v>764.069</v>
      </c>
      <c r="CN147" s="9" t="n">
        <v>764.069</v>
      </c>
      <c r="CO147" s="9" t="n">
        <v>3</v>
      </c>
      <c r="CP147" s="9" t="n">
        <v>4</v>
      </c>
      <c r="CQ147" s="9" t="n">
        <v>0.5</v>
      </c>
      <c r="CR147" s="9" t="n">
        <v>0.3</v>
      </c>
      <c r="CS147" s="9" t="n">
        <v>0.6</v>
      </c>
      <c r="CT147" s="9" t="n">
        <v>0.8</v>
      </c>
      <c r="CU147" s="9" t="n">
        <v>0.8</v>
      </c>
      <c r="CV147" s="9" t="n">
        <v>0.7</v>
      </c>
      <c r="CW147" s="9" t="n">
        <v>0.5</v>
      </c>
      <c r="CX147" s="9" t="n">
        <v>0.5</v>
      </c>
      <c r="CY147" s="9" t="n">
        <v>1</v>
      </c>
      <c r="CZ147" s="9" t="n">
        <v>0.3</v>
      </c>
      <c r="DA147" s="9" t="n">
        <v>0.8</v>
      </c>
      <c r="DB147" s="9" t="n">
        <v>0.493879185687147</v>
      </c>
      <c r="DC147" s="9" t="n">
        <v>7.124</v>
      </c>
      <c r="DD147" s="9" t="n">
        <v>5.575</v>
      </c>
      <c r="DE147" s="9" t="n">
        <v>14.02195</v>
      </c>
      <c r="DF147" s="9" t="n">
        <v>21.04574343233</v>
      </c>
      <c r="DG147" s="9" t="n">
        <v>23.6776138455705</v>
      </c>
      <c r="DH147" s="9" t="n">
        <v>19.8628674544499</v>
      </c>
      <c r="DI147" s="9" t="n">
        <v>22.6167588868791</v>
      </c>
      <c r="DJ147" s="9" t="n">
        <v>5.307</v>
      </c>
      <c r="DK147" s="9" t="n">
        <v>4.646</v>
      </c>
      <c r="DL147" s="9" t="n">
        <v>10.6697</v>
      </c>
      <c r="DM147" s="9" t="n">
        <v>14.1151698941595</v>
      </c>
      <c r="DN147" s="9" t="n">
        <v>14.1151698941595</v>
      </c>
      <c r="DO147" s="9" t="n">
        <v>0.042</v>
      </c>
    </row>
    <row r="148" customFormat="false" ht="15" hidden="false" customHeight="false" outlineLevel="0" collapsed="false">
      <c r="A148" s="9" t="s">
        <v>932</v>
      </c>
      <c r="B148" s="9" t="s">
        <v>933</v>
      </c>
      <c r="C148" s="9" t="n">
        <v>0.005</v>
      </c>
      <c r="D148" s="9" t="n">
        <v>0.005</v>
      </c>
      <c r="E148" s="9" t="n">
        <v>0.01</v>
      </c>
      <c r="F148" s="9" t="n">
        <v>0.005</v>
      </c>
      <c r="G148" s="9" t="n">
        <v>0.005</v>
      </c>
      <c r="H148" s="9" t="n">
        <v>0.01</v>
      </c>
      <c r="I148" s="9" t="n">
        <v>0.005</v>
      </c>
      <c r="J148" s="9" t="n">
        <v>0.005</v>
      </c>
      <c r="K148" s="9" t="n">
        <v>0.01</v>
      </c>
      <c r="L148" s="9" t="n">
        <v>0.01</v>
      </c>
      <c r="M148" s="9" t="n">
        <v>0.005</v>
      </c>
      <c r="N148" s="9" t="n">
        <v>0.001821</v>
      </c>
      <c r="O148" s="9" t="n">
        <v>0.123093</v>
      </c>
      <c r="P148" s="9" t="n">
        <v>0.967977</v>
      </c>
      <c r="Q148" s="9" t="n">
        <v>0.909339783494869</v>
      </c>
      <c r="R148" s="9" t="n">
        <v>0.269175578657434</v>
      </c>
      <c r="S148" s="9" t="n">
        <v>0.265465183730385</v>
      </c>
      <c r="T148" s="9" t="n">
        <v>0.0654779050979103</v>
      </c>
      <c r="U148" s="9" t="n">
        <v>0.00083</v>
      </c>
      <c r="V148" s="9" t="n">
        <v>0.004772</v>
      </c>
      <c r="W148" s="9" t="n">
        <v>0.00199</v>
      </c>
      <c r="X148" s="9" t="n">
        <v>1.92374247538097</v>
      </c>
      <c r="Y148" s="9" t="n">
        <v>1.92374247538097</v>
      </c>
      <c r="Z148" s="9" t="n">
        <v>2.15</v>
      </c>
      <c r="AA148" s="9" t="n">
        <v>0.19</v>
      </c>
      <c r="AB148" s="9" t="n">
        <v>0</v>
      </c>
      <c r="AC148" s="9" t="n">
        <v>0</v>
      </c>
      <c r="AD148" s="9" t="n">
        <v>0</v>
      </c>
      <c r="AE148" s="9" t="n">
        <v>21.145</v>
      </c>
      <c r="AF148" s="9" t="n">
        <v>0</v>
      </c>
      <c r="AG148" s="9" t="n">
        <v>0</v>
      </c>
      <c r="AH148" s="9" t="n">
        <v>0</v>
      </c>
      <c r="AI148" s="9" t="n">
        <v>0</v>
      </c>
      <c r="AJ148" s="9" t="n">
        <v>0</v>
      </c>
      <c r="AK148" s="9" t="n">
        <v>0</v>
      </c>
      <c r="AL148" s="9" t="n">
        <v>0</v>
      </c>
      <c r="AM148" s="9" t="n">
        <v>0</v>
      </c>
      <c r="AN148" s="9" t="n">
        <v>0</v>
      </c>
      <c r="AO148" s="9" t="n">
        <v>113.689247831595</v>
      </c>
      <c r="AP148" s="9" t="n">
        <v>112.11389148</v>
      </c>
      <c r="AQ148" s="9" t="n">
        <v>104.07673416087</v>
      </c>
      <c r="AR148" s="9" t="n">
        <v>110.916062405728</v>
      </c>
      <c r="AS148" s="9" t="n">
        <v>14.4392133450014</v>
      </c>
      <c r="AT148" s="9" t="n">
        <v>18.2123999676</v>
      </c>
      <c r="AU148" s="9" t="n">
        <v>15.1588912794841</v>
      </c>
      <c r="AV148" s="9" t="n">
        <v>13.7977883500903</v>
      </c>
      <c r="AW148" s="9" t="n">
        <v>25.0594399121743</v>
      </c>
      <c r="AX148" s="9" t="n">
        <v>31.1054412276</v>
      </c>
      <c r="AY148" s="9" t="n">
        <v>26.3084501957941</v>
      </c>
      <c r="AZ148" s="9" t="n">
        <v>23.9462386086069</v>
      </c>
      <c r="BA148" s="9" t="n">
        <v>57.7986011817084</v>
      </c>
      <c r="BB148" s="9" t="n">
        <v>54.690081751224</v>
      </c>
      <c r="BC148" s="9" t="n">
        <v>56.00379559</v>
      </c>
      <c r="BD148" s="9" t="n">
        <v>56.826501409192</v>
      </c>
      <c r="BE148" s="9" t="n">
        <v>1.93656794545414</v>
      </c>
      <c r="BF148" s="9" t="n">
        <v>2.0387283</v>
      </c>
      <c r="BG148" s="9" t="n">
        <v>1.89257709730997</v>
      </c>
      <c r="BH148" s="9" t="n">
        <v>2.01694644941891</v>
      </c>
      <c r="BI148" s="9" t="n">
        <v>7.37150437169355</v>
      </c>
      <c r="BJ148" s="9" t="n">
        <v>7.33630032999999</v>
      </c>
      <c r="BK148" s="9" t="n">
        <v>6.81037977622891</v>
      </c>
      <c r="BL148" s="9" t="n">
        <v>7.25791901866681</v>
      </c>
      <c r="BM148" s="9" t="n">
        <v>0</v>
      </c>
      <c r="BN148" s="9" t="n">
        <v>0</v>
      </c>
      <c r="BO148" s="9" t="n">
        <v>0</v>
      </c>
      <c r="BP148" s="9" t="n">
        <v>0</v>
      </c>
      <c r="BQ148" s="9" t="n">
        <v>0</v>
      </c>
      <c r="BR148" s="9" t="n">
        <v>0</v>
      </c>
      <c r="BS148" s="9" t="n">
        <v>0</v>
      </c>
      <c r="BT148" s="9" t="n">
        <v>0</v>
      </c>
      <c r="BU148" s="9" t="n">
        <v>0</v>
      </c>
      <c r="BV148" s="9" t="n">
        <v>64.0755812666852</v>
      </c>
      <c r="BW148" s="9" t="n">
        <v>103.12031542916</v>
      </c>
      <c r="BX148" s="9" t="n">
        <v>69.289334394643</v>
      </c>
      <c r="BY148" s="9" t="n">
        <v>55.88501597097</v>
      </c>
      <c r="BZ148" s="9" t="n">
        <v>10.9718481269932</v>
      </c>
      <c r="CA148" s="9" t="n">
        <v>5.6777302186572</v>
      </c>
      <c r="CB148" s="9" t="n">
        <v>3.225</v>
      </c>
      <c r="CC148" s="9" t="n">
        <v>0.713</v>
      </c>
      <c r="CD148" s="9" t="n">
        <v>29.156</v>
      </c>
      <c r="CE148" s="9" t="n">
        <v>11.61</v>
      </c>
      <c r="CF148" s="9" t="n">
        <v>0</v>
      </c>
      <c r="CG148" s="9" t="n">
        <v>3</v>
      </c>
      <c r="CH148" s="9" t="n">
        <v>0</v>
      </c>
      <c r="CI148" s="9" t="n">
        <v>3</v>
      </c>
      <c r="CJ148" s="9" t="n">
        <v>0.16</v>
      </c>
      <c r="CK148" s="9" t="n">
        <v>14.77</v>
      </c>
      <c r="CL148" s="9" t="n">
        <v>0</v>
      </c>
      <c r="CM148" s="9" t="n">
        <v>143.551</v>
      </c>
      <c r="CN148" s="9" t="n">
        <v>163.544</v>
      </c>
      <c r="CO148" s="9" t="n">
        <v>3</v>
      </c>
      <c r="CP148" s="9" t="n">
        <v>2</v>
      </c>
      <c r="CQ148" s="9" t="n">
        <v>0.5</v>
      </c>
      <c r="CR148" s="9" t="n">
        <v>0.3</v>
      </c>
      <c r="CS148" s="9" t="n">
        <v>0.6</v>
      </c>
      <c r="CT148" s="9" t="n">
        <v>0.8</v>
      </c>
      <c r="CU148" s="9" t="n">
        <v>0.8</v>
      </c>
      <c r="CV148" s="9" t="n">
        <v>0.7</v>
      </c>
      <c r="CW148" s="9" t="n">
        <v>0.5</v>
      </c>
      <c r="CX148" s="9" t="n">
        <v>0.5</v>
      </c>
      <c r="CY148" s="9" t="n">
        <v>1</v>
      </c>
      <c r="CZ148" s="9" t="n">
        <v>0.3</v>
      </c>
      <c r="DA148" s="9" t="n">
        <v>0.8</v>
      </c>
      <c r="DB148" s="9" t="n">
        <v>0.252888318356868</v>
      </c>
      <c r="DC148" s="9" t="n">
        <v>7.124</v>
      </c>
      <c r="DD148" s="9" t="n">
        <v>5.575</v>
      </c>
      <c r="DE148" s="9" t="n">
        <v>14.26581</v>
      </c>
      <c r="DF148" s="9" t="n">
        <v>21.8241279907677</v>
      </c>
      <c r="DG148" s="9" t="n">
        <v>24.2232284254902</v>
      </c>
      <c r="DH148" s="9" t="n">
        <v>18.3176539860342</v>
      </c>
      <c r="DI148" s="9" t="n">
        <v>21.579042703716</v>
      </c>
      <c r="DJ148" s="9" t="n">
        <v>12.442</v>
      </c>
      <c r="DK148" s="9" t="n">
        <v>11.119</v>
      </c>
      <c r="DL148" s="9" t="n">
        <v>23.84928</v>
      </c>
      <c r="DM148" s="9" t="n">
        <v>13.4947462084719</v>
      </c>
      <c r="DN148" s="9" t="n">
        <v>13.4947462084719</v>
      </c>
      <c r="DO148" s="9" t="n">
        <v>0.105</v>
      </c>
    </row>
    <row r="149" customFormat="false" ht="15" hidden="false" customHeight="false" outlineLevel="0" collapsed="false">
      <c r="A149" s="9" t="s">
        <v>910</v>
      </c>
      <c r="B149" s="9" t="s">
        <v>911</v>
      </c>
      <c r="C149" s="9" t="n">
        <v>0.005</v>
      </c>
      <c r="D149" s="9" t="n">
        <v>0.005</v>
      </c>
      <c r="E149" s="9" t="n">
        <v>0.01</v>
      </c>
      <c r="F149" s="9" t="n">
        <v>0.005</v>
      </c>
      <c r="G149" s="9" t="n">
        <v>0.005</v>
      </c>
      <c r="H149" s="9" t="n">
        <v>0.01</v>
      </c>
      <c r="I149" s="9" t="n">
        <v>0.005</v>
      </c>
      <c r="J149" s="9" t="n">
        <v>0.005</v>
      </c>
      <c r="K149" s="9" t="n">
        <v>0.01</v>
      </c>
      <c r="L149" s="9" t="n">
        <v>0.01</v>
      </c>
      <c r="M149" s="9" t="n">
        <v>0.005</v>
      </c>
      <c r="N149" s="9" t="n">
        <v>0.06443</v>
      </c>
      <c r="O149" s="9" t="n">
        <v>6.1E-005</v>
      </c>
      <c r="P149" s="9" t="n">
        <v>0.391467</v>
      </c>
      <c r="Q149" s="9" t="n">
        <v>0.197693053715506</v>
      </c>
      <c r="R149" s="9" t="n">
        <v>0.044667189404325</v>
      </c>
      <c r="S149" s="9" t="n">
        <v>0.0410343847518576</v>
      </c>
      <c r="T149" s="9" t="n">
        <v>0.0132662580233917</v>
      </c>
      <c r="U149" s="9" t="n">
        <v>0.000911</v>
      </c>
      <c r="V149" s="9" t="n">
        <v>0</v>
      </c>
      <c r="W149" s="9" t="n">
        <v>0.000736</v>
      </c>
      <c r="X149" s="9" t="n">
        <v>0.12417223268847</v>
      </c>
      <c r="Y149" s="9" t="n">
        <v>0.12417223268847</v>
      </c>
      <c r="Z149" s="9" t="n">
        <v>1.45</v>
      </c>
      <c r="AA149" s="9" t="n">
        <v>0.27</v>
      </c>
      <c r="AB149" s="9" t="n">
        <v>0.16</v>
      </c>
      <c r="AC149" s="9" t="n">
        <v>0</v>
      </c>
      <c r="AD149" s="9" t="n">
        <v>0</v>
      </c>
      <c r="AE149" s="9" t="n">
        <v>12.667</v>
      </c>
      <c r="AF149" s="9" t="n">
        <v>16.1074766194125</v>
      </c>
      <c r="AG149" s="9" t="n">
        <v>14.7834819432</v>
      </c>
      <c r="AH149" s="9" t="n">
        <v>15.4751298835945</v>
      </c>
      <c r="AI149" s="9" t="n">
        <v>14.3124957715389</v>
      </c>
      <c r="AJ149" s="9" t="n">
        <v>11.9597517821696</v>
      </c>
      <c r="AK149" s="9" t="n">
        <v>0</v>
      </c>
      <c r="AL149" s="9" t="n">
        <v>0</v>
      </c>
      <c r="AM149" s="9" t="n">
        <v>0</v>
      </c>
      <c r="AN149" s="9" t="n">
        <v>0</v>
      </c>
      <c r="AO149" s="9" t="n">
        <v>44.8064719974791</v>
      </c>
      <c r="AP149" s="9" t="n">
        <v>43.47851965</v>
      </c>
      <c r="AQ149" s="9" t="n">
        <v>45.512670243403</v>
      </c>
      <c r="AR149" s="9" t="n">
        <v>42.0933397851938</v>
      </c>
      <c r="AS149" s="9" t="n">
        <v>12.8166049068473</v>
      </c>
      <c r="AT149" s="9" t="n">
        <v>10.4307548724</v>
      </c>
      <c r="AU149" s="9" t="n">
        <v>11.4826029912771</v>
      </c>
      <c r="AV149" s="9" t="n">
        <v>11.9625487362475</v>
      </c>
      <c r="AW149" s="9" t="n">
        <v>11.0005505805083</v>
      </c>
      <c r="AX149" s="9" t="n">
        <v>9.010223874</v>
      </c>
      <c r="AY149" s="9" t="n">
        <v>9.85557063820818</v>
      </c>
      <c r="AZ149" s="9" t="n">
        <v>10.2675102651078</v>
      </c>
      <c r="BA149" s="9" t="n">
        <v>19.5994677848164</v>
      </c>
      <c r="BB149" s="9" t="n">
        <v>12.6846794881102</v>
      </c>
      <c r="BC149" s="9" t="n">
        <v>16.45456995</v>
      </c>
      <c r="BD149" s="9" t="n">
        <v>13.670766627777</v>
      </c>
      <c r="BE149" s="9" t="n">
        <v>0.380194885090425</v>
      </c>
      <c r="BF149" s="9" t="n">
        <v>0.364940619999999</v>
      </c>
      <c r="BG149" s="9" t="n">
        <v>0.382014434488296</v>
      </c>
      <c r="BH149" s="9" t="n">
        <v>0.353313996031585</v>
      </c>
      <c r="BI149" s="9" t="n">
        <v>9.04360805983852</v>
      </c>
      <c r="BJ149" s="9" t="n">
        <v>8.76800237999999</v>
      </c>
      <c r="BK149" s="9" t="n">
        <v>9.17821499505243</v>
      </c>
      <c r="BL149" s="9" t="n">
        <v>8.48866305453267</v>
      </c>
      <c r="BM149" s="9" t="n">
        <v>0</v>
      </c>
      <c r="BN149" s="9" t="n">
        <v>0</v>
      </c>
      <c r="BO149" s="9" t="n">
        <v>0</v>
      </c>
      <c r="BP149" s="9" t="n">
        <v>0</v>
      </c>
      <c r="BQ149" s="9" t="n">
        <v>44.7752058858001</v>
      </c>
      <c r="BR149" s="9" t="n">
        <v>0</v>
      </c>
      <c r="BS149" s="9" t="n">
        <v>0</v>
      </c>
      <c r="BT149" s="9" t="n">
        <v>0</v>
      </c>
      <c r="BU149" s="9" t="n">
        <v>0</v>
      </c>
      <c r="BV149" s="9" t="n">
        <v>10.7575194153132</v>
      </c>
      <c r="BW149" s="9" t="n">
        <v>46.611195152392</v>
      </c>
      <c r="BX149" s="9" t="n">
        <v>11.5148465225948</v>
      </c>
      <c r="BY149" s="9" t="n">
        <v>10.6083605643063</v>
      </c>
      <c r="BZ149" s="9" t="n">
        <v>6.61587652426545</v>
      </c>
      <c r="CA149" s="9" t="n">
        <v>-0.159989609530897</v>
      </c>
      <c r="CB149" s="9" t="n">
        <v>7.881</v>
      </c>
      <c r="CC149" s="9" t="n">
        <v>2.173</v>
      </c>
      <c r="CD149" s="9" t="n">
        <v>32.829</v>
      </c>
      <c r="CE149" s="9" t="n">
        <v>0.42</v>
      </c>
      <c r="CF149" s="9" t="n">
        <v>0.1</v>
      </c>
      <c r="CG149" s="9" t="n">
        <v>6.12</v>
      </c>
      <c r="CH149" s="9" t="n">
        <v>0.02</v>
      </c>
      <c r="CI149" s="9" t="n">
        <v>6</v>
      </c>
      <c r="CJ149" s="9" t="n">
        <v>0.68</v>
      </c>
      <c r="CK149" s="9" t="n">
        <v>7.63</v>
      </c>
      <c r="CL149" s="9" t="n">
        <v>0.41</v>
      </c>
      <c r="CM149" s="9" t="n">
        <v>32.036</v>
      </c>
      <c r="CN149" s="9" t="n">
        <v>36.347</v>
      </c>
      <c r="CO149" s="9" t="n">
        <v>3</v>
      </c>
      <c r="CP149" s="9" t="n">
        <v>1</v>
      </c>
      <c r="CQ149" s="9" t="n">
        <v>0.5</v>
      </c>
      <c r="CR149" s="9" t="n">
        <v>0.3</v>
      </c>
      <c r="CS149" s="9" t="n">
        <v>0.6</v>
      </c>
      <c r="CT149" s="9" t="n">
        <v>0.8</v>
      </c>
      <c r="CU149" s="9" t="n">
        <v>0.8</v>
      </c>
      <c r="CV149" s="9" t="n">
        <v>0.7</v>
      </c>
      <c r="CW149" s="9" t="n">
        <v>0.5</v>
      </c>
      <c r="CX149" s="9" t="n">
        <v>0.5</v>
      </c>
      <c r="CY149" s="9" t="n">
        <v>1</v>
      </c>
      <c r="CZ149" s="9" t="n">
        <v>0.3</v>
      </c>
      <c r="DA149" s="9" t="n">
        <v>0.8</v>
      </c>
      <c r="DB149" s="9" t="n">
        <v>0.349148107970136</v>
      </c>
      <c r="DC149" s="9" t="n">
        <v>7.124</v>
      </c>
      <c r="DD149" s="9" t="n">
        <v>5.575</v>
      </c>
      <c r="DE149" s="9" t="n">
        <v>14.38774</v>
      </c>
      <c r="DF149" s="9" t="n">
        <v>22.3840661490128</v>
      </c>
      <c r="DG149" s="9" t="n">
        <v>23.7115860741315</v>
      </c>
      <c r="DH149" s="9" t="n">
        <v>18.474215131214</v>
      </c>
      <c r="DI149" s="9" t="n">
        <v>23.1977201337105</v>
      </c>
      <c r="DJ149" s="9" t="n">
        <v>6.274</v>
      </c>
      <c r="DK149" s="9" t="n">
        <v>5.613</v>
      </c>
      <c r="DL149" s="9" t="n">
        <v>12.0891</v>
      </c>
      <c r="DM149" s="9" t="n">
        <v>13.4947462084719</v>
      </c>
      <c r="DN149" s="9" t="n">
        <v>13.4947462084719</v>
      </c>
      <c r="DO149" s="9" t="n">
        <v>0.07693</v>
      </c>
    </row>
    <row r="150" customFormat="false" ht="15" hidden="false" customHeight="false" outlineLevel="0" collapsed="false">
      <c r="A150" s="9" t="s">
        <v>740</v>
      </c>
      <c r="B150" s="9" t="s">
        <v>741</v>
      </c>
      <c r="C150" s="9" t="n">
        <v>0.005</v>
      </c>
      <c r="D150" s="9" t="n">
        <v>0.005</v>
      </c>
      <c r="E150" s="9" t="n">
        <v>0.01</v>
      </c>
      <c r="F150" s="9" t="n">
        <v>0.005</v>
      </c>
      <c r="G150" s="9" t="n">
        <v>0.005</v>
      </c>
      <c r="H150" s="9" t="n">
        <v>0.01</v>
      </c>
      <c r="I150" s="9" t="n">
        <v>0.005</v>
      </c>
      <c r="J150" s="9" t="n">
        <v>0.005</v>
      </c>
      <c r="K150" s="9" t="n">
        <v>0.01</v>
      </c>
      <c r="L150" s="9" t="n">
        <v>0.01</v>
      </c>
      <c r="M150" s="9" t="n">
        <v>0.005</v>
      </c>
      <c r="N150" s="9" t="n">
        <v>14.543047</v>
      </c>
      <c r="O150" s="9" t="n">
        <v>0.016078</v>
      </c>
      <c r="P150" s="9" t="n">
        <v>200.268372</v>
      </c>
      <c r="Q150" s="9" t="n">
        <v>19.084873947552</v>
      </c>
      <c r="R150" s="9" t="n">
        <v>6.10502108394286</v>
      </c>
      <c r="S150" s="9" t="n">
        <v>41.3248573333968</v>
      </c>
      <c r="T150" s="9" t="n">
        <v>7.82883779406739</v>
      </c>
      <c r="U150" s="9" t="n">
        <v>0.548776</v>
      </c>
      <c r="V150" s="9" t="n">
        <v>0.380099</v>
      </c>
      <c r="W150" s="9" t="n">
        <v>0.407341</v>
      </c>
      <c r="X150" s="9" t="n">
        <v>7.56268918622563</v>
      </c>
      <c r="Y150" s="9" t="n">
        <v>7.56268918622563</v>
      </c>
      <c r="Z150" s="9" t="n">
        <v>11.91</v>
      </c>
      <c r="AA150" s="9" t="n">
        <v>1.52</v>
      </c>
      <c r="AB150" s="9" t="n">
        <v>0</v>
      </c>
      <c r="AC150" s="9" t="n">
        <v>0</v>
      </c>
      <c r="AD150" s="9" t="n">
        <v>0</v>
      </c>
      <c r="AE150" s="9" t="n">
        <v>56.66</v>
      </c>
      <c r="AF150" s="9" t="n">
        <v>7.90076493449929</v>
      </c>
      <c r="AG150" s="9" t="n">
        <v>7.7288286132</v>
      </c>
      <c r="AH150" s="9" t="n">
        <v>7.677303089112</v>
      </c>
      <c r="AI150" s="9" t="n">
        <v>8.05436834654581</v>
      </c>
      <c r="AJ150" s="9" t="n">
        <v>44.7790950194674</v>
      </c>
      <c r="AK150" s="9" t="n">
        <v>0</v>
      </c>
      <c r="AL150" s="9" t="n">
        <v>0</v>
      </c>
      <c r="AM150" s="9" t="n">
        <v>0</v>
      </c>
      <c r="AN150" s="9" t="n">
        <v>0</v>
      </c>
      <c r="AO150" s="9" t="n">
        <v>51.7275033925719</v>
      </c>
      <c r="AP150" s="9" t="n">
        <v>49.73625532</v>
      </c>
      <c r="AQ150" s="9" t="n">
        <v>49.4046802845333</v>
      </c>
      <c r="AR150" s="9" t="n">
        <v>51.8311558676508</v>
      </c>
      <c r="AS150" s="9" t="n">
        <v>162.628162312015</v>
      </c>
      <c r="AT150" s="9" t="n">
        <v>162.7408783188</v>
      </c>
      <c r="AU150" s="9" t="n">
        <v>163.917268794978</v>
      </c>
      <c r="AV150" s="9" t="n">
        <v>165.199303446044</v>
      </c>
      <c r="AW150" s="9" t="n">
        <v>29.667175206629</v>
      </c>
      <c r="AX150" s="9" t="n">
        <v>29.7997206588</v>
      </c>
      <c r="AY150" s="9" t="n">
        <v>29.9287407199411</v>
      </c>
      <c r="AZ150" s="9" t="n">
        <v>30.1476997300357</v>
      </c>
      <c r="BA150" s="9" t="n">
        <v>36.9015587270219</v>
      </c>
      <c r="BB150" s="9" t="n">
        <v>35.4364191191243</v>
      </c>
      <c r="BC150" s="9" t="n">
        <v>35.03244335</v>
      </c>
      <c r="BD150" s="9" t="n">
        <v>36.8409172462671</v>
      </c>
      <c r="BE150" s="9" t="n">
        <v>0</v>
      </c>
      <c r="BF150" s="9" t="n">
        <v>0</v>
      </c>
      <c r="BG150" s="9" t="n">
        <v>0</v>
      </c>
      <c r="BH150" s="9" t="n">
        <v>0</v>
      </c>
      <c r="BI150" s="9" t="n">
        <v>1.19177635459676</v>
      </c>
      <c r="BJ150" s="9" t="n">
        <v>1.12007843553531</v>
      </c>
      <c r="BK150" s="9" t="n">
        <v>1.11261124596507</v>
      </c>
      <c r="BL150" s="9" t="n">
        <v>1.16725635258833</v>
      </c>
      <c r="BM150" s="9" t="n">
        <v>60.558997899722</v>
      </c>
      <c r="BN150" s="9" t="n">
        <v>59.3393363676</v>
      </c>
      <c r="BO150" s="9" t="n">
        <v>58.943740791816</v>
      </c>
      <c r="BP150" s="9" t="n">
        <v>61.838720518134</v>
      </c>
      <c r="BQ150" s="9" t="n">
        <v>289.872000625436</v>
      </c>
      <c r="BR150" s="9" t="n">
        <v>6.75428826747821</v>
      </c>
      <c r="BS150" s="9" t="n">
        <v>6.6789927</v>
      </c>
      <c r="BT150" s="9" t="n">
        <v>6.634466082</v>
      </c>
      <c r="BU150" s="9" t="n">
        <v>6.96031314471309</v>
      </c>
      <c r="BV150" s="9" t="n">
        <v>218.303849643306</v>
      </c>
      <c r="BW150" s="9" t="n">
        <v>208.194417814249</v>
      </c>
      <c r="BX150" s="9" t="n">
        <v>211.113467885745</v>
      </c>
      <c r="BY150" s="9" t="n">
        <v>220.174400572529</v>
      </c>
      <c r="BZ150" s="9" t="n">
        <v>53.4153715329565</v>
      </c>
      <c r="CA150" s="9" t="n">
        <v>0.464273259227188</v>
      </c>
      <c r="CB150" s="9" t="n">
        <v>5.023</v>
      </c>
      <c r="CC150" s="9" t="n">
        <v>3.507</v>
      </c>
      <c r="CD150" s="9" t="n">
        <v>572.877</v>
      </c>
      <c r="CE150" s="9" t="n">
        <v>1.66</v>
      </c>
      <c r="CF150" s="9" t="n">
        <v>0.57</v>
      </c>
      <c r="CG150" s="9" t="n">
        <v>56.85</v>
      </c>
      <c r="CH150" s="9" t="n">
        <v>54.81</v>
      </c>
      <c r="CI150" s="9" t="n">
        <v>1.47</v>
      </c>
      <c r="CJ150" s="9" t="n">
        <v>1.64</v>
      </c>
      <c r="CK150" s="9" t="n">
        <v>60.15</v>
      </c>
      <c r="CL150" s="9" t="n">
        <v>0</v>
      </c>
      <c r="CM150" s="9" t="n">
        <v>74.39</v>
      </c>
      <c r="CN150" s="9" t="n">
        <v>74.421</v>
      </c>
      <c r="CO150" s="9" t="n">
        <v>1</v>
      </c>
      <c r="CP150" s="9" t="n">
        <v>4</v>
      </c>
      <c r="CQ150" s="9" t="n">
        <v>0.5</v>
      </c>
      <c r="CR150" s="9" t="n">
        <v>0.3</v>
      </c>
      <c r="CS150" s="9" t="n">
        <v>0.6</v>
      </c>
      <c r="CT150" s="9" t="n">
        <v>0.8</v>
      </c>
      <c r="CU150" s="9" t="n">
        <v>0.8</v>
      </c>
      <c r="CV150" s="9" t="n">
        <v>0.7</v>
      </c>
      <c r="CW150" s="9" t="n">
        <v>0.5</v>
      </c>
      <c r="CX150" s="9" t="n">
        <v>0.5</v>
      </c>
      <c r="CY150" s="9" t="n">
        <v>1</v>
      </c>
      <c r="CZ150" s="9" t="n">
        <v>0.3</v>
      </c>
      <c r="DA150" s="9" t="n">
        <v>0.8</v>
      </c>
      <c r="DB150" s="9" t="n">
        <v>0.619586377853629</v>
      </c>
      <c r="DC150" s="9" t="n">
        <v>7.124</v>
      </c>
      <c r="DD150" s="9" t="n">
        <v>4.833</v>
      </c>
      <c r="DE150" s="9" t="n">
        <v>12.25257</v>
      </c>
      <c r="DF150" s="9" t="n">
        <v>20.2031414774935</v>
      </c>
      <c r="DG150" s="9" t="n">
        <v>22.1222691389756</v>
      </c>
      <c r="DH150" s="9" t="n">
        <v>17.4839857561175</v>
      </c>
      <c r="DI150" s="9" t="n">
        <v>20.1054019367316</v>
      </c>
      <c r="DJ150" s="9" t="n">
        <v>48.488</v>
      </c>
      <c r="DK150" s="9" t="n">
        <v>48.488</v>
      </c>
      <c r="DL150" s="9" t="n">
        <v>56.86194</v>
      </c>
      <c r="DM150" s="9" t="n">
        <v>11.6094555881233</v>
      </c>
      <c r="DN150" s="9" t="n">
        <v>11.6094555881233</v>
      </c>
      <c r="DO150" s="9" t="n">
        <v>0.0546</v>
      </c>
    </row>
    <row r="151" customFormat="false" ht="15" hidden="false" customHeight="false" outlineLevel="0" collapsed="false">
      <c r="A151" s="9" t="s">
        <v>1042</v>
      </c>
      <c r="B151" s="9" t="s">
        <v>1043</v>
      </c>
      <c r="C151" s="9" t="n">
        <v>0.005</v>
      </c>
      <c r="D151" s="9" t="n">
        <v>0.005</v>
      </c>
      <c r="E151" s="9" t="n">
        <v>0.01</v>
      </c>
      <c r="F151" s="9" t="n">
        <v>0.005</v>
      </c>
      <c r="G151" s="9" t="n">
        <v>0.005</v>
      </c>
      <c r="H151" s="9" t="n">
        <v>0.01</v>
      </c>
      <c r="I151" s="9" t="n">
        <v>0.005</v>
      </c>
      <c r="J151" s="9" t="n">
        <v>0.005</v>
      </c>
      <c r="K151" s="9" t="n">
        <v>0.01</v>
      </c>
      <c r="L151" s="9" t="n">
        <v>0.01</v>
      </c>
      <c r="M151" s="9" t="n">
        <v>0.005</v>
      </c>
      <c r="N151" s="9" t="n">
        <v>0.005114</v>
      </c>
      <c r="O151" s="9" t="n">
        <v>0.001244</v>
      </c>
      <c r="P151" s="9" t="n">
        <v>0.151444</v>
      </c>
      <c r="Q151" s="9" t="n">
        <v>0.0196808221113768</v>
      </c>
      <c r="R151" s="9" t="n">
        <v>0.0049471342938208</v>
      </c>
      <c r="S151" s="9" t="n">
        <v>0.0093247924032626</v>
      </c>
      <c r="T151" s="9" t="n">
        <v>0.0015903993536814</v>
      </c>
      <c r="U151" s="9" t="n">
        <v>0.000278</v>
      </c>
      <c r="V151" s="9" t="n">
        <v>0.00016</v>
      </c>
      <c r="W151" s="9" t="n">
        <v>0.00087</v>
      </c>
      <c r="X151" s="9" t="n">
        <v>2.60413466650085E-005</v>
      </c>
      <c r="Y151" s="9" t="n">
        <v>2.60413466650085E-005</v>
      </c>
      <c r="Z151" s="9" t="n">
        <v>0.06</v>
      </c>
      <c r="AA151" s="9" t="n">
        <v>0.01</v>
      </c>
      <c r="AB151" s="9" t="n">
        <v>0</v>
      </c>
      <c r="AC151" s="9" t="n">
        <v>0</v>
      </c>
      <c r="AD151" s="9" t="n">
        <v>0</v>
      </c>
      <c r="AE151" s="9" t="n">
        <v>0.332</v>
      </c>
      <c r="AF151" s="9" t="n">
        <v>0</v>
      </c>
      <c r="AG151" s="9" t="n">
        <v>0</v>
      </c>
      <c r="AH151" s="9" t="n">
        <v>0</v>
      </c>
      <c r="AI151" s="9" t="n">
        <v>0</v>
      </c>
      <c r="AJ151" s="9" t="n">
        <v>0</v>
      </c>
      <c r="AK151" s="9" t="n">
        <v>0</v>
      </c>
      <c r="AL151" s="9" t="n">
        <v>0</v>
      </c>
      <c r="AM151" s="9" t="n">
        <v>0</v>
      </c>
      <c r="AN151" s="9" t="n">
        <v>0</v>
      </c>
      <c r="AO151" s="9" t="n">
        <v>1.73869679643691</v>
      </c>
      <c r="AP151" s="9" t="n">
        <v>1.58091633</v>
      </c>
      <c r="AQ151" s="9" t="n">
        <v>1.626085368</v>
      </c>
      <c r="AR151" s="9" t="n">
        <v>1.64234622168</v>
      </c>
      <c r="AS151" s="9" t="n">
        <v>0.25042452717692</v>
      </c>
      <c r="AT151" s="9" t="n">
        <v>0.2188293822</v>
      </c>
      <c r="AU151" s="9" t="n">
        <v>0.229942068534859</v>
      </c>
      <c r="AV151" s="9" t="n">
        <v>0.237676274955264</v>
      </c>
      <c r="AW151" s="9" t="n">
        <v>0.107814362555533</v>
      </c>
      <c r="AX151" s="9" t="n">
        <v>0.09451366056</v>
      </c>
      <c r="AY151" s="9" t="n">
        <v>0.0989961239949635</v>
      </c>
      <c r="AZ151" s="9" t="n">
        <v>0.102325903807226</v>
      </c>
      <c r="BA151" s="9" t="n">
        <v>1.05557131409755</v>
      </c>
      <c r="BB151" s="9" t="n">
        <v>1.02995415859937</v>
      </c>
      <c r="BC151" s="9" t="n">
        <v>0.920371227645871</v>
      </c>
      <c r="BD151" s="9" t="n">
        <v>0.997307448891429</v>
      </c>
      <c r="BE151" s="9" t="n">
        <v>0</v>
      </c>
      <c r="BF151" s="9" t="n">
        <v>0</v>
      </c>
      <c r="BG151" s="9" t="n">
        <v>0</v>
      </c>
      <c r="BH151" s="9" t="n">
        <v>0</v>
      </c>
      <c r="BI151" s="9" t="n">
        <v>0.0146565616165556</v>
      </c>
      <c r="BJ151" s="9" t="n">
        <v>0.0134765392971245</v>
      </c>
      <c r="BK151" s="9" t="n">
        <v>0.0138615832770424</v>
      </c>
      <c r="BL151" s="9" t="n">
        <v>0.0140001991098128</v>
      </c>
      <c r="BM151" s="9" t="n">
        <v>0</v>
      </c>
      <c r="BN151" s="9" t="n">
        <v>0</v>
      </c>
      <c r="BO151" s="9" t="n">
        <v>0</v>
      </c>
      <c r="BP151" s="9" t="n">
        <v>0</v>
      </c>
      <c r="BQ151" s="9" t="n">
        <v>0</v>
      </c>
      <c r="BR151" s="9" t="n">
        <v>0</v>
      </c>
      <c r="BS151" s="9" t="n">
        <v>0</v>
      </c>
      <c r="BT151" s="9" t="n">
        <v>0</v>
      </c>
      <c r="BU151" s="9" t="n">
        <v>0</v>
      </c>
      <c r="BV151" s="9" t="n">
        <v>1.44910521224524</v>
      </c>
      <c r="BW151" s="9" t="n">
        <v>1.4490446509224</v>
      </c>
      <c r="BX151" s="9" t="n">
        <v>1.4367355536353</v>
      </c>
      <c r="BY151" s="9" t="n">
        <v>1.41588530513782</v>
      </c>
      <c r="BZ151" s="9" t="n">
        <v>0.0995108027034591</v>
      </c>
      <c r="CA151" s="9" t="n">
        <v>3.03030303030303</v>
      </c>
      <c r="CB151" s="9" t="n">
        <v>2.679</v>
      </c>
      <c r="CC151" s="9" t="n">
        <v>2.785</v>
      </c>
      <c r="CD151" s="9" t="n">
        <v>1.584</v>
      </c>
      <c r="CE151" s="9" t="n">
        <v>0</v>
      </c>
      <c r="CF151" s="9" t="n">
        <v>0</v>
      </c>
      <c r="CG151" s="9" t="n">
        <v>0.1</v>
      </c>
      <c r="CH151" s="9" t="n">
        <v>0</v>
      </c>
      <c r="CI151" s="9" t="n">
        <v>0.1</v>
      </c>
      <c r="CJ151" s="9" t="n">
        <v>0.01</v>
      </c>
      <c r="CK151" s="9" t="n">
        <v>0.11</v>
      </c>
      <c r="CL151" s="9" t="n">
        <v>0</v>
      </c>
      <c r="CM151" s="9" t="n">
        <v>0.615</v>
      </c>
      <c r="CN151" s="9" t="n">
        <v>43.755</v>
      </c>
      <c r="CO151" s="9" t="n">
        <v>3</v>
      </c>
      <c r="CP151" s="9" t="n">
        <v>2</v>
      </c>
      <c r="CQ151" s="9" t="n">
        <v>0.5</v>
      </c>
      <c r="CR151" s="9" t="n">
        <v>0.3</v>
      </c>
      <c r="CS151" s="9" t="n">
        <v>0.6</v>
      </c>
      <c r="CT151" s="9" t="n">
        <v>0.8</v>
      </c>
      <c r="CU151" s="9" t="n">
        <v>0.8</v>
      </c>
      <c r="CV151" s="9" t="n">
        <v>0.7</v>
      </c>
      <c r="CW151" s="9" t="n">
        <v>0.5</v>
      </c>
      <c r="CX151" s="9" t="n">
        <v>0.5</v>
      </c>
      <c r="CY151" s="9" t="n">
        <v>1</v>
      </c>
      <c r="CZ151" s="9" t="n">
        <v>0.3</v>
      </c>
      <c r="DA151" s="9" t="n">
        <v>0.8</v>
      </c>
      <c r="DB151" s="9" t="n">
        <v>0.807339449541284</v>
      </c>
      <c r="DC151" s="9" t="n">
        <v>7.124</v>
      </c>
      <c r="DD151" s="9" t="n">
        <v>4.833</v>
      </c>
      <c r="DE151" s="9" t="n">
        <v>11.451</v>
      </c>
      <c r="DF151" s="9" t="n">
        <v>19.6808221113768</v>
      </c>
      <c r="DG151" s="9" t="n">
        <v>20.5892294309309</v>
      </c>
      <c r="DH151" s="9" t="n">
        <v>17.2720586560434</v>
      </c>
      <c r="DI151" s="9" t="n">
        <v>19.783016350672</v>
      </c>
      <c r="DJ151" s="9" t="n">
        <v>8.257</v>
      </c>
      <c r="DK151" s="9" t="n">
        <v>6.934</v>
      </c>
      <c r="DL151" s="9" t="n">
        <v>16.199</v>
      </c>
      <c r="DM151" s="9" t="n">
        <v>14.1151698941595</v>
      </c>
      <c r="DN151" s="9" t="n">
        <v>14.1151698941595</v>
      </c>
      <c r="DO151" s="9" t="n">
        <v>0.105</v>
      </c>
    </row>
    <row r="152" customFormat="false" ht="15" hidden="false" customHeight="false" outlineLevel="0" collapsed="false">
      <c r="A152" s="9" t="s">
        <v>998</v>
      </c>
      <c r="B152" s="9" t="s">
        <v>999</v>
      </c>
      <c r="C152" s="9" t="n">
        <v>0.005</v>
      </c>
      <c r="D152" s="9" t="n">
        <v>0.005</v>
      </c>
      <c r="E152" s="9" t="n">
        <v>0.01</v>
      </c>
      <c r="F152" s="9" t="n">
        <v>0.005</v>
      </c>
      <c r="G152" s="9" t="n">
        <v>0.005</v>
      </c>
      <c r="H152" s="9" t="n">
        <v>0.01</v>
      </c>
      <c r="I152" s="9" t="n">
        <v>0.005</v>
      </c>
      <c r="J152" s="9" t="n">
        <v>0.005</v>
      </c>
      <c r="K152" s="9" t="n">
        <v>0.01</v>
      </c>
      <c r="L152" s="9" t="n">
        <v>0.01</v>
      </c>
      <c r="M152" s="9" t="n">
        <v>0.005</v>
      </c>
      <c r="N152" s="9" t="n">
        <v>0.129678</v>
      </c>
      <c r="O152" s="9" t="n">
        <v>0.055888</v>
      </c>
      <c r="P152" s="9" t="n">
        <v>0.342129</v>
      </c>
      <c r="Q152" s="9" t="n">
        <v>0.0480759046944123</v>
      </c>
      <c r="R152" s="9" t="n">
        <v>0.0092651532439188</v>
      </c>
      <c r="S152" s="9" t="n">
        <v>0.0256696699964816</v>
      </c>
      <c r="T152" s="9" t="n">
        <v>0.0082623185935159</v>
      </c>
      <c r="U152" s="9" t="n">
        <v>0.001348</v>
      </c>
      <c r="V152" s="9" t="n">
        <v>0.000201</v>
      </c>
      <c r="W152" s="9" t="n">
        <v>0.000685</v>
      </c>
      <c r="X152" s="9" t="n">
        <v>0.0898914022426909</v>
      </c>
      <c r="Y152" s="9" t="n">
        <v>0.0898914022426909</v>
      </c>
      <c r="Z152" s="9" t="n">
        <v>0.14</v>
      </c>
      <c r="AA152" s="9" t="n">
        <v>0.02</v>
      </c>
      <c r="AB152" s="9" t="n">
        <v>0</v>
      </c>
      <c r="AC152" s="9" t="n">
        <v>0</v>
      </c>
      <c r="AD152" s="9" t="n">
        <v>0</v>
      </c>
      <c r="AE152" s="9" t="n">
        <v>1.009</v>
      </c>
      <c r="AF152" s="9" t="n">
        <v>0</v>
      </c>
      <c r="AG152" s="9" t="n">
        <v>0</v>
      </c>
      <c r="AH152" s="9" t="n">
        <v>0</v>
      </c>
      <c r="AI152" s="9" t="n">
        <v>0</v>
      </c>
      <c r="AJ152" s="9" t="n">
        <v>0</v>
      </c>
      <c r="AK152" s="9" t="n">
        <v>0</v>
      </c>
      <c r="AL152" s="9" t="n">
        <v>0</v>
      </c>
      <c r="AM152" s="9" t="n">
        <v>0</v>
      </c>
      <c r="AN152" s="9" t="n">
        <v>0</v>
      </c>
      <c r="AO152" s="9" t="n">
        <v>3.24431193132748</v>
      </c>
      <c r="AP152" s="9" t="n">
        <v>3.1959225</v>
      </c>
      <c r="AQ152" s="9" t="n">
        <v>3.33247555227273</v>
      </c>
      <c r="AR152" s="9" t="n">
        <v>3.24249871236136</v>
      </c>
      <c r="AS152" s="9" t="n">
        <v>0.93280746461844</v>
      </c>
      <c r="AT152" s="9" t="n">
        <v>0.849752928</v>
      </c>
      <c r="AU152" s="9" t="n">
        <v>0.918664060426186</v>
      </c>
      <c r="AV152" s="9" t="n">
        <v>0.917742797483685</v>
      </c>
      <c r="AW152" s="9" t="n">
        <v>0.400328565654689</v>
      </c>
      <c r="AX152" s="9" t="n">
        <v>0.367266096</v>
      </c>
      <c r="AY152" s="9" t="n">
        <v>0.39425870780243</v>
      </c>
      <c r="AZ152" s="9" t="n">
        <v>0.393863333744705</v>
      </c>
      <c r="BA152" s="9" t="n">
        <v>7.16386779208154</v>
      </c>
      <c r="BB152" s="9" t="n">
        <v>8.99984670858696</v>
      </c>
      <c r="BC152" s="9" t="n">
        <v>7.127639168</v>
      </c>
      <c r="BD152" s="9" t="n">
        <v>7.95771929711276</v>
      </c>
      <c r="BE152" s="9" t="n">
        <v>0.0288690675965417</v>
      </c>
      <c r="BF152" s="9" t="n">
        <v>0.0305090659999999</v>
      </c>
      <c r="BG152" s="9" t="n">
        <v>0.0318126351836363</v>
      </c>
      <c r="BH152" s="9" t="n">
        <v>0.0309536940336781</v>
      </c>
      <c r="BI152" s="9" t="n">
        <v>0.22721377915427</v>
      </c>
      <c r="BJ152" s="9" t="n">
        <v>0.21238272</v>
      </c>
      <c r="BK152" s="9" t="n">
        <v>0.2214572544</v>
      </c>
      <c r="BL152" s="9" t="n">
        <v>0.2154779085312</v>
      </c>
      <c r="BM152" s="9" t="n">
        <v>0</v>
      </c>
      <c r="BN152" s="9" t="n">
        <v>0</v>
      </c>
      <c r="BO152" s="9" t="n">
        <v>0</v>
      </c>
      <c r="BP152" s="9" t="n">
        <v>0</v>
      </c>
      <c r="BQ152" s="9" t="n">
        <v>0</v>
      </c>
      <c r="BR152" s="9" t="n">
        <v>0</v>
      </c>
      <c r="BS152" s="9" t="n">
        <v>0</v>
      </c>
      <c r="BT152" s="9" t="n">
        <v>0</v>
      </c>
      <c r="BU152" s="9" t="n">
        <v>0</v>
      </c>
      <c r="BV152" s="9" t="n">
        <v>9.45796975233299</v>
      </c>
      <c r="BW152" s="9" t="n">
        <v>9.69140245843052</v>
      </c>
      <c r="BX152" s="9" t="n">
        <v>9.87211858890088</v>
      </c>
      <c r="BY152" s="9" t="n">
        <v>9.60057758465435</v>
      </c>
      <c r="BZ152" s="9" t="n">
        <v>0.370315563964758</v>
      </c>
      <c r="CA152" s="9" t="n">
        <v>0.079365079365079</v>
      </c>
      <c r="CB152" s="9" t="n">
        <v>4.377</v>
      </c>
      <c r="CC152" s="9" t="n">
        <v>4.55</v>
      </c>
      <c r="CD152" s="9" t="n">
        <v>6.97</v>
      </c>
      <c r="CE152" s="9" t="n">
        <v>0.18</v>
      </c>
      <c r="CF152" s="9" t="n">
        <v>0</v>
      </c>
      <c r="CG152" s="9" t="n">
        <v>0.01</v>
      </c>
      <c r="CH152" s="9" t="n">
        <v>0</v>
      </c>
      <c r="CI152" s="9" t="n">
        <v>0.01</v>
      </c>
      <c r="CJ152" s="9" t="n">
        <v>0.02</v>
      </c>
      <c r="CK152" s="9" t="n">
        <v>0.21</v>
      </c>
      <c r="CL152" s="9" t="n">
        <v>0</v>
      </c>
      <c r="CM152" s="9" t="n">
        <v>7.191</v>
      </c>
      <c r="CN152" s="9" t="n">
        <v>10.373</v>
      </c>
      <c r="CO152" s="9" t="n">
        <v>3</v>
      </c>
      <c r="CP152" s="9" t="n">
        <v>1</v>
      </c>
      <c r="CQ152" s="9" t="n">
        <v>0.5</v>
      </c>
      <c r="CR152" s="9" t="n">
        <v>0.3</v>
      </c>
      <c r="CS152" s="9" t="n">
        <v>0.6</v>
      </c>
      <c r="CT152" s="9" t="n">
        <v>0.8</v>
      </c>
      <c r="CU152" s="9" t="n">
        <v>0.8</v>
      </c>
      <c r="CV152" s="9" t="n">
        <v>0.7</v>
      </c>
      <c r="CW152" s="9" t="n">
        <v>0.5</v>
      </c>
      <c r="CX152" s="9" t="n">
        <v>0.5</v>
      </c>
      <c r="CY152" s="9" t="n">
        <v>1</v>
      </c>
      <c r="CZ152" s="9" t="n">
        <v>0.3</v>
      </c>
      <c r="DA152" s="9" t="n">
        <v>0.8</v>
      </c>
      <c r="DB152" s="9" t="n">
        <v>0.228644534837948</v>
      </c>
      <c r="DC152" s="9" t="n">
        <v>7.124</v>
      </c>
      <c r="DD152" s="9" t="n">
        <v>5.575</v>
      </c>
      <c r="DE152" s="9" t="n">
        <v>14.02195</v>
      </c>
      <c r="DF152" s="9" t="n">
        <v>29.3576195750712</v>
      </c>
      <c r="DG152" s="9" t="n">
        <v>29.2023904095369</v>
      </c>
      <c r="DH152" s="9" t="n">
        <v>30.403591594388</v>
      </c>
      <c r="DI152" s="9" t="n">
        <v>22.8842950903508</v>
      </c>
      <c r="DJ152" s="9" t="n">
        <v>12.815</v>
      </c>
      <c r="DK152" s="9" t="n">
        <v>11.492</v>
      </c>
      <c r="DL152" s="9" t="n">
        <v>23.87055</v>
      </c>
      <c r="DM152" s="9" t="n">
        <v>22.6914612867171</v>
      </c>
      <c r="DN152" s="9" t="n">
        <v>22.6914612867171</v>
      </c>
      <c r="DO152" s="9" t="n">
        <v>0.105</v>
      </c>
    </row>
    <row r="153" customFormat="false" ht="15" hidden="false" customHeight="false" outlineLevel="0" collapsed="false">
      <c r="A153" s="9" t="s">
        <v>908</v>
      </c>
      <c r="B153" s="9" t="s">
        <v>909</v>
      </c>
      <c r="C153" s="9" t="n">
        <v>0.005</v>
      </c>
      <c r="D153" s="9" t="n">
        <v>0.005</v>
      </c>
      <c r="E153" s="9" t="n">
        <v>0.01</v>
      </c>
      <c r="F153" s="9" t="n">
        <v>0.005</v>
      </c>
      <c r="G153" s="9" t="n">
        <v>0.005</v>
      </c>
      <c r="H153" s="9" t="n">
        <v>0.01</v>
      </c>
      <c r="I153" s="9" t="n">
        <v>0.005</v>
      </c>
      <c r="J153" s="9" t="n">
        <v>0.005</v>
      </c>
      <c r="K153" s="9" t="n">
        <v>0.01</v>
      </c>
      <c r="L153" s="9" t="n">
        <v>0.01</v>
      </c>
      <c r="M153" s="9" t="n">
        <v>0.005</v>
      </c>
      <c r="N153" s="9" t="n">
        <v>10.910903</v>
      </c>
      <c r="O153" s="9" t="n">
        <v>1.22407</v>
      </c>
      <c r="P153" s="9" t="n">
        <v>21.148397</v>
      </c>
      <c r="Q153" s="9" t="n">
        <v>4.59721481510082</v>
      </c>
      <c r="R153" s="9" t="n">
        <v>0.744672393903987</v>
      </c>
      <c r="S153" s="9" t="n">
        <v>1.0971995788589</v>
      </c>
      <c r="T153" s="9" t="n">
        <v>0.919599938481137</v>
      </c>
      <c r="U153" s="9" t="n">
        <v>0.251366</v>
      </c>
      <c r="V153" s="9" t="n">
        <v>0.009369</v>
      </c>
      <c r="W153" s="9" t="n">
        <v>0.084389</v>
      </c>
      <c r="X153" s="9" t="n">
        <v>4.43548004299145</v>
      </c>
      <c r="Y153" s="9" t="n">
        <v>4.43548004299145</v>
      </c>
      <c r="Z153" s="9" t="n">
        <v>0</v>
      </c>
      <c r="AA153" s="9" t="n">
        <v>0</v>
      </c>
      <c r="AB153" s="9" t="n">
        <v>0</v>
      </c>
      <c r="AC153" s="9" t="n">
        <v>0</v>
      </c>
      <c r="AD153" s="9" t="n">
        <v>0</v>
      </c>
      <c r="AE153" s="9" t="n">
        <v>9.461</v>
      </c>
      <c r="AF153" s="9" t="n">
        <v>0.0169313836697183</v>
      </c>
      <c r="AG153" s="9" t="n">
        <v>0.0148338324</v>
      </c>
      <c r="AH153" s="9" t="n">
        <v>0.0158917100167346</v>
      </c>
      <c r="AI153" s="9" t="n">
        <v>0.0155209034496775</v>
      </c>
      <c r="AJ153" s="9" t="n">
        <v>0</v>
      </c>
      <c r="AK153" s="9" t="n">
        <v>0</v>
      </c>
      <c r="AL153" s="9" t="n">
        <v>0</v>
      </c>
      <c r="AM153" s="9" t="n">
        <v>0</v>
      </c>
      <c r="AN153" s="9" t="n">
        <v>0</v>
      </c>
      <c r="AO153" s="9" t="n">
        <v>23.1184068112158</v>
      </c>
      <c r="AP153" s="9" t="n">
        <v>20.40858915</v>
      </c>
      <c r="AQ153" s="9" t="n">
        <v>21.8640316188605</v>
      </c>
      <c r="AR153" s="9" t="n">
        <v>21.3538708810871</v>
      </c>
      <c r="AS153" s="9" t="n">
        <v>24.2955422842523</v>
      </c>
      <c r="AT153" s="9" t="n">
        <v>15.2453069172</v>
      </c>
      <c r="AU153" s="9" t="n">
        <v>22.015816492814</v>
      </c>
      <c r="AV153" s="9" t="n">
        <v>22.1401792902805</v>
      </c>
      <c r="AW153" s="9" t="n">
        <v>12.6024296362895</v>
      </c>
      <c r="AX153" s="9" t="n">
        <v>8.4159997236</v>
      </c>
      <c r="AY153" s="9" t="n">
        <v>11.4199054297836</v>
      </c>
      <c r="AZ153" s="9" t="n">
        <v>11.4844122338012</v>
      </c>
      <c r="BA153" s="9" t="n">
        <v>39.6663494505883</v>
      </c>
      <c r="BB153" s="9" t="n">
        <v>35.3518849502944</v>
      </c>
      <c r="BC153" s="9" t="n">
        <v>36.77909513</v>
      </c>
      <c r="BD153" s="9" t="n">
        <v>36.4511979062318</v>
      </c>
      <c r="BE153" s="9" t="n">
        <v>0.0014155033577178</v>
      </c>
      <c r="BF153" s="9" t="n">
        <v>0.0013156599999999</v>
      </c>
      <c r="BG153" s="9" t="n">
        <v>0.0014094865464852</v>
      </c>
      <c r="BH153" s="9" t="n">
        <v>0.0013765985270672</v>
      </c>
      <c r="BI153" s="9" t="n">
        <v>10.858670562895</v>
      </c>
      <c r="BJ153" s="9" t="n">
        <v>10.11071721</v>
      </c>
      <c r="BK153" s="9" t="n">
        <v>10.8317649566088</v>
      </c>
      <c r="BL153" s="9" t="n">
        <v>10.5790237742879</v>
      </c>
      <c r="BM153" s="9" t="n">
        <v>0</v>
      </c>
      <c r="BN153" s="9" t="n">
        <v>0</v>
      </c>
      <c r="BO153" s="9" t="n">
        <v>0</v>
      </c>
      <c r="BP153" s="9" t="n">
        <v>0</v>
      </c>
      <c r="BQ153" s="9" t="n">
        <v>0</v>
      </c>
      <c r="BR153" s="9" t="n">
        <v>0</v>
      </c>
      <c r="BS153" s="9" t="n">
        <v>0</v>
      </c>
      <c r="BT153" s="9" t="n">
        <v>0</v>
      </c>
      <c r="BU153" s="9" t="n">
        <v>0</v>
      </c>
      <c r="BV153" s="9" t="n">
        <v>46.2271590557841</v>
      </c>
      <c r="BW153" s="9" t="n">
        <v>30.0529087471812</v>
      </c>
      <c r="BX153" s="9" t="n">
        <v>44.7684460947209</v>
      </c>
      <c r="BY153" s="9" t="n">
        <v>43.9792730558034</v>
      </c>
      <c r="BZ153" s="9" t="n">
        <v>10.249436644595</v>
      </c>
      <c r="CA153" s="9" t="n">
        <v>0.0769987339559574</v>
      </c>
      <c r="CB153" s="9" t="n">
        <v>3.7</v>
      </c>
      <c r="CC153" s="9" t="n">
        <v>3.3</v>
      </c>
      <c r="CD153" s="9" t="n">
        <v>35.365</v>
      </c>
      <c r="CE153" s="9" t="n">
        <v>4.5</v>
      </c>
      <c r="CF153" s="9" t="n">
        <v>0</v>
      </c>
      <c r="CG153" s="9" t="n">
        <v>0.605</v>
      </c>
      <c r="CH153" s="9" t="n">
        <v>0</v>
      </c>
      <c r="CI153" s="9" t="n">
        <v>0.605</v>
      </c>
      <c r="CJ153" s="9" t="n">
        <v>1.45</v>
      </c>
      <c r="CK153" s="9" t="n">
        <v>6.745</v>
      </c>
      <c r="CL153" s="9" t="n">
        <v>0.19</v>
      </c>
      <c r="CM153" s="9" t="n">
        <v>14.79</v>
      </c>
      <c r="CN153" s="9" t="n">
        <v>15.819</v>
      </c>
      <c r="CO153" s="9" t="n">
        <v>3</v>
      </c>
      <c r="CP153" s="9" t="n">
        <v>2</v>
      </c>
      <c r="CQ153" s="9" t="n">
        <v>0.5</v>
      </c>
      <c r="CR153" s="9" t="n">
        <v>0.3</v>
      </c>
      <c r="CS153" s="9" t="n">
        <v>0.6</v>
      </c>
      <c r="CT153" s="9" t="n">
        <v>0.8</v>
      </c>
      <c r="CU153" s="9" t="n">
        <v>0.8</v>
      </c>
      <c r="CV153" s="9" t="n">
        <v>0.7</v>
      </c>
      <c r="CW153" s="9" t="n">
        <v>0.5</v>
      </c>
      <c r="CX153" s="9" t="n">
        <v>0.5</v>
      </c>
      <c r="CY153" s="9" t="n">
        <v>1</v>
      </c>
      <c r="CZ153" s="9" t="n">
        <v>0.3</v>
      </c>
      <c r="DA153" s="9" t="n">
        <v>0.8</v>
      </c>
      <c r="DB153" s="9" t="n">
        <v>0.420051786393007</v>
      </c>
      <c r="DC153" s="9" t="n">
        <v>7.124</v>
      </c>
      <c r="DD153" s="9" t="n">
        <v>5.575</v>
      </c>
      <c r="DE153" s="9" t="n">
        <v>13.77809</v>
      </c>
      <c r="DF153" s="9" t="n">
        <v>18.0475283810057</v>
      </c>
      <c r="DG153" s="9" t="n">
        <v>24.4291207197995</v>
      </c>
      <c r="DH153" s="9" t="n">
        <v>15.8194043485851</v>
      </c>
      <c r="DI153" s="9" t="n">
        <v>22.5294808735673</v>
      </c>
      <c r="DJ153" s="9" t="n">
        <v>12.771</v>
      </c>
      <c r="DK153" s="9" t="n">
        <v>11.447</v>
      </c>
      <c r="DL153" s="9" t="n">
        <v>23.40456</v>
      </c>
      <c r="DM153" s="9" t="n">
        <v>13.4947462084719</v>
      </c>
      <c r="DN153" s="9" t="n">
        <v>13.4947462084719</v>
      </c>
      <c r="DO153" s="9" t="n">
        <v>0.048</v>
      </c>
    </row>
    <row r="154" customFormat="false" ht="15" hidden="false" customHeight="false" outlineLevel="0" collapsed="false">
      <c r="A154" s="9" t="s">
        <v>984</v>
      </c>
      <c r="B154" s="9" t="s">
        <v>985</v>
      </c>
      <c r="C154" s="9" t="n">
        <v>0.005</v>
      </c>
      <c r="D154" s="9" t="n">
        <v>0.005</v>
      </c>
      <c r="E154" s="9" t="n">
        <v>0.01</v>
      </c>
      <c r="F154" s="9" t="n">
        <v>0.005</v>
      </c>
      <c r="G154" s="9" t="n">
        <v>0.005</v>
      </c>
      <c r="H154" s="9" t="n">
        <v>0.01</v>
      </c>
      <c r="I154" s="9" t="n">
        <v>0.005</v>
      </c>
      <c r="J154" s="9" t="n">
        <v>0.005</v>
      </c>
      <c r="K154" s="9" t="n">
        <v>0.01</v>
      </c>
      <c r="L154" s="9" t="n">
        <v>0.01</v>
      </c>
      <c r="M154" s="9" t="n">
        <v>0.005</v>
      </c>
      <c r="N154" s="9" t="n">
        <v>0.002473</v>
      </c>
      <c r="O154" s="9" t="n">
        <v>0.014505</v>
      </c>
      <c r="P154" s="9" t="n">
        <v>0.124227</v>
      </c>
      <c r="Q154" s="9" t="n">
        <v>0.0172944553975995</v>
      </c>
      <c r="R154" s="9" t="n">
        <v>0.0033457497825262</v>
      </c>
      <c r="S154" s="9" t="n">
        <v>0.005616068151965</v>
      </c>
      <c r="T154" s="9" t="n">
        <v>0.00162918958182</v>
      </c>
      <c r="U154" s="9" t="n">
        <v>0.000101</v>
      </c>
      <c r="V154" s="9" t="n">
        <v>5.3E-005</v>
      </c>
      <c r="W154" s="9" t="n">
        <v>0.000248</v>
      </c>
      <c r="X154" s="9" t="n">
        <v>0.0016637119683432</v>
      </c>
      <c r="Y154" s="9" t="n">
        <v>0.0016637119683432</v>
      </c>
      <c r="Z154" s="9" t="n">
        <v>0.06</v>
      </c>
      <c r="AA154" s="9" t="n">
        <v>0.05</v>
      </c>
      <c r="AB154" s="9" t="n">
        <v>0</v>
      </c>
      <c r="AC154" s="9" t="n">
        <v>0</v>
      </c>
      <c r="AD154" s="9" t="n">
        <v>0</v>
      </c>
      <c r="AE154" s="9" t="n">
        <v>0.943</v>
      </c>
      <c r="AF154" s="9" t="n">
        <v>0</v>
      </c>
      <c r="AG154" s="9" t="n">
        <v>0</v>
      </c>
      <c r="AH154" s="9" t="n">
        <v>0</v>
      </c>
      <c r="AI154" s="9" t="n">
        <v>0</v>
      </c>
      <c r="AJ154" s="9" t="n">
        <v>0</v>
      </c>
      <c r="AK154" s="9" t="n">
        <v>0</v>
      </c>
      <c r="AL154" s="9" t="n">
        <v>0</v>
      </c>
      <c r="AM154" s="9" t="n">
        <v>0</v>
      </c>
      <c r="AN154" s="9" t="n">
        <v>0</v>
      </c>
      <c r="AO154" s="9" t="n">
        <v>3.40981418309877</v>
      </c>
      <c r="AP154" s="9" t="n">
        <v>3.2385348</v>
      </c>
      <c r="AQ154" s="9" t="n">
        <v>3.3486449832</v>
      </c>
      <c r="AR154" s="9" t="n">
        <v>3.2615802136368</v>
      </c>
      <c r="AS154" s="9" t="n">
        <v>0.45049330207656</v>
      </c>
      <c r="AT154" s="9" t="n">
        <v>0.39607128</v>
      </c>
      <c r="AU154" s="9" t="n">
        <v>0.425696049142006</v>
      </c>
      <c r="AV154" s="9" t="n">
        <v>0.435532106518701</v>
      </c>
      <c r="AW154" s="9" t="n">
        <v>1.49334434244724</v>
      </c>
      <c r="AX154" s="9" t="n">
        <v>1.31294028672</v>
      </c>
      <c r="AY154" s="9" t="n">
        <v>1.41114370326492</v>
      </c>
      <c r="AZ154" s="9" t="n">
        <v>1.44374933928163</v>
      </c>
      <c r="BA154" s="9" t="n">
        <v>4.08491159453518</v>
      </c>
      <c r="BB154" s="9" t="n">
        <v>3.75635608779495</v>
      </c>
      <c r="BC154" s="9" t="n">
        <v>3.88405458</v>
      </c>
      <c r="BD154" s="9" t="n">
        <v>3.78307773930812</v>
      </c>
      <c r="BE154" s="9" t="n">
        <v>2.42530933271497</v>
      </c>
      <c r="BF154" s="9" t="n">
        <v>2.29356829</v>
      </c>
      <c r="BG154" s="9" t="n">
        <v>2.37154961186</v>
      </c>
      <c r="BH154" s="9" t="n">
        <v>2.30988932195164</v>
      </c>
      <c r="BI154" s="9" t="n">
        <v>0.504376146558791</v>
      </c>
      <c r="BJ154" s="9" t="n">
        <v>0.474727</v>
      </c>
      <c r="BK154" s="9" t="n">
        <v>0.490867717999999</v>
      </c>
      <c r="BL154" s="9" t="n">
        <v>0.478105157331999</v>
      </c>
      <c r="BM154" s="9" t="n">
        <v>0</v>
      </c>
      <c r="BN154" s="9" t="n">
        <v>0</v>
      </c>
      <c r="BO154" s="9" t="n">
        <v>0</v>
      </c>
      <c r="BP154" s="9" t="n">
        <v>0</v>
      </c>
      <c r="BQ154" s="9" t="n">
        <v>0</v>
      </c>
      <c r="BR154" s="9" t="n">
        <v>0</v>
      </c>
      <c r="BS154" s="9" t="n">
        <v>0</v>
      </c>
      <c r="BT154" s="9" t="n">
        <v>0</v>
      </c>
      <c r="BU154" s="9" t="n">
        <v>0</v>
      </c>
      <c r="BV154" s="9" t="n">
        <v>6.49544490135656</v>
      </c>
      <c r="BW154" s="9" t="n">
        <v>6.8895985756043</v>
      </c>
      <c r="BX154" s="9" t="n">
        <v>6.78581462774804</v>
      </c>
      <c r="BY154" s="9" t="n">
        <v>6.59628102268791</v>
      </c>
      <c r="BZ154" s="9" t="n">
        <v>0.539954901256612</v>
      </c>
      <c r="CA154" s="9" t="n">
        <v>3.46797225622195</v>
      </c>
      <c r="CB154" s="9" t="n">
        <v>3</v>
      </c>
      <c r="CC154" s="9" t="n">
        <v>2.6</v>
      </c>
      <c r="CD154" s="9" t="n">
        <v>12.161</v>
      </c>
      <c r="CE154" s="9" t="n">
        <v>0</v>
      </c>
      <c r="CF154" s="9" t="n">
        <v>0</v>
      </c>
      <c r="CG154" s="9" t="n">
        <v>0.34</v>
      </c>
      <c r="CH154" s="9" t="n">
        <v>0</v>
      </c>
      <c r="CI154" s="9" t="n">
        <v>0.34</v>
      </c>
      <c r="CJ154" s="9" t="n">
        <v>0.08</v>
      </c>
      <c r="CK154" s="9" t="n">
        <v>0.43</v>
      </c>
      <c r="CL154" s="9" t="n">
        <v>0.01</v>
      </c>
      <c r="CM154" s="9" t="n">
        <v>35.479</v>
      </c>
      <c r="CN154" s="9" t="n">
        <v>51.964</v>
      </c>
      <c r="CO154" s="9" t="n">
        <v>3</v>
      </c>
      <c r="CP154" s="9" t="n">
        <v>1</v>
      </c>
      <c r="CQ154" s="9" t="n">
        <v>0.5</v>
      </c>
      <c r="CR154" s="9" t="n">
        <v>0.3</v>
      </c>
      <c r="CS154" s="9" t="n">
        <v>0.6</v>
      </c>
      <c r="CT154" s="9" t="n">
        <v>0.8</v>
      </c>
      <c r="CU154" s="9" t="n">
        <v>0.8</v>
      </c>
      <c r="CV154" s="9" t="n">
        <v>0.7</v>
      </c>
      <c r="CW154" s="9" t="n">
        <v>0.5</v>
      </c>
      <c r="CX154" s="9" t="n">
        <v>0.5</v>
      </c>
      <c r="CY154" s="9" t="n">
        <v>1</v>
      </c>
      <c r="CZ154" s="9" t="n">
        <v>0.3</v>
      </c>
      <c r="DA154" s="9" t="n">
        <v>0.8</v>
      </c>
      <c r="DB154" s="9" t="n">
        <v>0.398577562190685</v>
      </c>
      <c r="DC154" s="9" t="n">
        <v>7.124</v>
      </c>
      <c r="DD154" s="9" t="n">
        <v>5.575</v>
      </c>
      <c r="DE154" s="9" t="n">
        <v>12.193</v>
      </c>
      <c r="DF154" s="9" t="n">
        <v>20.1098318576739</v>
      </c>
      <c r="DG154" s="9" t="n">
        <v>20.7036140388805</v>
      </c>
      <c r="DH154" s="9" t="n">
        <v>15.656114517978</v>
      </c>
      <c r="DI154" s="9" t="n">
        <v>19.8993870350877</v>
      </c>
      <c r="DJ154" s="9" t="n">
        <v>12.815</v>
      </c>
      <c r="DK154" s="9" t="n">
        <v>11.492</v>
      </c>
      <c r="DL154" s="9" t="n">
        <v>20.757</v>
      </c>
      <c r="DM154" s="9" t="n">
        <v>13.4947462084719</v>
      </c>
      <c r="DN154" s="9" t="n">
        <v>13.4947462084719</v>
      </c>
      <c r="DO154" s="9" t="n">
        <v>0.105</v>
      </c>
    </row>
    <row r="155" customFormat="false" ht="15" hidden="false" customHeight="false" outlineLevel="0" collapsed="false">
      <c r="A155" s="9" t="s">
        <v>852</v>
      </c>
      <c r="B155" s="9" t="s">
        <v>853</v>
      </c>
      <c r="C155" s="9" t="n">
        <v>0.005</v>
      </c>
      <c r="D155" s="9" t="n">
        <v>0.005</v>
      </c>
      <c r="E155" s="9" t="n">
        <v>0.01</v>
      </c>
      <c r="F155" s="9" t="n">
        <v>0.005</v>
      </c>
      <c r="G155" s="9" t="n">
        <v>0.005</v>
      </c>
      <c r="H155" s="9" t="n">
        <v>0.01</v>
      </c>
      <c r="I155" s="9" t="n">
        <v>0.005</v>
      </c>
      <c r="J155" s="9" t="n">
        <v>0.005</v>
      </c>
      <c r="K155" s="9" t="n">
        <v>0.01</v>
      </c>
      <c r="L155" s="9" t="n">
        <v>0.01</v>
      </c>
      <c r="M155" s="9" t="n">
        <v>0.005</v>
      </c>
      <c r="N155" s="9" t="n">
        <v>136.507591</v>
      </c>
      <c r="O155" s="9" t="n">
        <v>1.182514</v>
      </c>
      <c r="P155" s="9" t="n">
        <v>125.561351</v>
      </c>
      <c r="Q155" s="9" t="n">
        <v>11.4223844951588</v>
      </c>
      <c r="R155" s="9" t="n">
        <v>1.22420126658076</v>
      </c>
      <c r="S155" s="9" t="n">
        <v>11.5607027817075</v>
      </c>
      <c r="T155" s="9" t="n">
        <v>12.4114377659021</v>
      </c>
      <c r="U155" s="9" t="n">
        <v>3.380072</v>
      </c>
      <c r="V155" s="9" t="n">
        <v>1.5E-005</v>
      </c>
      <c r="W155" s="9" t="n">
        <v>0.805097</v>
      </c>
      <c r="X155" s="9" t="n">
        <v>32.210054973408</v>
      </c>
      <c r="Y155" s="9" t="n">
        <v>32.210054973408</v>
      </c>
      <c r="Z155" s="9" t="n">
        <v>5.41</v>
      </c>
      <c r="AA155" s="9" t="n">
        <v>0.43</v>
      </c>
      <c r="AB155" s="9" t="n">
        <v>0.8</v>
      </c>
      <c r="AC155" s="9" t="n">
        <v>3</v>
      </c>
      <c r="AD155" s="9" t="n">
        <v>0.0118749105</v>
      </c>
      <c r="AE155" s="9" t="n">
        <v>55.378</v>
      </c>
      <c r="AF155" s="9" t="n">
        <v>17.8032834675086</v>
      </c>
      <c r="AG155" s="9" t="n">
        <v>14.6346286428</v>
      </c>
      <c r="AH155" s="9" t="n">
        <v>16.3689878245106</v>
      </c>
      <c r="AI155" s="9" t="n">
        <v>17.1928935450109</v>
      </c>
      <c r="AJ155" s="9" t="n">
        <v>195.385212011536</v>
      </c>
      <c r="AK155" s="9" t="n">
        <v>8.6460257431682</v>
      </c>
      <c r="AL155" s="9" t="n">
        <v>7.2222551208</v>
      </c>
      <c r="AM155" s="9" t="n">
        <v>8.07816918511609</v>
      </c>
      <c r="AN155" s="9" t="n">
        <v>8.4847703674336</v>
      </c>
      <c r="AO155" s="9" t="n">
        <v>94.3777115627137</v>
      </c>
      <c r="AP155" s="9" t="n">
        <v>79.35200075</v>
      </c>
      <c r="AQ155" s="9" t="n">
        <v>88.7560570090958</v>
      </c>
      <c r="AR155" s="9" t="n">
        <v>93.223445211887</v>
      </c>
      <c r="AS155" s="9" t="n">
        <v>64.4165188804745</v>
      </c>
      <c r="AT155" s="9" t="n">
        <v>55.1629363788</v>
      </c>
      <c r="AU155" s="9" t="n">
        <v>60.1244173697812</v>
      </c>
      <c r="AV155" s="9" t="n">
        <v>68.334873155232</v>
      </c>
      <c r="AW155" s="9" t="n">
        <v>58.559779219148</v>
      </c>
      <c r="AX155" s="9" t="n">
        <v>49.9558843944</v>
      </c>
      <c r="AY155" s="9" t="n">
        <v>54.6745031223102</v>
      </c>
      <c r="AZ155" s="9" t="n">
        <v>62.1540289035443</v>
      </c>
      <c r="BA155" s="9" t="n">
        <v>23.2341715267513</v>
      </c>
      <c r="BB155" s="9" t="n">
        <v>19.4133761402319</v>
      </c>
      <c r="BC155" s="9" t="n">
        <v>20.5837016803704</v>
      </c>
      <c r="BD155" s="9" t="n">
        <v>22.8070042483872</v>
      </c>
      <c r="BE155" s="9" t="n">
        <v>0</v>
      </c>
      <c r="BF155" s="9" t="n">
        <v>0</v>
      </c>
      <c r="BG155" s="9" t="n">
        <v>0</v>
      </c>
      <c r="BH155" s="9" t="n">
        <v>0</v>
      </c>
      <c r="BI155" s="9" t="n">
        <v>1.5640611097552</v>
      </c>
      <c r="BJ155" s="9" t="n">
        <v>1.28320426</v>
      </c>
      <c r="BK155" s="9" t="n">
        <v>1.43527761591915</v>
      </c>
      <c r="BL155" s="9" t="n">
        <v>1.50751992258708</v>
      </c>
      <c r="BM155" s="9" t="n">
        <v>55.6614950421039</v>
      </c>
      <c r="BN155" s="9" t="n">
        <v>46.9188675972</v>
      </c>
      <c r="BO155" s="9" t="n">
        <v>52.4792525443575</v>
      </c>
      <c r="BP155" s="9" t="n">
        <v>55.1207082557569</v>
      </c>
      <c r="BQ155" s="9" t="n">
        <v>4.5156109101182</v>
      </c>
      <c r="BR155" s="9" t="n">
        <v>33.3653031039989</v>
      </c>
      <c r="BS155" s="9" t="n">
        <v>28.755444816</v>
      </c>
      <c r="BT155" s="9" t="n">
        <v>32.1632709356834</v>
      </c>
      <c r="BU155" s="9" t="n">
        <v>33.7821555727795</v>
      </c>
      <c r="BV155" s="9" t="n">
        <v>44.7598727241066</v>
      </c>
      <c r="BW155" s="9" t="n">
        <v>30.5617380747056</v>
      </c>
      <c r="BX155" s="9" t="n">
        <v>39.6280577552853</v>
      </c>
      <c r="BY155" s="9" t="n">
        <v>42.9650319605691</v>
      </c>
      <c r="BZ155" s="9" t="n">
        <v>34.1600828054507</v>
      </c>
      <c r="CA155" s="9" t="n">
        <v>-0.12344666297428</v>
      </c>
      <c r="CB155" s="9" t="n">
        <v>2.03</v>
      </c>
      <c r="CC155" s="9" t="n">
        <v>2.835</v>
      </c>
      <c r="CD155" s="9" t="n">
        <v>90.088</v>
      </c>
      <c r="CE155" s="9" t="n">
        <v>8.57</v>
      </c>
      <c r="CF155" s="9" t="n">
        <v>23.85</v>
      </c>
      <c r="CG155" s="9" t="n">
        <v>26.47</v>
      </c>
      <c r="CH155" s="9" t="n">
        <v>2.51</v>
      </c>
      <c r="CI155" s="9" t="n">
        <v>0.11</v>
      </c>
      <c r="CJ155" s="9" t="n">
        <v>0.16</v>
      </c>
      <c r="CK155" s="9" t="n">
        <v>36.67</v>
      </c>
      <c r="CL155" s="9" t="n">
        <v>1.47</v>
      </c>
      <c r="CM155" s="9" t="n">
        <v>68.853</v>
      </c>
      <c r="CN155" s="9" t="n">
        <v>68.853</v>
      </c>
      <c r="CO155" s="9" t="n">
        <v>3</v>
      </c>
      <c r="CP155" s="9" t="n">
        <v>3</v>
      </c>
      <c r="CQ155" s="9" t="n">
        <v>0.5</v>
      </c>
      <c r="CR155" s="9" t="n">
        <v>0.3</v>
      </c>
      <c r="CS155" s="9" t="n">
        <v>0.6</v>
      </c>
      <c r="CT155" s="9" t="n">
        <v>0.8</v>
      </c>
      <c r="CU155" s="9" t="n">
        <v>0.8</v>
      </c>
      <c r="CV155" s="9" t="n">
        <v>0.7</v>
      </c>
      <c r="CW155" s="9" t="n">
        <v>0.5</v>
      </c>
      <c r="CX155" s="9" t="n">
        <v>0.5</v>
      </c>
      <c r="CY155" s="9" t="n">
        <v>1</v>
      </c>
      <c r="CZ155" s="9" t="n">
        <v>0.3</v>
      </c>
      <c r="DA155" s="9" t="n">
        <v>0.8</v>
      </c>
      <c r="DB155" s="9" t="n">
        <v>0.441694449892136</v>
      </c>
      <c r="DC155" s="9" t="n">
        <v>4.044</v>
      </c>
      <c r="DD155" s="9" t="n">
        <v>2.461</v>
      </c>
      <c r="DE155" s="9" t="n">
        <v>8.5728</v>
      </c>
      <c r="DF155" s="9" t="n">
        <v>21.7435277846822</v>
      </c>
      <c r="DG155" s="9" t="n">
        <v>24.8248056748492</v>
      </c>
      <c r="DH155" s="9" t="n">
        <v>15.656114517978</v>
      </c>
      <c r="DI155" s="9" t="n">
        <v>20.6986984761111</v>
      </c>
      <c r="DJ155" s="9" t="n">
        <v>14.922</v>
      </c>
      <c r="DK155" s="9" t="n">
        <v>14.922</v>
      </c>
      <c r="DL155" s="9" t="n">
        <v>22.4376</v>
      </c>
      <c r="DM155" s="9" t="n">
        <v>13.4947462084719</v>
      </c>
      <c r="DN155" s="9" t="n">
        <v>13.4947462084719</v>
      </c>
      <c r="DO155" s="9" t="n">
        <v>0.105</v>
      </c>
    </row>
    <row r="156" customFormat="false" ht="15" hidden="false" customHeight="false" outlineLevel="0" collapsed="false">
      <c r="A156" s="9" t="s">
        <v>1056</v>
      </c>
      <c r="B156" s="9" t="s">
        <v>1057</v>
      </c>
      <c r="C156" s="9" t="n">
        <v>0.005</v>
      </c>
      <c r="D156" s="9" t="n">
        <v>0.005</v>
      </c>
      <c r="E156" s="9" t="n">
        <v>0.01</v>
      </c>
      <c r="F156" s="9" t="n">
        <v>0.005</v>
      </c>
      <c r="G156" s="9" t="n">
        <v>0.005</v>
      </c>
      <c r="H156" s="9" t="n">
        <v>0.01</v>
      </c>
      <c r="I156" s="9" t="n">
        <v>0.005</v>
      </c>
      <c r="J156" s="9" t="n">
        <v>0.005</v>
      </c>
      <c r="K156" s="9" t="n">
        <v>0.01</v>
      </c>
      <c r="L156" s="9" t="n">
        <v>0.01</v>
      </c>
      <c r="M156" s="9" t="n">
        <v>0.005</v>
      </c>
      <c r="N156" s="9" t="n">
        <v>0</v>
      </c>
      <c r="O156" s="9" t="n">
        <v>0</v>
      </c>
      <c r="P156" s="9" t="n">
        <v>0</v>
      </c>
      <c r="Q156" s="9" t="n">
        <v>0</v>
      </c>
      <c r="R156" s="9" t="n">
        <v>0</v>
      </c>
      <c r="S156" s="9" t="n">
        <v>0</v>
      </c>
      <c r="T156" s="9" t="n">
        <v>0</v>
      </c>
      <c r="U156" s="9" t="n">
        <v>0</v>
      </c>
      <c r="V156" s="9" t="n">
        <v>0</v>
      </c>
      <c r="W156" s="9" t="n">
        <v>0</v>
      </c>
      <c r="X156" s="9" t="n">
        <v>0</v>
      </c>
      <c r="Y156" s="9" t="n">
        <v>0</v>
      </c>
      <c r="Z156" s="9" t="n">
        <v>0.03</v>
      </c>
      <c r="AA156" s="9" t="n">
        <v>0</v>
      </c>
      <c r="AB156" s="9" t="n">
        <v>0</v>
      </c>
      <c r="AC156" s="9" t="n">
        <v>0</v>
      </c>
      <c r="AD156" s="9" t="n">
        <v>0</v>
      </c>
      <c r="AE156" s="9" t="n">
        <v>0.153</v>
      </c>
      <c r="AF156" s="9" t="n">
        <v>0</v>
      </c>
      <c r="AG156" s="9" t="n">
        <v>0</v>
      </c>
      <c r="AH156" s="9" t="n">
        <v>0</v>
      </c>
      <c r="AI156" s="9" t="n">
        <v>0</v>
      </c>
      <c r="AJ156" s="9" t="n">
        <v>0</v>
      </c>
      <c r="AK156" s="9" t="n">
        <v>0</v>
      </c>
      <c r="AL156" s="9" t="n">
        <v>0</v>
      </c>
      <c r="AM156" s="9" t="n">
        <v>0</v>
      </c>
      <c r="AN156" s="9" t="n">
        <v>0</v>
      </c>
      <c r="AO156" s="9" t="n">
        <v>0.199863855805074</v>
      </c>
      <c r="AP156" s="9" t="n">
        <v>0.23436765</v>
      </c>
      <c r="AQ156" s="9" t="n">
        <v>0.197845357875</v>
      </c>
      <c r="AR156" s="9" t="n">
        <v>0.192899223928125</v>
      </c>
      <c r="AS156" s="9" t="n">
        <v>0.11501070911843</v>
      </c>
      <c r="AT156" s="9" t="n">
        <v>0.1249424856</v>
      </c>
      <c r="AU156" s="9" t="n">
        <v>0.106040674731887</v>
      </c>
      <c r="AV156" s="9" t="n">
        <v>0.111821223394981</v>
      </c>
      <c r="AW156" s="9" t="n">
        <v>0.0990560141947059</v>
      </c>
      <c r="AX156" s="9" t="n">
        <v>0.10801944</v>
      </c>
      <c r="AY156" s="9" t="n">
        <v>0.0913303349050891</v>
      </c>
      <c r="AZ156" s="9" t="n">
        <v>0.0963089852830726</v>
      </c>
      <c r="BA156" s="9" t="n">
        <v>0.284197053237474</v>
      </c>
      <c r="BB156" s="9" t="n">
        <v>0.280295602448333</v>
      </c>
      <c r="BC156" s="9" t="n">
        <v>0.398093576</v>
      </c>
      <c r="BD156" s="9" t="n">
        <v>0.273288212387125</v>
      </c>
      <c r="BE156" s="9" t="n">
        <v>0.195340534277556</v>
      </c>
      <c r="BF156" s="9" t="n">
        <v>0.23342909</v>
      </c>
      <c r="BG156" s="9" t="n">
        <v>0.197053056808333</v>
      </c>
      <c r="BH156" s="9" t="n">
        <v>0.192126730388125</v>
      </c>
      <c r="BI156" s="9" t="n">
        <v>0.004085987732192</v>
      </c>
      <c r="BJ156" s="9" t="n">
        <v>0.0046089999999999</v>
      </c>
      <c r="BK156" s="9" t="n">
        <v>0.0038907641666666</v>
      </c>
      <c r="BL156" s="9" t="n">
        <v>0.0037934950624999</v>
      </c>
      <c r="BM156" s="9" t="n">
        <v>0</v>
      </c>
      <c r="BN156" s="9" t="n">
        <v>0</v>
      </c>
      <c r="BO156" s="9" t="n">
        <v>0</v>
      </c>
      <c r="BP156" s="9" t="n">
        <v>0</v>
      </c>
      <c r="BQ156" s="9" t="n">
        <v>0</v>
      </c>
      <c r="BR156" s="9" t="n">
        <v>0</v>
      </c>
      <c r="BS156" s="9" t="n">
        <v>0</v>
      </c>
      <c r="BT156" s="9" t="n">
        <v>0</v>
      </c>
      <c r="BU156" s="9" t="n">
        <v>0</v>
      </c>
      <c r="BV156" s="9" t="n">
        <v>1.15282997567641</v>
      </c>
      <c r="BW156" s="9" t="n">
        <v>1.26710624275267</v>
      </c>
      <c r="BX156" s="9" t="n">
        <v>1.06411147036732</v>
      </c>
      <c r="BY156" s="9" t="n">
        <v>1.11601804384481</v>
      </c>
      <c r="BZ156" s="9" t="n">
        <v>0.0594629786980933</v>
      </c>
      <c r="CA156" s="9" t="n">
        <v>0.673400673400674</v>
      </c>
      <c r="CB156" s="9" t="n">
        <v>2.1</v>
      </c>
      <c r="CC156" s="9" t="n">
        <v>3.4</v>
      </c>
      <c r="CD156" s="9" t="n">
        <v>0.828</v>
      </c>
      <c r="CE156" s="9" t="n">
        <v>0.01</v>
      </c>
      <c r="CF156" s="9" t="n">
        <v>0</v>
      </c>
      <c r="CG156" s="9" t="n">
        <v>0.08</v>
      </c>
      <c r="CH156" s="9" t="n">
        <v>0</v>
      </c>
      <c r="CI156" s="9" t="n">
        <v>0.08</v>
      </c>
      <c r="CJ156" s="9" t="n">
        <v>0</v>
      </c>
      <c r="CK156" s="9" t="n">
        <v>0.09</v>
      </c>
      <c r="CL156" s="9" t="n">
        <v>0</v>
      </c>
      <c r="CM156" s="9" t="n">
        <v>0.257</v>
      </c>
      <c r="CN156" s="9" t="n">
        <v>0.461</v>
      </c>
      <c r="CO156" s="9" t="n">
        <v>3</v>
      </c>
      <c r="CP156" s="9" t="n">
        <v>2</v>
      </c>
      <c r="CQ156" s="9" t="n">
        <v>0.5</v>
      </c>
      <c r="CR156" s="9" t="n">
        <v>0.3</v>
      </c>
      <c r="CS156" s="9" t="n">
        <v>0.6</v>
      </c>
      <c r="CT156" s="9" t="n">
        <v>0.8</v>
      </c>
      <c r="CU156" s="9" t="n">
        <v>0.8</v>
      </c>
      <c r="CV156" s="9" t="n">
        <v>0.7</v>
      </c>
      <c r="CW156" s="9" t="n">
        <v>0.5</v>
      </c>
      <c r="CX156" s="9" t="n">
        <v>0.5</v>
      </c>
      <c r="CY156" s="9" t="n">
        <v>1</v>
      </c>
      <c r="CZ156" s="9" t="n">
        <v>0.3</v>
      </c>
      <c r="DA156" s="9" t="n">
        <v>0.8</v>
      </c>
      <c r="DB156" s="9" t="n">
        <v>0.5625</v>
      </c>
      <c r="DC156" s="9" t="n">
        <v>7.124</v>
      </c>
      <c r="DD156" s="9" t="n">
        <v>5.575</v>
      </c>
      <c r="DE156" s="9" t="n">
        <v>12.193</v>
      </c>
      <c r="DF156" s="9" t="n">
        <v>20.1098318576739</v>
      </c>
      <c r="DG156" s="9" t="n">
        <v>20.7036140388805</v>
      </c>
      <c r="DH156" s="9" t="n">
        <v>15.656114517978</v>
      </c>
      <c r="DI156" s="9" t="n">
        <v>19.8993870350877</v>
      </c>
      <c r="DJ156" s="9" t="n">
        <v>12.345</v>
      </c>
      <c r="DK156" s="9" t="n">
        <v>11.021</v>
      </c>
      <c r="DL156" s="9" t="n">
        <v>20.286</v>
      </c>
      <c r="DM156" s="9" t="n">
        <v>13.4947462084719</v>
      </c>
      <c r="DN156" s="9" t="n">
        <v>13.4947462084719</v>
      </c>
      <c r="DO156" s="9" t="n">
        <v>0.105</v>
      </c>
    </row>
    <row r="157" customFormat="false" ht="15" hidden="false" customHeight="false" outlineLevel="0" collapsed="false">
      <c r="A157" s="9" t="s">
        <v>1016</v>
      </c>
      <c r="B157" s="9" t="s">
        <v>1017</v>
      </c>
      <c r="C157" s="9" t="n">
        <v>0.005</v>
      </c>
      <c r="D157" s="9" t="n">
        <v>0.005</v>
      </c>
      <c r="E157" s="9" t="n">
        <v>0.01</v>
      </c>
      <c r="F157" s="9" t="n">
        <v>0.005</v>
      </c>
      <c r="G157" s="9" t="n">
        <v>0.005</v>
      </c>
      <c r="H157" s="9" t="n">
        <v>0.01</v>
      </c>
      <c r="I157" s="9" t="n">
        <v>0.005</v>
      </c>
      <c r="J157" s="9" t="n">
        <v>0.005</v>
      </c>
      <c r="K157" s="9" t="n">
        <v>0.01</v>
      </c>
      <c r="L157" s="9" t="n">
        <v>0.01</v>
      </c>
      <c r="M157" s="9" t="n">
        <v>0.005</v>
      </c>
      <c r="N157" s="9" t="n">
        <v>0</v>
      </c>
      <c r="O157" s="9" t="n">
        <v>0</v>
      </c>
      <c r="P157" s="9" t="n">
        <v>0</v>
      </c>
      <c r="Q157" s="9" t="n">
        <v>0</v>
      </c>
      <c r="R157" s="9" t="n">
        <v>0</v>
      </c>
      <c r="S157" s="9" t="n">
        <v>0</v>
      </c>
      <c r="T157" s="9" t="n">
        <v>0</v>
      </c>
      <c r="U157" s="9" t="n">
        <v>0</v>
      </c>
      <c r="V157" s="9" t="n">
        <v>0</v>
      </c>
      <c r="W157" s="9" t="n">
        <v>0</v>
      </c>
      <c r="X157" s="9" t="n">
        <v>0</v>
      </c>
      <c r="Y157" s="9" t="n">
        <v>0</v>
      </c>
      <c r="Z157" s="9" t="n">
        <v>0.51</v>
      </c>
      <c r="AA157" s="9" t="n">
        <v>0.01</v>
      </c>
      <c r="AB157" s="9" t="n">
        <v>0</v>
      </c>
      <c r="AC157" s="9" t="n">
        <v>0</v>
      </c>
      <c r="AD157" s="9" t="n">
        <v>0</v>
      </c>
      <c r="AE157" s="9" t="n">
        <v>3.656</v>
      </c>
      <c r="AF157" s="9" t="n">
        <v>0</v>
      </c>
      <c r="AG157" s="9" t="n">
        <v>0</v>
      </c>
      <c r="AH157" s="9" t="n">
        <v>0</v>
      </c>
      <c r="AI157" s="9" t="n">
        <v>0</v>
      </c>
      <c r="AJ157" s="9" t="n">
        <v>0</v>
      </c>
      <c r="AK157" s="9" t="n">
        <v>0</v>
      </c>
      <c r="AL157" s="9" t="n">
        <v>0</v>
      </c>
      <c r="AM157" s="9" t="n">
        <v>0</v>
      </c>
      <c r="AN157" s="9" t="n">
        <v>0</v>
      </c>
      <c r="AO157" s="9" t="n">
        <v>0</v>
      </c>
      <c r="AP157" s="9" t="n">
        <v>0</v>
      </c>
      <c r="AQ157" s="9" t="n">
        <v>0</v>
      </c>
      <c r="AR157" s="9" t="n">
        <v>0</v>
      </c>
      <c r="AS157" s="9" t="n">
        <v>5.2747369795255</v>
      </c>
      <c r="AT157" s="9" t="n">
        <v>3.9660049152</v>
      </c>
      <c r="AU157" s="9" t="n">
        <v>5.28507357007477</v>
      </c>
      <c r="AV157" s="9" t="n">
        <v>5.35294254899926</v>
      </c>
      <c r="AW157" s="9" t="n">
        <v>3.14658438748348</v>
      </c>
      <c r="AX157" s="9" t="n">
        <v>2.4204225744</v>
      </c>
      <c r="AY157" s="9" t="n">
        <v>3.15275056308018</v>
      </c>
      <c r="AZ157" s="9" t="n">
        <v>3.19323703099454</v>
      </c>
      <c r="BA157" s="9" t="n">
        <v>7.22702499012961</v>
      </c>
      <c r="BB157" s="9" t="n">
        <v>7.42335646247932</v>
      </c>
      <c r="BC157" s="9" t="n">
        <v>7.8177236792164</v>
      </c>
      <c r="BD157" s="9" t="n">
        <v>7.60229553120697</v>
      </c>
      <c r="BE157" s="9" t="n">
        <v>0.0175842290476678</v>
      </c>
      <c r="BF157" s="9" t="n">
        <v>0.0170532999999999</v>
      </c>
      <c r="BG157" s="9" t="n">
        <v>0.0176833745578946</v>
      </c>
      <c r="BH157" s="9" t="n">
        <v>0.0173297070667367</v>
      </c>
      <c r="BI157" s="9" t="n">
        <v>1.01297723090111</v>
      </c>
      <c r="BJ157" s="9" t="n">
        <v>0.947007039999997</v>
      </c>
      <c r="BK157" s="9" t="n">
        <v>0.981996458004207</v>
      </c>
      <c r="BL157" s="9" t="n">
        <v>0.962356528844123</v>
      </c>
      <c r="BM157" s="9" t="n">
        <v>0.25429113838813</v>
      </c>
      <c r="BN157" s="9" t="n">
        <v>0.2442955932</v>
      </c>
      <c r="BO157" s="9" t="n">
        <v>0.2533216724856</v>
      </c>
      <c r="BP157" s="9" t="n">
        <v>0.248255239035888</v>
      </c>
      <c r="BQ157" s="9" t="n">
        <v>0</v>
      </c>
      <c r="BR157" s="9" t="n">
        <v>0</v>
      </c>
      <c r="BS157" s="9" t="n">
        <v>0</v>
      </c>
      <c r="BT157" s="9" t="n">
        <v>0</v>
      </c>
      <c r="BU157" s="9" t="n">
        <v>0</v>
      </c>
      <c r="BV157" s="9" t="n">
        <v>30.9232999405729</v>
      </c>
      <c r="BW157" s="9" t="n">
        <v>27.1502770533875</v>
      </c>
      <c r="BX157" s="9" t="n">
        <v>33.3900713656252</v>
      </c>
      <c r="BY157" s="9" t="n">
        <v>32.7127134172862</v>
      </c>
      <c r="BZ157" s="9" t="n">
        <v>2.33925593528027</v>
      </c>
      <c r="CA157" s="9" t="n">
        <v>1.51606812223872</v>
      </c>
      <c r="CB157" s="9" t="n">
        <v>1.511</v>
      </c>
      <c r="CC157" s="9" t="n">
        <v>3.927</v>
      </c>
      <c r="CD157" s="9" t="n">
        <v>4.434</v>
      </c>
      <c r="CE157" s="9" t="n">
        <v>0.91</v>
      </c>
      <c r="CF157" s="9" t="n">
        <v>0</v>
      </c>
      <c r="CG157" s="9" t="n">
        <v>0.82</v>
      </c>
      <c r="CH157" s="9" t="n">
        <v>0.02</v>
      </c>
      <c r="CI157" s="9" t="n">
        <v>0.8</v>
      </c>
      <c r="CJ157" s="9" t="n">
        <v>0.01</v>
      </c>
      <c r="CK157" s="9" t="n">
        <v>1.74</v>
      </c>
      <c r="CL157" s="9" t="n">
        <v>0</v>
      </c>
      <c r="CM157" s="9" t="n">
        <v>4.904</v>
      </c>
      <c r="CN157" s="9" t="n">
        <v>13.671</v>
      </c>
      <c r="CO157" s="9" t="n">
        <v>3</v>
      </c>
      <c r="CP157" s="9" t="n">
        <v>3</v>
      </c>
      <c r="CQ157" s="9" t="n">
        <v>0.5</v>
      </c>
      <c r="CR157" s="9" t="n">
        <v>0.3</v>
      </c>
      <c r="CS157" s="9" t="n">
        <v>0.6</v>
      </c>
      <c r="CT157" s="9" t="n">
        <v>0.8</v>
      </c>
      <c r="CU157" s="9" t="n">
        <v>0.8</v>
      </c>
      <c r="CV157" s="9" t="n">
        <v>0.7</v>
      </c>
      <c r="CW157" s="9" t="n">
        <v>0.5</v>
      </c>
      <c r="CX157" s="9" t="n">
        <v>0.5</v>
      </c>
      <c r="CY157" s="9" t="n">
        <v>1</v>
      </c>
      <c r="CZ157" s="9" t="n">
        <v>0.3</v>
      </c>
      <c r="DA157" s="9" t="n">
        <v>0.8</v>
      </c>
      <c r="DB157" s="9" t="n">
        <v>0.322707423580786</v>
      </c>
      <c r="DC157" s="9" t="n">
        <v>7.124</v>
      </c>
      <c r="DD157" s="9" t="n">
        <v>5.575</v>
      </c>
      <c r="DE157" s="9" t="n">
        <v>13.4123</v>
      </c>
      <c r="DF157" s="9" t="n">
        <v>17.5625864890352</v>
      </c>
      <c r="DG157" s="9" t="n">
        <v>23.5449562965009</v>
      </c>
      <c r="DH157" s="9" t="n">
        <v>16.5515065157913</v>
      </c>
      <c r="DI157" s="9" t="n">
        <v>22.5885971812505</v>
      </c>
      <c r="DJ157" s="9" t="n">
        <v>6.853</v>
      </c>
      <c r="DK157" s="9" t="n">
        <v>6.191</v>
      </c>
      <c r="DL157" s="9" t="n">
        <v>11.9053</v>
      </c>
      <c r="DM157" s="9" t="n">
        <v>13.4947462084719</v>
      </c>
      <c r="DN157" s="9" t="n">
        <v>13.4947462084719</v>
      </c>
      <c r="DO157" s="9" t="n">
        <v>0.105</v>
      </c>
    </row>
    <row r="158" customFormat="false" ht="15" hidden="false" customHeight="false" outlineLevel="0" collapsed="false">
      <c r="A158" s="9" t="s">
        <v>822</v>
      </c>
      <c r="B158" s="9" t="s">
        <v>823</v>
      </c>
      <c r="C158" s="9" t="n">
        <v>0.005</v>
      </c>
      <c r="D158" s="9" t="n">
        <v>0.005</v>
      </c>
      <c r="E158" s="9" t="n">
        <v>0.01</v>
      </c>
      <c r="F158" s="9" t="n">
        <v>0.005</v>
      </c>
      <c r="G158" s="9" t="n">
        <v>0.005</v>
      </c>
      <c r="H158" s="9" t="n">
        <v>0.01</v>
      </c>
      <c r="I158" s="9" t="n">
        <v>0.005</v>
      </c>
      <c r="J158" s="9" t="n">
        <v>0.005</v>
      </c>
      <c r="K158" s="9" t="n">
        <v>0.01</v>
      </c>
      <c r="L158" s="9" t="n">
        <v>0.01</v>
      </c>
      <c r="M158" s="9" t="n">
        <v>0.005</v>
      </c>
      <c r="N158" s="9" t="n">
        <v>7.401951</v>
      </c>
      <c r="O158" s="9" t="n">
        <v>2.975075</v>
      </c>
      <c r="P158" s="9" t="n">
        <v>210.505836</v>
      </c>
      <c r="Q158" s="9" t="n">
        <v>10.0321784122832</v>
      </c>
      <c r="R158" s="9" t="n">
        <v>1.81591284350413</v>
      </c>
      <c r="S158" s="9" t="n">
        <v>14.4680776858498</v>
      </c>
      <c r="T158" s="9" t="n">
        <v>15.8473985939605</v>
      </c>
      <c r="U158" s="9" t="n">
        <v>0.536446</v>
      </c>
      <c r="V158" s="9" t="n">
        <v>0.058116</v>
      </c>
      <c r="W158" s="9" t="n">
        <v>0.292423</v>
      </c>
      <c r="X158" s="9" t="n">
        <v>2.61056395473265</v>
      </c>
      <c r="Y158" s="9" t="n">
        <v>2.61056395473265</v>
      </c>
      <c r="Z158" s="9" t="n">
        <v>2.26</v>
      </c>
      <c r="AA158" s="9" t="n">
        <v>1.03</v>
      </c>
      <c r="AB158" s="9" t="n">
        <v>0</v>
      </c>
      <c r="AC158" s="9" t="n">
        <v>0</v>
      </c>
      <c r="AD158" s="9" t="n">
        <v>0</v>
      </c>
      <c r="AE158" s="9" t="n">
        <v>38.549</v>
      </c>
      <c r="AF158" s="9" t="n">
        <v>52.5431849538543</v>
      </c>
      <c r="AG158" s="9" t="n">
        <v>43.6331674404</v>
      </c>
      <c r="AH158" s="9" t="n">
        <v>44.60279338352</v>
      </c>
      <c r="AI158" s="9" t="n">
        <v>46.9922287433514</v>
      </c>
      <c r="AJ158" s="9" t="n">
        <v>9.84604219265581</v>
      </c>
      <c r="AK158" s="9" t="n">
        <v>6.51423421625564</v>
      </c>
      <c r="AL158" s="9" t="n">
        <v>5.4573012072</v>
      </c>
      <c r="AM158" s="9" t="n">
        <v>5.57857456736</v>
      </c>
      <c r="AN158" s="9" t="n">
        <v>5.87742677632571</v>
      </c>
      <c r="AO158" s="9" t="n">
        <v>83.8075772619944</v>
      </c>
      <c r="AP158" s="9" t="n">
        <v>75.7574583530796</v>
      </c>
      <c r="AQ158" s="9" t="n">
        <v>77.4409574275925</v>
      </c>
      <c r="AR158" s="9" t="n">
        <v>81.5895801469278</v>
      </c>
      <c r="AS158" s="9" t="n">
        <v>80.2233864928482</v>
      </c>
      <c r="AT158" s="9" t="n">
        <v>70.4915982972</v>
      </c>
      <c r="AU158" s="9" t="n">
        <v>74.0324909971877</v>
      </c>
      <c r="AV158" s="9" t="n">
        <v>80.4446957883484</v>
      </c>
      <c r="AW158" s="9" t="n">
        <v>24.3038637713992</v>
      </c>
      <c r="AX158" s="9" t="n">
        <v>21.4847986608</v>
      </c>
      <c r="AY158" s="9" t="n">
        <v>22.4256450931425</v>
      </c>
      <c r="AZ158" s="9" t="n">
        <v>24.3726887386894</v>
      </c>
      <c r="BA158" s="9" t="n">
        <v>24.8243251620469</v>
      </c>
      <c r="BB158" s="9" t="n">
        <v>22.4836803308305</v>
      </c>
      <c r="BC158" s="9" t="n">
        <v>23.6308046506831</v>
      </c>
      <c r="BD158" s="9" t="n">
        <v>24.2145621301919</v>
      </c>
      <c r="BE158" s="9" t="n">
        <v>0</v>
      </c>
      <c r="BF158" s="9" t="n">
        <v>0</v>
      </c>
      <c r="BG158" s="9" t="n">
        <v>0</v>
      </c>
      <c r="BH158" s="9" t="n">
        <v>0</v>
      </c>
      <c r="BI158" s="9" t="n">
        <v>0.407043888246689</v>
      </c>
      <c r="BJ158" s="9" t="n">
        <v>0.36828005</v>
      </c>
      <c r="BK158" s="9" t="n">
        <v>0.376464051111111</v>
      </c>
      <c r="BL158" s="9" t="n">
        <v>0.39663176813492</v>
      </c>
      <c r="BM158" s="9" t="n">
        <v>62.9188619469935</v>
      </c>
      <c r="BN158" s="9" t="n">
        <v>45.3770952444</v>
      </c>
      <c r="BO158" s="9" t="n">
        <v>46.38547513872</v>
      </c>
      <c r="BP158" s="9" t="n">
        <v>48.8704113068657</v>
      </c>
      <c r="BQ158" s="9" t="n">
        <v>15.1289266473079</v>
      </c>
      <c r="BR158" s="9" t="n">
        <v>98.7870338927837</v>
      </c>
      <c r="BS158" s="9" t="n">
        <v>79.6257012096</v>
      </c>
      <c r="BT158" s="9" t="n">
        <v>81.39516123648</v>
      </c>
      <c r="BU158" s="9" t="n">
        <v>85.75561630272</v>
      </c>
      <c r="BV158" s="9" t="n">
        <v>56.8183630071907</v>
      </c>
      <c r="BW158" s="9" t="n">
        <v>44.1501187894186</v>
      </c>
      <c r="BX158" s="9" t="n">
        <v>53.6624673990379</v>
      </c>
      <c r="BY158" s="9" t="n">
        <v>52.7211238253617</v>
      </c>
      <c r="BZ158" s="9" t="n">
        <v>29.0353472956243</v>
      </c>
      <c r="CA158" s="9" t="n">
        <v>1.07848132876609</v>
      </c>
      <c r="CB158" s="9" t="n">
        <v>0.807</v>
      </c>
      <c r="CC158" s="9" t="n">
        <v>0.601</v>
      </c>
      <c r="CD158" s="9" t="n">
        <v>140.892</v>
      </c>
      <c r="CE158" s="9" t="n">
        <v>24.07</v>
      </c>
      <c r="CF158" s="9" t="n">
        <v>0.31</v>
      </c>
      <c r="CG158" s="9" t="n">
        <v>4.32</v>
      </c>
      <c r="CH158" s="9" t="n">
        <v>3.28</v>
      </c>
      <c r="CI158" s="9" t="n">
        <v>0.73</v>
      </c>
      <c r="CJ158" s="9" t="n">
        <v>0.7</v>
      </c>
      <c r="CK158" s="9" t="n">
        <v>29.09</v>
      </c>
      <c r="CL158" s="9" t="n">
        <v>0</v>
      </c>
      <c r="CM158" s="9" t="n">
        <v>44.904</v>
      </c>
      <c r="CN158" s="9" t="n">
        <v>37.212</v>
      </c>
      <c r="CO158" s="9" t="n">
        <v>1</v>
      </c>
      <c r="CP158" s="9" t="n">
        <v>4</v>
      </c>
      <c r="CQ158" s="9" t="n">
        <v>0.5</v>
      </c>
      <c r="CR158" s="9" t="n">
        <v>0.3</v>
      </c>
      <c r="CS158" s="9" t="n">
        <v>0.6</v>
      </c>
      <c r="CT158" s="9" t="n">
        <v>0.8</v>
      </c>
      <c r="CU158" s="9" t="n">
        <v>0.8</v>
      </c>
      <c r="CV158" s="9" t="n">
        <v>0.7</v>
      </c>
      <c r="CW158" s="9" t="n">
        <v>0.5</v>
      </c>
      <c r="CX158" s="9" t="n">
        <v>0.5</v>
      </c>
      <c r="CY158" s="9" t="n">
        <v>1</v>
      </c>
      <c r="CZ158" s="9" t="n">
        <v>0.3</v>
      </c>
      <c r="DA158" s="9" t="n">
        <v>0.8</v>
      </c>
      <c r="DB158" s="9" t="n">
        <v>0.565198031121755</v>
      </c>
      <c r="DC158" s="9" t="n">
        <v>10.275</v>
      </c>
      <c r="DD158" s="9" t="n">
        <v>14.427</v>
      </c>
      <c r="DE158" s="9" t="n">
        <v>11.196</v>
      </c>
      <c r="DF158" s="9" t="n">
        <v>23.2633752502669</v>
      </c>
      <c r="DG158" s="9" t="n">
        <v>24.8358723856683</v>
      </c>
      <c r="DH158" s="9" t="n">
        <v>15.656114517978</v>
      </c>
      <c r="DI158" s="9" t="n">
        <v>20.511690786255</v>
      </c>
      <c r="DJ158" s="9" t="n">
        <v>21.08</v>
      </c>
      <c r="DK158" s="9" t="n">
        <v>21.08</v>
      </c>
      <c r="DL158" s="9" t="n">
        <v>25.7952</v>
      </c>
      <c r="DM158" s="9" t="n">
        <v>13.4947462084719</v>
      </c>
      <c r="DN158" s="9" t="n">
        <v>13.4947462084719</v>
      </c>
      <c r="DO158" s="9" t="n">
        <v>0.055</v>
      </c>
    </row>
    <row r="159" customFormat="false" ht="15" hidden="false" customHeight="false" outlineLevel="0" collapsed="false">
      <c r="A159" s="9" t="s">
        <v>870</v>
      </c>
      <c r="B159" s="9" t="s">
        <v>871</v>
      </c>
      <c r="C159" s="9" t="n">
        <v>0.005</v>
      </c>
      <c r="D159" s="9" t="n">
        <v>0.005</v>
      </c>
      <c r="E159" s="9" t="n">
        <v>0.01</v>
      </c>
      <c r="F159" s="9" t="n">
        <v>0.005</v>
      </c>
      <c r="G159" s="9" t="n">
        <v>0.005</v>
      </c>
      <c r="H159" s="9" t="n">
        <v>0.01</v>
      </c>
      <c r="I159" s="9" t="n">
        <v>0.005</v>
      </c>
      <c r="J159" s="9" t="n">
        <v>0.005</v>
      </c>
      <c r="K159" s="9" t="n">
        <v>0.01</v>
      </c>
      <c r="L159" s="9" t="n">
        <v>0.01</v>
      </c>
      <c r="M159" s="9" t="n">
        <v>0.005</v>
      </c>
      <c r="N159" s="9" t="n">
        <v>22.416903</v>
      </c>
      <c r="O159" s="9" t="n">
        <v>1.157198</v>
      </c>
      <c r="P159" s="9" t="n">
        <v>46.807344</v>
      </c>
      <c r="Q159" s="9" t="n">
        <v>3.24902487425322</v>
      </c>
      <c r="R159" s="9" t="n">
        <v>0.676642148325953</v>
      </c>
      <c r="S159" s="9" t="n">
        <v>3.00035791929981</v>
      </c>
      <c r="T159" s="9" t="n">
        <v>4.21909674394811</v>
      </c>
      <c r="U159" s="9" t="n">
        <v>0.388203</v>
      </c>
      <c r="V159" s="9" t="n">
        <v>0.021717</v>
      </c>
      <c r="W159" s="9" t="n">
        <v>0.073857</v>
      </c>
      <c r="X159" s="9" t="n">
        <v>0.29161487084887</v>
      </c>
      <c r="Y159" s="9" t="n">
        <v>0.29161487084887</v>
      </c>
      <c r="Z159" s="9" t="n">
        <v>1.61</v>
      </c>
      <c r="AA159" s="9" t="n">
        <v>1.57</v>
      </c>
      <c r="AB159" s="9" t="n">
        <v>0</v>
      </c>
      <c r="AC159" s="9" t="n">
        <v>0</v>
      </c>
      <c r="AD159" s="9" t="n">
        <v>0</v>
      </c>
      <c r="AE159" s="9" t="n">
        <v>13.371</v>
      </c>
      <c r="AF159" s="9" t="n">
        <v>1.19481262081859</v>
      </c>
      <c r="AG159" s="9" t="n">
        <v>0.9053829396</v>
      </c>
      <c r="AH159" s="9" t="n">
        <v>0.951538653228944</v>
      </c>
      <c r="AI159" s="9" t="n">
        <v>1.01944150878853</v>
      </c>
      <c r="AJ159" s="9" t="n">
        <v>23.183541076989</v>
      </c>
      <c r="AK159" s="9" t="n">
        <v>0.0013512458586208</v>
      </c>
      <c r="AL159" s="9" t="n">
        <v>0.001276974</v>
      </c>
      <c r="AM159" s="9" t="n">
        <v>0.0013420731350484</v>
      </c>
      <c r="AN159" s="9" t="n">
        <v>0.0014378449651579</v>
      </c>
      <c r="AO159" s="9" t="n">
        <v>62.1608254601176</v>
      </c>
      <c r="AP159" s="9" t="n">
        <v>54.3081204650377</v>
      </c>
      <c r="AQ159" s="9" t="n">
        <v>57.076705940061</v>
      </c>
      <c r="AR159" s="9" t="n">
        <v>61.1497630945059</v>
      </c>
      <c r="AS159" s="9" t="n">
        <v>39.1801770290757</v>
      </c>
      <c r="AT159" s="9" t="n">
        <v>34.7617485468</v>
      </c>
      <c r="AU159" s="9" t="n">
        <v>35.8947345317875</v>
      </c>
      <c r="AV159" s="9" t="n">
        <v>41.4571247020371</v>
      </c>
      <c r="AW159" s="9" t="n">
        <v>15.4879764049855</v>
      </c>
      <c r="AX159" s="9" t="n">
        <v>13.6892575764</v>
      </c>
      <c r="AY159" s="9" t="n">
        <v>14.1887573264901</v>
      </c>
      <c r="AZ159" s="9" t="n">
        <v>16.3938091318091</v>
      </c>
      <c r="BA159" s="9" t="n">
        <v>18.6559067193976</v>
      </c>
      <c r="BB159" s="9" t="n">
        <v>16.563787590053</v>
      </c>
      <c r="BC159" s="9" t="n">
        <v>19.2767501110282</v>
      </c>
      <c r="BD159" s="9" t="n">
        <v>18.6504747939831</v>
      </c>
      <c r="BE159" s="9" t="n">
        <v>0</v>
      </c>
      <c r="BF159" s="9" t="n">
        <v>0</v>
      </c>
      <c r="BG159" s="9" t="n">
        <v>0</v>
      </c>
      <c r="BH159" s="9" t="n">
        <v>0</v>
      </c>
      <c r="BI159" s="9" t="n">
        <v>1.41433073625336</v>
      </c>
      <c r="BJ159" s="9" t="n">
        <v>1.22040553169484</v>
      </c>
      <c r="BK159" s="9" t="n">
        <v>1.28262085050454</v>
      </c>
      <c r="BL159" s="9" t="n">
        <v>1.37415009953083</v>
      </c>
      <c r="BM159" s="9" t="n">
        <v>29.2074198388175</v>
      </c>
      <c r="BN159" s="9" t="n">
        <v>20.7408084876</v>
      </c>
      <c r="BO159" s="9" t="n">
        <v>21.7981586707274</v>
      </c>
      <c r="BP159" s="9" t="n">
        <v>23.3536994936468</v>
      </c>
      <c r="BQ159" s="9" t="n">
        <v>4.3216778662314</v>
      </c>
      <c r="BR159" s="9" t="n">
        <v>9.15914082975283</v>
      </c>
      <c r="BS159" s="9" t="n">
        <v>7.0423734456</v>
      </c>
      <c r="BT159" s="9" t="n">
        <v>7.40138813187938</v>
      </c>
      <c r="BU159" s="9" t="n">
        <v>7.92955941273488</v>
      </c>
      <c r="BV159" s="9" t="n">
        <v>17.5358374145395</v>
      </c>
      <c r="BW159" s="9" t="n">
        <v>14.9626814773584</v>
      </c>
      <c r="BX159" s="9" t="n">
        <v>15.6886242555433</v>
      </c>
      <c r="BY159" s="9" t="n">
        <v>16.8447219200472</v>
      </c>
      <c r="BZ159" s="9" t="n">
        <v>15.1855981761281</v>
      </c>
      <c r="CA159" s="9" t="n">
        <v>2.16055103789729</v>
      </c>
      <c r="CB159" s="9" t="n">
        <v>1.06</v>
      </c>
      <c r="CC159" s="9" t="n">
        <v>2</v>
      </c>
      <c r="CD159" s="9" t="n">
        <v>72.95</v>
      </c>
      <c r="CE159" s="9" t="n">
        <v>10.18</v>
      </c>
      <c r="CF159" s="9" t="n">
        <v>2.18</v>
      </c>
      <c r="CG159" s="9" t="n">
        <v>3.15</v>
      </c>
      <c r="CH159" s="9" t="n">
        <v>0.97</v>
      </c>
      <c r="CI159" s="9" t="n">
        <v>0</v>
      </c>
      <c r="CJ159" s="9" t="n">
        <v>1.54</v>
      </c>
      <c r="CK159" s="9" t="n">
        <v>14.86</v>
      </c>
      <c r="CL159" s="9" t="n">
        <v>0.01</v>
      </c>
      <c r="CM159" s="9" t="n">
        <v>16.534</v>
      </c>
      <c r="CN159" s="9" t="n">
        <v>13.39</v>
      </c>
      <c r="CO159" s="9" t="n">
        <v>1</v>
      </c>
      <c r="CP159" s="9" t="n">
        <v>4</v>
      </c>
      <c r="CQ159" s="9" t="n">
        <v>0.5</v>
      </c>
      <c r="CR159" s="9" t="n">
        <v>0.3</v>
      </c>
      <c r="CS159" s="9" t="n">
        <v>0.6</v>
      </c>
      <c r="CT159" s="9" t="n">
        <v>0.8</v>
      </c>
      <c r="CU159" s="9" t="n">
        <v>0.8</v>
      </c>
      <c r="CV159" s="9" t="n">
        <v>0.7</v>
      </c>
      <c r="CW159" s="9" t="n">
        <v>0.5</v>
      </c>
      <c r="CX159" s="9" t="n">
        <v>0.5</v>
      </c>
      <c r="CY159" s="9" t="n">
        <v>1</v>
      </c>
      <c r="CZ159" s="9" t="n">
        <v>0.3</v>
      </c>
      <c r="DA159" s="9" t="n">
        <v>0.8</v>
      </c>
      <c r="DB159" s="9" t="n">
        <v>0.614269234331714</v>
      </c>
      <c r="DC159" s="9" t="n">
        <v>4.423</v>
      </c>
      <c r="DD159" s="9" t="n">
        <v>4.007</v>
      </c>
      <c r="DE159" s="9" t="n">
        <v>10.05524</v>
      </c>
      <c r="DF159" s="9" t="n">
        <v>22.6122457078245</v>
      </c>
      <c r="DG159" s="9" t="n">
        <v>25.1999871889239</v>
      </c>
      <c r="DH159" s="9" t="n">
        <v>15.656114517978</v>
      </c>
      <c r="DI159" s="9" t="n">
        <v>21.3648818541629</v>
      </c>
      <c r="DJ159" s="9" t="n">
        <v>15.716</v>
      </c>
      <c r="DK159" s="9" t="n">
        <v>15.716</v>
      </c>
      <c r="DL159" s="9" t="n">
        <v>25.6139</v>
      </c>
      <c r="DM159" s="9" t="n">
        <v>13.4947462084719</v>
      </c>
      <c r="DN159" s="9" t="n">
        <v>13.4947462084719</v>
      </c>
      <c r="DO159" s="9" t="n">
        <v>0.045</v>
      </c>
    </row>
    <row r="160" customFormat="false" ht="15" hidden="false" customHeight="false" outlineLevel="0" collapsed="false">
      <c r="A160" s="9" t="s">
        <v>746</v>
      </c>
      <c r="B160" s="9" t="s">
        <v>747</v>
      </c>
      <c r="C160" s="9" t="n">
        <v>0.005</v>
      </c>
      <c r="D160" s="9" t="n">
        <v>0.005</v>
      </c>
      <c r="E160" s="9" t="n">
        <v>0.01</v>
      </c>
      <c r="F160" s="9" t="n">
        <v>0.005</v>
      </c>
      <c r="G160" s="9" t="n">
        <v>0.005</v>
      </c>
      <c r="H160" s="9" t="n">
        <v>0.01</v>
      </c>
      <c r="I160" s="9" t="n">
        <v>0.005</v>
      </c>
      <c r="J160" s="9" t="n">
        <v>0.005</v>
      </c>
      <c r="K160" s="9" t="n">
        <v>0.01</v>
      </c>
      <c r="L160" s="9" t="n">
        <v>0.01</v>
      </c>
      <c r="M160" s="9" t="n">
        <v>0.005</v>
      </c>
      <c r="N160" s="9" t="n">
        <v>0.726484</v>
      </c>
      <c r="O160" s="9" t="n">
        <v>0.080486</v>
      </c>
      <c r="P160" s="9" t="n">
        <v>71.734053</v>
      </c>
      <c r="Q160" s="9" t="n">
        <v>1.43688770589451</v>
      </c>
      <c r="R160" s="9" t="n">
        <v>0.326796824912053</v>
      </c>
      <c r="S160" s="9" t="n">
        <v>2.22626769539146</v>
      </c>
      <c r="T160" s="9" t="n">
        <v>3.00441954001685</v>
      </c>
      <c r="U160" s="9" t="n">
        <v>0.180466</v>
      </c>
      <c r="V160" s="9" t="n">
        <v>0.033416</v>
      </c>
      <c r="W160" s="9" t="n">
        <v>0.211273</v>
      </c>
      <c r="X160" s="9" t="n">
        <v>1.64586877260965</v>
      </c>
      <c r="Y160" s="9" t="n">
        <v>1.64586877260965</v>
      </c>
      <c r="Z160" s="9" t="n">
        <v>5.03</v>
      </c>
      <c r="AA160" s="9" t="n">
        <v>5.5</v>
      </c>
      <c r="AB160" s="9" t="n">
        <v>17.38</v>
      </c>
      <c r="AC160" s="9" t="n">
        <v>0</v>
      </c>
      <c r="AD160" s="9" t="n">
        <v>0</v>
      </c>
      <c r="AE160" s="9" t="n">
        <v>35.221</v>
      </c>
      <c r="AF160" s="9" t="n">
        <v>35.1854509796204</v>
      </c>
      <c r="AG160" s="9" t="n">
        <v>31.2337331532</v>
      </c>
      <c r="AH160" s="9" t="n">
        <v>33.0209121282587</v>
      </c>
      <c r="AI160" s="9" t="n">
        <v>32.0302847644109</v>
      </c>
      <c r="AJ160" s="9" t="n">
        <v>3.44941700884096</v>
      </c>
      <c r="AK160" s="9" t="n">
        <v>0.126530012528105</v>
      </c>
      <c r="AL160" s="9" t="n">
        <v>0.1123192836</v>
      </c>
      <c r="AM160" s="9" t="n">
        <v>0.118746138217698</v>
      </c>
      <c r="AN160" s="9" t="n">
        <v>0.115183754071167</v>
      </c>
      <c r="AO160" s="9" t="n">
        <v>148.386481167332</v>
      </c>
      <c r="AP160" s="9" t="n">
        <v>128.96796955</v>
      </c>
      <c r="AQ160" s="9" t="n">
        <v>136.347453856446</v>
      </c>
      <c r="AR160" s="9" t="n">
        <v>132.257030240753</v>
      </c>
      <c r="AS160" s="9" t="n">
        <v>296.470501674599</v>
      </c>
      <c r="AT160" s="9" t="n">
        <v>292.7916074232</v>
      </c>
      <c r="AU160" s="9" t="n">
        <v>288.974676012536</v>
      </c>
      <c r="AV160" s="9" t="n">
        <v>292.333686856137</v>
      </c>
      <c r="AW160" s="9" t="n">
        <v>171.098076302836</v>
      </c>
      <c r="AX160" s="9" t="n">
        <v>166.32000198</v>
      </c>
      <c r="AY160" s="9" t="n">
        <v>166.61997180916</v>
      </c>
      <c r="AZ160" s="9" t="n">
        <v>168.660672199236</v>
      </c>
      <c r="BA160" s="9" t="n">
        <v>87.1722051781941</v>
      </c>
      <c r="BB160" s="9" t="n">
        <v>79.4463933346239</v>
      </c>
      <c r="BC160" s="9" t="n">
        <v>73.8409876753681</v>
      </c>
      <c r="BD160" s="9" t="n">
        <v>81.4725129161708</v>
      </c>
      <c r="BE160" s="9" t="n">
        <v>0</v>
      </c>
      <c r="BF160" s="9" t="n">
        <v>0</v>
      </c>
      <c r="BG160" s="9" t="n">
        <v>0</v>
      </c>
      <c r="BH160" s="9" t="n">
        <v>0</v>
      </c>
      <c r="BI160" s="9" t="n">
        <v>0.174554246867879</v>
      </c>
      <c r="BJ160" s="9" t="n">
        <v>0.171540289685344</v>
      </c>
      <c r="BK160" s="9" t="n">
        <v>0.181355741382949</v>
      </c>
      <c r="BL160" s="9" t="n">
        <v>0.17591506914146</v>
      </c>
      <c r="BM160" s="9" t="n">
        <v>18.4517092562817</v>
      </c>
      <c r="BN160" s="9" t="n">
        <v>15.4231077528</v>
      </c>
      <c r="BO160" s="9" t="n">
        <v>16.305610454948</v>
      </c>
      <c r="BP160" s="9" t="n">
        <v>15.8164421412996</v>
      </c>
      <c r="BQ160" s="9" t="n">
        <v>0.578324565762919</v>
      </c>
      <c r="BR160" s="9" t="n">
        <v>9.63353576397618</v>
      </c>
      <c r="BS160" s="9" t="n">
        <v>7.8156335376</v>
      </c>
      <c r="BT160" s="9" t="n">
        <v>8.26284027611731</v>
      </c>
      <c r="BU160" s="9" t="n">
        <v>8.01495506783379</v>
      </c>
      <c r="BV160" s="9" t="n">
        <v>147.615480379844</v>
      </c>
      <c r="BW160" s="9" t="n">
        <v>129.105794645995</v>
      </c>
      <c r="BX160" s="9" t="n">
        <v>134.530593488017</v>
      </c>
      <c r="BY160" s="9" t="n">
        <v>130.61097122879</v>
      </c>
      <c r="BZ160" s="9" t="n">
        <v>129.880160549287</v>
      </c>
      <c r="CA160" s="9" t="n">
        <v>0.147580461376044</v>
      </c>
      <c r="CB160" s="9" t="n">
        <v>1.543</v>
      </c>
      <c r="CC160" s="9" t="n">
        <v>1.963</v>
      </c>
      <c r="CD160" s="9" t="n">
        <v>604.827</v>
      </c>
      <c r="CE160" s="9" t="n">
        <v>124.87</v>
      </c>
      <c r="CF160" s="9" t="n">
        <v>0</v>
      </c>
      <c r="CG160" s="9" t="n">
        <v>2.08</v>
      </c>
      <c r="CH160" s="9" t="n">
        <v>0.11</v>
      </c>
      <c r="CI160" s="9" t="n">
        <v>1.97</v>
      </c>
      <c r="CJ160" s="9" t="n">
        <v>4.43</v>
      </c>
      <c r="CK160" s="9" t="n">
        <v>170.28</v>
      </c>
      <c r="CL160" s="9" t="n">
        <v>38.9</v>
      </c>
      <c r="CM160" s="9" t="n">
        <v>44.434</v>
      </c>
      <c r="CN160" s="9" t="n">
        <v>1.706</v>
      </c>
      <c r="CO160" s="9" t="n">
        <v>1</v>
      </c>
      <c r="CP160" s="9" t="n">
        <v>4</v>
      </c>
      <c r="CQ160" s="9" t="n">
        <v>0.5</v>
      </c>
      <c r="CR160" s="9" t="n">
        <v>0.3</v>
      </c>
      <c r="CS160" s="9" t="n">
        <v>0.6</v>
      </c>
      <c r="CT160" s="9" t="n">
        <v>0.8</v>
      </c>
      <c r="CU160" s="9" t="n">
        <v>0.8</v>
      </c>
      <c r="CV160" s="9" t="n">
        <v>0.7</v>
      </c>
      <c r="CW160" s="9" t="n">
        <v>0.5</v>
      </c>
      <c r="CX160" s="9" t="n">
        <v>0.5</v>
      </c>
      <c r="CY160" s="9" t="n">
        <v>1</v>
      </c>
      <c r="CZ160" s="9" t="n">
        <v>0.3</v>
      </c>
      <c r="DA160" s="9" t="n">
        <v>0.8</v>
      </c>
      <c r="DB160" s="9" t="n">
        <v>0.79855057921379</v>
      </c>
      <c r="DC160" s="9" t="n">
        <v>10.582</v>
      </c>
      <c r="DD160" s="9" t="n">
        <v>8.964</v>
      </c>
      <c r="DE160" s="9" t="n">
        <v>19.3075</v>
      </c>
      <c r="DF160" s="9" t="n">
        <v>22.8400230699991</v>
      </c>
      <c r="DG160" s="9" t="n">
        <v>25.5526349352326</v>
      </c>
      <c r="DH160" s="9" t="n">
        <v>15.656114517978</v>
      </c>
      <c r="DI160" s="9" t="n">
        <v>19.9526460183219</v>
      </c>
      <c r="DJ160" s="9" t="n">
        <v>22.024</v>
      </c>
      <c r="DK160" s="9" t="n">
        <v>22.024</v>
      </c>
      <c r="DL160" s="9" t="n">
        <v>43.29125</v>
      </c>
      <c r="DM160" s="9" t="n">
        <v>13.4947462084719</v>
      </c>
      <c r="DN160" s="9" t="n">
        <v>13.4947462084719</v>
      </c>
      <c r="DO160" s="9" t="n">
        <v>0.03503</v>
      </c>
    </row>
    <row r="161" customFormat="false" ht="15" hidden="false" customHeight="false" outlineLevel="0" collapsed="false">
      <c r="A161" s="9" t="s">
        <v>1010</v>
      </c>
      <c r="B161" s="9" t="s">
        <v>1011</v>
      </c>
      <c r="C161" s="9" t="n">
        <v>0.005</v>
      </c>
      <c r="D161" s="9" t="n">
        <v>0.005</v>
      </c>
      <c r="E161" s="9" t="n">
        <v>0.01</v>
      </c>
      <c r="F161" s="9" t="n">
        <v>0.005</v>
      </c>
      <c r="G161" s="9" t="n">
        <v>0.005</v>
      </c>
      <c r="H161" s="9" t="n">
        <v>0.01</v>
      </c>
      <c r="I161" s="9" t="n">
        <v>0.005</v>
      </c>
      <c r="J161" s="9" t="n">
        <v>0.005</v>
      </c>
      <c r="K161" s="9" t="n">
        <v>0.01</v>
      </c>
      <c r="L161" s="9" t="n">
        <v>0.01</v>
      </c>
      <c r="M161" s="9" t="n">
        <v>0.005</v>
      </c>
      <c r="N161" s="9" t="n">
        <v>0</v>
      </c>
      <c r="O161" s="9" t="n">
        <v>0</v>
      </c>
      <c r="P161" s="9" t="n">
        <v>0</v>
      </c>
      <c r="Q161" s="9" t="n">
        <v>0</v>
      </c>
      <c r="R161" s="9" t="n">
        <v>0</v>
      </c>
      <c r="S161" s="9" t="n">
        <v>0</v>
      </c>
      <c r="T161" s="9" t="n">
        <v>0</v>
      </c>
      <c r="U161" s="9" t="n">
        <v>0</v>
      </c>
      <c r="V161" s="9" t="n">
        <v>0</v>
      </c>
      <c r="W161" s="9" t="n">
        <v>0</v>
      </c>
      <c r="X161" s="9" t="n">
        <v>0</v>
      </c>
      <c r="Y161" s="9" t="n">
        <v>0</v>
      </c>
      <c r="Z161" s="9" t="n">
        <v>0.01</v>
      </c>
      <c r="AA161" s="9" t="n">
        <v>0.03</v>
      </c>
      <c r="AB161" s="9" t="n">
        <v>0</v>
      </c>
      <c r="AC161" s="9" t="n">
        <v>0</v>
      </c>
      <c r="AD161" s="9" t="n">
        <v>0</v>
      </c>
      <c r="AE161" s="9" t="n">
        <v>1.326</v>
      </c>
      <c r="AF161" s="9" t="n">
        <v>0</v>
      </c>
      <c r="AG161" s="9" t="n">
        <v>0</v>
      </c>
      <c r="AH161" s="9" t="n">
        <v>0</v>
      </c>
      <c r="AI161" s="9" t="n">
        <v>0</v>
      </c>
      <c r="AJ161" s="9" t="n">
        <v>0.124801968537083</v>
      </c>
      <c r="AK161" s="9" t="n">
        <v>1.45616977605424</v>
      </c>
      <c r="AL161" s="9" t="n">
        <v>1.2252418992</v>
      </c>
      <c r="AM161" s="9" t="n">
        <v>1.376107543152</v>
      </c>
      <c r="AN161" s="9" t="n">
        <v>1.31843291931547</v>
      </c>
      <c r="AO161" s="9" t="n">
        <v>5.58342581566269</v>
      </c>
      <c r="AP161" s="9" t="n">
        <v>4.88021451</v>
      </c>
      <c r="AQ161" s="9" t="n">
        <v>5.48112173097879</v>
      </c>
      <c r="AR161" s="9" t="n">
        <v>5.25140012556387</v>
      </c>
      <c r="AS161" s="9" t="n">
        <v>4.6280957052334</v>
      </c>
      <c r="AT161" s="9" t="n">
        <v>3.8522076912</v>
      </c>
      <c r="AU161" s="9" t="n">
        <v>4.20553722914383</v>
      </c>
      <c r="AV161" s="9" t="n">
        <v>4.50967399328034</v>
      </c>
      <c r="AW161" s="9" t="n">
        <v>2.00020583966105</v>
      </c>
      <c r="AX161" s="9" t="n">
        <v>1.6620214356</v>
      </c>
      <c r="AY161" s="9" t="n">
        <v>1.81758128189383</v>
      </c>
      <c r="AZ161" s="9" t="n">
        <v>1.94902543742276</v>
      </c>
      <c r="BA161" s="9" t="n">
        <v>5.97701553900506</v>
      </c>
      <c r="BB161" s="9" t="n">
        <v>6.02778539135293</v>
      </c>
      <c r="BC161" s="9" t="n">
        <v>5.08729988452495</v>
      </c>
      <c r="BD161" s="9" t="n">
        <v>5.62268159751137</v>
      </c>
      <c r="BE161" s="9" t="n">
        <v>0.0577830225447042</v>
      </c>
      <c r="BF161" s="9" t="n">
        <v>0.0513274999999999</v>
      </c>
      <c r="BG161" s="9" t="n">
        <v>0.0576475224747474</v>
      </c>
      <c r="BH161" s="9" t="n">
        <v>0.0552314328381601</v>
      </c>
      <c r="BI161" s="9" t="n">
        <v>0.295515020120458</v>
      </c>
      <c r="BJ161" s="9" t="n">
        <v>0.25765148</v>
      </c>
      <c r="BK161" s="9" t="n">
        <v>0.289376445062626</v>
      </c>
      <c r="BL161" s="9" t="n">
        <v>0.277248266782379</v>
      </c>
      <c r="BM161" s="9" t="n">
        <v>0</v>
      </c>
      <c r="BN161" s="9" t="n">
        <v>0</v>
      </c>
      <c r="BO161" s="9" t="n">
        <v>0</v>
      </c>
      <c r="BP161" s="9" t="n">
        <v>0</v>
      </c>
      <c r="BQ161" s="9" t="n">
        <v>0</v>
      </c>
      <c r="BR161" s="9" t="n">
        <v>0</v>
      </c>
      <c r="BS161" s="9" t="n">
        <v>0</v>
      </c>
      <c r="BT161" s="9" t="n">
        <v>0</v>
      </c>
      <c r="BU161" s="9" t="n">
        <v>0</v>
      </c>
      <c r="BV161" s="9" t="n">
        <v>1.35121895897298</v>
      </c>
      <c r="BW161" s="9" t="n">
        <v>1.16527215311887</v>
      </c>
      <c r="BX161" s="9" t="n">
        <v>1.28244747742938</v>
      </c>
      <c r="BY161" s="9" t="n">
        <v>1.24040137501155</v>
      </c>
      <c r="BZ161" s="9" t="n">
        <v>1.84119487358179</v>
      </c>
      <c r="CA161" s="9" t="n">
        <v>0.214293367620272</v>
      </c>
      <c r="CB161" s="9" t="n">
        <v>3.613</v>
      </c>
      <c r="CC161" s="9" t="n">
        <v>4.037</v>
      </c>
      <c r="CD161" s="9" t="n">
        <v>4.855</v>
      </c>
      <c r="CE161" s="9" t="n">
        <v>0.56</v>
      </c>
      <c r="CF161" s="9" t="n">
        <v>0.02</v>
      </c>
      <c r="CG161" s="9" t="n">
        <v>0.02</v>
      </c>
      <c r="CH161" s="9" t="n">
        <v>0</v>
      </c>
      <c r="CI161" s="9" t="n">
        <v>0</v>
      </c>
      <c r="CJ161" s="9" t="n">
        <v>0.03</v>
      </c>
      <c r="CK161" s="9" t="n">
        <v>0.61</v>
      </c>
      <c r="CL161" s="9" t="n">
        <v>0</v>
      </c>
      <c r="CM161" s="9" t="n">
        <v>3.409</v>
      </c>
      <c r="CN161" s="9" t="n">
        <v>3.283</v>
      </c>
      <c r="CO161" s="9" t="n">
        <v>3</v>
      </c>
      <c r="CP161" s="9" t="n">
        <v>2</v>
      </c>
      <c r="CQ161" s="9" t="n">
        <v>0.5</v>
      </c>
      <c r="CR161" s="9" t="n">
        <v>0.3</v>
      </c>
      <c r="CS161" s="9" t="n">
        <v>0.6</v>
      </c>
      <c r="CT161" s="9" t="n">
        <v>0.8</v>
      </c>
      <c r="CU161" s="9" t="n">
        <v>0.8</v>
      </c>
      <c r="CV161" s="9" t="n">
        <v>0.7</v>
      </c>
      <c r="CW161" s="9" t="n">
        <v>0.5</v>
      </c>
      <c r="CX161" s="9" t="n">
        <v>0.5</v>
      </c>
      <c r="CY161" s="9" t="n">
        <v>1</v>
      </c>
      <c r="CZ161" s="9" t="n">
        <v>0.3</v>
      </c>
      <c r="DA161" s="9" t="n">
        <v>0.8</v>
      </c>
      <c r="DB161" s="9" t="n">
        <v>0.330586953561215</v>
      </c>
      <c r="DC161" s="9" t="n">
        <v>7.124</v>
      </c>
      <c r="DD161" s="9" t="n">
        <v>5.575</v>
      </c>
      <c r="DE161" s="9" t="n">
        <v>14.02195</v>
      </c>
      <c r="DF161" s="9" t="n">
        <v>21.2876244899141</v>
      </c>
      <c r="DG161" s="9" t="n">
        <v>23.7613433785896</v>
      </c>
      <c r="DH161" s="9" t="n">
        <v>16.0630940227829</v>
      </c>
      <c r="DI161" s="9" t="n">
        <v>22.8549696778781</v>
      </c>
      <c r="DJ161" s="9" t="n">
        <v>12.412</v>
      </c>
      <c r="DK161" s="9" t="n">
        <v>11.088</v>
      </c>
      <c r="DL161" s="9" t="n">
        <v>23.40595</v>
      </c>
      <c r="DM161" s="9" t="n">
        <v>13.4947462084719</v>
      </c>
      <c r="DN161" s="9" t="n">
        <v>13.4947462084719</v>
      </c>
      <c r="DO161" s="9" t="n">
        <v>0.105</v>
      </c>
    </row>
    <row r="162" customFormat="false" ht="15" hidden="false" customHeight="false" outlineLevel="0" collapsed="false">
      <c r="A162" s="9" t="s">
        <v>1036</v>
      </c>
      <c r="B162" s="9" t="s">
        <v>1037</v>
      </c>
      <c r="C162" s="9" t="n">
        <v>0.005</v>
      </c>
      <c r="D162" s="9" t="n">
        <v>0.005</v>
      </c>
      <c r="E162" s="9" t="n">
        <v>0.01</v>
      </c>
      <c r="F162" s="9" t="n">
        <v>0.005</v>
      </c>
      <c r="G162" s="9" t="n">
        <v>0.005</v>
      </c>
      <c r="H162" s="9" t="n">
        <v>0.01</v>
      </c>
      <c r="I162" s="9" t="n">
        <v>0.005</v>
      </c>
      <c r="J162" s="9" t="n">
        <v>0.005</v>
      </c>
      <c r="K162" s="9" t="n">
        <v>0.01</v>
      </c>
      <c r="L162" s="9" t="n">
        <v>0.01</v>
      </c>
      <c r="M162" s="9" t="n">
        <v>0.005</v>
      </c>
      <c r="N162" s="9" t="n">
        <v>0</v>
      </c>
      <c r="O162" s="9" t="n">
        <v>0</v>
      </c>
      <c r="P162" s="9" t="n">
        <v>0</v>
      </c>
      <c r="Q162" s="9" t="n">
        <v>0</v>
      </c>
      <c r="R162" s="9" t="n">
        <v>0</v>
      </c>
      <c r="S162" s="9" t="n">
        <v>0</v>
      </c>
      <c r="T162" s="9" t="n">
        <v>0</v>
      </c>
      <c r="U162" s="9" t="n">
        <v>0</v>
      </c>
      <c r="V162" s="9" t="n">
        <v>0</v>
      </c>
      <c r="W162" s="9" t="n">
        <v>0</v>
      </c>
      <c r="X162" s="9" t="n">
        <v>0</v>
      </c>
      <c r="Y162" s="9" t="n">
        <v>0</v>
      </c>
      <c r="Z162" s="9" t="n">
        <v>0.11</v>
      </c>
      <c r="AA162" s="9" t="n">
        <v>0.02</v>
      </c>
      <c r="AB162" s="9" t="n">
        <v>0.01</v>
      </c>
      <c r="AC162" s="9" t="n">
        <v>0</v>
      </c>
      <c r="AD162" s="9" t="n">
        <v>0</v>
      </c>
      <c r="AE162" s="9" t="n">
        <v>1.039</v>
      </c>
      <c r="AF162" s="9" t="n">
        <v>0</v>
      </c>
      <c r="AG162" s="9" t="n">
        <v>0</v>
      </c>
      <c r="AH162" s="9" t="n">
        <v>0</v>
      </c>
      <c r="AI162" s="9" t="n">
        <v>0</v>
      </c>
      <c r="AJ162" s="9" t="n">
        <v>0</v>
      </c>
      <c r="AK162" s="9" t="n">
        <v>0</v>
      </c>
      <c r="AL162" s="9" t="n">
        <v>0</v>
      </c>
      <c r="AM162" s="9" t="n">
        <v>0</v>
      </c>
      <c r="AN162" s="9" t="n">
        <v>0</v>
      </c>
      <c r="AO162" s="9" t="n">
        <v>0.579350686508817</v>
      </c>
      <c r="AP162" s="9" t="n">
        <v>0.55822113</v>
      </c>
      <c r="AQ162" s="9" t="n">
        <v>0.5675248155</v>
      </c>
      <c r="AR162" s="9" t="n">
        <v>0.5533366951125</v>
      </c>
      <c r="AS162" s="9" t="n">
        <v>1.31091004025407</v>
      </c>
      <c r="AT162" s="9" t="n">
        <v>1.238622912</v>
      </c>
      <c r="AU162" s="9" t="n">
        <v>1.28310781442477</v>
      </c>
      <c r="AV162" s="9" t="n">
        <v>1.26919039367112</v>
      </c>
      <c r="AW162" s="9" t="n">
        <v>0.531350257190132</v>
      </c>
      <c r="AX162" s="9" t="n">
        <v>0.4994098776</v>
      </c>
      <c r="AY162" s="9" t="n">
        <v>0.520081200282162</v>
      </c>
      <c r="AZ162" s="9" t="n">
        <v>0.514440061783105</v>
      </c>
      <c r="BA162" s="9" t="n">
        <v>1.77783584404806</v>
      </c>
      <c r="BB162" s="9" t="n">
        <v>1.64882470496368</v>
      </c>
      <c r="BC162" s="9" t="n">
        <v>1.81872397</v>
      </c>
      <c r="BD162" s="9" t="n">
        <v>1.702411507875</v>
      </c>
      <c r="BE162" s="9" t="n">
        <v>0.311355943875774</v>
      </c>
      <c r="BF162" s="9" t="n">
        <v>0.307644465</v>
      </c>
      <c r="BG162" s="9" t="n">
        <v>0.312771872749999</v>
      </c>
      <c r="BH162" s="9" t="n">
        <v>0.30495257593125</v>
      </c>
      <c r="BI162" s="9" t="n">
        <v>0.143706062548481</v>
      </c>
      <c r="BJ162" s="9" t="n">
        <v>0.13827</v>
      </c>
      <c r="BK162" s="9" t="n">
        <v>0.1405745</v>
      </c>
      <c r="BL162" s="9" t="n">
        <v>0.1370601375</v>
      </c>
      <c r="BM162" s="9" t="n">
        <v>0</v>
      </c>
      <c r="BN162" s="9" t="n">
        <v>0</v>
      </c>
      <c r="BO162" s="9" t="n">
        <v>0</v>
      </c>
      <c r="BP162" s="9" t="n">
        <v>0</v>
      </c>
      <c r="BQ162" s="9" t="n">
        <v>0</v>
      </c>
      <c r="BR162" s="9" t="n">
        <v>0</v>
      </c>
      <c r="BS162" s="9" t="n">
        <v>0</v>
      </c>
      <c r="BT162" s="9" t="n">
        <v>0</v>
      </c>
      <c r="BU162" s="9" t="n">
        <v>0</v>
      </c>
      <c r="BV162" s="9" t="n">
        <v>5.5504134932978</v>
      </c>
      <c r="BW162" s="9" t="n">
        <v>5.95646995859569</v>
      </c>
      <c r="BX162" s="9" t="n">
        <v>5.81963090710755</v>
      </c>
      <c r="BY162" s="9" t="n">
        <v>5.65616892247843</v>
      </c>
      <c r="BZ162" s="9" t="n">
        <v>0.511738971512278</v>
      </c>
      <c r="CA162" s="9" t="n">
        <v>0.846560846560847</v>
      </c>
      <c r="CB162" s="9" t="n">
        <v>5.092</v>
      </c>
      <c r="CC162" s="9" t="n">
        <v>1.521</v>
      </c>
      <c r="CD162" s="9" t="n">
        <v>2.229</v>
      </c>
      <c r="CE162" s="9" t="n">
        <v>0</v>
      </c>
      <c r="CF162" s="9" t="n">
        <v>0</v>
      </c>
      <c r="CG162" s="9" t="n">
        <v>0.53</v>
      </c>
      <c r="CH162" s="9" t="n">
        <v>0</v>
      </c>
      <c r="CI162" s="9" t="n">
        <v>0.53</v>
      </c>
      <c r="CJ162" s="9" t="n">
        <v>0.09</v>
      </c>
      <c r="CK162" s="9" t="n">
        <v>0.63</v>
      </c>
      <c r="CL162" s="9" t="n">
        <v>0.01</v>
      </c>
      <c r="CM162" s="9" t="n">
        <v>1.146</v>
      </c>
      <c r="CN162" s="9" t="n">
        <v>1.146</v>
      </c>
      <c r="CO162" s="9" t="n">
        <v>3</v>
      </c>
      <c r="CP162" s="9" t="n">
        <v>4</v>
      </c>
      <c r="CQ162" s="9" t="n">
        <v>0.5</v>
      </c>
      <c r="CR162" s="9" t="n">
        <v>0.3</v>
      </c>
      <c r="CS162" s="9" t="n">
        <v>0.6</v>
      </c>
      <c r="CT162" s="9" t="n">
        <v>0.8</v>
      </c>
      <c r="CU162" s="9" t="n">
        <v>0.8</v>
      </c>
      <c r="CV162" s="9" t="n">
        <v>0.7</v>
      </c>
      <c r="CW162" s="9" t="n">
        <v>0.5</v>
      </c>
      <c r="CX162" s="9" t="n">
        <v>0.5</v>
      </c>
      <c r="CY162" s="9" t="n">
        <v>1</v>
      </c>
      <c r="CZ162" s="9" t="n">
        <v>0.3</v>
      </c>
      <c r="DA162" s="9" t="n">
        <v>0.8</v>
      </c>
      <c r="DB162" s="9" t="n">
        <v>0.550914483440435</v>
      </c>
      <c r="DC162" s="9" t="n">
        <v>7.124</v>
      </c>
      <c r="DD162" s="9" t="n">
        <v>5.575</v>
      </c>
      <c r="DE162" s="9" t="n">
        <v>14.02195</v>
      </c>
      <c r="DF162" s="9" t="n">
        <v>21.2656913666347</v>
      </c>
      <c r="DG162" s="9" t="n">
        <v>23.8091561447126</v>
      </c>
      <c r="DH162" s="9" t="n">
        <v>18.0045316956747</v>
      </c>
      <c r="DI162" s="9" t="n">
        <v>22.1380874716491</v>
      </c>
      <c r="DJ162" s="9" t="n">
        <v>9.411</v>
      </c>
      <c r="DK162" s="9" t="n">
        <v>8.087</v>
      </c>
      <c r="DL162" s="9" t="n">
        <v>19.95595</v>
      </c>
      <c r="DM162" s="9" t="n">
        <v>13.4947462185073</v>
      </c>
      <c r="DN162" s="9" t="n">
        <v>13.4947462185073</v>
      </c>
      <c r="DO162" s="9" t="n">
        <v>0.105</v>
      </c>
    </row>
    <row r="163" customFormat="false" ht="15" hidden="false" customHeight="false" outlineLevel="0" collapsed="false">
      <c r="A163" s="9" t="s">
        <v>858</v>
      </c>
      <c r="B163" s="9" t="s">
        <v>859</v>
      </c>
      <c r="C163" s="9" t="n">
        <v>0.005</v>
      </c>
      <c r="D163" s="9" t="n">
        <v>0.005</v>
      </c>
      <c r="E163" s="9" t="n">
        <v>0.01</v>
      </c>
      <c r="F163" s="9" t="n">
        <v>0.005</v>
      </c>
      <c r="G163" s="9" t="n">
        <v>0.005</v>
      </c>
      <c r="H163" s="9" t="n">
        <v>0.01</v>
      </c>
      <c r="I163" s="9" t="n">
        <v>0.005</v>
      </c>
      <c r="J163" s="9" t="n">
        <v>0.005</v>
      </c>
      <c r="K163" s="9" t="n">
        <v>0.01</v>
      </c>
      <c r="L163" s="9" t="n">
        <v>0.01</v>
      </c>
      <c r="M163" s="9" t="n">
        <v>0.005</v>
      </c>
      <c r="N163" s="9" t="n">
        <v>0</v>
      </c>
      <c r="O163" s="9" t="n">
        <v>0</v>
      </c>
      <c r="P163" s="9" t="n">
        <v>0</v>
      </c>
      <c r="Q163" s="9" t="n">
        <v>0</v>
      </c>
      <c r="R163" s="9" t="n">
        <v>0</v>
      </c>
      <c r="S163" s="9" t="n">
        <v>0</v>
      </c>
      <c r="T163" s="9" t="n">
        <v>0</v>
      </c>
      <c r="U163" s="9" t="n">
        <v>0</v>
      </c>
      <c r="V163" s="9" t="n">
        <v>0</v>
      </c>
      <c r="W163" s="9" t="n">
        <v>0</v>
      </c>
      <c r="X163" s="9" t="n">
        <v>0</v>
      </c>
      <c r="Y163" s="9" t="n">
        <v>0</v>
      </c>
      <c r="Z163" s="9" t="n">
        <v>8.57</v>
      </c>
      <c r="AA163" s="9" t="n">
        <v>1.61</v>
      </c>
      <c r="AB163" s="9" t="n">
        <v>0</v>
      </c>
      <c r="AC163" s="9" t="n">
        <v>0</v>
      </c>
      <c r="AD163" s="9" t="n">
        <v>0</v>
      </c>
      <c r="AE163" s="9" t="n">
        <v>30.545</v>
      </c>
      <c r="AF163" s="9" t="n">
        <v>0.0038280815421309</v>
      </c>
      <c r="AG163" s="9" t="n">
        <v>0.0030019356</v>
      </c>
      <c r="AH163" s="9" t="n">
        <v>0.0032821162559999</v>
      </c>
      <c r="AI163" s="9" t="n">
        <v>0.0034944281513099</v>
      </c>
      <c r="AJ163" s="9" t="n">
        <v>0</v>
      </c>
      <c r="AK163" s="9" t="n">
        <v>0</v>
      </c>
      <c r="AL163" s="9" t="n">
        <v>0</v>
      </c>
      <c r="AM163" s="9" t="n">
        <v>0</v>
      </c>
      <c r="AN163" s="9" t="n">
        <v>0</v>
      </c>
      <c r="AO163" s="9" t="n">
        <v>37.8329984022777</v>
      </c>
      <c r="AP163" s="9" t="n">
        <v>31.36284554</v>
      </c>
      <c r="AQ163" s="9" t="n">
        <v>34.2900444570667</v>
      </c>
      <c r="AR163" s="9" t="n">
        <v>36.5081817078832</v>
      </c>
      <c r="AS163" s="9" t="n">
        <v>54.5391652866685</v>
      </c>
      <c r="AT163" s="9" t="n">
        <v>30.4440524316</v>
      </c>
      <c r="AU163" s="9" t="n">
        <v>34.4824929544277</v>
      </c>
      <c r="AV163" s="9" t="n">
        <v>52.1683732168397</v>
      </c>
      <c r="AW163" s="9" t="n">
        <v>45.8334678786484</v>
      </c>
      <c r="AX163" s="9" t="n">
        <v>25.6626514692</v>
      </c>
      <c r="AY163" s="9" t="n">
        <v>28.9782988957627</v>
      </c>
      <c r="AZ163" s="9" t="n">
        <v>43.8411084135135</v>
      </c>
      <c r="BA163" s="9" t="n">
        <v>40.6024308145824</v>
      </c>
      <c r="BB163" s="9" t="n">
        <v>33.967463645621</v>
      </c>
      <c r="BC163" s="9" t="n">
        <v>35.88353291</v>
      </c>
      <c r="BD163" s="9" t="n">
        <v>38.8666945102021</v>
      </c>
      <c r="BE163" s="9" t="n">
        <v>4.13504745864624</v>
      </c>
      <c r="BF163" s="9" t="n">
        <v>3.43945079987318</v>
      </c>
      <c r="BG163" s="9" t="n">
        <v>3.76046620786134</v>
      </c>
      <c r="BH163" s="9" t="n">
        <v>4.00372136568237</v>
      </c>
      <c r="BI163" s="9" t="n">
        <v>20.7113720524568</v>
      </c>
      <c r="BJ163" s="9" t="n">
        <v>17.42666252</v>
      </c>
      <c r="BK163" s="9" t="n">
        <v>19.0531510218666</v>
      </c>
      <c r="BL163" s="9" t="n">
        <v>20.2856517285936</v>
      </c>
      <c r="BM163" s="9" t="n">
        <v>9.95635622229809</v>
      </c>
      <c r="BN163" s="9" t="n">
        <v>8.2763992512</v>
      </c>
      <c r="BO163" s="9" t="n">
        <v>9.048863181312</v>
      </c>
      <c r="BP163" s="9" t="n">
        <v>9.63421151835312</v>
      </c>
      <c r="BQ163" s="9" t="n">
        <v>302.89226745734</v>
      </c>
      <c r="BR163" s="9" t="n">
        <v>0</v>
      </c>
      <c r="BS163" s="9" t="n">
        <v>0</v>
      </c>
      <c r="BT163" s="9" t="n">
        <v>0</v>
      </c>
      <c r="BU163" s="9" t="n">
        <v>0</v>
      </c>
      <c r="BV163" s="9" t="n">
        <v>91.6046850730174</v>
      </c>
      <c r="BW163" s="9" t="n">
        <v>215.787521655165</v>
      </c>
      <c r="BX163" s="9" t="n">
        <v>139.605765509871</v>
      </c>
      <c r="BY163" s="9" t="n">
        <v>106.338262223824</v>
      </c>
      <c r="BZ163" s="9" t="n">
        <v>27.8812869903658</v>
      </c>
      <c r="CA163" s="9" t="n">
        <v>-0.110735738515555</v>
      </c>
      <c r="CB163" s="9" t="n">
        <v>3</v>
      </c>
      <c r="CC163" s="9" t="n">
        <v>3</v>
      </c>
      <c r="CD163" s="9" t="n">
        <v>81.68214</v>
      </c>
      <c r="CE163" s="9" t="n">
        <v>0.78</v>
      </c>
      <c r="CF163" s="9" t="n">
        <v>0</v>
      </c>
      <c r="CG163" s="9" t="n">
        <v>24</v>
      </c>
      <c r="CH163" s="9" t="n">
        <v>13</v>
      </c>
      <c r="CI163" s="9" t="n">
        <v>11</v>
      </c>
      <c r="CJ163" s="9" t="n">
        <v>0.1</v>
      </c>
      <c r="CK163" s="9" t="n">
        <v>24.88</v>
      </c>
      <c r="CL163" s="9" t="n">
        <v>0</v>
      </c>
      <c r="CM163" s="9" t="n">
        <v>51.847</v>
      </c>
      <c r="CN163" s="9" t="n">
        <v>51.857</v>
      </c>
      <c r="CO163" s="9" t="n">
        <v>3</v>
      </c>
      <c r="CP163" s="9" t="n">
        <v>1</v>
      </c>
      <c r="CQ163" s="9" t="n">
        <v>0.5</v>
      </c>
      <c r="CR163" s="9" t="n">
        <v>0.3</v>
      </c>
      <c r="CS163" s="9" t="n">
        <v>0.6</v>
      </c>
      <c r="CT163" s="9" t="n">
        <v>0.8</v>
      </c>
      <c r="CU163" s="9" t="n">
        <v>0.8</v>
      </c>
      <c r="CV163" s="9" t="n">
        <v>0.7</v>
      </c>
      <c r="CW163" s="9" t="n">
        <v>0.5</v>
      </c>
      <c r="CX163" s="9" t="n">
        <v>0.5</v>
      </c>
      <c r="CY163" s="9" t="n">
        <v>1</v>
      </c>
      <c r="CZ163" s="9" t="n">
        <v>0.3</v>
      </c>
      <c r="DA163" s="9" t="n">
        <v>0.8</v>
      </c>
      <c r="DB163" s="9" t="n">
        <v>1</v>
      </c>
      <c r="DC163" s="9" t="n">
        <v>7.124</v>
      </c>
      <c r="DD163" s="9" t="n">
        <v>5.575</v>
      </c>
      <c r="DE163" s="9" t="n">
        <v>12.193</v>
      </c>
      <c r="DF163" s="9" t="n">
        <v>19.6808221113768</v>
      </c>
      <c r="DG163" s="9" t="n">
        <v>20.5892294309309</v>
      </c>
      <c r="DH163" s="9" t="n">
        <v>17.2720586560434</v>
      </c>
      <c r="DI163" s="9" t="n">
        <v>19.783016350672</v>
      </c>
      <c r="DJ163" s="9" t="n">
        <v>6.853</v>
      </c>
      <c r="DK163" s="9" t="n">
        <v>6.191</v>
      </c>
      <c r="DL163" s="9" t="n">
        <v>10.823</v>
      </c>
      <c r="DM163" s="9" t="n">
        <v>14.1151698941595</v>
      </c>
      <c r="DN163" s="9" t="n">
        <v>14.1151698941595</v>
      </c>
      <c r="DO163" s="9" t="n">
        <v>0.105</v>
      </c>
    </row>
    <row r="164" customFormat="false" ht="15" hidden="false" customHeight="false" outlineLevel="0" collapsed="false">
      <c r="A164" s="9" t="s">
        <v>942</v>
      </c>
      <c r="B164" s="9" t="s">
        <v>943</v>
      </c>
      <c r="C164" s="9" t="n">
        <v>0.005</v>
      </c>
      <c r="D164" s="9" t="n">
        <v>0.005</v>
      </c>
      <c r="E164" s="9" t="n">
        <v>0.01</v>
      </c>
      <c r="F164" s="9" t="n">
        <v>0.005</v>
      </c>
      <c r="G164" s="9" t="n">
        <v>0.005</v>
      </c>
      <c r="H164" s="9" t="n">
        <v>0.01</v>
      </c>
      <c r="I164" s="9" t="n">
        <v>0.005</v>
      </c>
      <c r="J164" s="9" t="n">
        <v>0.005</v>
      </c>
      <c r="K164" s="9" t="n">
        <v>0.01</v>
      </c>
      <c r="L164" s="9" t="n">
        <v>0.01</v>
      </c>
      <c r="M164" s="9" t="n">
        <v>0.005</v>
      </c>
      <c r="N164" s="9" t="n">
        <v>0.008037</v>
      </c>
      <c r="O164" s="9" t="n">
        <v>0.05866</v>
      </c>
      <c r="P164" s="9" t="n">
        <v>0.472546</v>
      </c>
      <c r="Q164" s="9" t="n">
        <v>0.0601418038090166</v>
      </c>
      <c r="R164" s="9" t="n">
        <v>0.0115814415548986</v>
      </c>
      <c r="S164" s="9" t="n">
        <v>0.0180402943938121</v>
      </c>
      <c r="T164" s="9" t="n">
        <v>0.0055470026238158</v>
      </c>
      <c r="U164" s="9" t="n">
        <v>0.00035</v>
      </c>
      <c r="V164" s="9" t="n">
        <v>0.000218</v>
      </c>
      <c r="W164" s="9" t="n">
        <v>0.001075</v>
      </c>
      <c r="X164" s="9" t="n">
        <v>0.002748974278671</v>
      </c>
      <c r="Y164" s="9" t="n">
        <v>0.002748974278671</v>
      </c>
      <c r="Z164" s="9" t="n">
        <v>0.28</v>
      </c>
      <c r="AA164" s="9" t="n">
        <v>0</v>
      </c>
      <c r="AB164" s="9" t="n">
        <v>0</v>
      </c>
      <c r="AC164" s="9" t="n">
        <v>0</v>
      </c>
      <c r="AD164" s="9" t="n">
        <v>0</v>
      </c>
      <c r="AE164" s="9" t="n">
        <v>1.868</v>
      </c>
      <c r="AF164" s="9" t="n">
        <v>0</v>
      </c>
      <c r="AG164" s="9" t="n">
        <v>0</v>
      </c>
      <c r="AH164" s="9" t="n">
        <v>0</v>
      </c>
      <c r="AI164" s="9" t="n">
        <v>0</v>
      </c>
      <c r="AJ164" s="9" t="n">
        <v>0</v>
      </c>
      <c r="AK164" s="9" t="n">
        <v>0</v>
      </c>
      <c r="AL164" s="9" t="n">
        <v>0</v>
      </c>
      <c r="AM164" s="9" t="n">
        <v>0</v>
      </c>
      <c r="AN164" s="9" t="n">
        <v>0</v>
      </c>
      <c r="AO164" s="9" t="n">
        <v>3.72314225736996</v>
      </c>
      <c r="AP164" s="9" t="n">
        <v>4.1746227</v>
      </c>
      <c r="AQ164" s="9" t="n">
        <v>3.98974655185714</v>
      </c>
      <c r="AR164" s="9" t="n">
        <v>3.8871530690951</v>
      </c>
      <c r="AS164" s="9" t="n">
        <v>0.66159372517619</v>
      </c>
      <c r="AT164" s="9" t="n">
        <v>0.6038956584</v>
      </c>
      <c r="AU164" s="9" t="n">
        <v>0.595007596426761</v>
      </c>
      <c r="AV164" s="9" t="n">
        <v>0.643303584357475</v>
      </c>
      <c r="AW164" s="9" t="n">
        <v>0.35551494430775</v>
      </c>
      <c r="AX164" s="9" t="n">
        <v>0.3254022828</v>
      </c>
      <c r="AY164" s="9" t="n">
        <v>0.319734127541815</v>
      </c>
      <c r="AZ164" s="9" t="n">
        <v>0.345686528246497</v>
      </c>
      <c r="BA164" s="9" t="n">
        <v>1.37376117482357</v>
      </c>
      <c r="BB164" s="9" t="n">
        <v>1.51860986057577</v>
      </c>
      <c r="BC164" s="9" t="n">
        <v>1.88689721588809</v>
      </c>
      <c r="BD164" s="9" t="n">
        <v>1.61230649355331</v>
      </c>
      <c r="BE164" s="9" t="n">
        <v>0.467276983615837</v>
      </c>
      <c r="BF164" s="9" t="n">
        <v>0.483944999999999</v>
      </c>
      <c r="BG164" s="9" t="n">
        <v>0.462513149999999</v>
      </c>
      <c r="BH164" s="9" t="n">
        <v>0.450619954714285</v>
      </c>
      <c r="BI164" s="9" t="n">
        <v>2.67155163810324</v>
      </c>
      <c r="BJ164" s="9" t="n">
        <v>2.79004139</v>
      </c>
      <c r="BK164" s="9" t="n">
        <v>2.66648241415714</v>
      </c>
      <c r="BL164" s="9" t="n">
        <v>2.59791572350739</v>
      </c>
      <c r="BM164" s="9" t="n">
        <v>0</v>
      </c>
      <c r="BN164" s="9" t="n">
        <v>0</v>
      </c>
      <c r="BO164" s="9" t="n">
        <v>0</v>
      </c>
      <c r="BP164" s="9" t="n">
        <v>0</v>
      </c>
      <c r="BQ164" s="9" t="n">
        <v>0</v>
      </c>
      <c r="BR164" s="9" t="n">
        <v>0</v>
      </c>
      <c r="BS164" s="9" t="n">
        <v>0</v>
      </c>
      <c r="BT164" s="9" t="n">
        <v>0</v>
      </c>
      <c r="BU164" s="9" t="n">
        <v>0</v>
      </c>
      <c r="BV164" s="9" t="n">
        <v>17.7000688019429</v>
      </c>
      <c r="BW164" s="9" t="n">
        <v>19.8432363828791</v>
      </c>
      <c r="BX164" s="9" t="n">
        <v>20.8754089142085</v>
      </c>
      <c r="BY164" s="9" t="n">
        <v>19.4915822093113</v>
      </c>
      <c r="BZ164" s="9" t="n">
        <v>0.282530185967761</v>
      </c>
      <c r="CA164" s="9" t="n">
        <v>0.251414204902574</v>
      </c>
      <c r="CB164" s="9" t="n">
        <v>5.606</v>
      </c>
      <c r="CC164" s="9" t="n">
        <v>5.23</v>
      </c>
      <c r="CD164" s="9" t="n">
        <v>20.656</v>
      </c>
      <c r="CE164" s="9" t="n">
        <v>0.01</v>
      </c>
      <c r="CF164" s="9" t="n">
        <v>0</v>
      </c>
      <c r="CG164" s="9" t="n">
        <v>0.35</v>
      </c>
      <c r="CH164" s="9" t="n">
        <v>0</v>
      </c>
      <c r="CI164" s="9" t="n">
        <v>0.35</v>
      </c>
      <c r="CJ164" s="9" t="n">
        <v>0</v>
      </c>
      <c r="CK164" s="9" t="n">
        <v>0.37</v>
      </c>
      <c r="CL164" s="9" t="n">
        <v>0.01</v>
      </c>
      <c r="CM164" s="9" t="n">
        <v>93.053</v>
      </c>
      <c r="CN164" s="9" t="n">
        <v>116.278</v>
      </c>
      <c r="CO164" s="9" t="n">
        <v>3</v>
      </c>
      <c r="CP164" s="9" t="n">
        <v>1</v>
      </c>
      <c r="CQ164" s="9" t="n">
        <v>0.5</v>
      </c>
      <c r="CR164" s="9" t="n">
        <v>0.3</v>
      </c>
      <c r="CS164" s="9" t="n">
        <v>0.6</v>
      </c>
      <c r="CT164" s="9" t="n">
        <v>0.8</v>
      </c>
      <c r="CU164" s="9" t="n">
        <v>0.8</v>
      </c>
      <c r="CV164" s="9" t="n">
        <v>0.7</v>
      </c>
      <c r="CW164" s="9" t="n">
        <v>0.5</v>
      </c>
      <c r="CX164" s="9" t="n">
        <v>0.5</v>
      </c>
      <c r="CY164" s="9" t="n">
        <v>1</v>
      </c>
      <c r="CZ164" s="9" t="n">
        <v>0.3</v>
      </c>
      <c r="DA164" s="9" t="n">
        <v>0.8</v>
      </c>
      <c r="DB164" s="9" t="n">
        <v>0.36024346430876</v>
      </c>
      <c r="DC164" s="9" t="n">
        <v>7.124</v>
      </c>
      <c r="DD164" s="9" t="n">
        <v>5.575</v>
      </c>
      <c r="DE164" s="9" t="n">
        <v>14.38774</v>
      </c>
      <c r="DF164" s="9" t="n">
        <v>21.5959216188468</v>
      </c>
      <c r="DG164" s="9" t="n">
        <v>19.5462419794943</v>
      </c>
      <c r="DH164" s="9" t="n">
        <v>24.7573238306624</v>
      </c>
      <c r="DI164" s="9" t="n">
        <v>23.4812767014035</v>
      </c>
      <c r="DJ164" s="9" t="n">
        <v>12.815</v>
      </c>
      <c r="DK164" s="9" t="n">
        <v>11.492</v>
      </c>
      <c r="DL164" s="9" t="n">
        <v>24.49326</v>
      </c>
      <c r="DM164" s="9" t="n">
        <v>13.4947462084719</v>
      </c>
      <c r="DN164" s="9" t="n">
        <v>13.4947462084719</v>
      </c>
      <c r="DO164" s="9" t="n">
        <v>0.105</v>
      </c>
    </row>
    <row r="165" customFormat="false" ht="15" hidden="false" customHeight="false" outlineLevel="0" collapsed="false">
      <c r="A165" s="9" t="s">
        <v>986</v>
      </c>
      <c r="B165" s="9" t="s">
        <v>987</v>
      </c>
      <c r="C165" s="9" t="n">
        <v>0.005</v>
      </c>
      <c r="D165" s="9" t="n">
        <v>0.005</v>
      </c>
      <c r="E165" s="9" t="n">
        <v>0.01</v>
      </c>
      <c r="F165" s="9" t="n">
        <v>0.005</v>
      </c>
      <c r="G165" s="9" t="n">
        <v>0.005</v>
      </c>
      <c r="H165" s="9" t="n">
        <v>0.01</v>
      </c>
      <c r="I165" s="9" t="n">
        <v>0.005</v>
      </c>
      <c r="J165" s="9" t="n">
        <v>0.005</v>
      </c>
      <c r="K165" s="9" t="n">
        <v>0.01</v>
      </c>
      <c r="L165" s="9" t="n">
        <v>0.01</v>
      </c>
      <c r="M165" s="9" t="n">
        <v>0.005</v>
      </c>
      <c r="N165" s="9" t="n">
        <v>0.003849</v>
      </c>
      <c r="O165" s="9" t="n">
        <v>0.0469</v>
      </c>
      <c r="P165" s="9" t="n">
        <v>0.386697</v>
      </c>
      <c r="Q165" s="9" t="n">
        <v>0.64761702514453</v>
      </c>
      <c r="R165" s="9" t="n">
        <v>0.142294452289322</v>
      </c>
      <c r="S165" s="9" t="n">
        <v>0.103605861048751</v>
      </c>
      <c r="T165" s="9" t="n">
        <v>0.0344069323589137</v>
      </c>
      <c r="U165" s="9" t="n">
        <v>0.00016</v>
      </c>
      <c r="V165" s="9" t="n">
        <v>0.000509</v>
      </c>
      <c r="W165" s="9" t="n">
        <v>0.000659</v>
      </c>
      <c r="X165" s="9" t="n">
        <v>0.0075438688733841</v>
      </c>
      <c r="Y165" s="9" t="n">
        <v>0.0075438688733841</v>
      </c>
      <c r="Z165" s="9" t="n">
        <v>0.22</v>
      </c>
      <c r="AA165" s="9" t="n">
        <v>0.07</v>
      </c>
      <c r="AB165" s="9" t="n">
        <v>0</v>
      </c>
      <c r="AC165" s="9" t="n">
        <v>0</v>
      </c>
      <c r="AD165" s="9" t="n">
        <v>0</v>
      </c>
      <c r="AE165" s="9" t="n">
        <v>2.512</v>
      </c>
      <c r="AF165" s="9" t="n">
        <v>0</v>
      </c>
      <c r="AG165" s="9" t="n">
        <v>0</v>
      </c>
      <c r="AH165" s="9" t="n">
        <v>0</v>
      </c>
      <c r="AI165" s="9" t="n">
        <v>0</v>
      </c>
      <c r="AJ165" s="9" t="n">
        <v>0</v>
      </c>
      <c r="AK165" s="9" t="n">
        <v>0</v>
      </c>
      <c r="AL165" s="9" t="n">
        <v>0</v>
      </c>
      <c r="AM165" s="9" t="n">
        <v>0</v>
      </c>
      <c r="AN165" s="9" t="n">
        <v>0</v>
      </c>
      <c r="AO165" s="9" t="n">
        <v>7.34176767974727</v>
      </c>
      <c r="AP165" s="9" t="n">
        <v>6.86890164</v>
      </c>
      <c r="AQ165" s="9" t="n">
        <v>7.17521752394595</v>
      </c>
      <c r="AR165" s="9" t="n">
        <v>6.90788280652151</v>
      </c>
      <c r="AS165" s="9" t="n">
        <v>1.8960445408507</v>
      </c>
      <c r="AT165" s="9" t="n">
        <v>1.505280204</v>
      </c>
      <c r="AU165" s="9" t="n">
        <v>1.65844844466165</v>
      </c>
      <c r="AV165" s="9" t="n">
        <v>1.8104684012738</v>
      </c>
      <c r="AW165" s="9" t="n">
        <v>4.49837284179172</v>
      </c>
      <c r="AX165" s="9" t="n">
        <v>3.603599694</v>
      </c>
      <c r="AY165" s="9" t="n">
        <v>3.93467520527258</v>
      </c>
      <c r="AZ165" s="9" t="n">
        <v>4.29534312709663</v>
      </c>
      <c r="BA165" s="9" t="n">
        <v>11.549656006377</v>
      </c>
      <c r="BB165" s="9" t="n">
        <v>12.6415984150238</v>
      </c>
      <c r="BC165" s="9" t="n">
        <v>9.81287106</v>
      </c>
      <c r="BD165" s="9" t="n">
        <v>10.9593000545771</v>
      </c>
      <c r="BE165" s="9" t="n">
        <v>0.396327157467021</v>
      </c>
      <c r="BF165" s="9" t="n">
        <v>0.377762019999999</v>
      </c>
      <c r="BG165" s="9" t="n">
        <v>0.394608164135135</v>
      </c>
      <c r="BH165" s="9" t="n">
        <v>0.379905827697196</v>
      </c>
      <c r="BI165" s="9" t="n">
        <v>1.36096246738351</v>
      </c>
      <c r="BJ165" s="9" t="n">
        <v>1.23973301</v>
      </c>
      <c r="BK165" s="9" t="n">
        <v>1.29501840098649</v>
      </c>
      <c r="BL165" s="9" t="n">
        <v>1.24676852185296</v>
      </c>
      <c r="BM165" s="9" t="n">
        <v>0</v>
      </c>
      <c r="BN165" s="9" t="n">
        <v>0</v>
      </c>
      <c r="BO165" s="9" t="n">
        <v>0</v>
      </c>
      <c r="BP165" s="9" t="n">
        <v>0</v>
      </c>
      <c r="BQ165" s="9" t="n">
        <v>5.65665025297285</v>
      </c>
      <c r="BR165" s="9" t="n">
        <v>0</v>
      </c>
      <c r="BS165" s="9" t="n">
        <v>0</v>
      </c>
      <c r="BT165" s="9" t="n">
        <v>0</v>
      </c>
      <c r="BU165" s="9" t="n">
        <v>0</v>
      </c>
      <c r="BV165" s="9" t="n">
        <v>3.10791543069992</v>
      </c>
      <c r="BW165" s="9" t="n">
        <v>2.95402725094419</v>
      </c>
      <c r="BX165" s="9" t="n">
        <v>2.97612386972928</v>
      </c>
      <c r="BY165" s="9" t="n">
        <v>2.86697896487475</v>
      </c>
      <c r="BZ165" s="9" t="n">
        <v>1.776227050734</v>
      </c>
      <c r="CA165" s="9" t="n">
        <v>2.34741784037559</v>
      </c>
      <c r="CB165" s="9" t="n">
        <v>5.889</v>
      </c>
      <c r="CC165" s="9" t="n">
        <v>5</v>
      </c>
      <c r="CD165" s="9" t="n">
        <v>10.644</v>
      </c>
      <c r="CE165" s="9" t="n">
        <v>0.08</v>
      </c>
      <c r="CF165" s="9" t="n">
        <v>0</v>
      </c>
      <c r="CG165" s="9" t="n">
        <v>0.5</v>
      </c>
      <c r="CH165" s="9" t="n">
        <v>0.5</v>
      </c>
      <c r="CI165" s="9" t="n">
        <v>0</v>
      </c>
      <c r="CJ165" s="9" t="n">
        <v>0.13</v>
      </c>
      <c r="CK165" s="9" t="n">
        <v>0.71</v>
      </c>
      <c r="CL165" s="9" t="n">
        <v>0</v>
      </c>
      <c r="CM165" s="9" t="n">
        <v>11.393</v>
      </c>
      <c r="CN165" s="9" t="n">
        <v>12.213</v>
      </c>
      <c r="CO165" s="9" t="n">
        <v>3</v>
      </c>
      <c r="CP165" s="9" t="n">
        <v>1</v>
      </c>
      <c r="CQ165" s="9" t="n">
        <v>0.5</v>
      </c>
      <c r="CR165" s="9" t="n">
        <v>0.3</v>
      </c>
      <c r="CS165" s="9" t="n">
        <v>0.6</v>
      </c>
      <c r="CT165" s="9" t="n">
        <v>0.8</v>
      </c>
      <c r="CU165" s="9" t="n">
        <v>0.8</v>
      </c>
      <c r="CV165" s="9" t="n">
        <v>0.7</v>
      </c>
      <c r="CW165" s="9" t="n">
        <v>0.5</v>
      </c>
      <c r="CX165" s="9" t="n">
        <v>0.5</v>
      </c>
      <c r="CY165" s="9" t="n">
        <v>1</v>
      </c>
      <c r="CZ165" s="9" t="n">
        <v>0.3</v>
      </c>
      <c r="DA165" s="9" t="n">
        <v>0.8</v>
      </c>
      <c r="DB165" s="9" t="n">
        <v>0.332552254194395</v>
      </c>
      <c r="DC165" s="9" t="n">
        <v>7.124</v>
      </c>
      <c r="DD165" s="9" t="n">
        <v>5.575</v>
      </c>
      <c r="DE165" s="9" t="n">
        <v>14.38774</v>
      </c>
      <c r="DF165" s="9" t="n">
        <v>21.0807881659807</v>
      </c>
      <c r="DG165" s="9" t="n">
        <v>24.430264565879</v>
      </c>
      <c r="DH165" s="9" t="n">
        <v>18.474215131214</v>
      </c>
      <c r="DI165" s="9" t="n">
        <v>22.2277316888773</v>
      </c>
      <c r="DJ165" s="9" t="n">
        <v>12.815</v>
      </c>
      <c r="DK165" s="9" t="n">
        <v>11.492</v>
      </c>
      <c r="DL165" s="9" t="n">
        <v>24.49326</v>
      </c>
      <c r="DM165" s="9" t="n">
        <v>13.4947462084719</v>
      </c>
      <c r="DN165" s="9" t="n">
        <v>13.4947462084719</v>
      </c>
      <c r="DO165" s="9" t="n">
        <v>0.105</v>
      </c>
    </row>
    <row r="166" customFormat="false" ht="15" hidden="false" customHeight="false" outlineLevel="0" collapsed="false">
      <c r="A166" s="9" t="s">
        <v>752</v>
      </c>
      <c r="B166" s="9" t="s">
        <v>753</v>
      </c>
      <c r="C166" s="9" t="n">
        <v>0.005</v>
      </c>
      <c r="D166" s="9" t="n">
        <v>0.005</v>
      </c>
      <c r="E166" s="9" t="n">
        <v>0.01</v>
      </c>
      <c r="F166" s="9" t="n">
        <v>0.005</v>
      </c>
      <c r="G166" s="9" t="n">
        <v>0.005</v>
      </c>
      <c r="H166" s="9" t="n">
        <v>0.01</v>
      </c>
      <c r="I166" s="9" t="n">
        <v>0.005</v>
      </c>
      <c r="J166" s="9" t="n">
        <v>0.005</v>
      </c>
      <c r="K166" s="9" t="n">
        <v>0.01</v>
      </c>
      <c r="L166" s="9" t="n">
        <v>0.01</v>
      </c>
      <c r="M166" s="9" t="n">
        <v>0.005</v>
      </c>
      <c r="N166" s="9" t="n">
        <v>1.88542</v>
      </c>
      <c r="O166" s="9" t="n">
        <v>6.734493</v>
      </c>
      <c r="P166" s="9" t="n">
        <v>48.409151</v>
      </c>
      <c r="Q166" s="9" t="n">
        <v>12.9003766973704</v>
      </c>
      <c r="R166" s="9" t="n">
        <v>1.29566305039729</v>
      </c>
      <c r="S166" s="9" t="n">
        <v>3.08136705330315</v>
      </c>
      <c r="T166" s="9" t="n">
        <v>1.63240917075555</v>
      </c>
      <c r="U166" s="9" t="n">
        <v>0.309504</v>
      </c>
      <c r="V166" s="9" t="n">
        <v>0.298717</v>
      </c>
      <c r="W166" s="9" t="n">
        <v>0.066275</v>
      </c>
      <c r="X166" s="9" t="n">
        <v>15.5439380773741</v>
      </c>
      <c r="Y166" s="9" t="n">
        <v>15.5439380773741</v>
      </c>
      <c r="Z166" s="9" t="n">
        <v>44.67</v>
      </c>
      <c r="AA166" s="9" t="n">
        <v>6.84</v>
      </c>
      <c r="AB166" s="9" t="n">
        <v>1.54</v>
      </c>
      <c r="AC166" s="9" t="n">
        <v>3</v>
      </c>
      <c r="AD166" s="9" t="n">
        <v>0.0646522905</v>
      </c>
      <c r="AE166" s="9" t="n">
        <v>290.725</v>
      </c>
      <c r="AF166" s="9" t="n">
        <v>342.8576446162</v>
      </c>
      <c r="AG166" s="9" t="n">
        <v>298.9053360684</v>
      </c>
      <c r="AH166" s="9" t="n">
        <v>317.21328790259</v>
      </c>
      <c r="AI166" s="9" t="n">
        <v>317.918206320151</v>
      </c>
      <c r="AJ166" s="9" t="n">
        <v>343.725540001727</v>
      </c>
      <c r="AK166" s="9" t="n">
        <v>18.8523093471953</v>
      </c>
      <c r="AL166" s="9" t="n">
        <v>16.435555542</v>
      </c>
      <c r="AM166" s="9" t="n">
        <v>17.4422333189475</v>
      </c>
      <c r="AN166" s="9" t="n">
        <v>17.4809938374341</v>
      </c>
      <c r="AO166" s="9" t="n">
        <v>622.536881056334</v>
      </c>
      <c r="AP166" s="9" t="n">
        <v>572.33560171</v>
      </c>
      <c r="AQ166" s="9" t="n">
        <v>607.391157314738</v>
      </c>
      <c r="AR166" s="9" t="n">
        <v>608.740915442103</v>
      </c>
      <c r="AS166" s="9" t="n">
        <v>564.690031390029</v>
      </c>
      <c r="AT166" s="9" t="n">
        <v>491.0312869344</v>
      </c>
      <c r="AU166" s="9" t="n">
        <v>551.489788994167</v>
      </c>
      <c r="AV166" s="9" t="n">
        <v>570.343432771561</v>
      </c>
      <c r="AW166" s="9" t="n">
        <v>222.825365023441</v>
      </c>
      <c r="AX166" s="9" t="n">
        <v>195.4457190144</v>
      </c>
      <c r="AY166" s="9" t="n">
        <v>217.619180997629</v>
      </c>
      <c r="AZ166" s="9" t="n">
        <v>225.05952310594</v>
      </c>
      <c r="BA166" s="9" t="n">
        <v>314.248905691606</v>
      </c>
      <c r="BB166" s="9" t="n">
        <v>292.993247282545</v>
      </c>
      <c r="BC166" s="9" t="n">
        <v>298.425958371135</v>
      </c>
      <c r="BD166" s="9" t="n">
        <v>305.295205450595</v>
      </c>
      <c r="BE166" s="9" t="n">
        <v>0</v>
      </c>
      <c r="BF166" s="9" t="n">
        <v>0</v>
      </c>
      <c r="BG166" s="9" t="n">
        <v>0</v>
      </c>
      <c r="BH166" s="9" t="n">
        <v>0</v>
      </c>
      <c r="BI166" s="9" t="n">
        <v>74.6419406594299</v>
      </c>
      <c r="BJ166" s="9" t="n">
        <v>67.6467619195698</v>
      </c>
      <c r="BK166" s="9" t="n">
        <v>71.7901260871434</v>
      </c>
      <c r="BL166" s="9" t="n">
        <v>71.9496597006704</v>
      </c>
      <c r="BM166" s="9" t="n">
        <v>517.642577474939</v>
      </c>
      <c r="BN166" s="9" t="n">
        <v>453.7761901308</v>
      </c>
      <c r="BO166" s="9" t="n">
        <v>481.569981776312</v>
      </c>
      <c r="BP166" s="9" t="n">
        <v>482.64013729137</v>
      </c>
      <c r="BQ166" s="9" t="n">
        <v>846.849992517588</v>
      </c>
      <c r="BR166" s="9" t="n">
        <v>8.63549256916738</v>
      </c>
      <c r="BS166" s="9" t="n">
        <v>7.5373327548</v>
      </c>
      <c r="BT166" s="9" t="n">
        <v>7.9989943860315</v>
      </c>
      <c r="BU166" s="9" t="n">
        <v>8.01676992911157</v>
      </c>
      <c r="BV166" s="9" t="n">
        <v>406.38881856249</v>
      </c>
      <c r="BW166" s="9" t="n">
        <v>388.055075589417</v>
      </c>
      <c r="BX166" s="9" t="n">
        <v>391.524907831069</v>
      </c>
      <c r="BY166" s="9" t="n">
        <v>391.378076912234</v>
      </c>
      <c r="BZ166" s="9" t="n">
        <v>218.754276781519</v>
      </c>
      <c r="CA166" s="9" t="n">
        <v>0.261606717764825</v>
      </c>
      <c r="CB166" s="9" t="n">
        <v>2.413</v>
      </c>
      <c r="CC166" s="9" t="n">
        <v>1.5</v>
      </c>
      <c r="CD166" s="9" t="n">
        <v>529.386</v>
      </c>
      <c r="CE166" s="9" t="n">
        <v>17.81</v>
      </c>
      <c r="CF166" s="9" t="n">
        <v>33.56</v>
      </c>
      <c r="CG166" s="9" t="n">
        <v>157.04</v>
      </c>
      <c r="CH166" s="9" t="n">
        <v>123.34</v>
      </c>
      <c r="CI166" s="9" t="n">
        <v>0.14</v>
      </c>
      <c r="CJ166" s="9" t="n">
        <v>9.98</v>
      </c>
      <c r="CK166" s="9" t="n">
        <v>188.24</v>
      </c>
      <c r="CL166" s="9" t="n">
        <v>3.41</v>
      </c>
      <c r="CM166" s="9" t="n">
        <v>472.944</v>
      </c>
      <c r="CN166" s="9" t="n">
        <v>490.432</v>
      </c>
      <c r="CO166" s="9" t="n">
        <v>3</v>
      </c>
      <c r="CP166" s="9" t="n">
        <v>3</v>
      </c>
      <c r="CQ166" s="9" t="n">
        <v>0.5</v>
      </c>
      <c r="CR166" s="9" t="n">
        <v>0.3</v>
      </c>
      <c r="CS166" s="9" t="n">
        <v>0.6</v>
      </c>
      <c r="CT166" s="9" t="n">
        <v>0.8</v>
      </c>
      <c r="CU166" s="9" t="n">
        <v>0.8</v>
      </c>
      <c r="CV166" s="9" t="n">
        <v>0.7</v>
      </c>
      <c r="CW166" s="9" t="n">
        <v>0.5</v>
      </c>
      <c r="CX166" s="9" t="n">
        <v>0.5</v>
      </c>
      <c r="CY166" s="9" t="n">
        <v>1</v>
      </c>
      <c r="CZ166" s="9" t="n">
        <v>0.3</v>
      </c>
      <c r="DA166" s="9" t="n">
        <v>0.8</v>
      </c>
      <c r="DB166" s="9" t="n">
        <v>0.29644359079175</v>
      </c>
      <c r="DC166" s="9" t="n">
        <v>6.343</v>
      </c>
      <c r="DD166" s="9" t="n">
        <v>6.478</v>
      </c>
      <c r="DE166" s="9" t="n">
        <v>10.89474</v>
      </c>
      <c r="DF166" s="9" t="n">
        <v>20.2479998090907</v>
      </c>
      <c r="DG166" s="9" t="n">
        <v>22.0269009720976</v>
      </c>
      <c r="DH166" s="9" t="n">
        <v>17.2720586560434</v>
      </c>
      <c r="DI166" s="9" t="n">
        <v>16.22626275219</v>
      </c>
      <c r="DJ166" s="9" t="n">
        <v>11.654</v>
      </c>
      <c r="DK166" s="9" t="n">
        <v>10.691</v>
      </c>
      <c r="DL166" s="9" t="n">
        <v>15.00889</v>
      </c>
      <c r="DM166" s="9" t="n">
        <v>14.1151698941595</v>
      </c>
      <c r="DN166" s="9" t="n">
        <v>14.1151698941595</v>
      </c>
      <c r="DO166" s="9" t="n">
        <v>0.0904499999999999</v>
      </c>
    </row>
    <row r="167" customFormat="false" ht="15" hidden="false" customHeight="false" outlineLevel="0" collapsed="false">
      <c r="A167" s="9" t="s">
        <v>968</v>
      </c>
      <c r="B167" s="9" t="s">
        <v>969</v>
      </c>
      <c r="C167" s="9" t="n">
        <v>0.005</v>
      </c>
      <c r="D167" s="9" t="n">
        <v>0.005</v>
      </c>
      <c r="E167" s="9" t="n">
        <v>0.01</v>
      </c>
      <c r="F167" s="9" t="n">
        <v>0.005</v>
      </c>
      <c r="G167" s="9" t="n">
        <v>0.005</v>
      </c>
      <c r="H167" s="9" t="n">
        <v>0.01</v>
      </c>
      <c r="I167" s="9" t="n">
        <v>0.005</v>
      </c>
      <c r="J167" s="9" t="n">
        <v>0.005</v>
      </c>
      <c r="K167" s="9" t="n">
        <v>0.01</v>
      </c>
      <c r="L167" s="9" t="n">
        <v>0.01</v>
      </c>
      <c r="M167" s="9" t="n">
        <v>0.005</v>
      </c>
      <c r="N167" s="9" t="n">
        <v>1.008821</v>
      </c>
      <c r="O167" s="9" t="n">
        <v>0.016128</v>
      </c>
      <c r="P167" s="9" t="n">
        <v>0.920179</v>
      </c>
      <c r="Q167" s="9" t="n">
        <v>1.40538230265082</v>
      </c>
      <c r="R167" s="9" t="n">
        <v>0.341352266273641</v>
      </c>
      <c r="S167" s="9" t="n">
        <v>0.648126053801776</v>
      </c>
      <c r="T167" s="9" t="n">
        <v>0.648378663336239</v>
      </c>
      <c r="U167" s="9" t="n">
        <v>0.033904</v>
      </c>
      <c r="V167" s="9" t="n">
        <v>0.004129</v>
      </c>
      <c r="W167" s="9" t="n">
        <v>0.001163</v>
      </c>
      <c r="X167" s="9" t="n">
        <v>0.882388651694785</v>
      </c>
      <c r="Y167" s="9" t="n">
        <v>0.882388651694785</v>
      </c>
      <c r="Z167" s="9" t="n">
        <v>0.61</v>
      </c>
      <c r="AA167" s="9" t="n">
        <v>0</v>
      </c>
      <c r="AB167" s="9" t="n">
        <v>0</v>
      </c>
      <c r="AC167" s="9" t="n">
        <v>3</v>
      </c>
      <c r="AD167" s="9" t="n">
        <v>0</v>
      </c>
      <c r="AE167" s="9" t="n">
        <v>10.211</v>
      </c>
      <c r="AF167" s="9" t="n">
        <v>12.0477155947268</v>
      </c>
      <c r="AG167" s="9" t="n">
        <v>12.603168162</v>
      </c>
      <c r="AH167" s="9" t="n">
        <v>12.16205727633</v>
      </c>
      <c r="AI167" s="9" t="n">
        <v>11.6269267561715</v>
      </c>
      <c r="AJ167" s="9" t="n">
        <v>17.8615586165265</v>
      </c>
      <c r="AK167" s="9" t="n">
        <v>10.424921398099</v>
      </c>
      <c r="AL167" s="9" t="n">
        <v>11.0695768164</v>
      </c>
      <c r="AM167" s="9" t="n">
        <v>10.682141627826</v>
      </c>
      <c r="AN167" s="9" t="n">
        <v>10.2121273962017</v>
      </c>
      <c r="AO167" s="9" t="n">
        <v>14.9122304914027</v>
      </c>
      <c r="AP167" s="9" t="n">
        <v>15.04076758</v>
      </c>
      <c r="AQ167" s="9" t="n">
        <v>14.5143407147</v>
      </c>
      <c r="AR167" s="9" t="n">
        <v>13.8757097232532</v>
      </c>
      <c r="AS167" s="9" t="n">
        <v>34.2149319154011</v>
      </c>
      <c r="AT167" s="9" t="n">
        <v>30.1208482188</v>
      </c>
      <c r="AU167" s="9" t="n">
        <v>32.6382125214001</v>
      </c>
      <c r="AV167" s="9" t="n">
        <v>34.4476168871835</v>
      </c>
      <c r="AW167" s="9" t="n">
        <v>21.8112894625329</v>
      </c>
      <c r="AX167" s="9" t="n">
        <v>19.4760013284</v>
      </c>
      <c r="AY167" s="9" t="n">
        <v>20.807539399057</v>
      </c>
      <c r="AZ167" s="9" t="n">
        <v>21.960484112632</v>
      </c>
      <c r="BA167" s="9" t="n">
        <v>10.6587740754875</v>
      </c>
      <c r="BB167" s="9" t="n">
        <v>7.82325846991843</v>
      </c>
      <c r="BC167" s="9" t="n">
        <v>14.09956788</v>
      </c>
      <c r="BD167" s="9" t="n">
        <v>9.8632102249788</v>
      </c>
      <c r="BE167" s="9" t="n">
        <v>0</v>
      </c>
      <c r="BF167" s="9" t="n">
        <v>0</v>
      </c>
      <c r="BG167" s="9" t="n">
        <v>0</v>
      </c>
      <c r="BH167" s="9" t="n">
        <v>0</v>
      </c>
      <c r="BI167" s="9" t="n">
        <v>0</v>
      </c>
      <c r="BJ167" s="9" t="n">
        <v>0</v>
      </c>
      <c r="BK167" s="9" t="n">
        <v>0</v>
      </c>
      <c r="BL167" s="9" t="n">
        <v>0</v>
      </c>
      <c r="BM167" s="9" t="n">
        <v>4.54915088598351</v>
      </c>
      <c r="BN167" s="9" t="n">
        <v>4.632840738</v>
      </c>
      <c r="BO167" s="9" t="n">
        <v>4.47069131217</v>
      </c>
      <c r="BP167" s="9" t="n">
        <v>4.27398089443452</v>
      </c>
      <c r="BQ167" s="9" t="n">
        <v>1.37181083378329</v>
      </c>
      <c r="BR167" s="9" t="n">
        <v>0</v>
      </c>
      <c r="BS167" s="9" t="n">
        <v>0</v>
      </c>
      <c r="BT167" s="9" t="n">
        <v>0</v>
      </c>
      <c r="BU167" s="9" t="n">
        <v>0</v>
      </c>
      <c r="BV167" s="9" t="n">
        <v>18.7238110860511</v>
      </c>
      <c r="BW167" s="9" t="n">
        <v>19.3873853991612</v>
      </c>
      <c r="BX167" s="9" t="n">
        <v>18.7088283888797</v>
      </c>
      <c r="BY167" s="9" t="n">
        <v>17.8856417986926</v>
      </c>
      <c r="BZ167" s="9" t="n">
        <v>15.5628392716484</v>
      </c>
      <c r="CA167" s="9" t="n">
        <v>0.499847156798983</v>
      </c>
      <c r="CB167" s="9" t="n">
        <v>8.4</v>
      </c>
      <c r="CC167" s="9" t="n">
        <v>6</v>
      </c>
      <c r="CD167" s="9" t="n">
        <v>14.426</v>
      </c>
      <c r="CE167" s="9" t="n">
        <v>22.55</v>
      </c>
      <c r="CF167" s="9" t="n">
        <v>1.12</v>
      </c>
      <c r="CG167" s="9" t="n">
        <v>1.39</v>
      </c>
      <c r="CH167" s="9" t="n">
        <v>0.27</v>
      </c>
      <c r="CI167" s="9" t="n">
        <v>0</v>
      </c>
      <c r="CJ167" s="9" t="n">
        <v>0</v>
      </c>
      <c r="CK167" s="9" t="n">
        <v>23.94</v>
      </c>
      <c r="CL167" s="9" t="n">
        <v>0</v>
      </c>
      <c r="CM167" s="9" t="n">
        <v>23.055</v>
      </c>
      <c r="CN167" s="9" t="n">
        <v>22.926</v>
      </c>
      <c r="CO167" s="9" t="n">
        <v>3</v>
      </c>
      <c r="CP167" s="9" t="n">
        <v>1</v>
      </c>
      <c r="CQ167" s="9" t="n">
        <v>0.5</v>
      </c>
      <c r="CR167" s="9" t="n">
        <v>0.3</v>
      </c>
      <c r="CS167" s="9" t="n">
        <v>0.6</v>
      </c>
      <c r="CT167" s="9" t="n">
        <v>0.8</v>
      </c>
      <c r="CU167" s="9" t="n">
        <v>0.8</v>
      </c>
      <c r="CV167" s="9" t="n">
        <v>0.7</v>
      </c>
      <c r="CW167" s="9" t="n">
        <v>0.5</v>
      </c>
      <c r="CX167" s="9" t="n">
        <v>0.5</v>
      </c>
      <c r="CY167" s="9" t="n">
        <v>1</v>
      </c>
      <c r="CZ167" s="9" t="n">
        <v>0.3</v>
      </c>
      <c r="DA167" s="9" t="n">
        <v>0.8</v>
      </c>
      <c r="DB167" s="9" t="n">
        <v>0.251674808094906</v>
      </c>
      <c r="DC167" s="9" t="n">
        <v>3.554</v>
      </c>
      <c r="DD167" s="9" t="n">
        <v>2.161</v>
      </c>
      <c r="DE167" s="9" t="n">
        <v>6.6434</v>
      </c>
      <c r="DF167" s="9" t="n">
        <v>21.4579949854123</v>
      </c>
      <c r="DG167" s="9" t="n">
        <v>24.430264565879</v>
      </c>
      <c r="DH167" s="9" t="n">
        <v>15.656114517978</v>
      </c>
      <c r="DI167" s="9" t="n">
        <v>19.8993870350877</v>
      </c>
      <c r="DJ167" s="9" t="n">
        <v>8.101</v>
      </c>
      <c r="DK167" s="9" t="n">
        <v>6.78</v>
      </c>
      <c r="DL167" s="9" t="n">
        <v>18.91304</v>
      </c>
      <c r="DM167" s="9" t="n">
        <v>13.4947462084719</v>
      </c>
      <c r="DN167" s="9" t="n">
        <v>13.4947462084719</v>
      </c>
      <c r="DO167" s="9" t="n">
        <v>0.105</v>
      </c>
    </row>
    <row r="168" customFormat="false" ht="15" hidden="false" customHeight="false" outlineLevel="0" collapsed="false">
      <c r="A168" s="9" t="s">
        <v>872</v>
      </c>
      <c r="B168" s="9" t="s">
        <v>873</v>
      </c>
      <c r="C168" s="9" t="n">
        <v>0.005</v>
      </c>
      <c r="D168" s="9" t="n">
        <v>0.005</v>
      </c>
      <c r="E168" s="9" t="n">
        <v>0.01</v>
      </c>
      <c r="F168" s="9" t="n">
        <v>0.005</v>
      </c>
      <c r="G168" s="9" t="n">
        <v>0.005</v>
      </c>
      <c r="H168" s="9" t="n">
        <v>0.01</v>
      </c>
      <c r="I168" s="9" t="n">
        <v>0.005</v>
      </c>
      <c r="J168" s="9" t="n">
        <v>0.005</v>
      </c>
      <c r="K168" s="9" t="n">
        <v>0.01</v>
      </c>
      <c r="L168" s="9" t="n">
        <v>0.01</v>
      </c>
      <c r="M168" s="9" t="n">
        <v>0.005</v>
      </c>
      <c r="N168" s="9" t="n">
        <v>2.554785</v>
      </c>
      <c r="O168" s="9" t="n">
        <v>0.236253</v>
      </c>
      <c r="P168" s="9" t="n">
        <v>51.530757</v>
      </c>
      <c r="Q168" s="9" t="n">
        <v>5.34688253364576</v>
      </c>
      <c r="R168" s="9" t="n">
        <v>1.28616912793747</v>
      </c>
      <c r="S168" s="9" t="n">
        <v>1.10880258758796</v>
      </c>
      <c r="T168" s="9" t="n">
        <v>1.00408505536695</v>
      </c>
      <c r="U168" s="9" t="n">
        <v>0.208188</v>
      </c>
      <c r="V168" s="9" t="n">
        <v>0.018284</v>
      </c>
      <c r="W168" s="9" t="n">
        <v>0.348874</v>
      </c>
      <c r="X168" s="9" t="n">
        <v>2.7783868647096</v>
      </c>
      <c r="Y168" s="9" t="n">
        <v>2.7783868647096</v>
      </c>
      <c r="Z168" s="9" t="n">
        <v>7.09</v>
      </c>
      <c r="AA168" s="9" t="n">
        <v>0</v>
      </c>
      <c r="AB168" s="9" t="n">
        <v>0</v>
      </c>
      <c r="AC168" s="9" t="n">
        <v>3</v>
      </c>
      <c r="AD168" s="9" t="n">
        <v>0</v>
      </c>
      <c r="AE168" s="9" t="n">
        <v>69.002</v>
      </c>
      <c r="AF168" s="9" t="n">
        <v>0</v>
      </c>
      <c r="AG168" s="9" t="n">
        <v>0</v>
      </c>
      <c r="AH168" s="9" t="n">
        <v>0</v>
      </c>
      <c r="AI168" s="9" t="n">
        <v>0</v>
      </c>
      <c r="AJ168" s="9" t="n">
        <v>0</v>
      </c>
      <c r="AK168" s="9" t="n">
        <v>0</v>
      </c>
      <c r="AL168" s="9" t="n">
        <v>0</v>
      </c>
      <c r="AM168" s="9" t="n">
        <v>0</v>
      </c>
      <c r="AN168" s="9" t="n">
        <v>0</v>
      </c>
      <c r="AO168" s="9" t="n">
        <v>42.5411143782752</v>
      </c>
      <c r="AP168" s="9" t="n">
        <v>38.86737856</v>
      </c>
      <c r="AQ168" s="9" t="n">
        <v>43.2922801191385</v>
      </c>
      <c r="AR168" s="9" t="n">
        <v>42.3723191666068</v>
      </c>
      <c r="AS168" s="9" t="n">
        <v>28.4436524050936</v>
      </c>
      <c r="AT168" s="9" t="n">
        <v>40.226690664</v>
      </c>
      <c r="AU168" s="9" t="n">
        <v>33.4774948430117</v>
      </c>
      <c r="AV168" s="9" t="n">
        <v>29.4909343353816</v>
      </c>
      <c r="AW168" s="9" t="n">
        <v>7.53902480405032</v>
      </c>
      <c r="AX168" s="9" t="n">
        <v>10.7022646656</v>
      </c>
      <c r="AY168" s="9" t="n">
        <v>8.88457632912596</v>
      </c>
      <c r="AZ168" s="9" t="n">
        <v>7.8200672086131</v>
      </c>
      <c r="BA168" s="9" t="n">
        <v>63.7888031956286</v>
      </c>
      <c r="BB168" s="9" t="n">
        <v>62.6481595234616</v>
      </c>
      <c r="BC168" s="9" t="n">
        <v>60.04813024</v>
      </c>
      <c r="BD168" s="9" t="n">
        <v>63.3560777015663</v>
      </c>
      <c r="BE168" s="9" t="n">
        <v>7.57672068477922</v>
      </c>
      <c r="BF168" s="9" t="n">
        <v>6.87627654012807</v>
      </c>
      <c r="BG168" s="9" t="n">
        <v>7.65911417700419</v>
      </c>
      <c r="BH168" s="9" t="n">
        <v>7.49635800074285</v>
      </c>
      <c r="BI168" s="9" t="n">
        <v>0</v>
      </c>
      <c r="BJ168" s="9" t="n">
        <v>0</v>
      </c>
      <c r="BK168" s="9" t="n">
        <v>0</v>
      </c>
      <c r="BL168" s="9" t="n">
        <v>0</v>
      </c>
      <c r="BM168" s="9" t="n">
        <v>519.538328419111</v>
      </c>
      <c r="BN168" s="9" t="n">
        <v>470.6643931812</v>
      </c>
      <c r="BO168" s="9" t="n">
        <v>524.247724097214</v>
      </c>
      <c r="BP168" s="9" t="n">
        <v>513.107459960148</v>
      </c>
      <c r="BQ168" s="9" t="n">
        <v>274.431112411456</v>
      </c>
      <c r="BR168" s="9" t="n">
        <v>463.283268641501</v>
      </c>
      <c r="BS168" s="9" t="n">
        <v>418.7008586376</v>
      </c>
      <c r="BT168" s="9" t="n">
        <v>466.368341005573</v>
      </c>
      <c r="BU168" s="9" t="n">
        <v>456.458013759205</v>
      </c>
      <c r="BV168" s="9" t="n">
        <v>162.659263394115</v>
      </c>
      <c r="BW168" s="9" t="n">
        <v>145.931994631762</v>
      </c>
      <c r="BX168" s="9" t="n">
        <v>162.545790943685</v>
      </c>
      <c r="BY168" s="9" t="n">
        <v>159.091692886132</v>
      </c>
      <c r="BZ168" s="9" t="n">
        <v>9.99518811365109</v>
      </c>
      <c r="CA168" s="9" t="n">
        <v>-0.0016391390857517</v>
      </c>
      <c r="CB168" s="9" t="n">
        <v>3.576</v>
      </c>
      <c r="CC168" s="9" t="n">
        <v>2.6</v>
      </c>
      <c r="CD168" s="9" t="n">
        <v>68.675</v>
      </c>
      <c r="CE168" s="9" t="n">
        <v>0.01</v>
      </c>
      <c r="CF168" s="9" t="n">
        <v>0</v>
      </c>
      <c r="CG168" s="9" t="n">
        <v>33</v>
      </c>
      <c r="CH168" s="9" t="n">
        <v>33</v>
      </c>
      <c r="CI168" s="9" t="n">
        <v>0</v>
      </c>
      <c r="CJ168" s="9" t="n">
        <v>0</v>
      </c>
      <c r="CK168" s="9" t="n">
        <v>33.01</v>
      </c>
      <c r="CL168" s="9" t="n">
        <v>0</v>
      </c>
      <c r="CM168" s="9" t="n">
        <v>132.686</v>
      </c>
      <c r="CN168" s="9" t="n">
        <v>132.686</v>
      </c>
      <c r="CO168" s="9" t="n">
        <v>3</v>
      </c>
      <c r="CP168" s="9" t="n">
        <v>3</v>
      </c>
      <c r="CQ168" s="9" t="n">
        <v>0.5</v>
      </c>
      <c r="CR168" s="9" t="n">
        <v>0.3</v>
      </c>
      <c r="CS168" s="9" t="n">
        <v>0.6</v>
      </c>
      <c r="CT168" s="9" t="n">
        <v>0.8</v>
      </c>
      <c r="CU168" s="9" t="n">
        <v>0.8</v>
      </c>
      <c r="CV168" s="9" t="n">
        <v>0.7</v>
      </c>
      <c r="CW168" s="9" t="n">
        <v>0.5</v>
      </c>
      <c r="CX168" s="9" t="n">
        <v>0.5</v>
      </c>
      <c r="CY168" s="9" t="n">
        <v>1</v>
      </c>
      <c r="CZ168" s="9" t="n">
        <v>0.3</v>
      </c>
      <c r="DA168" s="9" t="n">
        <v>0.8</v>
      </c>
      <c r="DB168" s="9" t="n">
        <v>0.469511653186936</v>
      </c>
      <c r="DC168" s="9" t="n">
        <v>7.124</v>
      </c>
      <c r="DD168" s="9" t="n">
        <v>4.351</v>
      </c>
      <c r="DE168" s="9" t="n">
        <v>12.61435</v>
      </c>
      <c r="DF168" s="9" t="n">
        <v>20.8364403023554</v>
      </c>
      <c r="DG168" s="9" t="n">
        <v>23.8091561447126</v>
      </c>
      <c r="DH168" s="9" t="n">
        <v>18.0045316956747</v>
      </c>
      <c r="DI168" s="9" t="n">
        <v>19.8993870350877</v>
      </c>
      <c r="DJ168" s="9" t="n">
        <v>9.084</v>
      </c>
      <c r="DK168" s="9" t="n">
        <v>8.864</v>
      </c>
      <c r="DL168" s="9" t="n">
        <v>9.2138</v>
      </c>
      <c r="DM168" s="9" t="n">
        <v>13.4947462084719</v>
      </c>
      <c r="DN168" s="9" t="n">
        <v>13.4947462084719</v>
      </c>
      <c r="DO168" s="9" t="n">
        <v>0.105</v>
      </c>
    </row>
    <row r="169" customFormat="false" ht="15" hidden="false" customHeight="false" outlineLevel="0" collapsed="false">
      <c r="A169" s="9" t="s">
        <v>1040</v>
      </c>
      <c r="B169" s="9" t="s">
        <v>1041</v>
      </c>
      <c r="C169" s="9" t="n">
        <v>0.005</v>
      </c>
      <c r="D169" s="9" t="n">
        <v>0.005</v>
      </c>
      <c r="E169" s="9" t="n">
        <v>0.01</v>
      </c>
      <c r="F169" s="9" t="n">
        <v>0.005</v>
      </c>
      <c r="G169" s="9" t="n">
        <v>0.005</v>
      </c>
      <c r="H169" s="9" t="n">
        <v>0.01</v>
      </c>
      <c r="I169" s="9" t="n">
        <v>0.005</v>
      </c>
      <c r="J169" s="9" t="n">
        <v>0.005</v>
      </c>
      <c r="K169" s="9" t="n">
        <v>0.01</v>
      </c>
      <c r="L169" s="9" t="n">
        <v>0.01</v>
      </c>
      <c r="M169" s="9" t="n">
        <v>0.005</v>
      </c>
      <c r="N169" s="9" t="n">
        <v>0</v>
      </c>
      <c r="O169" s="9" t="n">
        <v>0</v>
      </c>
      <c r="P169" s="9" t="n">
        <v>0</v>
      </c>
      <c r="Q169" s="9" t="n">
        <v>0</v>
      </c>
      <c r="R169" s="9" t="n">
        <v>0</v>
      </c>
      <c r="S169" s="9" t="n">
        <v>0</v>
      </c>
      <c r="T169" s="9" t="n">
        <v>0</v>
      </c>
      <c r="U169" s="9" t="n">
        <v>0</v>
      </c>
      <c r="V169" s="9" t="n">
        <v>0</v>
      </c>
      <c r="W169" s="9" t="n">
        <v>0</v>
      </c>
      <c r="X169" s="9" t="n">
        <v>0</v>
      </c>
      <c r="Y169" s="9" t="n">
        <v>0</v>
      </c>
      <c r="Z169" s="9" t="n">
        <v>0</v>
      </c>
      <c r="AA169" s="9" t="n">
        <v>0</v>
      </c>
      <c r="AB169" s="9" t="n">
        <v>0</v>
      </c>
      <c r="AC169" s="9" t="n">
        <v>0</v>
      </c>
      <c r="AD169" s="9" t="n">
        <v>0</v>
      </c>
      <c r="AE169" s="9" t="n">
        <v>0.561</v>
      </c>
      <c r="AF169" s="9" t="n">
        <v>0</v>
      </c>
      <c r="AG169" s="9" t="n">
        <v>0</v>
      </c>
      <c r="AH169" s="9" t="n">
        <v>0</v>
      </c>
      <c r="AI169" s="9" t="n">
        <v>0</v>
      </c>
      <c r="AJ169" s="9" t="n">
        <v>0</v>
      </c>
      <c r="AK169" s="9" t="n">
        <v>0</v>
      </c>
      <c r="AL169" s="9" t="n">
        <v>0</v>
      </c>
      <c r="AM169" s="9" t="n">
        <v>0</v>
      </c>
      <c r="AN169" s="9" t="n">
        <v>0</v>
      </c>
      <c r="AO169" s="9" t="n">
        <v>4.53890389491885</v>
      </c>
      <c r="AP169" s="9" t="n">
        <v>4.25806507958464</v>
      </c>
      <c r="AQ169" s="9" t="n">
        <v>4.25806507958464</v>
      </c>
      <c r="AR169" s="9" t="n">
        <v>4.25806507958464</v>
      </c>
      <c r="AS169" s="9" t="n">
        <v>0.923231615669252</v>
      </c>
      <c r="AT169" s="9" t="n">
        <v>0.851040001338956</v>
      </c>
      <c r="AU169" s="9" t="n">
        <v>0.87163914074801</v>
      </c>
      <c r="AV169" s="9" t="n">
        <v>0.879979318487659</v>
      </c>
      <c r="AW169" s="9" t="n">
        <v>0.558865573863494</v>
      </c>
      <c r="AX169" s="9" t="n">
        <v>0.516960012771606</v>
      </c>
      <c r="AY169" s="9" t="n">
        <v>0.527634778021438</v>
      </c>
      <c r="AZ169" s="9" t="n">
        <v>0.532683390026795</v>
      </c>
      <c r="BA169" s="9" t="n">
        <v>1.8735869920744</v>
      </c>
      <c r="BB169" s="9" t="n">
        <v>1.76429446017332</v>
      </c>
      <c r="BC169" s="9" t="n">
        <v>1.74774898482826</v>
      </c>
      <c r="BD169" s="9" t="n">
        <v>1.75600223836505</v>
      </c>
      <c r="BE169" s="9" t="n">
        <v>0</v>
      </c>
      <c r="BF169" s="9" t="n">
        <v>0</v>
      </c>
      <c r="BG169" s="9" t="n">
        <v>0</v>
      </c>
      <c r="BH169" s="9" t="n">
        <v>0</v>
      </c>
      <c r="BI169" s="9" t="n">
        <v>0.0328669920944713</v>
      </c>
      <c r="BJ169" s="9" t="n">
        <v>0.0311065649899557</v>
      </c>
      <c r="BK169" s="9" t="n">
        <v>0.0311065649899557</v>
      </c>
      <c r="BL169" s="9" t="n">
        <v>0.0311065649899557</v>
      </c>
      <c r="BM169" s="9" t="n">
        <v>0</v>
      </c>
      <c r="BN169" s="9" t="n">
        <v>0</v>
      </c>
      <c r="BO169" s="9" t="n">
        <v>0</v>
      </c>
      <c r="BP169" s="9" t="n">
        <v>0</v>
      </c>
      <c r="BQ169" s="9" t="n">
        <v>0</v>
      </c>
      <c r="BR169" s="9" t="n">
        <v>0</v>
      </c>
      <c r="BS169" s="9" t="n">
        <v>0</v>
      </c>
      <c r="BT169" s="9" t="n">
        <v>0</v>
      </c>
      <c r="BU169" s="9" t="n">
        <v>0</v>
      </c>
      <c r="BV169" s="9" t="n">
        <v>9.82010748846267</v>
      </c>
      <c r="BW169" s="9" t="n">
        <v>9.81338087778666</v>
      </c>
      <c r="BX169" s="9" t="n">
        <v>9.6940822668706</v>
      </c>
      <c r="BY169" s="9" t="n">
        <v>9.5782948280951</v>
      </c>
      <c r="BZ169" s="9" t="n">
        <v>0.411693663759096</v>
      </c>
      <c r="CA169" s="9" t="n">
        <v>0</v>
      </c>
      <c r="CB169" s="9" t="n">
        <v>4.5</v>
      </c>
      <c r="CC169" s="9" t="n">
        <v>4.1</v>
      </c>
      <c r="CD169" s="9" t="n">
        <v>1.866</v>
      </c>
      <c r="CE169" s="9" t="n">
        <v>0.0905726060270012</v>
      </c>
      <c r="CF169" s="9" t="n">
        <v>0</v>
      </c>
      <c r="CG169" s="9" t="n">
        <v>0.362290424108005</v>
      </c>
      <c r="CH169" s="9" t="n">
        <v>0</v>
      </c>
      <c r="CI169" s="9" t="n">
        <v>0.362290424108005</v>
      </c>
      <c r="CJ169" s="9" t="n">
        <v>0</v>
      </c>
      <c r="CK169" s="9" t="n">
        <v>0.452863030135006</v>
      </c>
      <c r="CL169" s="9" t="n">
        <v>0</v>
      </c>
      <c r="CM169" s="9" t="n">
        <v>2.498</v>
      </c>
      <c r="CN169" s="9" t="n">
        <v>2.947</v>
      </c>
      <c r="CO169" s="9" t="n">
        <v>3</v>
      </c>
      <c r="CP169" s="9" t="n">
        <v>2</v>
      </c>
      <c r="CQ169" s="9" t="n">
        <v>0.5</v>
      </c>
      <c r="CR169" s="9" t="n">
        <v>0.3</v>
      </c>
      <c r="CS169" s="9" t="n">
        <v>0.6</v>
      </c>
      <c r="CT169" s="9" t="n">
        <v>0.8</v>
      </c>
      <c r="CU169" s="9" t="n">
        <v>0.8</v>
      </c>
      <c r="CV169" s="9" t="n">
        <v>0.7</v>
      </c>
      <c r="CW169" s="9" t="n">
        <v>0.5</v>
      </c>
      <c r="CX169" s="9" t="n">
        <v>0.5</v>
      </c>
      <c r="CY169" s="9" t="n">
        <v>1</v>
      </c>
      <c r="CZ169" s="9" t="n">
        <v>0.3</v>
      </c>
      <c r="DA169" s="9" t="n">
        <v>0.8</v>
      </c>
      <c r="DB169" s="9" t="n">
        <v>0.300773694390716</v>
      </c>
      <c r="DC169" s="9" t="n">
        <v>7.124</v>
      </c>
      <c r="DD169" s="9" t="n">
        <v>4.833</v>
      </c>
      <c r="DE169" s="9" t="n">
        <v>11.737275</v>
      </c>
      <c r="DF169" s="9" t="n">
        <v>19.7330272348794</v>
      </c>
      <c r="DG169" s="9" t="n">
        <v>21.074820687829</v>
      </c>
      <c r="DH169" s="9" t="n">
        <v>17.2720586560434</v>
      </c>
      <c r="DI169" s="9" t="n">
        <v>20.1940376080283</v>
      </c>
      <c r="DJ169" s="9" t="n">
        <v>9.075</v>
      </c>
      <c r="DK169" s="9" t="n">
        <v>7.751</v>
      </c>
      <c r="DL169" s="9" t="n">
        <v>17.4414</v>
      </c>
      <c r="DM169" s="9" t="n">
        <v>14.1151698941595</v>
      </c>
      <c r="DN169" s="9" t="n">
        <v>14.1151698941595</v>
      </c>
      <c r="DO169" s="9" t="n">
        <v>0.105</v>
      </c>
    </row>
    <row r="170" customFormat="false" ht="15" hidden="false" customHeight="false" outlineLevel="0" collapsed="false">
      <c r="A170" s="9" t="s">
        <v>1060</v>
      </c>
      <c r="B170" s="9" t="s">
        <v>1061</v>
      </c>
      <c r="C170" s="9" t="n">
        <v>0.005</v>
      </c>
      <c r="D170" s="9" t="n">
        <v>0.005</v>
      </c>
      <c r="E170" s="9" t="n">
        <v>0.01</v>
      </c>
      <c r="F170" s="9" t="n">
        <v>0.005</v>
      </c>
      <c r="G170" s="9" t="n">
        <v>0.005</v>
      </c>
      <c r="H170" s="9" t="n">
        <v>0.01</v>
      </c>
      <c r="I170" s="9" t="n">
        <v>0.005</v>
      </c>
      <c r="J170" s="9" t="n">
        <v>0.005</v>
      </c>
      <c r="K170" s="9" t="n">
        <v>0.01</v>
      </c>
      <c r="L170" s="9" t="n">
        <v>0.01</v>
      </c>
      <c r="M170" s="9" t="n">
        <v>0.005</v>
      </c>
      <c r="N170" s="9" t="n">
        <v>0.028096</v>
      </c>
      <c r="O170" s="9" t="n">
        <v>0.009773</v>
      </c>
      <c r="P170" s="9" t="n">
        <v>0.244815</v>
      </c>
      <c r="Q170" s="9" t="n">
        <v>0.0791254850826608</v>
      </c>
      <c r="R170" s="9" t="n">
        <v>0.0246212868611548</v>
      </c>
      <c r="S170" s="9" t="n">
        <v>0.0298817211104554</v>
      </c>
      <c r="T170" s="9" t="n">
        <v>0.0077192553995759</v>
      </c>
      <c r="U170" s="9" t="n">
        <v>0.002178</v>
      </c>
      <c r="V170" s="9" t="n">
        <v>0.000896</v>
      </c>
      <c r="W170" s="9" t="n">
        <v>0.001296</v>
      </c>
      <c r="X170" s="9" t="n">
        <v>0.0001217463223096</v>
      </c>
      <c r="Y170" s="9" t="n">
        <v>0.0001217463223096</v>
      </c>
      <c r="Z170" s="9" t="n">
        <v>0.02</v>
      </c>
      <c r="AA170" s="9" t="n">
        <v>0.02</v>
      </c>
      <c r="AB170" s="9" t="n">
        <v>0</v>
      </c>
      <c r="AC170" s="9" t="n">
        <v>0</v>
      </c>
      <c r="AD170" s="9" t="n">
        <v>0</v>
      </c>
      <c r="AE170" s="9" t="n">
        <v>0.177</v>
      </c>
      <c r="AF170" s="9" t="n">
        <v>0</v>
      </c>
      <c r="AG170" s="9" t="n">
        <v>0</v>
      </c>
      <c r="AH170" s="9" t="n">
        <v>0</v>
      </c>
      <c r="AI170" s="9" t="n">
        <v>0</v>
      </c>
      <c r="AJ170" s="9" t="n">
        <v>0</v>
      </c>
      <c r="AK170" s="9" t="n">
        <v>0</v>
      </c>
      <c r="AL170" s="9" t="n">
        <v>0</v>
      </c>
      <c r="AM170" s="9" t="n">
        <v>0</v>
      </c>
      <c r="AN170" s="9" t="n">
        <v>0</v>
      </c>
      <c r="AO170" s="9" t="n">
        <v>0.500375774746812</v>
      </c>
      <c r="AP170" s="9" t="n">
        <v>0.43464546</v>
      </c>
      <c r="AQ170" s="9" t="n">
        <v>0.4694170968</v>
      </c>
      <c r="AR170" s="9" t="n">
        <v>0.474111267768</v>
      </c>
      <c r="AS170" s="9" t="n">
        <v>0.0780518755213215</v>
      </c>
      <c r="AT170" s="9" t="n">
        <v>0.07758684684</v>
      </c>
      <c r="AU170" s="9" t="n">
        <v>0.0740878462265061</v>
      </c>
      <c r="AV170" s="9" t="n">
        <v>0.0761011826685416</v>
      </c>
      <c r="AW170" s="9" t="n">
        <v>0.17122591416838</v>
      </c>
      <c r="AX170" s="9" t="n">
        <v>0.16330027248</v>
      </c>
      <c r="AY170" s="9" t="n">
        <v>0.162529844595913</v>
      </c>
      <c r="AZ170" s="9" t="n">
        <v>0.166946591413507</v>
      </c>
      <c r="BA170" s="9" t="n">
        <v>0.951635105591412</v>
      </c>
      <c r="BB170" s="9" t="n">
        <v>0.906566493284826</v>
      </c>
      <c r="BC170" s="9" t="n">
        <v>0.816532131958005</v>
      </c>
      <c r="BD170" s="9" t="n">
        <v>0.903066469776</v>
      </c>
      <c r="BE170" s="9" t="n">
        <v>0.013409920232979</v>
      </c>
      <c r="BF170" s="9" t="n">
        <v>0.0120655383141477</v>
      </c>
      <c r="BG170" s="9" t="n">
        <v>0.0130307813792796</v>
      </c>
      <c r="BH170" s="9" t="n">
        <v>0.0131610891930723</v>
      </c>
      <c r="BI170" s="9" t="n">
        <v>0.150838160389134</v>
      </c>
      <c r="BJ170" s="9" t="n">
        <v>0.132409354632588</v>
      </c>
      <c r="BK170" s="9" t="n">
        <v>0.143002103003195</v>
      </c>
      <c r="BL170" s="9" t="n">
        <v>0.144432124033227</v>
      </c>
      <c r="BM170" s="9" t="n">
        <v>0</v>
      </c>
      <c r="BN170" s="9" t="n">
        <v>0</v>
      </c>
      <c r="BO170" s="9" t="n">
        <v>0</v>
      </c>
      <c r="BP170" s="9" t="n">
        <v>0</v>
      </c>
      <c r="BQ170" s="9" t="n">
        <v>0</v>
      </c>
      <c r="BR170" s="9" t="n">
        <v>0</v>
      </c>
      <c r="BS170" s="9" t="n">
        <v>0</v>
      </c>
      <c r="BT170" s="9" t="n">
        <v>0</v>
      </c>
      <c r="BU170" s="9" t="n">
        <v>0</v>
      </c>
      <c r="BV170" s="9" t="n">
        <v>0.505456093579677</v>
      </c>
      <c r="BW170" s="9" t="n">
        <v>0.551294231164269</v>
      </c>
      <c r="BX170" s="9" t="n">
        <v>0.535550015836287</v>
      </c>
      <c r="BY170" s="9" t="n">
        <v>0.520283108245144</v>
      </c>
      <c r="BZ170" s="9" t="n">
        <v>0.0692438304693616</v>
      </c>
      <c r="CA170" s="9" t="n">
        <v>0</v>
      </c>
      <c r="CB170" s="9" t="n">
        <v>2.8</v>
      </c>
      <c r="CC170" s="9" t="n">
        <v>2.323</v>
      </c>
      <c r="CD170" s="9" t="n">
        <v>0.646</v>
      </c>
      <c r="CE170" s="9" t="n">
        <v>0</v>
      </c>
      <c r="CF170" s="9" t="n">
        <v>0</v>
      </c>
      <c r="CG170" s="9" t="n">
        <v>0.06</v>
      </c>
      <c r="CH170" s="9" t="n">
        <v>0</v>
      </c>
      <c r="CI170" s="9" t="n">
        <v>0.06</v>
      </c>
      <c r="CJ170" s="9" t="n">
        <v>0.01</v>
      </c>
      <c r="CK170" s="9" t="n">
        <v>0.07</v>
      </c>
      <c r="CL170" s="9" t="n">
        <v>0</v>
      </c>
      <c r="CM170" s="9" t="n">
        <v>0.292</v>
      </c>
      <c r="CN170" s="9" t="n">
        <v>0.292</v>
      </c>
      <c r="CO170" s="9" t="n">
        <v>3</v>
      </c>
      <c r="CP170" s="9" t="n">
        <v>3</v>
      </c>
      <c r="CQ170" s="9" t="n">
        <v>0.5</v>
      </c>
      <c r="CR170" s="9" t="n">
        <v>0.3</v>
      </c>
      <c r="CS170" s="9" t="n">
        <v>0.6</v>
      </c>
      <c r="CT170" s="9" t="n">
        <v>0.8</v>
      </c>
      <c r="CU170" s="9" t="n">
        <v>0.8</v>
      </c>
      <c r="CV170" s="9" t="n">
        <v>0.7</v>
      </c>
      <c r="CW170" s="9" t="n">
        <v>0.5</v>
      </c>
      <c r="CX170" s="9" t="n">
        <v>0.5</v>
      </c>
      <c r="CY170" s="9" t="n">
        <v>1</v>
      </c>
      <c r="CZ170" s="9" t="n">
        <v>0.3</v>
      </c>
      <c r="DA170" s="9" t="n">
        <v>0.8</v>
      </c>
      <c r="DB170" s="9" t="n">
        <v>0.855629139072848</v>
      </c>
      <c r="DC170" s="9" t="n">
        <v>7.124</v>
      </c>
      <c r="DD170" s="9" t="n">
        <v>4.833</v>
      </c>
      <c r="DE170" s="9" t="n">
        <v>13.16865</v>
      </c>
      <c r="DF170" s="9" t="n">
        <v>20.0317520838478</v>
      </c>
      <c r="DG170" s="9" t="n">
        <v>23.6776138455705</v>
      </c>
      <c r="DH170" s="9" t="n">
        <v>19.8628674544499</v>
      </c>
      <c r="DI170" s="9" t="n">
        <v>22.7504688032727</v>
      </c>
      <c r="DJ170" s="9" t="n">
        <v>7.788</v>
      </c>
      <c r="DK170" s="9" t="n">
        <v>6.465</v>
      </c>
      <c r="DL170" s="9" t="n">
        <v>18.0895</v>
      </c>
      <c r="DM170" s="9" t="n">
        <v>14.3366041387347</v>
      </c>
      <c r="DN170" s="9" t="n">
        <v>14.3366041387347</v>
      </c>
      <c r="DO170" s="9" t="n">
        <v>0.105</v>
      </c>
    </row>
    <row r="171" customFormat="false" ht="15" hidden="false" customHeight="false" outlineLevel="0" collapsed="false">
      <c r="A171" s="9" t="s">
        <v>944</v>
      </c>
      <c r="B171" s="9" t="s">
        <v>945</v>
      </c>
      <c r="C171" s="9" t="n">
        <v>0.005</v>
      </c>
      <c r="D171" s="9" t="n">
        <v>0.005</v>
      </c>
      <c r="E171" s="9" t="n">
        <v>0.01</v>
      </c>
      <c r="F171" s="9" t="n">
        <v>0.005</v>
      </c>
      <c r="G171" s="9" t="n">
        <v>0.005</v>
      </c>
      <c r="H171" s="9" t="n">
        <v>0.01</v>
      </c>
      <c r="I171" s="9" t="n">
        <v>0.005</v>
      </c>
      <c r="J171" s="9" t="n">
        <v>0.005</v>
      </c>
      <c r="K171" s="9" t="n">
        <v>0.01</v>
      </c>
      <c r="L171" s="9" t="n">
        <v>0.01</v>
      </c>
      <c r="M171" s="9" t="n">
        <v>0.005</v>
      </c>
      <c r="N171" s="9" t="n">
        <v>0.324228</v>
      </c>
      <c r="O171" s="9" t="n">
        <v>2.077475</v>
      </c>
      <c r="P171" s="9" t="n">
        <v>25.375624</v>
      </c>
      <c r="Q171" s="9" t="n">
        <v>2.85302206531191</v>
      </c>
      <c r="R171" s="9" t="n">
        <v>0.36417199555959</v>
      </c>
      <c r="S171" s="9" t="n">
        <v>0.804210363006389</v>
      </c>
      <c r="T171" s="9" t="n">
        <v>0.715640918928523</v>
      </c>
      <c r="U171" s="9" t="n">
        <v>0.027883</v>
      </c>
      <c r="V171" s="9" t="n">
        <v>0.061928</v>
      </c>
      <c r="W171" s="9" t="n">
        <v>0.086752</v>
      </c>
      <c r="X171" s="9" t="n">
        <v>0.561618143891195</v>
      </c>
      <c r="Y171" s="9" t="n">
        <v>0.561618143891195</v>
      </c>
      <c r="Z171" s="9" t="n">
        <v>2.06</v>
      </c>
      <c r="AA171" s="9" t="n">
        <v>0</v>
      </c>
      <c r="AB171" s="9" t="n">
        <v>0</v>
      </c>
      <c r="AC171" s="9" t="n">
        <v>3</v>
      </c>
      <c r="AD171" s="9" t="n">
        <v>0</v>
      </c>
      <c r="AE171" s="9" t="n">
        <v>29.133</v>
      </c>
      <c r="AF171" s="9" t="n">
        <v>0</v>
      </c>
      <c r="AG171" s="9" t="n">
        <v>0</v>
      </c>
      <c r="AH171" s="9" t="n">
        <v>0</v>
      </c>
      <c r="AI171" s="9" t="n">
        <v>0</v>
      </c>
      <c r="AJ171" s="9" t="n">
        <v>0</v>
      </c>
      <c r="AK171" s="9" t="n">
        <v>0</v>
      </c>
      <c r="AL171" s="9" t="n">
        <v>0</v>
      </c>
      <c r="AM171" s="9" t="n">
        <v>0</v>
      </c>
      <c r="AN171" s="9" t="n">
        <v>0</v>
      </c>
      <c r="AO171" s="9" t="n">
        <v>11.3608334145945</v>
      </c>
      <c r="AP171" s="9" t="n">
        <v>11.94936044</v>
      </c>
      <c r="AQ171" s="9" t="n">
        <v>11.6762322013714</v>
      </c>
      <c r="AR171" s="9" t="n">
        <v>11.3593058987628</v>
      </c>
      <c r="AS171" s="9" t="n">
        <v>22.4673476369796</v>
      </c>
      <c r="AT171" s="9" t="n">
        <v>21.82536972</v>
      </c>
      <c r="AU171" s="9" t="n">
        <v>21.8160303213902</v>
      </c>
      <c r="AV171" s="9" t="n">
        <v>21.9674028443639</v>
      </c>
      <c r="AW171" s="9" t="n">
        <v>8.99766059076303</v>
      </c>
      <c r="AX171" s="9" t="n">
        <v>8.7630100812</v>
      </c>
      <c r="AY171" s="9" t="n">
        <v>8.73682285249281</v>
      </c>
      <c r="AZ171" s="9" t="n">
        <v>8.79744409744308</v>
      </c>
      <c r="BA171" s="9" t="n">
        <v>17.594053785702</v>
      </c>
      <c r="BB171" s="9" t="n">
        <v>15.4663079475245</v>
      </c>
      <c r="BC171" s="9" t="n">
        <v>19.4139302889303</v>
      </c>
      <c r="BD171" s="9" t="n">
        <v>16.6639579954575</v>
      </c>
      <c r="BE171" s="9" t="n">
        <v>0.662031459057167</v>
      </c>
      <c r="BF171" s="9" t="n">
        <v>0.682933873609133</v>
      </c>
      <c r="BG171" s="9" t="n">
        <v>0.667323956498067</v>
      </c>
      <c r="BH171" s="9" t="n">
        <v>0.649210877678834</v>
      </c>
      <c r="BI171" s="9" t="n">
        <v>3.34558367018583</v>
      </c>
      <c r="BJ171" s="9" t="n">
        <v>3.26913017999999</v>
      </c>
      <c r="BK171" s="9" t="n">
        <v>3.19440720445713</v>
      </c>
      <c r="BL171" s="9" t="n">
        <v>3.10770186605044</v>
      </c>
      <c r="BM171" s="9" t="n">
        <v>88.6404582320777</v>
      </c>
      <c r="BN171" s="9" t="n">
        <v>90.136717038</v>
      </c>
      <c r="BO171" s="9" t="n">
        <v>88.0764492199886</v>
      </c>
      <c r="BP171" s="9" t="n">
        <v>85.6858027411603</v>
      </c>
      <c r="BQ171" s="9" t="n">
        <v>83.8071502259802</v>
      </c>
      <c r="BR171" s="9" t="n">
        <v>3.14103553211526</v>
      </c>
      <c r="BS171" s="9" t="n">
        <v>3.2598047988</v>
      </c>
      <c r="BT171" s="9" t="n">
        <v>3.18529497482743</v>
      </c>
      <c r="BU171" s="9" t="n">
        <v>3.09883696836783</v>
      </c>
      <c r="BV171" s="9" t="n">
        <v>6.69672728875771</v>
      </c>
      <c r="BW171" s="9" t="n">
        <v>6.19600402355574</v>
      </c>
      <c r="BX171" s="9" t="n">
        <v>6.24977016974743</v>
      </c>
      <c r="BY171" s="9" t="n">
        <v>6.25384053106371</v>
      </c>
      <c r="BZ171" s="9" t="n">
        <v>8.74028006326185</v>
      </c>
      <c r="CA171" s="9" t="n">
        <v>-0.0010542744238617</v>
      </c>
      <c r="CB171" s="9" t="n">
        <v>0.782</v>
      </c>
      <c r="CC171" s="9" t="n">
        <v>0.766</v>
      </c>
      <c r="CD171" s="9" t="n">
        <v>25.634</v>
      </c>
      <c r="CE171" s="9" t="n">
        <v>0</v>
      </c>
      <c r="CF171" s="9" t="n">
        <v>0</v>
      </c>
      <c r="CG171" s="9" t="n">
        <v>9.54</v>
      </c>
      <c r="CH171" s="9" t="n">
        <v>9.5</v>
      </c>
      <c r="CI171" s="9" t="n">
        <v>0.04</v>
      </c>
      <c r="CJ171" s="9" t="n">
        <v>0.01</v>
      </c>
      <c r="CK171" s="9" t="n">
        <v>9.55</v>
      </c>
      <c r="CL171" s="9" t="n">
        <v>0</v>
      </c>
      <c r="CM171" s="9" t="n">
        <v>45.697</v>
      </c>
      <c r="CN171" s="9" t="n">
        <v>45.816</v>
      </c>
      <c r="CO171" s="9" t="n">
        <v>3</v>
      </c>
      <c r="CP171" s="9" t="n">
        <v>4</v>
      </c>
      <c r="CQ171" s="9" t="n">
        <v>0.5</v>
      </c>
      <c r="CR171" s="9" t="n">
        <v>0.3</v>
      </c>
      <c r="CS171" s="9" t="n">
        <v>0.6</v>
      </c>
      <c r="CT171" s="9" t="n">
        <v>0.8</v>
      </c>
      <c r="CU171" s="9" t="n">
        <v>0.8</v>
      </c>
      <c r="CV171" s="9" t="n">
        <v>0.7</v>
      </c>
      <c r="CW171" s="9" t="n">
        <v>0.5</v>
      </c>
      <c r="CX171" s="9" t="n">
        <v>0.5</v>
      </c>
      <c r="CY171" s="9" t="n">
        <v>1</v>
      </c>
      <c r="CZ171" s="9" t="n">
        <v>0.3</v>
      </c>
      <c r="DA171" s="9" t="n">
        <v>0.8</v>
      </c>
      <c r="DB171" s="9" t="n">
        <v>0.514925073319674</v>
      </c>
      <c r="DC171" s="9" t="n">
        <v>7.124</v>
      </c>
      <c r="DD171" s="9" t="n">
        <v>5.575</v>
      </c>
      <c r="DE171" s="9" t="n">
        <v>13.717125</v>
      </c>
      <c r="DF171" s="9" t="n">
        <v>18.1681337459335</v>
      </c>
      <c r="DG171" s="9" t="n">
        <v>24.2427881934495</v>
      </c>
      <c r="DH171" s="9" t="n">
        <v>15.6243519438544</v>
      </c>
      <c r="DI171" s="9" t="n">
        <v>23.197293441201</v>
      </c>
      <c r="DJ171" s="9" t="n">
        <v>8.922</v>
      </c>
      <c r="DK171" s="9" t="n">
        <v>8.26</v>
      </c>
      <c r="DL171" s="9" t="n">
        <v>14.5035</v>
      </c>
      <c r="DM171" s="9" t="n">
        <v>13.4947462084719</v>
      </c>
      <c r="DN171" s="9" t="n">
        <v>13.4947462084719</v>
      </c>
      <c r="DO171" s="9" t="n">
        <v>0.105</v>
      </c>
    </row>
    <row r="172" customFormat="false" ht="15" hidden="false" customHeight="false" outlineLevel="0" collapsed="false">
      <c r="A172" s="9" t="s">
        <v>884</v>
      </c>
      <c r="B172" s="9" t="s">
        <v>885</v>
      </c>
      <c r="C172" s="9" t="n">
        <v>0.005</v>
      </c>
      <c r="D172" s="9" t="n">
        <v>0.005</v>
      </c>
      <c r="E172" s="9" t="n">
        <v>0.01</v>
      </c>
      <c r="F172" s="9" t="n">
        <v>0.005</v>
      </c>
      <c r="G172" s="9" t="n">
        <v>0.005</v>
      </c>
      <c r="H172" s="9" t="n">
        <v>0.01</v>
      </c>
      <c r="I172" s="9" t="n">
        <v>0.005</v>
      </c>
      <c r="J172" s="9" t="n">
        <v>0.005</v>
      </c>
      <c r="K172" s="9" t="n">
        <v>0.01</v>
      </c>
      <c r="L172" s="9" t="n">
        <v>0.01</v>
      </c>
      <c r="M172" s="9" t="n">
        <v>0.005</v>
      </c>
      <c r="N172" s="9" t="n">
        <v>0.234838</v>
      </c>
      <c r="O172" s="9" t="n">
        <v>1.279911</v>
      </c>
      <c r="P172" s="9" t="n">
        <v>18.955533</v>
      </c>
      <c r="Q172" s="9" t="n">
        <v>10.6851580592564</v>
      </c>
      <c r="R172" s="9" t="n">
        <v>2.40816774731525</v>
      </c>
      <c r="S172" s="9" t="n">
        <v>2.57751037287686</v>
      </c>
      <c r="T172" s="9" t="n">
        <v>0.934068693576825</v>
      </c>
      <c r="U172" s="9" t="n">
        <v>0.137164</v>
      </c>
      <c r="V172" s="9" t="n">
        <v>0.039059</v>
      </c>
      <c r="W172" s="9" t="n">
        <v>0.101351</v>
      </c>
      <c r="X172" s="9" t="n">
        <v>6.24889108246612</v>
      </c>
      <c r="Y172" s="9" t="n">
        <v>6.24889108246612</v>
      </c>
      <c r="Z172" s="9" t="n">
        <v>5.45</v>
      </c>
      <c r="AA172" s="9" t="n">
        <v>0.89</v>
      </c>
      <c r="AB172" s="9" t="n">
        <v>0.25</v>
      </c>
      <c r="AC172" s="9" t="n">
        <v>3</v>
      </c>
      <c r="AD172" s="9" t="n">
        <v>0.002638869</v>
      </c>
      <c r="AE172" s="9" t="n">
        <v>36.569</v>
      </c>
      <c r="AF172" s="9" t="n">
        <v>0</v>
      </c>
      <c r="AG172" s="9" t="n">
        <v>0</v>
      </c>
      <c r="AH172" s="9" t="n">
        <v>0</v>
      </c>
      <c r="AI172" s="9" t="n">
        <v>0</v>
      </c>
      <c r="AJ172" s="9" t="n">
        <v>0</v>
      </c>
      <c r="AK172" s="9" t="n">
        <v>0</v>
      </c>
      <c r="AL172" s="9" t="n">
        <v>0</v>
      </c>
      <c r="AM172" s="9" t="n">
        <v>0</v>
      </c>
      <c r="AN172" s="9" t="n">
        <v>0</v>
      </c>
      <c r="AO172" s="9" t="n">
        <v>68.9393988224106</v>
      </c>
      <c r="AP172" s="9" t="n">
        <v>67.85648435</v>
      </c>
      <c r="AQ172" s="9" t="n">
        <v>70.297555280513</v>
      </c>
      <c r="AR172" s="9" t="n">
        <v>67.6613969574938</v>
      </c>
      <c r="AS172" s="9" t="n">
        <v>49.4289261720177</v>
      </c>
      <c r="AT172" s="9" t="n">
        <v>42.5909221956</v>
      </c>
      <c r="AU172" s="9" t="n">
        <v>46.2338806745663</v>
      </c>
      <c r="AV172" s="9" t="n">
        <v>47.9817168021714</v>
      </c>
      <c r="AW172" s="9" t="n">
        <v>23.2640040605873</v>
      </c>
      <c r="AX172" s="9" t="n">
        <v>20.2140001908</v>
      </c>
      <c r="AY172" s="9" t="n">
        <v>21.7589050115743</v>
      </c>
      <c r="AZ172" s="9" t="n">
        <v>22.582934085104</v>
      </c>
      <c r="BA172" s="9" t="n">
        <v>33.9184514878092</v>
      </c>
      <c r="BB172" s="9" t="n">
        <v>33.06582495</v>
      </c>
      <c r="BC172" s="9" t="n">
        <v>34.30259563</v>
      </c>
      <c r="BD172" s="9" t="n">
        <v>32.9707607032688</v>
      </c>
      <c r="BE172" s="9" t="n">
        <v>0.543544633017353</v>
      </c>
      <c r="BF172" s="9" t="n">
        <v>0.597837600051507</v>
      </c>
      <c r="BG172" s="9" t="n">
        <v>0.619344225404009</v>
      </c>
      <c r="BH172" s="9" t="n">
        <v>0.596118816951359</v>
      </c>
      <c r="BI172" s="9" t="n">
        <v>25.9650312373451</v>
      </c>
      <c r="BJ172" s="9" t="n">
        <v>25.4050468299999</v>
      </c>
      <c r="BK172" s="9" t="n">
        <v>26.3189686445337</v>
      </c>
      <c r="BL172" s="9" t="n">
        <v>25.3320073203637</v>
      </c>
      <c r="BM172" s="9" t="n">
        <v>46.4918341193531</v>
      </c>
      <c r="BN172" s="9" t="n">
        <v>45.9462446496</v>
      </c>
      <c r="BO172" s="9" t="n">
        <v>47.5991160480337</v>
      </c>
      <c r="BP172" s="9" t="n">
        <v>45.8141491962324</v>
      </c>
      <c r="BQ172" s="9" t="n">
        <v>168.58976564614</v>
      </c>
      <c r="BR172" s="9" t="n">
        <v>23.6134893402218</v>
      </c>
      <c r="BS172" s="9" t="n">
        <v>23.4903679704</v>
      </c>
      <c r="BT172" s="9" t="n">
        <v>24.3354110779066</v>
      </c>
      <c r="BU172" s="9" t="n">
        <v>23.4228331624851</v>
      </c>
      <c r="BV172" s="9" t="n">
        <v>63.9048089047046</v>
      </c>
      <c r="BW172" s="9" t="n">
        <v>55.9644496325361</v>
      </c>
      <c r="BX172" s="9" t="n">
        <v>58.1802428828614</v>
      </c>
      <c r="BY172" s="9" t="n">
        <v>56.1391350117284</v>
      </c>
      <c r="BZ172" s="9" t="n">
        <v>20.1924806201681</v>
      </c>
      <c r="CA172" s="9" t="n">
        <v>0.332700312979047</v>
      </c>
      <c r="CB172" s="9" t="n">
        <v>2.493</v>
      </c>
      <c r="CC172" s="9" t="n">
        <v>2.113</v>
      </c>
      <c r="CD172" s="9" t="n">
        <v>51.331</v>
      </c>
      <c r="CE172" s="9" t="n">
        <v>0.01</v>
      </c>
      <c r="CF172" s="9" t="n">
        <v>0</v>
      </c>
      <c r="CG172" s="9" t="n">
        <v>21.41</v>
      </c>
      <c r="CH172" s="9" t="n">
        <v>21.18</v>
      </c>
      <c r="CI172" s="9" t="n">
        <v>0.23</v>
      </c>
      <c r="CJ172" s="9" t="n">
        <v>0.56</v>
      </c>
      <c r="CK172" s="9" t="n">
        <v>22.31</v>
      </c>
      <c r="CL172" s="9" t="n">
        <v>0.33</v>
      </c>
      <c r="CM172" s="9" t="n">
        <v>50.973</v>
      </c>
      <c r="CN172" s="9" t="n">
        <v>47.19</v>
      </c>
      <c r="CO172" s="9" t="n">
        <v>3</v>
      </c>
      <c r="CP172" s="9" t="n">
        <v>2</v>
      </c>
      <c r="CQ172" s="9" t="n">
        <v>0.5</v>
      </c>
      <c r="CR172" s="9" t="n">
        <v>0.3</v>
      </c>
      <c r="CS172" s="9" t="n">
        <v>0.6</v>
      </c>
      <c r="CT172" s="9" t="n">
        <v>0.8</v>
      </c>
      <c r="CU172" s="9" t="n">
        <v>0.8</v>
      </c>
      <c r="CV172" s="9" t="n">
        <v>0.7</v>
      </c>
      <c r="CW172" s="9" t="n">
        <v>0.5</v>
      </c>
      <c r="CX172" s="9" t="n">
        <v>0.5</v>
      </c>
      <c r="CY172" s="9" t="n">
        <v>1</v>
      </c>
      <c r="CZ172" s="9" t="n">
        <v>0.3</v>
      </c>
      <c r="DA172" s="9" t="n">
        <v>0.8</v>
      </c>
      <c r="DB172" s="9" t="n">
        <v>0.289113807126041</v>
      </c>
      <c r="DC172" s="9" t="n">
        <v>7.124</v>
      </c>
      <c r="DD172" s="9" t="n">
        <v>5.575</v>
      </c>
      <c r="DE172" s="9" t="n">
        <v>14.50967</v>
      </c>
      <c r="DF172" s="9" t="n">
        <v>21.5659981890426</v>
      </c>
      <c r="DG172" s="9" t="n">
        <v>24.5011830228077</v>
      </c>
      <c r="DH172" s="9" t="n">
        <v>20.5531670011664</v>
      </c>
      <c r="DI172" s="9" t="n">
        <v>23.1330180331753</v>
      </c>
      <c r="DJ172" s="9" t="n">
        <v>9.062</v>
      </c>
      <c r="DK172" s="9" t="n">
        <v>7.975</v>
      </c>
      <c r="DL172" s="9" t="n">
        <v>18.53901</v>
      </c>
      <c r="DM172" s="9" t="n">
        <v>14.1151698941595</v>
      </c>
      <c r="DN172" s="9" t="n">
        <v>14.1151698941595</v>
      </c>
      <c r="DO172" s="9" t="n">
        <v>0.11118</v>
      </c>
    </row>
    <row r="173" customFormat="false" ht="15" hidden="false" customHeight="false" outlineLevel="0" collapsed="false">
      <c r="A173" s="9" t="s">
        <v>726</v>
      </c>
      <c r="B173" s="9" t="s">
        <v>727</v>
      </c>
      <c r="C173" s="9" t="n">
        <v>0.005</v>
      </c>
      <c r="D173" s="9" t="n">
        <v>0.005</v>
      </c>
      <c r="E173" s="9" t="n">
        <v>0.01</v>
      </c>
      <c r="F173" s="9" t="n">
        <v>0.005</v>
      </c>
      <c r="G173" s="9" t="n">
        <v>0.005</v>
      </c>
      <c r="H173" s="9" t="n">
        <v>0.01</v>
      </c>
      <c r="I173" s="9" t="n">
        <v>0.005</v>
      </c>
      <c r="J173" s="9" t="n">
        <v>0.005</v>
      </c>
      <c r="K173" s="9" t="n">
        <v>0.01</v>
      </c>
      <c r="L173" s="9" t="n">
        <v>0.01</v>
      </c>
      <c r="M173" s="9" t="n">
        <v>0.005</v>
      </c>
      <c r="N173" s="9" t="n">
        <v>18.134451</v>
      </c>
      <c r="O173" s="9" t="n">
        <v>2.734772</v>
      </c>
      <c r="P173" s="9" t="n">
        <v>134.584581</v>
      </c>
      <c r="Q173" s="9" t="n">
        <v>10.5298833442061</v>
      </c>
      <c r="R173" s="9" t="n">
        <v>1.05494064296732</v>
      </c>
      <c r="S173" s="9" t="n">
        <v>12.4710621309636</v>
      </c>
      <c r="T173" s="9" t="n">
        <v>11.2143325353176</v>
      </c>
      <c r="U173" s="9" t="n">
        <v>2.793693</v>
      </c>
      <c r="V173" s="9" t="n">
        <v>0.557641</v>
      </c>
      <c r="W173" s="9" t="n">
        <v>0.863953</v>
      </c>
      <c r="X173" s="9" t="n">
        <v>21.5213524878792</v>
      </c>
      <c r="Y173" s="9" t="n">
        <v>21.5213524878792</v>
      </c>
      <c r="Z173" s="9" t="n">
        <v>48.53</v>
      </c>
      <c r="AA173" s="9" t="n">
        <v>25.47</v>
      </c>
      <c r="AB173" s="9" t="n">
        <v>14.78</v>
      </c>
      <c r="AC173" s="9" t="n">
        <v>3</v>
      </c>
      <c r="AD173" s="9" t="n">
        <v>36.8053447540867</v>
      </c>
      <c r="AE173" s="9" t="n">
        <v>573.016</v>
      </c>
      <c r="AF173" s="9" t="n">
        <v>405.239968174153</v>
      </c>
      <c r="AG173" s="9" t="n">
        <v>358.785921006</v>
      </c>
      <c r="AH173" s="9" t="n">
        <v>396.714718369492</v>
      </c>
      <c r="AI173" s="9" t="n">
        <v>421.913449554813</v>
      </c>
      <c r="AJ173" s="9" t="n">
        <v>1536.35198432914</v>
      </c>
      <c r="AK173" s="9" t="n">
        <v>255.762696998592</v>
      </c>
      <c r="AL173" s="9" t="n">
        <v>226.8588314268</v>
      </c>
      <c r="AM173" s="9" t="n">
        <v>250.841050749062</v>
      </c>
      <c r="AN173" s="9" t="n">
        <v>266.774102676271</v>
      </c>
      <c r="AO173" s="9" t="n">
        <v>1087.74640350963</v>
      </c>
      <c r="AP173" s="9" t="n">
        <v>933.017305920941</v>
      </c>
      <c r="AQ173" s="9" t="n">
        <v>1031.65056397544</v>
      </c>
      <c r="AR173" s="9" t="n">
        <v>1097.17947942796</v>
      </c>
      <c r="AS173" s="9" t="n">
        <v>1250.44567696548</v>
      </c>
      <c r="AT173" s="9" t="n">
        <v>795.9177598788</v>
      </c>
      <c r="AU173" s="9" t="n">
        <v>972.528543125327</v>
      </c>
      <c r="AV173" s="9" t="n">
        <v>1098.8301020826</v>
      </c>
      <c r="AW173" s="9" t="n">
        <v>342.551565754749</v>
      </c>
      <c r="AX173" s="9" t="n">
        <v>221.3964934992</v>
      </c>
      <c r="AY173" s="9" t="n">
        <v>266.396014552651</v>
      </c>
      <c r="AZ173" s="9" t="n">
        <v>300.989049073568</v>
      </c>
      <c r="BA173" s="9" t="n">
        <v>144.964789950798</v>
      </c>
      <c r="BB173" s="9" t="n">
        <v>126.577116109936</v>
      </c>
      <c r="BC173" s="9" t="n">
        <v>137.578966397207</v>
      </c>
      <c r="BD173" s="9" t="n">
        <v>148.848058315393</v>
      </c>
      <c r="BE173" s="9" t="n">
        <v>48.8672109079274</v>
      </c>
      <c r="BF173" s="9" t="n">
        <v>39.6538199366071</v>
      </c>
      <c r="BG173" s="9" t="n">
        <v>43.8457951870484</v>
      </c>
      <c r="BH173" s="9" t="n">
        <v>46.6308151405961</v>
      </c>
      <c r="BI173" s="9" t="n">
        <v>19.4160239128397</v>
      </c>
      <c r="BJ173" s="9" t="n">
        <v>17.70535199</v>
      </c>
      <c r="BK173" s="9" t="n">
        <v>19.5770606289428</v>
      </c>
      <c r="BL173" s="9" t="n">
        <v>20.8205665170405</v>
      </c>
      <c r="BM173" s="9" t="n">
        <v>736.523098447044</v>
      </c>
      <c r="BN173" s="9" t="n">
        <v>478.9717789392</v>
      </c>
      <c r="BO173" s="9" t="n">
        <v>529.605938427058</v>
      </c>
      <c r="BP173" s="9" t="n">
        <v>563.245723034555</v>
      </c>
      <c r="BQ173" s="9" t="n">
        <v>729.131050740769</v>
      </c>
      <c r="BR173" s="9" t="n">
        <v>1098.14760421467</v>
      </c>
      <c r="BS173" s="9" t="n">
        <v>800.2356820812</v>
      </c>
      <c r="BT173" s="9" t="n">
        <v>884.832025615498</v>
      </c>
      <c r="BU173" s="9" t="n">
        <v>941.035245020334</v>
      </c>
      <c r="BV173" s="9" t="n">
        <v>570.094495031806</v>
      </c>
      <c r="BW173" s="9" t="n">
        <v>494.881043121065</v>
      </c>
      <c r="BX173" s="9" t="n">
        <v>543.551323006401</v>
      </c>
      <c r="BY173" s="9" t="n">
        <v>578.07737179348</v>
      </c>
      <c r="BZ173" s="9" t="n">
        <v>442.499234088952</v>
      </c>
      <c r="CA173" s="9" t="n">
        <v>0.448729891118738</v>
      </c>
      <c r="CB173" s="9" t="n">
        <v>3.605</v>
      </c>
      <c r="CC173" s="9" t="n">
        <v>3.366</v>
      </c>
      <c r="CD173" s="9" t="n">
        <v>1358.251</v>
      </c>
      <c r="CE173" s="9" t="n">
        <v>76.4</v>
      </c>
      <c r="CF173" s="9" t="n">
        <v>121.4</v>
      </c>
      <c r="CG173" s="9" t="n">
        <v>200.79</v>
      </c>
      <c r="CH173" s="9" t="n">
        <v>78.36</v>
      </c>
      <c r="CI173" s="9" t="n">
        <v>1.03</v>
      </c>
      <c r="CJ173" s="9" t="n">
        <v>37.25</v>
      </c>
      <c r="CK173" s="9" t="n">
        <v>353.86</v>
      </c>
      <c r="CL173" s="9" t="n">
        <v>39.42</v>
      </c>
      <c r="CM173" s="9" t="n">
        <v>693.478</v>
      </c>
      <c r="CN173" s="9" t="n">
        <v>644.249</v>
      </c>
      <c r="CO173" s="9" t="n">
        <v>3</v>
      </c>
      <c r="CP173" s="9" t="n">
        <v>3</v>
      </c>
      <c r="CQ173" s="9" t="n">
        <v>0.5</v>
      </c>
      <c r="CR173" s="9" t="n">
        <v>0.3</v>
      </c>
      <c r="CS173" s="9" t="n">
        <v>0.6</v>
      </c>
      <c r="CT173" s="9" t="n">
        <v>0.8</v>
      </c>
      <c r="CU173" s="9" t="n">
        <v>0.8</v>
      </c>
      <c r="CV173" s="9" t="n">
        <v>0.7</v>
      </c>
      <c r="CW173" s="9" t="n">
        <v>0.5</v>
      </c>
      <c r="CX173" s="9" t="n">
        <v>0.5</v>
      </c>
      <c r="CY173" s="9" t="n">
        <v>1</v>
      </c>
      <c r="CZ173" s="9" t="n">
        <v>0.3</v>
      </c>
      <c r="DA173" s="9" t="n">
        <v>0.8</v>
      </c>
      <c r="DB173" s="9" t="n">
        <v>0.382261664636101</v>
      </c>
      <c r="DC173" s="9" t="n">
        <v>3.313</v>
      </c>
      <c r="DD173" s="9" t="n">
        <v>1.025</v>
      </c>
      <c r="DE173" s="9" t="n">
        <v>5.31708</v>
      </c>
      <c r="DF173" s="9" t="n">
        <v>21.6995274725776</v>
      </c>
      <c r="DG173" s="9" t="n">
        <v>24.4295782582313</v>
      </c>
      <c r="DH173" s="9" t="n">
        <v>18.474215131214</v>
      </c>
      <c r="DI173" s="9" t="n">
        <v>20.2513307749889</v>
      </c>
      <c r="DJ173" s="9" t="n">
        <v>9.197</v>
      </c>
      <c r="DK173" s="9" t="n">
        <v>9.197</v>
      </c>
      <c r="DL173" s="9" t="n">
        <v>11.26664</v>
      </c>
      <c r="DM173" s="9" t="n">
        <v>13.4947462084719</v>
      </c>
      <c r="DN173" s="9" t="n">
        <v>13.4947462084719</v>
      </c>
      <c r="DO173" s="9" t="n">
        <v>0.0842</v>
      </c>
    </row>
    <row r="174" customFormat="false" ht="15" hidden="false" customHeight="false" outlineLevel="0" collapsed="false">
      <c r="A174" s="9" t="s">
        <v>842</v>
      </c>
      <c r="B174" s="9" t="s">
        <v>843</v>
      </c>
      <c r="C174" s="9" t="n">
        <v>0.005</v>
      </c>
      <c r="D174" s="9" t="n">
        <v>0.005</v>
      </c>
      <c r="E174" s="9" t="n">
        <v>0.01</v>
      </c>
      <c r="F174" s="9" t="n">
        <v>0.005</v>
      </c>
      <c r="G174" s="9" t="n">
        <v>0.005</v>
      </c>
      <c r="H174" s="9" t="n">
        <v>0.01</v>
      </c>
      <c r="I174" s="9" t="n">
        <v>0.005</v>
      </c>
      <c r="J174" s="9" t="n">
        <v>0.005</v>
      </c>
      <c r="K174" s="9" t="n">
        <v>0.01</v>
      </c>
      <c r="L174" s="9" t="n">
        <v>0.01</v>
      </c>
      <c r="M174" s="9" t="n">
        <v>0.005</v>
      </c>
      <c r="N174" s="9" t="n">
        <v>0.224791</v>
      </c>
      <c r="O174" s="9" t="n">
        <v>0.032371</v>
      </c>
      <c r="P174" s="9" t="n">
        <v>0.743851</v>
      </c>
      <c r="Q174" s="9" t="n">
        <v>0.436463790638954</v>
      </c>
      <c r="R174" s="9" t="n">
        <v>0.120818742146782</v>
      </c>
      <c r="S174" s="9" t="n">
        <v>0.12538137058137</v>
      </c>
      <c r="T174" s="9" t="n">
        <v>0.0406133688610853</v>
      </c>
      <c r="U174" s="9" t="n">
        <v>0.002567</v>
      </c>
      <c r="V174" s="9" t="n">
        <v>0.002346</v>
      </c>
      <c r="W174" s="9" t="n">
        <v>0.001505</v>
      </c>
      <c r="X174" s="9" t="n">
        <v>0.537698311789094</v>
      </c>
      <c r="Y174" s="9" t="n">
        <v>0.537698311789094</v>
      </c>
      <c r="Z174" s="9" t="n">
        <v>1.28</v>
      </c>
      <c r="AA174" s="9" t="n">
        <v>0.01</v>
      </c>
      <c r="AB174" s="9" t="n">
        <v>0</v>
      </c>
      <c r="AC174" s="9" t="n">
        <v>0</v>
      </c>
      <c r="AD174" s="9" t="n">
        <v>0</v>
      </c>
      <c r="AE174" s="9" t="n">
        <v>17.591</v>
      </c>
      <c r="AF174" s="9" t="n">
        <v>16.495359327367</v>
      </c>
      <c r="AG174" s="9" t="n">
        <v>16.2421295688</v>
      </c>
      <c r="AH174" s="9" t="n">
        <v>16.709090793903</v>
      </c>
      <c r="AI174" s="9" t="n">
        <v>16.0724684457339</v>
      </c>
      <c r="AJ174" s="9" t="n">
        <v>0</v>
      </c>
      <c r="AK174" s="9" t="n">
        <v>0</v>
      </c>
      <c r="AL174" s="9" t="n">
        <v>0</v>
      </c>
      <c r="AM174" s="9" t="n">
        <v>0</v>
      </c>
      <c r="AN174" s="9" t="n">
        <v>0</v>
      </c>
      <c r="AO174" s="9" t="n">
        <v>84.210097215799</v>
      </c>
      <c r="AP174" s="9" t="n">
        <v>77.10023609</v>
      </c>
      <c r="AQ174" s="9" t="n">
        <v>79.3168678775875</v>
      </c>
      <c r="AR174" s="9" t="n">
        <v>76.2948667824665</v>
      </c>
      <c r="AS174" s="9" t="n">
        <v>17.9349671324333</v>
      </c>
      <c r="AT174" s="9" t="n">
        <v>14.4736545564</v>
      </c>
      <c r="AU174" s="9" t="n">
        <v>16.0040189066808</v>
      </c>
      <c r="AV174" s="9" t="n">
        <v>16.5663631770317</v>
      </c>
      <c r="AW174" s="9" t="n">
        <v>13.9925222468292</v>
      </c>
      <c r="AX174" s="9" t="n">
        <v>11.470136346</v>
      </c>
      <c r="AY174" s="9" t="n">
        <v>12.4860329509856</v>
      </c>
      <c r="AZ174" s="9" t="n">
        <v>12.9247633180478</v>
      </c>
      <c r="BA174" s="9" t="n">
        <v>56.5013705091865</v>
      </c>
      <c r="BB174" s="9" t="n">
        <v>54.5401755847768</v>
      </c>
      <c r="BC174" s="9" t="n">
        <v>52.68951397</v>
      </c>
      <c r="BD174" s="9" t="n">
        <v>52.3004046627924</v>
      </c>
      <c r="BE174" s="9" t="n">
        <v>3.27698858848824</v>
      </c>
      <c r="BF174" s="9" t="n">
        <v>2.89087374</v>
      </c>
      <c r="BG174" s="9" t="n">
        <v>2.973986360025</v>
      </c>
      <c r="BH174" s="9" t="n">
        <v>2.86067641376311</v>
      </c>
      <c r="BI174" s="9" t="n">
        <v>12.4019943463146</v>
      </c>
      <c r="BJ174" s="9" t="n">
        <v>11.74958962</v>
      </c>
      <c r="BK174" s="9" t="n">
        <v>12.087390321575</v>
      </c>
      <c r="BL174" s="9" t="n">
        <v>11.626856417925</v>
      </c>
      <c r="BM174" s="9" t="n">
        <v>14.530461022206</v>
      </c>
      <c r="BN174" s="9" t="n">
        <v>13.9093492788</v>
      </c>
      <c r="BO174" s="9" t="n">
        <v>14.3092430705655</v>
      </c>
      <c r="BP174" s="9" t="n">
        <v>13.764055780816</v>
      </c>
      <c r="BQ174" s="9" t="n">
        <v>52.3006422879568</v>
      </c>
      <c r="BR174" s="9" t="n">
        <v>0.967672192495246</v>
      </c>
      <c r="BS174" s="9" t="n">
        <v>0.926308566</v>
      </c>
      <c r="BT174" s="9" t="n">
        <v>0.9529399372725</v>
      </c>
      <c r="BU174" s="9" t="n">
        <v>0.916632584106885</v>
      </c>
      <c r="BV174" s="9" t="n">
        <v>9.99672116985609</v>
      </c>
      <c r="BW174" s="9" t="n">
        <v>9.61636517907572</v>
      </c>
      <c r="BX174" s="9" t="n">
        <v>8.81954057757596</v>
      </c>
      <c r="BY174" s="9" t="n">
        <v>8.48351204519604</v>
      </c>
      <c r="BZ174" s="9" t="n">
        <v>8.86874704979513</v>
      </c>
      <c r="CA174" s="9" t="n">
        <v>-1.32002022685464</v>
      </c>
      <c r="CB174" s="9" t="n">
        <v>5.876</v>
      </c>
      <c r="CC174" s="9" t="n">
        <v>5.94</v>
      </c>
      <c r="CD174" s="9" t="n">
        <v>79.236</v>
      </c>
      <c r="CE174" s="9" t="n">
        <v>2.87</v>
      </c>
      <c r="CF174" s="9" t="n">
        <v>0</v>
      </c>
      <c r="CG174" s="9" t="n">
        <v>5.93</v>
      </c>
      <c r="CH174" s="9" t="n">
        <v>5.55</v>
      </c>
      <c r="CI174" s="9" t="n">
        <v>0.38</v>
      </c>
      <c r="CJ174" s="9" t="n">
        <v>0.04</v>
      </c>
      <c r="CK174" s="9" t="n">
        <v>8.84</v>
      </c>
      <c r="CL174" s="9" t="n">
        <v>0</v>
      </c>
      <c r="CM174" s="9" t="n">
        <v>94.854</v>
      </c>
      <c r="CN174" s="9" t="n">
        <v>159.385</v>
      </c>
      <c r="CO174" s="9" t="n">
        <v>3</v>
      </c>
      <c r="CP174" s="9" t="n">
        <v>1</v>
      </c>
      <c r="CQ174" s="9" t="n">
        <v>0.5</v>
      </c>
      <c r="CR174" s="9" t="n">
        <v>0.3</v>
      </c>
      <c r="CS174" s="9" t="n">
        <v>0.6</v>
      </c>
      <c r="CT174" s="9" t="n">
        <v>0.8</v>
      </c>
      <c r="CU174" s="9" t="n">
        <v>0.8</v>
      </c>
      <c r="CV174" s="9" t="n">
        <v>0.7</v>
      </c>
      <c r="CW174" s="9" t="n">
        <v>0.5</v>
      </c>
      <c r="CX174" s="9" t="n">
        <v>0.5</v>
      </c>
      <c r="CY174" s="9" t="n">
        <v>1</v>
      </c>
      <c r="CZ174" s="9" t="n">
        <v>0.3</v>
      </c>
      <c r="DA174" s="9" t="n">
        <v>0.8</v>
      </c>
      <c r="DB174" s="9" t="n">
        <v>0.292990286164348</v>
      </c>
      <c r="DC174" s="9" t="n">
        <v>3.373</v>
      </c>
      <c r="DD174" s="9" t="n">
        <v>2.049</v>
      </c>
      <c r="DE174" s="9" t="n">
        <v>6.32244</v>
      </c>
      <c r="DF174" s="9" t="n">
        <v>21.6297061363677</v>
      </c>
      <c r="DG174" s="9" t="n">
        <v>24.430264565879</v>
      </c>
      <c r="DH174" s="9" t="n">
        <v>18.474215131214</v>
      </c>
      <c r="DI174" s="9" t="n">
        <v>23.4812767014035</v>
      </c>
      <c r="DJ174" s="9" t="n">
        <v>3.084</v>
      </c>
      <c r="DK174" s="9" t="n">
        <v>2.422</v>
      </c>
      <c r="DL174" s="9" t="n">
        <v>8.32372</v>
      </c>
      <c r="DM174" s="9" t="n">
        <v>13.4947462084719</v>
      </c>
      <c r="DN174" s="9" t="n">
        <v>13.4947462084719</v>
      </c>
      <c r="DO174" s="9" t="n">
        <v>0.105</v>
      </c>
    </row>
    <row r="175" customFormat="false" ht="15" hidden="false" customHeight="false" outlineLevel="0" collapsed="false">
      <c r="A175" s="9" t="s">
        <v>866</v>
      </c>
      <c r="B175" s="9" t="s">
        <v>867</v>
      </c>
      <c r="C175" s="9" t="n">
        <v>0.005</v>
      </c>
      <c r="D175" s="9" t="n">
        <v>0.005</v>
      </c>
      <c r="E175" s="9" t="n">
        <v>0.01</v>
      </c>
      <c r="F175" s="9" t="n">
        <v>0.005</v>
      </c>
      <c r="G175" s="9" t="n">
        <v>0.005</v>
      </c>
      <c r="H175" s="9" t="n">
        <v>0.01</v>
      </c>
      <c r="I175" s="9" t="n">
        <v>0.005</v>
      </c>
      <c r="J175" s="9" t="n">
        <v>0.005</v>
      </c>
      <c r="K175" s="9" t="n">
        <v>0.01</v>
      </c>
      <c r="L175" s="9" t="n">
        <v>0.01</v>
      </c>
      <c r="M175" s="9" t="n">
        <v>0.005</v>
      </c>
      <c r="N175" s="9" t="n">
        <v>0.109865</v>
      </c>
      <c r="O175" s="9" t="n">
        <v>0.042101</v>
      </c>
      <c r="P175" s="9" t="n">
        <v>0.726346</v>
      </c>
      <c r="Q175" s="9" t="n">
        <v>0.0564415947472046</v>
      </c>
      <c r="R175" s="9" t="n">
        <v>0.0109237300591883</v>
      </c>
      <c r="S175" s="9" t="n">
        <v>0.0358421708000409</v>
      </c>
      <c r="T175" s="9" t="n">
        <v>0.0114043270727403</v>
      </c>
      <c r="U175" s="9" t="n">
        <v>0.000762</v>
      </c>
      <c r="V175" s="9" t="n">
        <v>9.8E-005</v>
      </c>
      <c r="W175" s="9" t="n">
        <v>0.000968</v>
      </c>
      <c r="X175" s="9" t="n">
        <v>0.0518609537324553</v>
      </c>
      <c r="Y175" s="9" t="n">
        <v>0.0518609537324553</v>
      </c>
      <c r="Z175" s="9" t="n">
        <v>0.1</v>
      </c>
      <c r="AA175" s="9" t="n">
        <v>0.1</v>
      </c>
      <c r="AB175" s="9" t="n">
        <v>0</v>
      </c>
      <c r="AC175" s="9" t="n">
        <v>0</v>
      </c>
      <c r="AD175" s="9" t="n">
        <v>0</v>
      </c>
      <c r="AE175" s="9" t="n">
        <v>7.712</v>
      </c>
      <c r="AF175" s="9" t="n">
        <v>4.21399213062939</v>
      </c>
      <c r="AG175" s="9" t="n">
        <v>3.7998266364</v>
      </c>
      <c r="AH175" s="9" t="n">
        <v>3.913821435492</v>
      </c>
      <c r="AI175" s="9" t="n">
        <v>3.80814825673372</v>
      </c>
      <c r="AJ175" s="9" t="n">
        <v>0</v>
      </c>
      <c r="AK175" s="9" t="n">
        <v>0</v>
      </c>
      <c r="AL175" s="9" t="n">
        <v>0</v>
      </c>
      <c r="AM175" s="9" t="n">
        <v>0</v>
      </c>
      <c r="AN175" s="9" t="n">
        <v>0</v>
      </c>
      <c r="AO175" s="9" t="n">
        <v>25.5976079915853</v>
      </c>
      <c r="AP175" s="9" t="n">
        <v>24.5534</v>
      </c>
      <c r="AQ175" s="9" t="n">
        <v>25.290002</v>
      </c>
      <c r="AR175" s="9" t="n">
        <v>24.607171946</v>
      </c>
      <c r="AS175" s="9" t="n">
        <v>12.3158878718198</v>
      </c>
      <c r="AT175" s="9" t="n">
        <v>10.6988273028</v>
      </c>
      <c r="AU175" s="9" t="n">
        <v>11.3145667568131</v>
      </c>
      <c r="AV175" s="9" t="n">
        <v>11.4699385659752</v>
      </c>
      <c r="AW175" s="9" t="n">
        <v>3.22600333684959</v>
      </c>
      <c r="AX175" s="9" t="n">
        <v>2.805156</v>
      </c>
      <c r="AY175" s="9" t="n">
        <v>2.9637189370654</v>
      </c>
      <c r="AZ175" s="9" t="n">
        <v>3.00441677225407</v>
      </c>
      <c r="BA175" s="9" t="n">
        <v>29.3806701268217</v>
      </c>
      <c r="BB175" s="9" t="n">
        <v>27.7898359428228</v>
      </c>
      <c r="BC175" s="9" t="n">
        <v>29.2098330339139</v>
      </c>
      <c r="BD175" s="9" t="n">
        <v>28.1344840691761</v>
      </c>
      <c r="BE175" s="9" t="n">
        <v>0.398558683991024</v>
      </c>
      <c r="BF175" s="9" t="n">
        <v>0.38214739054915</v>
      </c>
      <c r="BG175" s="9" t="n">
        <v>0.393611812265625</v>
      </c>
      <c r="BH175" s="9" t="n">
        <v>0.382984293334453</v>
      </c>
      <c r="BI175" s="9" t="n">
        <v>0.778149498590376</v>
      </c>
      <c r="BJ175" s="9" t="n">
        <v>0.712312569999999</v>
      </c>
      <c r="BK175" s="9" t="n">
        <v>0.733681947099999</v>
      </c>
      <c r="BL175" s="9" t="n">
        <v>0.713872534528299</v>
      </c>
      <c r="BM175" s="9" t="n">
        <v>0</v>
      </c>
      <c r="BN175" s="9" t="n">
        <v>0</v>
      </c>
      <c r="BO175" s="9" t="n">
        <v>0</v>
      </c>
      <c r="BP175" s="9" t="n">
        <v>0</v>
      </c>
      <c r="BQ175" s="9" t="n">
        <v>0</v>
      </c>
      <c r="BR175" s="9" t="n">
        <v>0</v>
      </c>
      <c r="BS175" s="9" t="n">
        <v>0</v>
      </c>
      <c r="BT175" s="9" t="n">
        <v>0</v>
      </c>
      <c r="BU175" s="9" t="n">
        <v>0</v>
      </c>
      <c r="BV175" s="9" t="n">
        <v>27.4203368542919</v>
      </c>
      <c r="BW175" s="9" t="n">
        <v>26.2148659000046</v>
      </c>
      <c r="BX175" s="9" t="n">
        <v>27.0630182196605</v>
      </c>
      <c r="BY175" s="9" t="n">
        <v>26.258013021337</v>
      </c>
      <c r="BZ175" s="9" t="n">
        <v>4.31719200240817</v>
      </c>
      <c r="CA175" s="9" t="n">
        <v>-0.153065501365723</v>
      </c>
      <c r="CB175" s="9" t="n">
        <v>6.725</v>
      </c>
      <c r="CC175" s="9" t="n">
        <v>7.508</v>
      </c>
      <c r="CD175" s="9" t="n">
        <v>57.061</v>
      </c>
      <c r="CE175" s="9" t="n">
        <v>5.47</v>
      </c>
      <c r="CF175" s="9" t="n">
        <v>0</v>
      </c>
      <c r="CG175" s="9" t="n">
        <v>0.17</v>
      </c>
      <c r="CH175" s="9" t="n">
        <v>0</v>
      </c>
      <c r="CI175" s="9" t="n">
        <v>0.17</v>
      </c>
      <c r="CJ175" s="9" t="n">
        <v>0.17</v>
      </c>
      <c r="CK175" s="9" t="n">
        <v>5.81</v>
      </c>
      <c r="CL175" s="9" t="n">
        <v>0</v>
      </c>
      <c r="CM175" s="9" t="n">
        <v>58.755</v>
      </c>
      <c r="CN175" s="9" t="n">
        <v>72.345</v>
      </c>
      <c r="CO175" s="9" t="n">
        <v>3</v>
      </c>
      <c r="CP175" s="9" t="n">
        <v>1</v>
      </c>
      <c r="CQ175" s="9" t="n">
        <v>0.5</v>
      </c>
      <c r="CR175" s="9" t="n">
        <v>0.3</v>
      </c>
      <c r="CS175" s="9" t="n">
        <v>0.6</v>
      </c>
      <c r="CT175" s="9" t="n">
        <v>0.8</v>
      </c>
      <c r="CU175" s="9" t="n">
        <v>0.8</v>
      </c>
      <c r="CV175" s="9" t="n">
        <v>0.7</v>
      </c>
      <c r="CW175" s="9" t="n">
        <v>0.5</v>
      </c>
      <c r="CX175" s="9" t="n">
        <v>0.5</v>
      </c>
      <c r="CY175" s="9" t="n">
        <v>1</v>
      </c>
      <c r="CZ175" s="9" t="n">
        <v>0.3</v>
      </c>
      <c r="DA175" s="9" t="n">
        <v>0.8</v>
      </c>
      <c r="DB175" s="9" t="n">
        <v>0.332356744288993</v>
      </c>
      <c r="DC175" s="9" t="n">
        <v>7.124</v>
      </c>
      <c r="DD175" s="9" t="n">
        <v>5.575</v>
      </c>
      <c r="DE175" s="9" t="n">
        <v>14.38774</v>
      </c>
      <c r="DF175" s="9" t="n">
        <v>20.904170216052</v>
      </c>
      <c r="DG175" s="9" t="n">
        <v>23.4930542806438</v>
      </c>
      <c r="DH175" s="9" t="n">
        <v>16.2074693597084</v>
      </c>
      <c r="DI175" s="9" t="n">
        <v>21.9991408744567</v>
      </c>
      <c r="DJ175" s="9" t="n">
        <v>12.112</v>
      </c>
      <c r="DK175" s="9" t="n">
        <v>10.789</v>
      </c>
      <c r="DL175" s="9" t="n">
        <v>23.66372</v>
      </c>
      <c r="DM175" s="9" t="n">
        <v>13.4947462084719</v>
      </c>
      <c r="DN175" s="9" t="n">
        <v>13.4947462084719</v>
      </c>
      <c r="DO175" s="9" t="n">
        <v>0.08504</v>
      </c>
    </row>
    <row r="176" customFormat="false" ht="15" hidden="false" customHeight="false" outlineLevel="0" collapsed="false">
      <c r="A176" s="9" t="s">
        <v>804</v>
      </c>
      <c r="B176" s="9" t="s">
        <v>805</v>
      </c>
      <c r="C176" s="9" t="n">
        <v>0.005</v>
      </c>
      <c r="D176" s="9" t="n">
        <v>0.005</v>
      </c>
      <c r="E176" s="9" t="n">
        <v>0.01</v>
      </c>
      <c r="F176" s="9" t="n">
        <v>0.005</v>
      </c>
      <c r="G176" s="9" t="n">
        <v>0.005</v>
      </c>
      <c r="H176" s="9" t="n">
        <v>0.01</v>
      </c>
      <c r="I176" s="9" t="n">
        <v>0.005</v>
      </c>
      <c r="J176" s="9" t="n">
        <v>0.005</v>
      </c>
      <c r="K176" s="9" t="n">
        <v>0.01</v>
      </c>
      <c r="L176" s="9" t="n">
        <v>0.01</v>
      </c>
      <c r="M176" s="9" t="n">
        <v>0.005</v>
      </c>
      <c r="N176" s="9" t="n">
        <v>4.592779</v>
      </c>
      <c r="O176" s="9" t="n">
        <v>6.605374</v>
      </c>
      <c r="P176" s="9" t="n">
        <v>95.262878</v>
      </c>
      <c r="Q176" s="9" t="n">
        <v>18.4488669986666</v>
      </c>
      <c r="R176" s="9" t="n">
        <v>6.90325407051926</v>
      </c>
      <c r="S176" s="9" t="n">
        <v>3.95495705069632</v>
      </c>
      <c r="T176" s="9" t="n">
        <v>4.66828758579278</v>
      </c>
      <c r="U176" s="9" t="n">
        <v>1.192291</v>
      </c>
      <c r="V176" s="9" t="n">
        <v>0.074568</v>
      </c>
      <c r="W176" s="9" t="n">
        <v>0.692239</v>
      </c>
      <c r="X176" s="9" t="n">
        <v>4.27359188413038</v>
      </c>
      <c r="Y176" s="9" t="n">
        <v>4.27359188413038</v>
      </c>
      <c r="Z176" s="9" t="n">
        <v>30.74</v>
      </c>
      <c r="AA176" s="9" t="n">
        <v>8.06</v>
      </c>
      <c r="AB176" s="9" t="n">
        <v>1.76</v>
      </c>
      <c r="AC176" s="9" t="n">
        <v>3</v>
      </c>
      <c r="AD176" s="9" t="n">
        <v>0.02206094484</v>
      </c>
      <c r="AE176" s="9" t="n">
        <v>145.09</v>
      </c>
      <c r="AF176" s="9" t="n">
        <v>240.891062619123</v>
      </c>
      <c r="AG176" s="9" t="n">
        <v>240.7524174036</v>
      </c>
      <c r="AH176" s="9" t="n">
        <v>248.376243954714</v>
      </c>
      <c r="AI176" s="9" t="n">
        <v>229.270315623687</v>
      </c>
      <c r="AJ176" s="9" t="n">
        <v>69.5275370738686</v>
      </c>
      <c r="AK176" s="9" t="n">
        <v>22.5242355506523</v>
      </c>
      <c r="AL176" s="9" t="n">
        <v>22.376938752</v>
      </c>
      <c r="AM176" s="9" t="n">
        <v>23.08554181248</v>
      </c>
      <c r="AN176" s="9" t="n">
        <v>21.3097250099979</v>
      </c>
      <c r="AO176" s="9" t="n">
        <v>163.379170669393</v>
      </c>
      <c r="AP176" s="9" t="n">
        <v>166.04510357</v>
      </c>
      <c r="AQ176" s="9" t="n">
        <v>171.303198516383</v>
      </c>
      <c r="AR176" s="9" t="n">
        <v>158.125985665357</v>
      </c>
      <c r="AS176" s="9" t="n">
        <v>198.473514696326</v>
      </c>
      <c r="AT176" s="9" t="n">
        <v>289.659215322</v>
      </c>
      <c r="AU176" s="9" t="n">
        <v>201.705895459431</v>
      </c>
      <c r="AV176" s="9" t="n">
        <v>215.003677477653</v>
      </c>
      <c r="AW176" s="9" t="n">
        <v>98.4594125494158</v>
      </c>
      <c r="AX176" s="9" t="n">
        <v>137.5875887508</v>
      </c>
      <c r="AY176" s="9" t="n">
        <v>100.235584591611</v>
      </c>
      <c r="AZ176" s="9" t="n">
        <v>106.835119074559</v>
      </c>
      <c r="BA176" s="9" t="n">
        <v>84.6101482458275</v>
      </c>
      <c r="BB176" s="9" t="n">
        <v>104.779867165931</v>
      </c>
      <c r="BC176" s="9" t="n">
        <v>75.25347264</v>
      </c>
      <c r="BD176" s="9" t="n">
        <v>83.2548739340985</v>
      </c>
      <c r="BE176" s="9" t="n">
        <v>0</v>
      </c>
      <c r="BF176" s="9" t="n">
        <v>0</v>
      </c>
      <c r="BG176" s="9" t="n">
        <v>0</v>
      </c>
      <c r="BH176" s="9" t="n">
        <v>0</v>
      </c>
      <c r="BI176" s="9" t="n">
        <v>1.26743742174997</v>
      </c>
      <c r="BJ176" s="9" t="n">
        <v>1.34165057</v>
      </c>
      <c r="BK176" s="9" t="n">
        <v>1.38413617138333</v>
      </c>
      <c r="BL176" s="9" t="n">
        <v>1.27766380482458</v>
      </c>
      <c r="BM176" s="9" t="n">
        <v>416.26744495575</v>
      </c>
      <c r="BN176" s="9" t="n">
        <v>393.4486768536</v>
      </c>
      <c r="BO176" s="9" t="n">
        <v>405.907884953964</v>
      </c>
      <c r="BP176" s="9" t="n">
        <v>374.684097866085</v>
      </c>
      <c r="BQ176" s="9" t="n">
        <v>56.1402685952065</v>
      </c>
      <c r="BR176" s="9" t="n">
        <v>303.481537289764</v>
      </c>
      <c r="BS176" s="9" t="n">
        <v>304.1205230052</v>
      </c>
      <c r="BT176" s="9" t="n">
        <v>313.751006233698</v>
      </c>
      <c r="BU176" s="9" t="n">
        <v>289.616233344623</v>
      </c>
      <c r="BV176" s="9" t="n">
        <v>148.556488468546</v>
      </c>
      <c r="BW176" s="9" t="n">
        <v>146.079057329397</v>
      </c>
      <c r="BX176" s="9" t="n">
        <v>154.413828006303</v>
      </c>
      <c r="BY176" s="9" t="n">
        <v>152.209038799662</v>
      </c>
      <c r="BZ176" s="9" t="n">
        <v>82.4813686793727</v>
      </c>
      <c r="CA176" s="9" t="n">
        <v>3.54165195449698</v>
      </c>
      <c r="CB176" s="9" t="n">
        <v>1.8</v>
      </c>
      <c r="CC176" s="9" t="n">
        <v>2</v>
      </c>
      <c r="CD176" s="9" t="n">
        <v>190.834</v>
      </c>
      <c r="CE176" s="9" t="n">
        <v>73.98</v>
      </c>
      <c r="CF176" s="9" t="n">
        <v>23.32</v>
      </c>
      <c r="CG176" s="9" t="n">
        <v>31.03</v>
      </c>
      <c r="CH176" s="9" t="n">
        <v>7.18</v>
      </c>
      <c r="CI176" s="9" t="n">
        <v>0.53</v>
      </c>
      <c r="CJ176" s="9" t="n">
        <v>5.08</v>
      </c>
      <c r="CK176" s="9" t="n">
        <v>111.51</v>
      </c>
      <c r="CL176" s="9" t="n">
        <v>1.42</v>
      </c>
      <c r="CM176" s="9" t="n">
        <v>253.561</v>
      </c>
      <c r="CN176" s="9" t="n">
        <v>266.91</v>
      </c>
      <c r="CO176" s="9" t="n">
        <v>3</v>
      </c>
      <c r="CP176" s="9" t="n">
        <v>2</v>
      </c>
      <c r="CQ176" s="9" t="n">
        <v>0.5</v>
      </c>
      <c r="CR176" s="9" t="n">
        <v>0.3</v>
      </c>
      <c r="CS176" s="9" t="n">
        <v>0.6</v>
      </c>
      <c r="CT176" s="9" t="n">
        <v>0.8</v>
      </c>
      <c r="CU176" s="9" t="n">
        <v>0.8</v>
      </c>
      <c r="CV176" s="9" t="n">
        <v>0.7</v>
      </c>
      <c r="CW176" s="9" t="n">
        <v>0.5</v>
      </c>
      <c r="CX176" s="9" t="n">
        <v>0.5</v>
      </c>
      <c r="CY176" s="9" t="n">
        <v>1</v>
      </c>
      <c r="CZ176" s="9" t="n">
        <v>0.3</v>
      </c>
      <c r="DA176" s="9" t="n">
        <v>0.8</v>
      </c>
      <c r="DB176" s="9" t="n">
        <v>0.289310750497259</v>
      </c>
      <c r="DC176" s="9" t="n">
        <v>4.427</v>
      </c>
      <c r="DD176" s="9" t="n">
        <v>2.696</v>
      </c>
      <c r="DE176" s="9" t="n">
        <v>8.3232</v>
      </c>
      <c r="DF176" s="9" t="n">
        <v>21.4828507375884</v>
      </c>
      <c r="DG176" s="9" t="n">
        <v>24.8443368466566</v>
      </c>
      <c r="DH176" s="9" t="n">
        <v>15.656114517978</v>
      </c>
      <c r="DI176" s="9" t="n">
        <v>19.9864710972588</v>
      </c>
      <c r="DJ176" s="9" t="n">
        <v>6.877</v>
      </c>
      <c r="DK176" s="9" t="n">
        <v>6.073</v>
      </c>
      <c r="DL176" s="9" t="n">
        <v>14.0388</v>
      </c>
      <c r="DM176" s="9" t="n">
        <v>13.4947462084719</v>
      </c>
      <c r="DN176" s="9" t="n">
        <v>13.4947462084719</v>
      </c>
      <c r="DO176" s="9" t="n">
        <v>0.1385</v>
      </c>
    </row>
    <row r="177" customFormat="false" ht="15" hidden="false" customHeight="false" outlineLevel="0" collapsed="false">
      <c r="A177" s="9" t="s">
        <v>860</v>
      </c>
      <c r="B177" s="9" t="s">
        <v>861</v>
      </c>
      <c r="C177" s="9" t="n">
        <v>0.005</v>
      </c>
      <c r="D177" s="9" t="n">
        <v>0.005</v>
      </c>
      <c r="E177" s="9" t="n">
        <v>0.01</v>
      </c>
      <c r="F177" s="9" t="n">
        <v>0.005</v>
      </c>
      <c r="G177" s="9" t="n">
        <v>0.005</v>
      </c>
      <c r="H177" s="9" t="n">
        <v>0.01</v>
      </c>
      <c r="I177" s="9" t="n">
        <v>0.005</v>
      </c>
      <c r="J177" s="9" t="n">
        <v>0.005</v>
      </c>
      <c r="K177" s="9" t="n">
        <v>0.01</v>
      </c>
      <c r="L177" s="9" t="n">
        <v>0.01</v>
      </c>
      <c r="M177" s="9" t="n">
        <v>0.005</v>
      </c>
      <c r="N177" s="9" t="n">
        <v>1.373349</v>
      </c>
      <c r="O177" s="9" t="n">
        <v>0.77696</v>
      </c>
      <c r="P177" s="9" t="n">
        <v>16.023928</v>
      </c>
      <c r="Q177" s="9" t="n">
        <v>10.0112641871512</v>
      </c>
      <c r="R177" s="9" t="n">
        <v>0.50703837088866</v>
      </c>
      <c r="S177" s="9" t="n">
        <v>1.20334856510854</v>
      </c>
      <c r="T177" s="9" t="n">
        <v>0.838256830074551</v>
      </c>
      <c r="U177" s="9" t="n">
        <v>0.045029</v>
      </c>
      <c r="V177" s="9" t="n">
        <v>0.022155</v>
      </c>
      <c r="W177" s="9" t="n">
        <v>0.030638</v>
      </c>
      <c r="X177" s="9" t="n">
        <v>3.07053574449427</v>
      </c>
      <c r="Y177" s="9" t="n">
        <v>3.07053574449427</v>
      </c>
      <c r="Z177" s="9" t="n">
        <v>1.18</v>
      </c>
      <c r="AA177" s="9" t="n">
        <v>0.34</v>
      </c>
      <c r="AB177" s="9" t="n">
        <v>1.52</v>
      </c>
      <c r="AC177" s="9" t="n">
        <v>0</v>
      </c>
      <c r="AD177" s="9" t="n">
        <v>0</v>
      </c>
      <c r="AE177" s="9" t="n">
        <v>8.602</v>
      </c>
      <c r="AF177" s="9" t="n">
        <v>0.0043576365797957</v>
      </c>
      <c r="AG177" s="9" t="n">
        <v>0.0041742396</v>
      </c>
      <c r="AH177" s="9" t="n">
        <v>0.0041742396</v>
      </c>
      <c r="AI177" s="9" t="n">
        <v>0.0040803192089999</v>
      </c>
      <c r="AJ177" s="9" t="n">
        <v>0</v>
      </c>
      <c r="AK177" s="9" t="n">
        <v>0</v>
      </c>
      <c r="AL177" s="9" t="n">
        <v>0</v>
      </c>
      <c r="AM177" s="9" t="n">
        <v>0</v>
      </c>
      <c r="AN177" s="9" t="n">
        <v>0</v>
      </c>
      <c r="AO177" s="9" t="n">
        <v>29.9878061971512</v>
      </c>
      <c r="AP177" s="9" t="n">
        <v>28.62445428</v>
      </c>
      <c r="AQ177" s="9" t="n">
        <v>28.62445428</v>
      </c>
      <c r="AR177" s="9" t="n">
        <v>27.9804040587</v>
      </c>
      <c r="AS177" s="9" t="n">
        <v>24.6232006793952</v>
      </c>
      <c r="AT177" s="9" t="n">
        <v>25.2212832</v>
      </c>
      <c r="AU177" s="9" t="n">
        <v>25.9373700250695</v>
      </c>
      <c r="AV177" s="9" t="n">
        <v>25.149315912997</v>
      </c>
      <c r="AW177" s="9" t="n">
        <v>15.8093659318418</v>
      </c>
      <c r="AX177" s="9" t="n">
        <v>16.2824652</v>
      </c>
      <c r="AY177" s="9" t="n">
        <v>16.6531304916441</v>
      </c>
      <c r="AZ177" s="9" t="n">
        <v>16.1471590708665</v>
      </c>
      <c r="BA177" s="9" t="n">
        <v>25.2558685880123</v>
      </c>
      <c r="BB177" s="9" t="n">
        <v>24.9144811254758</v>
      </c>
      <c r="BC177" s="9" t="n">
        <v>25.8594907982241</v>
      </c>
      <c r="BD177" s="9" t="n">
        <v>24.811480190325</v>
      </c>
      <c r="BE177" s="9" t="n">
        <v>0.263735647919897</v>
      </c>
      <c r="BF177" s="9" t="n">
        <v>0.25555648</v>
      </c>
      <c r="BG177" s="9" t="n">
        <v>0.25555648</v>
      </c>
      <c r="BH177" s="9" t="n">
        <v>0.2498064592</v>
      </c>
      <c r="BI177" s="9" t="n">
        <v>4.80641357276924</v>
      </c>
      <c r="BJ177" s="9" t="n">
        <v>4.94142622</v>
      </c>
      <c r="BK177" s="9" t="n">
        <v>4.94142622</v>
      </c>
      <c r="BL177" s="9" t="n">
        <v>4.83024413004999</v>
      </c>
      <c r="BM177" s="9" t="n">
        <v>1.06862073210259</v>
      </c>
      <c r="BN177" s="9" t="n">
        <v>1.0760076</v>
      </c>
      <c r="BO177" s="9" t="n">
        <v>1.0760076</v>
      </c>
      <c r="BP177" s="9" t="n">
        <v>1.051797429</v>
      </c>
      <c r="BQ177" s="9" t="n">
        <v>0</v>
      </c>
      <c r="BR177" s="9" t="n">
        <v>1.67308570725458</v>
      </c>
      <c r="BS177" s="9" t="n">
        <v>1.6998408</v>
      </c>
      <c r="BT177" s="9" t="n">
        <v>1.6998408</v>
      </c>
      <c r="BU177" s="9" t="n">
        <v>1.661594382</v>
      </c>
      <c r="BV177" s="9" t="n">
        <v>39.2322658458263</v>
      </c>
      <c r="BW177" s="9" t="n">
        <v>40.0337886392625</v>
      </c>
      <c r="BX177" s="9" t="n">
        <v>39.5921264657742</v>
      </c>
      <c r="BY177" s="9" t="n">
        <v>37.7069325282771</v>
      </c>
      <c r="BZ177" s="9" t="n">
        <v>11.2312685031214</v>
      </c>
      <c r="CA177" s="9" t="n">
        <v>2.34727548314325</v>
      </c>
      <c r="CB177" s="9" t="n">
        <v>1.785</v>
      </c>
      <c r="CC177" s="9" t="n">
        <v>1.8</v>
      </c>
      <c r="CD177" s="9" t="n">
        <v>82.323</v>
      </c>
      <c r="CE177" s="9" t="n">
        <v>6.22</v>
      </c>
      <c r="CF177" s="9" t="n">
        <v>0</v>
      </c>
      <c r="CG177" s="9" t="n">
        <v>0.26</v>
      </c>
      <c r="CH177" s="9" t="n">
        <v>0</v>
      </c>
      <c r="CI177" s="9" t="n">
        <v>0.26</v>
      </c>
      <c r="CJ177" s="9" t="n">
        <v>0.61</v>
      </c>
      <c r="CK177" s="9" t="n">
        <v>11.94</v>
      </c>
      <c r="CL177" s="9" t="n">
        <v>4.85</v>
      </c>
      <c r="CM177" s="9" t="n">
        <v>42.335</v>
      </c>
      <c r="CN177" s="9" t="n">
        <v>40.623</v>
      </c>
      <c r="CO177" s="9" t="n">
        <v>3</v>
      </c>
      <c r="CP177" s="9" t="n">
        <v>4</v>
      </c>
      <c r="CQ177" s="9" t="n">
        <v>0.5</v>
      </c>
      <c r="CR177" s="9" t="n">
        <v>0.3</v>
      </c>
      <c r="CS177" s="9" t="n">
        <v>0.6</v>
      </c>
      <c r="CT177" s="9" t="n">
        <v>0.8</v>
      </c>
      <c r="CU177" s="9" t="n">
        <v>0.8</v>
      </c>
      <c r="CV177" s="9" t="n">
        <v>0.7</v>
      </c>
      <c r="CW177" s="9" t="n">
        <v>0.5</v>
      </c>
      <c r="CX177" s="9" t="n">
        <v>0.5</v>
      </c>
      <c r="CY177" s="9" t="n">
        <v>1</v>
      </c>
      <c r="CZ177" s="9" t="n">
        <v>0.3</v>
      </c>
      <c r="DA177" s="9" t="n">
        <v>0.8</v>
      </c>
      <c r="DB177" s="9" t="n">
        <v>0.664227274927786</v>
      </c>
      <c r="DC177" s="9" t="n">
        <v>6.149</v>
      </c>
      <c r="DD177" s="9" t="n">
        <v>4.659</v>
      </c>
      <c r="DE177" s="9" t="n">
        <v>12.70996</v>
      </c>
      <c r="DF177" s="9" t="n">
        <v>18.1099492990919</v>
      </c>
      <c r="DG177" s="9" t="n">
        <v>26.3420603069969</v>
      </c>
      <c r="DH177" s="9" t="n">
        <v>18.3571254084231</v>
      </c>
      <c r="DI177" s="9" t="n">
        <v>24.4264781904561</v>
      </c>
      <c r="DJ177" s="9" t="n">
        <v>8.176</v>
      </c>
      <c r="DK177" s="9" t="n">
        <v>6.853</v>
      </c>
      <c r="DL177" s="9" t="n">
        <v>19.66396</v>
      </c>
      <c r="DM177" s="9" t="n">
        <v>13.5524319895962</v>
      </c>
      <c r="DN177" s="9" t="n">
        <v>13.5524319895962</v>
      </c>
      <c r="DO177" s="9" t="n">
        <v>0.042</v>
      </c>
    </row>
    <row r="178" customFormat="false" ht="15" hidden="false" customHeight="false" outlineLevel="0" collapsed="false">
      <c r="A178" s="9" t="s">
        <v>693</v>
      </c>
      <c r="B178" s="9" t="s">
        <v>694</v>
      </c>
      <c r="C178" s="9" t="n">
        <v>0.005</v>
      </c>
      <c r="D178" s="9" t="n">
        <v>0.005</v>
      </c>
      <c r="E178" s="9" t="n">
        <v>0.01</v>
      </c>
      <c r="F178" s="9" t="n">
        <v>0.005</v>
      </c>
      <c r="G178" s="9" t="n">
        <v>0.005</v>
      </c>
      <c r="H178" s="9" t="n">
        <v>0.01</v>
      </c>
      <c r="I178" s="9" t="n">
        <v>0.005</v>
      </c>
      <c r="J178" s="9" t="n">
        <v>0.005</v>
      </c>
      <c r="K178" s="9" t="n">
        <v>0.01</v>
      </c>
      <c r="L178" s="9" t="n">
        <v>0.01</v>
      </c>
      <c r="M178" s="9" t="n">
        <v>0.005</v>
      </c>
      <c r="N178" s="9" t="n">
        <v>7.694761</v>
      </c>
      <c r="O178" s="9" t="n">
        <v>1.467504</v>
      </c>
      <c r="P178" s="9" t="n">
        <v>79.046308</v>
      </c>
      <c r="Q178" s="9" t="n">
        <v>6.36966858192705</v>
      </c>
      <c r="R178" s="9" t="n">
        <v>1.08876989076842</v>
      </c>
      <c r="S178" s="9" t="n">
        <v>7.63448834395876</v>
      </c>
      <c r="T178" s="9" t="n">
        <v>6.02765234068091</v>
      </c>
      <c r="U178" s="9" t="n">
        <v>0.375487</v>
      </c>
      <c r="V178" s="9" t="n">
        <v>1.182382</v>
      </c>
      <c r="W178" s="9" t="n">
        <v>0.153038</v>
      </c>
      <c r="X178" s="9" t="n">
        <v>4.76651598891766</v>
      </c>
      <c r="Y178" s="9" t="n">
        <v>4.76651598891766</v>
      </c>
      <c r="Z178" s="9" t="n">
        <v>771.16</v>
      </c>
      <c r="AA178" s="9" t="n">
        <v>211.61</v>
      </c>
      <c r="AB178" s="9" t="n">
        <v>158.83</v>
      </c>
      <c r="AC178" s="9" t="n">
        <v>3</v>
      </c>
      <c r="AD178" s="9" t="n">
        <v>39.7410093040484</v>
      </c>
      <c r="AE178" s="9" t="n">
        <v>5445.106</v>
      </c>
      <c r="AF178" s="9" t="n">
        <v>579.889977327387</v>
      </c>
      <c r="AG178" s="9" t="n">
        <v>493.1996976432</v>
      </c>
      <c r="AH178" s="9" t="n">
        <v>524.641178367954</v>
      </c>
      <c r="AI178" s="9" t="n">
        <v>524.641178367954</v>
      </c>
      <c r="AJ178" s="9" t="n">
        <v>8599.92380205236</v>
      </c>
      <c r="AK178" s="9" t="n">
        <v>140.754786248015</v>
      </c>
      <c r="AL178" s="9" t="n">
        <v>119.1272674212</v>
      </c>
      <c r="AM178" s="9" t="n">
        <v>126.721630719302</v>
      </c>
      <c r="AN178" s="9" t="n">
        <v>126.721630719302</v>
      </c>
      <c r="AO178" s="9" t="n">
        <v>6864.86947687003</v>
      </c>
      <c r="AP178" s="9" t="n">
        <v>6055.82803512854</v>
      </c>
      <c r="AQ178" s="9" t="n">
        <v>6441.88707236798</v>
      </c>
      <c r="AR178" s="9" t="n">
        <v>6441.88707236798</v>
      </c>
      <c r="AS178" s="9" t="n">
        <v>9309.81933494006</v>
      </c>
      <c r="AT178" s="9" t="n">
        <v>8452.475146134</v>
      </c>
      <c r="AU178" s="9" t="n">
        <v>9029.60241889534</v>
      </c>
      <c r="AV178" s="9" t="n">
        <v>9016.70421944965</v>
      </c>
      <c r="AW178" s="9" t="n">
        <v>5900.7116018199</v>
      </c>
      <c r="AX178" s="9" t="n">
        <v>5365.0761185088</v>
      </c>
      <c r="AY178" s="9" t="n">
        <v>5723.15654462346</v>
      </c>
      <c r="AZ178" s="9" t="n">
        <v>5714.85017359942</v>
      </c>
      <c r="BA178" s="9" t="n">
        <v>16583.0298733713</v>
      </c>
      <c r="BB178" s="9" t="n">
        <v>14801.1367270595</v>
      </c>
      <c r="BC178" s="9" t="n">
        <v>14906.7230395593</v>
      </c>
      <c r="BD178" s="9" t="n">
        <v>15774.0236060685</v>
      </c>
      <c r="BE178" s="9" t="n">
        <v>1864.51157773268</v>
      </c>
      <c r="BF178" s="9" t="n">
        <v>1634.73568553661</v>
      </c>
      <c r="BG178" s="9" t="n">
        <v>1738.95008548956</v>
      </c>
      <c r="BH178" s="9" t="n">
        <v>1738.95008548956</v>
      </c>
      <c r="BI178" s="9" t="n">
        <v>209.724099888046</v>
      </c>
      <c r="BJ178" s="9" t="n">
        <v>184.658328</v>
      </c>
      <c r="BK178" s="9" t="n">
        <v>196.43029641</v>
      </c>
      <c r="BL178" s="9" t="n">
        <v>196.43029641</v>
      </c>
      <c r="BM178" s="9" t="n">
        <v>10329.9566411781</v>
      </c>
      <c r="BN178" s="9" t="n">
        <v>8825.8331742984</v>
      </c>
      <c r="BO178" s="9" t="n">
        <v>9388.48003915992</v>
      </c>
      <c r="BP178" s="9" t="n">
        <v>9388.48003915992</v>
      </c>
      <c r="BQ178" s="9" t="n">
        <v>13159.987138388</v>
      </c>
      <c r="BR178" s="9" t="n">
        <v>10308.220934408</v>
      </c>
      <c r="BS178" s="9" t="n">
        <v>8831.9071995192</v>
      </c>
      <c r="BT178" s="9" t="n">
        <v>9394.94128348855</v>
      </c>
      <c r="BU178" s="9" t="n">
        <v>9394.94128348855</v>
      </c>
      <c r="BV178" s="9" t="n">
        <v>4607.28226612257</v>
      </c>
      <c r="BW178" s="9" t="n">
        <v>4291.7178586023</v>
      </c>
      <c r="BX178" s="9" t="n">
        <v>4159.43707203826</v>
      </c>
      <c r="BY178" s="9" t="n">
        <v>4174.14054852996</v>
      </c>
      <c r="BZ178" s="9" t="n">
        <v>4225.14748243332</v>
      </c>
      <c r="CA178" s="9" t="n">
        <v>0.884474739771154</v>
      </c>
      <c r="CB178" s="9" t="n">
        <v>2.117</v>
      </c>
      <c r="CC178" s="9" t="n">
        <v>2.324</v>
      </c>
      <c r="CD178" s="9" t="n">
        <v>29298.025</v>
      </c>
      <c r="CE178" s="9" t="n">
        <v>1090.37</v>
      </c>
      <c r="CF178" s="9" t="n">
        <v>737.15</v>
      </c>
      <c r="CG178" s="9" t="n">
        <v>2576.21</v>
      </c>
      <c r="CH178" s="9" t="n">
        <v>1807.34</v>
      </c>
      <c r="CI178" s="9" t="n">
        <v>31.72</v>
      </c>
      <c r="CJ178" s="9" t="n">
        <v>388.82</v>
      </c>
      <c r="CK178" s="9" t="n">
        <v>4519.79</v>
      </c>
      <c r="CL178" s="9" t="n">
        <v>464.39</v>
      </c>
      <c r="CM178" s="9" t="n">
        <v>6817.344</v>
      </c>
      <c r="CN178" s="9" t="n">
        <v>6080.938</v>
      </c>
      <c r="CO178" s="9" t="n">
        <v>1</v>
      </c>
      <c r="CP178" s="9" t="n">
        <v>4</v>
      </c>
      <c r="CQ178" s="9" t="n">
        <v>0.5</v>
      </c>
      <c r="CR178" s="9" t="n">
        <v>0.3</v>
      </c>
      <c r="CS178" s="9" t="n">
        <v>0.6</v>
      </c>
      <c r="CT178" s="9" t="n">
        <v>0.8</v>
      </c>
      <c r="CU178" s="9" t="n">
        <v>0.8</v>
      </c>
      <c r="CV178" s="9" t="n">
        <v>0.7</v>
      </c>
      <c r="CW178" s="9" t="n">
        <v>0.5</v>
      </c>
      <c r="CX178" s="9" t="n">
        <v>0.5</v>
      </c>
      <c r="CY178" s="9" t="n">
        <v>1</v>
      </c>
      <c r="CZ178" s="9" t="n">
        <v>0.3</v>
      </c>
      <c r="DA178" s="9" t="n">
        <v>0.8</v>
      </c>
      <c r="DB178" s="9" t="n">
        <v>1</v>
      </c>
      <c r="DC178" s="9" t="n">
        <v>2.845</v>
      </c>
      <c r="DD178" s="9" t="n">
        <v>1.746</v>
      </c>
      <c r="DE178" s="9" t="n">
        <v>6.01126</v>
      </c>
      <c r="DF178" s="9" t="n">
        <v>17.6802960381754</v>
      </c>
      <c r="DG178" s="9" t="n">
        <v>22.9087491070852</v>
      </c>
      <c r="DH178" s="9" t="n">
        <v>18.6267496614924</v>
      </c>
      <c r="DI178" s="9" t="n">
        <v>21.34222836093</v>
      </c>
      <c r="DJ178" s="9" t="n">
        <v>8.52</v>
      </c>
      <c r="DK178" s="9" t="n">
        <v>2.492</v>
      </c>
      <c r="DL178" s="9" t="n">
        <v>12.69448</v>
      </c>
      <c r="DM178" s="9" t="n">
        <v>10.8908294702266</v>
      </c>
      <c r="DN178" s="9" t="n">
        <v>10.8908294702266</v>
      </c>
      <c r="DO178" s="9" t="n">
        <v>0.05705</v>
      </c>
    </row>
    <row r="179" customFormat="false" ht="15" hidden="false" customHeight="false" outlineLevel="0" collapsed="false">
      <c r="A179" s="9" t="s">
        <v>810</v>
      </c>
      <c r="B179" s="9" t="s">
        <v>811</v>
      </c>
      <c r="C179" s="9" t="n">
        <v>0.005</v>
      </c>
      <c r="D179" s="9" t="n">
        <v>0.005</v>
      </c>
      <c r="E179" s="9" t="n">
        <v>0.01</v>
      </c>
      <c r="F179" s="9" t="n">
        <v>0.005</v>
      </c>
      <c r="G179" s="9" t="n">
        <v>0.005</v>
      </c>
      <c r="H179" s="9" t="n">
        <v>0.01</v>
      </c>
      <c r="I179" s="9" t="n">
        <v>0.005</v>
      </c>
      <c r="J179" s="9" t="n">
        <v>0.005</v>
      </c>
      <c r="K179" s="9" t="n">
        <v>0.01</v>
      </c>
      <c r="L179" s="9" t="n">
        <v>0.01</v>
      </c>
      <c r="M179" s="9" t="n">
        <v>0.005</v>
      </c>
      <c r="N179" s="9" t="n">
        <v>23.812033</v>
      </c>
      <c r="O179" s="9" t="n">
        <v>4.686832</v>
      </c>
      <c r="P179" s="9" t="n">
        <v>183.881095</v>
      </c>
      <c r="Q179" s="9" t="n">
        <v>23.6807749203047</v>
      </c>
      <c r="R179" s="9" t="n">
        <v>5.85105865814273</v>
      </c>
      <c r="S179" s="9" t="n">
        <v>9.09220241093131</v>
      </c>
      <c r="T179" s="9" t="n">
        <v>10.0278170370149</v>
      </c>
      <c r="U179" s="9" t="n">
        <v>1.38186</v>
      </c>
      <c r="V179" s="9" t="n">
        <v>0.031679</v>
      </c>
      <c r="W179" s="9" t="n">
        <v>0.453017</v>
      </c>
      <c r="X179" s="9" t="n">
        <v>21.1735888520633</v>
      </c>
      <c r="Y179" s="9" t="n">
        <v>21.1735888520633</v>
      </c>
      <c r="Z179" s="9" t="n">
        <v>16.88</v>
      </c>
      <c r="AA179" s="9" t="n">
        <v>5.93</v>
      </c>
      <c r="AB179" s="9" t="n">
        <v>1.65</v>
      </c>
      <c r="AC179" s="9" t="n">
        <v>3</v>
      </c>
      <c r="AD179" s="9" t="n">
        <v>0</v>
      </c>
      <c r="AE179" s="9" t="n">
        <v>146.738</v>
      </c>
      <c r="AF179" s="9" t="n">
        <v>30.4338981145042</v>
      </c>
      <c r="AG179" s="9" t="n">
        <v>29.2527026784</v>
      </c>
      <c r="AH179" s="9" t="n">
        <v>29.2527026784</v>
      </c>
      <c r="AI179" s="9" t="n">
        <v>28.537636612928</v>
      </c>
      <c r="AJ179" s="9" t="n">
        <v>362.147516094897</v>
      </c>
      <c r="AK179" s="9" t="n">
        <v>16.9938113140782</v>
      </c>
      <c r="AL179" s="9" t="n">
        <v>16.783457688</v>
      </c>
      <c r="AM179" s="9" t="n">
        <v>16.783457688</v>
      </c>
      <c r="AN179" s="9" t="n">
        <v>16.37319538896</v>
      </c>
      <c r="AO179" s="9" t="n">
        <v>44.307231433214</v>
      </c>
      <c r="AP179" s="9" t="n">
        <v>42.61964088</v>
      </c>
      <c r="AQ179" s="9" t="n">
        <v>42.61964088</v>
      </c>
      <c r="AR179" s="9" t="n">
        <v>41.5778274362667</v>
      </c>
      <c r="AS179" s="9" t="n">
        <v>187.884168752078</v>
      </c>
      <c r="AT179" s="9" t="n">
        <v>144.6118459128</v>
      </c>
      <c r="AU179" s="9" t="n">
        <v>158.416073192501</v>
      </c>
      <c r="AV179" s="9" t="n">
        <v>170.852206833997</v>
      </c>
      <c r="AW179" s="9" t="n">
        <v>71.7219148679008</v>
      </c>
      <c r="AX179" s="9" t="n">
        <v>55.662480234</v>
      </c>
      <c r="AY179" s="9" t="n">
        <v>60.4895876229695</v>
      </c>
      <c r="AZ179" s="9" t="n">
        <v>65.2278356634828</v>
      </c>
      <c r="BA179" s="9" t="n">
        <v>56.3796781815537</v>
      </c>
      <c r="BB179" s="9" t="n">
        <v>51.248597532379</v>
      </c>
      <c r="BC179" s="9" t="n">
        <v>48.4971578092232</v>
      </c>
      <c r="BD179" s="9" t="n">
        <v>48.6352471112222</v>
      </c>
      <c r="BE179" s="9" t="n">
        <v>0.0317424655050796</v>
      </c>
      <c r="BF179" s="9" t="n">
        <v>0.0306303464229239</v>
      </c>
      <c r="BG179" s="9" t="n">
        <v>0.0306303464229239</v>
      </c>
      <c r="BH179" s="9" t="n">
        <v>0.0298816046214747</v>
      </c>
      <c r="BI179" s="9" t="n">
        <v>18.9840329311744</v>
      </c>
      <c r="BJ179" s="9" t="n">
        <v>18.1082318160173</v>
      </c>
      <c r="BK179" s="9" t="n">
        <v>18.1082318160173</v>
      </c>
      <c r="BL179" s="9" t="n">
        <v>17.6655861494035</v>
      </c>
      <c r="BM179" s="9" t="n">
        <v>522.221359774046</v>
      </c>
      <c r="BN179" s="9" t="n">
        <v>526.3225275168</v>
      </c>
      <c r="BO179" s="9" t="n">
        <v>526.3225275168</v>
      </c>
      <c r="BP179" s="9" t="n">
        <v>513.456865733056</v>
      </c>
      <c r="BQ179" s="9" t="n">
        <v>451.715815432209</v>
      </c>
      <c r="BR179" s="9" t="n">
        <v>562.36971973929</v>
      </c>
      <c r="BS179" s="9" t="n">
        <v>572.4115546068</v>
      </c>
      <c r="BT179" s="9" t="n">
        <v>572.4115546068</v>
      </c>
      <c r="BU179" s="9" t="n">
        <v>558.419272160856</v>
      </c>
      <c r="BV179" s="9" t="n">
        <v>53.2431560306984</v>
      </c>
      <c r="BW179" s="9" t="n">
        <v>66.0750212118932</v>
      </c>
      <c r="BX179" s="9" t="n">
        <v>49.3093680404546</v>
      </c>
      <c r="BY179" s="9" t="n">
        <v>48.453331453253</v>
      </c>
      <c r="BZ179" s="9" t="n">
        <v>72.1128010055497</v>
      </c>
      <c r="CA179" s="9" t="n">
        <v>3.38636649622982</v>
      </c>
      <c r="CB179" s="9" t="n">
        <v>7.7</v>
      </c>
      <c r="CC179" s="9" t="n">
        <v>6.474</v>
      </c>
      <c r="CD179" s="9" t="n">
        <v>121.352</v>
      </c>
      <c r="CE179" s="9" t="n">
        <v>6.3</v>
      </c>
      <c r="CF179" s="9" t="n">
        <v>5.7</v>
      </c>
      <c r="CG179" s="9" t="n">
        <v>69.9</v>
      </c>
      <c r="CH179" s="9" t="n">
        <v>62.7</v>
      </c>
      <c r="CI179" s="9" t="n">
        <v>1.5</v>
      </c>
      <c r="CJ179" s="9" t="n">
        <v>6.5</v>
      </c>
      <c r="CK179" s="9" t="n">
        <v>86.7</v>
      </c>
      <c r="CL179" s="9" t="n">
        <v>4</v>
      </c>
      <c r="CM179" s="9" t="n">
        <v>243.852</v>
      </c>
      <c r="CN179" s="9" t="n">
        <v>240.486</v>
      </c>
      <c r="CO179" s="9" t="n">
        <v>3</v>
      </c>
      <c r="CP179" s="9" t="n">
        <v>2</v>
      </c>
      <c r="CQ179" s="9" t="n">
        <v>0.5</v>
      </c>
      <c r="CR179" s="9" t="n">
        <v>0.3</v>
      </c>
      <c r="CS179" s="9" t="n">
        <v>0.6</v>
      </c>
      <c r="CT179" s="9" t="n">
        <v>0.8</v>
      </c>
      <c r="CU179" s="9" t="n">
        <v>0.8</v>
      </c>
      <c r="CV179" s="9" t="n">
        <v>0.7</v>
      </c>
      <c r="CW179" s="9" t="n">
        <v>0.5</v>
      </c>
      <c r="CX179" s="9" t="n">
        <v>0.5</v>
      </c>
      <c r="CY179" s="9" t="n">
        <v>1</v>
      </c>
      <c r="CZ179" s="9" t="n">
        <v>0.3</v>
      </c>
      <c r="DA179" s="9" t="n">
        <v>0.8</v>
      </c>
      <c r="DB179" s="9" t="n">
        <v>0.266594609319563</v>
      </c>
      <c r="DC179" s="9" t="n">
        <v>4.569</v>
      </c>
      <c r="DD179" s="9" t="n">
        <v>2.783</v>
      </c>
      <c r="DE179" s="9" t="n">
        <v>8.5764</v>
      </c>
      <c r="DF179" s="9" t="n">
        <v>22.3857285617797</v>
      </c>
      <c r="DG179" s="9" t="n">
        <v>24.2920879594758</v>
      </c>
      <c r="DH179" s="9" t="n">
        <v>15.7653099562912</v>
      </c>
      <c r="DI179" s="9" t="n">
        <v>21.8266019396964</v>
      </c>
      <c r="DJ179" s="9" t="n">
        <v>15.077</v>
      </c>
      <c r="DK179" s="9" t="n">
        <v>15.773</v>
      </c>
      <c r="DL179" s="9" t="n">
        <v>13.0404</v>
      </c>
      <c r="DM179" s="9" t="n">
        <v>13.4963393343639</v>
      </c>
      <c r="DN179" s="9" t="n">
        <v>13.4963393343639</v>
      </c>
      <c r="DO179" s="9" t="n">
        <v>0.105</v>
      </c>
    </row>
    <row r="180" customFormat="false" ht="15" hidden="false" customHeight="false" outlineLevel="0" collapsed="false">
      <c r="A180" s="9" t="s">
        <v>1052</v>
      </c>
      <c r="B180" s="9" t="s">
        <v>1053</v>
      </c>
      <c r="C180" s="9" t="n">
        <v>0.005</v>
      </c>
      <c r="D180" s="9" t="n">
        <v>0.005</v>
      </c>
      <c r="E180" s="9" t="n">
        <v>0.01</v>
      </c>
      <c r="F180" s="9" t="n">
        <v>0.005</v>
      </c>
      <c r="G180" s="9" t="n">
        <v>0.005</v>
      </c>
      <c r="H180" s="9" t="n">
        <v>0.01</v>
      </c>
      <c r="I180" s="9" t="n">
        <v>0.005</v>
      </c>
      <c r="J180" s="9" t="n">
        <v>0.005</v>
      </c>
      <c r="K180" s="9" t="n">
        <v>0.01</v>
      </c>
      <c r="L180" s="9" t="n">
        <v>0.01</v>
      </c>
      <c r="M180" s="9" t="n">
        <v>0.005</v>
      </c>
      <c r="N180" s="9" t="n">
        <v>0.137053</v>
      </c>
      <c r="O180" s="9" t="n">
        <v>0.194684</v>
      </c>
      <c r="P180" s="9" t="n">
        <v>1.98186</v>
      </c>
      <c r="Q180" s="9" t="n">
        <v>1.17623747190992</v>
      </c>
      <c r="R180" s="9" t="n">
        <v>0.167344681430288</v>
      </c>
      <c r="S180" s="9" t="n">
        <v>0.136216143572661</v>
      </c>
      <c r="T180" s="9" t="n">
        <v>0.137045876013576</v>
      </c>
      <c r="U180" s="9" t="n">
        <v>0.021729</v>
      </c>
      <c r="V180" s="9" t="n">
        <v>0.002914</v>
      </c>
      <c r="W180" s="9" t="n">
        <v>0.006851</v>
      </c>
      <c r="X180" s="9" t="n">
        <v>0.325618869628984</v>
      </c>
      <c r="Y180" s="9" t="n">
        <v>0.325618869628984</v>
      </c>
      <c r="Z180" s="9" t="n">
        <v>0.05</v>
      </c>
      <c r="AA180" s="9" t="n">
        <v>0.01</v>
      </c>
      <c r="AB180" s="9" t="n">
        <v>0</v>
      </c>
      <c r="AC180" s="9" t="n">
        <v>0</v>
      </c>
      <c r="AD180" s="9" t="n">
        <v>0</v>
      </c>
      <c r="AE180" s="9" t="n">
        <v>0.083</v>
      </c>
      <c r="AF180" s="9" t="n">
        <v>0</v>
      </c>
      <c r="AG180" s="9" t="n">
        <v>0</v>
      </c>
      <c r="AH180" s="9" t="n">
        <v>0</v>
      </c>
      <c r="AI180" s="9" t="n">
        <v>0</v>
      </c>
      <c r="AJ180" s="9" t="n">
        <v>0</v>
      </c>
      <c r="AK180" s="9" t="n">
        <v>0</v>
      </c>
      <c r="AL180" s="9" t="n">
        <v>0</v>
      </c>
      <c r="AM180" s="9" t="n">
        <v>0</v>
      </c>
      <c r="AN180" s="9" t="n">
        <v>0</v>
      </c>
      <c r="AO180" s="9" t="n">
        <v>0</v>
      </c>
      <c r="AP180" s="9" t="n">
        <v>0</v>
      </c>
      <c r="AQ180" s="9" t="n">
        <v>0</v>
      </c>
      <c r="AR180" s="9" t="n">
        <v>0</v>
      </c>
      <c r="AS180" s="9" t="n">
        <v>0.247226667421409</v>
      </c>
      <c r="AT180" s="9" t="n">
        <v>0.23216266548</v>
      </c>
      <c r="AU180" s="9" t="n">
        <v>0.233877202400333</v>
      </c>
      <c r="AV180" s="9" t="n">
        <v>0.236413992859324</v>
      </c>
      <c r="AW180" s="9" t="n">
        <v>0.287770203412603</v>
      </c>
      <c r="AX180" s="9" t="n">
        <v>0.26429133132</v>
      </c>
      <c r="AY180" s="9" t="n">
        <v>0.272231514546096</v>
      </c>
      <c r="AZ180" s="9" t="n">
        <v>0.27518432183834</v>
      </c>
      <c r="BA180" s="9" t="n">
        <v>1.69448409985694</v>
      </c>
      <c r="BB180" s="9" t="n">
        <v>1.68691704686579</v>
      </c>
      <c r="BC180" s="9" t="n">
        <v>1.45950862159729</v>
      </c>
      <c r="BD180" s="9" t="n">
        <v>1.58544583173333</v>
      </c>
      <c r="BE180" s="9" t="n">
        <v>0</v>
      </c>
      <c r="BF180" s="9" t="n">
        <v>0</v>
      </c>
      <c r="BG180" s="9" t="n">
        <v>0</v>
      </c>
      <c r="BH180" s="9" t="n">
        <v>0</v>
      </c>
      <c r="BI180" s="9" t="n">
        <v>0.197489788611944</v>
      </c>
      <c r="BJ180" s="9" t="n">
        <v>0.179750999999999</v>
      </c>
      <c r="BK180" s="9" t="n">
        <v>0.191734399999999</v>
      </c>
      <c r="BL180" s="9" t="n">
        <v>0.187580154666666</v>
      </c>
      <c r="BM180" s="9" t="n">
        <v>0</v>
      </c>
      <c r="BN180" s="9" t="n">
        <v>0</v>
      </c>
      <c r="BO180" s="9" t="n">
        <v>0</v>
      </c>
      <c r="BP180" s="9" t="n">
        <v>0</v>
      </c>
      <c r="BQ180" s="9" t="n">
        <v>0</v>
      </c>
      <c r="BR180" s="9" t="n">
        <v>0</v>
      </c>
      <c r="BS180" s="9" t="n">
        <v>0</v>
      </c>
      <c r="BT180" s="9" t="n">
        <v>0</v>
      </c>
      <c r="BU180" s="9" t="n">
        <v>0</v>
      </c>
      <c r="BV180" s="9" t="n">
        <v>1.47368335939644</v>
      </c>
      <c r="BW180" s="9" t="n">
        <v>1.56945605316939</v>
      </c>
      <c r="BX180" s="9" t="n">
        <v>1.56160089477864</v>
      </c>
      <c r="BY180" s="9" t="n">
        <v>1.51990135079926</v>
      </c>
      <c r="BZ180" s="9" t="n">
        <v>0.148610241898337</v>
      </c>
      <c r="CA180" s="9" t="n">
        <v>-0.317460317460324</v>
      </c>
      <c r="CB180" s="9" t="n">
        <v>3.39</v>
      </c>
      <c r="CC180" s="9" t="n">
        <v>3</v>
      </c>
      <c r="CD180" s="9" t="n">
        <v>1.126</v>
      </c>
      <c r="CE180" s="9" t="n">
        <v>0.02</v>
      </c>
      <c r="CF180" s="9" t="n">
        <v>0</v>
      </c>
      <c r="CG180" s="9" t="n">
        <v>0.13</v>
      </c>
      <c r="CH180" s="9" t="n">
        <v>0</v>
      </c>
      <c r="CI180" s="9" t="n">
        <v>0.13</v>
      </c>
      <c r="CJ180" s="9" t="n">
        <v>0</v>
      </c>
      <c r="CK180" s="9" t="n">
        <v>0.15</v>
      </c>
      <c r="CL180" s="9" t="n">
        <v>0</v>
      </c>
      <c r="CM180" s="9" t="n">
        <v>0.152</v>
      </c>
      <c r="CN180" s="9" t="n">
        <v>0.152</v>
      </c>
      <c r="CO180" s="9" t="n">
        <v>3</v>
      </c>
      <c r="CP180" s="9" t="n">
        <v>3</v>
      </c>
      <c r="CQ180" s="9" t="n">
        <v>0.5</v>
      </c>
      <c r="CR180" s="9" t="n">
        <v>0.3</v>
      </c>
      <c r="CS180" s="9" t="n">
        <v>0.6</v>
      </c>
      <c r="CT180" s="9" t="n">
        <v>0.8</v>
      </c>
      <c r="CU180" s="9" t="n">
        <v>0.8</v>
      </c>
      <c r="CV180" s="9" t="n">
        <v>0.7</v>
      </c>
      <c r="CW180" s="9" t="n">
        <v>0.5</v>
      </c>
      <c r="CX180" s="9" t="n">
        <v>0.5</v>
      </c>
      <c r="CY180" s="9" t="n">
        <v>1</v>
      </c>
      <c r="CZ180" s="9" t="n">
        <v>0.3</v>
      </c>
      <c r="DA180" s="9" t="n">
        <v>0.8</v>
      </c>
      <c r="DB180" s="9" t="n">
        <v>0.517939282428703</v>
      </c>
      <c r="DC180" s="9" t="n">
        <v>7.124</v>
      </c>
      <c r="DD180" s="9" t="n">
        <v>5.575</v>
      </c>
      <c r="DE180" s="9" t="n">
        <v>14.14388</v>
      </c>
      <c r="DF180" s="9" t="n">
        <v>17.5625864890352</v>
      </c>
      <c r="DG180" s="9" t="n">
        <v>25.0776814468738</v>
      </c>
      <c r="DH180" s="9" t="n">
        <v>15.0468241052648</v>
      </c>
      <c r="DI180" s="9" t="n">
        <v>24.0282189181573</v>
      </c>
      <c r="DJ180" s="9" t="n">
        <v>8.095</v>
      </c>
      <c r="DK180" s="9" t="n">
        <v>6.771</v>
      </c>
      <c r="DL180" s="9" t="n">
        <v>18.60176</v>
      </c>
      <c r="DM180" s="9" t="n">
        <v>13.5422211276769</v>
      </c>
      <c r="DN180" s="9" t="n">
        <v>13.5422211276769</v>
      </c>
      <c r="DO180" s="9" t="n">
        <v>0.105</v>
      </c>
    </row>
    <row r="181" customFormat="false" ht="15" hidden="false" customHeight="false" outlineLevel="0" collapsed="false">
      <c r="A181" s="9" t="s">
        <v>820</v>
      </c>
      <c r="B181" s="9" t="s">
        <v>821</v>
      </c>
      <c r="C181" s="9" t="n">
        <v>0.005</v>
      </c>
      <c r="D181" s="9" t="n">
        <v>0.005</v>
      </c>
      <c r="E181" s="9" t="n">
        <v>0.01</v>
      </c>
      <c r="F181" s="9" t="n">
        <v>0.005</v>
      </c>
      <c r="G181" s="9" t="n">
        <v>0.005</v>
      </c>
      <c r="H181" s="9" t="n">
        <v>0.01</v>
      </c>
      <c r="I181" s="9" t="n">
        <v>0.005</v>
      </c>
      <c r="J181" s="9" t="n">
        <v>0.005</v>
      </c>
      <c r="K181" s="9" t="n">
        <v>0.01</v>
      </c>
      <c r="L181" s="9" t="n">
        <v>0.01</v>
      </c>
      <c r="M181" s="9" t="n">
        <v>0.005</v>
      </c>
      <c r="N181" s="9" t="n">
        <v>0.584606</v>
      </c>
      <c r="O181" s="9" t="n">
        <v>0.793051</v>
      </c>
      <c r="P181" s="9" t="n">
        <v>17.767773</v>
      </c>
      <c r="Q181" s="9" t="n">
        <v>4.0716510627778</v>
      </c>
      <c r="R181" s="9" t="n">
        <v>0.72888731800694</v>
      </c>
      <c r="S181" s="9" t="n">
        <v>1.24099211625922</v>
      </c>
      <c r="T181" s="9" t="n">
        <v>0.23394386590373</v>
      </c>
      <c r="U181" s="9" t="n">
        <v>0.028472</v>
      </c>
      <c r="V181" s="9" t="n">
        <v>0.024452</v>
      </c>
      <c r="W181" s="9" t="n">
        <v>0.031448</v>
      </c>
      <c r="X181" s="9" t="n">
        <v>1.27337403947871</v>
      </c>
      <c r="Y181" s="9" t="n">
        <v>1.27337403947871</v>
      </c>
      <c r="Z181" s="9" t="n">
        <v>17.07</v>
      </c>
      <c r="AA181" s="9" t="n">
        <v>0</v>
      </c>
      <c r="AB181" s="9" t="n">
        <v>0.05</v>
      </c>
      <c r="AC181" s="9" t="n">
        <v>3</v>
      </c>
      <c r="AD181" s="9" t="n">
        <v>0.0470579035398063</v>
      </c>
      <c r="AE181" s="9" t="n">
        <v>113.681</v>
      </c>
      <c r="AF181" s="9" t="n">
        <v>2.38270059105335</v>
      </c>
      <c r="AG181" s="9" t="n">
        <v>2.2239569844</v>
      </c>
      <c r="AH181" s="9" t="n">
        <v>2.39755628310566</v>
      </c>
      <c r="AI181" s="9" t="n">
        <v>2.33761737602801</v>
      </c>
      <c r="AJ181" s="9" t="n">
        <v>0</v>
      </c>
      <c r="AK181" s="9" t="n">
        <v>0</v>
      </c>
      <c r="AL181" s="9" t="n">
        <v>0</v>
      </c>
      <c r="AM181" s="9" t="n">
        <v>0</v>
      </c>
      <c r="AN181" s="9" t="n">
        <v>0</v>
      </c>
      <c r="AO181" s="9" t="n">
        <v>30.6659226969717</v>
      </c>
      <c r="AP181" s="9" t="n">
        <v>28.16788255</v>
      </c>
      <c r="AQ181" s="9" t="n">
        <v>30.3666322070319</v>
      </c>
      <c r="AR181" s="9" t="n">
        <v>29.6074664018561</v>
      </c>
      <c r="AS181" s="9" t="n">
        <v>183.302978452314</v>
      </c>
      <c r="AT181" s="9" t="n">
        <v>119.984330502</v>
      </c>
      <c r="AU181" s="9" t="n">
        <v>143.918742190508</v>
      </c>
      <c r="AV181" s="9" t="n">
        <v>148.542940292397</v>
      </c>
      <c r="AW181" s="9" t="n">
        <v>80.0622455884247</v>
      </c>
      <c r="AX181" s="9" t="n">
        <v>53.4145747536</v>
      </c>
      <c r="AY181" s="9" t="n">
        <v>62.8588075952866</v>
      </c>
      <c r="AZ181" s="9" t="n">
        <v>64.8766729832165</v>
      </c>
      <c r="BA181" s="9" t="n">
        <v>134.709973925336</v>
      </c>
      <c r="BB181" s="9" t="n">
        <v>98.9647549585511</v>
      </c>
      <c r="BC181" s="9" t="n">
        <v>172.493539616411</v>
      </c>
      <c r="BD181" s="9" t="n">
        <v>132.267310783005</v>
      </c>
      <c r="BE181" s="9" t="n">
        <v>0.0662387909328241</v>
      </c>
      <c r="BF181" s="9" t="n">
        <v>0.0609151437108793</v>
      </c>
      <c r="BG181" s="9" t="n">
        <v>0.0656701035877744</v>
      </c>
      <c r="BH181" s="9" t="n">
        <v>0.0640283509980801</v>
      </c>
      <c r="BI181" s="9" t="n">
        <v>20.6911972875519</v>
      </c>
      <c r="BJ181" s="9" t="n">
        <v>19.40532298</v>
      </c>
      <c r="BK181" s="9" t="n">
        <v>20.9200782041859</v>
      </c>
      <c r="BL181" s="9" t="n">
        <v>20.3970762490813</v>
      </c>
      <c r="BM181" s="9" t="n">
        <v>318.102087361216</v>
      </c>
      <c r="BN181" s="9" t="n">
        <v>298.2460825404</v>
      </c>
      <c r="BO181" s="9" t="n">
        <v>321.526798459773</v>
      </c>
      <c r="BP181" s="9" t="n">
        <v>313.488628498279</v>
      </c>
      <c r="BQ181" s="9" t="n">
        <v>439.141067338473</v>
      </c>
      <c r="BR181" s="9" t="n">
        <v>28.0654326912921</v>
      </c>
      <c r="BS181" s="9" t="n">
        <v>26.441986608</v>
      </c>
      <c r="BT181" s="9" t="n">
        <v>28.5060149879246</v>
      </c>
      <c r="BU181" s="9" t="n">
        <v>27.7933646132265</v>
      </c>
      <c r="BV181" s="9" t="n">
        <v>90.5245530541848</v>
      </c>
      <c r="BW181" s="9" t="n">
        <v>149.692262305624</v>
      </c>
      <c r="BX181" s="9" t="n">
        <v>89.6196112557903</v>
      </c>
      <c r="BY181" s="9" t="n">
        <v>86.1671382283</v>
      </c>
      <c r="BZ181" s="9" t="n">
        <v>73.1570066779831</v>
      </c>
      <c r="CA181" s="9" t="n">
        <v>3.96796621944985</v>
      </c>
      <c r="CB181" s="9" t="n">
        <v>1.533</v>
      </c>
      <c r="CC181" s="9" t="n">
        <v>4.043</v>
      </c>
      <c r="CD181" s="9" t="n">
        <v>120.566</v>
      </c>
      <c r="CE181" s="9" t="n">
        <v>73</v>
      </c>
      <c r="CF181" s="9" t="n">
        <v>0</v>
      </c>
      <c r="CG181" s="9" t="n">
        <v>7.1</v>
      </c>
      <c r="CH181" s="9" t="n">
        <v>3.6</v>
      </c>
      <c r="CI181" s="9" t="n">
        <v>3.5</v>
      </c>
      <c r="CJ181" s="9" t="n">
        <v>0.01</v>
      </c>
      <c r="CK181" s="9" t="n">
        <v>80.13</v>
      </c>
      <c r="CL181" s="9" t="n">
        <v>0.02</v>
      </c>
      <c r="CM181" s="9" t="n">
        <v>186.021</v>
      </c>
      <c r="CN181" s="9" t="n">
        <v>227.448</v>
      </c>
      <c r="CO181" s="9" t="n">
        <v>3</v>
      </c>
      <c r="CP181" s="9" t="n">
        <v>3</v>
      </c>
      <c r="CQ181" s="9" t="n">
        <v>0.5</v>
      </c>
      <c r="CR181" s="9" t="n">
        <v>0.3</v>
      </c>
      <c r="CS181" s="9" t="n">
        <v>0.6</v>
      </c>
      <c r="CT181" s="9" t="n">
        <v>0.8</v>
      </c>
      <c r="CU181" s="9" t="n">
        <v>0.8</v>
      </c>
      <c r="CV181" s="9" t="n">
        <v>0.7</v>
      </c>
      <c r="CW181" s="9" t="n">
        <v>0.5</v>
      </c>
      <c r="CX181" s="9" t="n">
        <v>0.5</v>
      </c>
      <c r="CY181" s="9" t="n">
        <v>1</v>
      </c>
      <c r="CZ181" s="9" t="n">
        <v>0.3</v>
      </c>
      <c r="DA181" s="9" t="n">
        <v>0.8</v>
      </c>
      <c r="DB181" s="9" t="n">
        <v>0.529650797555715</v>
      </c>
      <c r="DC181" s="9" t="n">
        <v>3.373</v>
      </c>
      <c r="DD181" s="9" t="n">
        <v>2.049</v>
      </c>
      <c r="DE181" s="9" t="n">
        <v>6.21528</v>
      </c>
      <c r="DF181" s="9" t="n">
        <v>17.7772522408386</v>
      </c>
      <c r="DG181" s="9" t="n">
        <v>25.0763088315784</v>
      </c>
      <c r="DH181" s="9" t="n">
        <v>15.1007330613462</v>
      </c>
      <c r="DI181" s="9" t="n">
        <v>23.0445375227913</v>
      </c>
      <c r="DJ181" s="9" t="n">
        <v>8.065</v>
      </c>
      <c r="DK181" s="9" t="n">
        <v>7.403</v>
      </c>
      <c r="DL181" s="9" t="n">
        <v>13.96176</v>
      </c>
      <c r="DM181" s="9" t="n">
        <v>13.4947462084719</v>
      </c>
      <c r="DN181" s="9" t="n">
        <v>13.4947462084719</v>
      </c>
      <c r="DO181" s="9" t="n">
        <v>0.105</v>
      </c>
    </row>
    <row r="182" customFormat="false" ht="15" hidden="false" customHeight="false" outlineLevel="0" collapsed="false">
      <c r="A182" s="9" t="s">
        <v>744</v>
      </c>
      <c r="B182" s="9" t="s">
        <v>745</v>
      </c>
      <c r="C182" s="9" t="n">
        <v>0.005</v>
      </c>
      <c r="D182" s="9" t="n">
        <v>0.005</v>
      </c>
      <c r="E182" s="9" t="n">
        <v>0.01</v>
      </c>
      <c r="F182" s="9" t="n">
        <v>0.005</v>
      </c>
      <c r="G182" s="9" t="n">
        <v>0.005</v>
      </c>
      <c r="H182" s="9" t="n">
        <v>0.01</v>
      </c>
      <c r="I182" s="9" t="n">
        <v>0.005</v>
      </c>
      <c r="J182" s="9" t="n">
        <v>0.005</v>
      </c>
      <c r="K182" s="9" t="n">
        <v>0.01</v>
      </c>
      <c r="L182" s="9" t="n">
        <v>0.01</v>
      </c>
      <c r="M182" s="9" t="n">
        <v>0.005</v>
      </c>
      <c r="N182" s="9" t="n">
        <v>3.393037</v>
      </c>
      <c r="O182" s="9" t="n">
        <v>2.120322</v>
      </c>
      <c r="P182" s="9" t="n">
        <v>51.918243</v>
      </c>
      <c r="Q182" s="9" t="n">
        <v>9.75710272557936</v>
      </c>
      <c r="R182" s="9" t="n">
        <v>2.81857972063847</v>
      </c>
      <c r="S182" s="9" t="n">
        <v>6.91594951115735</v>
      </c>
      <c r="T182" s="9" t="n">
        <v>1.19388564164898</v>
      </c>
      <c r="U182" s="9" t="n">
        <v>0.135997</v>
      </c>
      <c r="V182" s="9" t="n">
        <v>0.190135</v>
      </c>
      <c r="W182" s="9" t="n">
        <v>0.093174</v>
      </c>
      <c r="X182" s="9" t="n">
        <v>3.38891789718303</v>
      </c>
      <c r="Y182" s="9" t="n">
        <v>3.38891789718303</v>
      </c>
      <c r="Z182" s="9" t="n">
        <v>0</v>
      </c>
      <c r="AA182" s="9" t="n">
        <v>0</v>
      </c>
      <c r="AB182" s="9" t="n">
        <v>0</v>
      </c>
      <c r="AC182" s="9" t="n">
        <v>3</v>
      </c>
      <c r="AD182" s="9" t="n">
        <v>38.4391968303943</v>
      </c>
      <c r="AE182" s="9" t="n">
        <v>291.761</v>
      </c>
      <c r="AF182" s="9" t="n">
        <v>784.758669979825</v>
      </c>
      <c r="AG182" s="9" t="n">
        <v>851.1729523956</v>
      </c>
      <c r="AH182" s="9" t="n">
        <v>768.892900330692</v>
      </c>
      <c r="AI182" s="9" t="n">
        <v>744.864997195358</v>
      </c>
      <c r="AJ182" s="9" t="n">
        <v>691.406493303566</v>
      </c>
      <c r="AK182" s="9" t="n">
        <v>23.0766274491368</v>
      </c>
      <c r="AL182" s="9" t="n">
        <v>25.0777848168</v>
      </c>
      <c r="AM182" s="9" t="n">
        <v>22.653598951176</v>
      </c>
      <c r="AN182" s="9" t="n">
        <v>21.9456739839518</v>
      </c>
      <c r="AO182" s="9" t="n">
        <v>179.251043624337</v>
      </c>
      <c r="AP182" s="9" t="n">
        <v>192.14367082</v>
      </c>
      <c r="AQ182" s="9" t="n">
        <v>173.569782640733</v>
      </c>
      <c r="AR182" s="9" t="n">
        <v>168.14572693321</v>
      </c>
      <c r="AS182" s="9" t="n">
        <v>588.026828102314</v>
      </c>
      <c r="AT182" s="9" t="n">
        <v>543.7828442268</v>
      </c>
      <c r="AU182" s="9" t="n">
        <v>534.580164933234</v>
      </c>
      <c r="AV182" s="9" t="n">
        <v>561.039747615105</v>
      </c>
      <c r="AW182" s="9" t="n">
        <v>281.254416012711</v>
      </c>
      <c r="AX182" s="9" t="n">
        <v>261.4287868524</v>
      </c>
      <c r="AY182" s="9" t="n">
        <v>255.69754807636</v>
      </c>
      <c r="AZ182" s="9" t="n">
        <v>268.351254487412</v>
      </c>
      <c r="BA182" s="9" t="n">
        <v>222.604020457454</v>
      </c>
      <c r="BB182" s="9" t="n">
        <v>167.684641472778</v>
      </c>
      <c r="BC182" s="9" t="n">
        <v>298.236903759172</v>
      </c>
      <c r="BD182" s="9" t="n">
        <v>205.89723770447</v>
      </c>
      <c r="BE182" s="9" t="n">
        <v>21.2963126603847</v>
      </c>
      <c r="BF182" s="9" t="n">
        <v>22.1112317513393</v>
      </c>
      <c r="BG182" s="9" t="n">
        <v>19.9738126820431</v>
      </c>
      <c r="BH182" s="9" t="n">
        <v>19.3496310357293</v>
      </c>
      <c r="BI182" s="9" t="n">
        <v>83.5230777315756</v>
      </c>
      <c r="BJ182" s="9" t="n">
        <v>91.3788342151784</v>
      </c>
      <c r="BK182" s="9" t="n">
        <v>82.5455469077112</v>
      </c>
      <c r="BL182" s="9" t="n">
        <v>79.9659985668453</v>
      </c>
      <c r="BM182" s="9" t="n">
        <v>31.5035599031358</v>
      </c>
      <c r="BN182" s="9" t="n">
        <v>34.153800066</v>
      </c>
      <c r="BO182" s="9" t="n">
        <v>30.85226605962</v>
      </c>
      <c r="BP182" s="9" t="n">
        <v>29.8881327452569</v>
      </c>
      <c r="BQ182" s="9" t="n">
        <v>567.731118094748</v>
      </c>
      <c r="BR182" s="9" t="n">
        <v>0.756235957207503</v>
      </c>
      <c r="BS182" s="9" t="n">
        <v>0.819628902</v>
      </c>
      <c r="BT182" s="9" t="n">
        <v>0.74039810814</v>
      </c>
      <c r="BU182" s="9" t="n">
        <v>0.717260667260625</v>
      </c>
      <c r="BV182" s="9" t="n">
        <v>178.134880059342</v>
      </c>
      <c r="BW182" s="9" t="n">
        <v>175.207173694821</v>
      </c>
      <c r="BX182" s="9" t="n">
        <v>163.182160763691</v>
      </c>
      <c r="BY182" s="9" t="n">
        <v>158.656175425307</v>
      </c>
      <c r="BZ182" s="9" t="n">
        <v>241.467012254174</v>
      </c>
      <c r="CA182" s="9" t="n">
        <v>-1.3950435925708</v>
      </c>
      <c r="CB182" s="9" t="n">
        <v>8.019</v>
      </c>
      <c r="CC182" s="9" t="n">
        <v>7.1</v>
      </c>
      <c r="CD182" s="9" t="n">
        <v>459.448</v>
      </c>
      <c r="CE182" s="9" t="n">
        <v>103.382</v>
      </c>
      <c r="CF182" s="9" t="n">
        <v>150.043</v>
      </c>
      <c r="CG182" s="9" t="n">
        <v>169.945</v>
      </c>
      <c r="CH182" s="9" t="n">
        <v>19.28</v>
      </c>
      <c r="CI182" s="9" t="n">
        <v>0.622</v>
      </c>
      <c r="CJ182" s="9" t="n">
        <v>22.869</v>
      </c>
      <c r="CK182" s="9" t="n">
        <v>310.557</v>
      </c>
      <c r="CL182" s="9" t="n">
        <v>14.36</v>
      </c>
      <c r="CM182" s="9" t="n">
        <v>455.866</v>
      </c>
      <c r="CN182" s="9" t="n">
        <v>444.589</v>
      </c>
      <c r="CO182" s="9" t="n">
        <v>3</v>
      </c>
      <c r="CP182" s="9" t="n">
        <v>2</v>
      </c>
      <c r="CQ182" s="9" t="n">
        <v>0.5</v>
      </c>
      <c r="CR182" s="9" t="n">
        <v>0.3</v>
      </c>
      <c r="CS182" s="9" t="n">
        <v>0.6</v>
      </c>
      <c r="CT182" s="9" t="n">
        <v>0.8</v>
      </c>
      <c r="CU182" s="9" t="n">
        <v>0.8</v>
      </c>
      <c r="CV182" s="9" t="n">
        <v>0.7</v>
      </c>
      <c r="CW182" s="9" t="n">
        <v>0.5</v>
      </c>
      <c r="CX182" s="9" t="n">
        <v>0.5</v>
      </c>
      <c r="CY182" s="9" t="n">
        <v>1</v>
      </c>
      <c r="CZ182" s="9" t="n">
        <v>0.3</v>
      </c>
      <c r="DA182" s="9" t="n">
        <v>0.8</v>
      </c>
      <c r="DB182" s="9" t="n">
        <v>0.277616110445106</v>
      </c>
      <c r="DC182" s="9" t="n">
        <v>7.243</v>
      </c>
      <c r="DD182" s="9" t="n">
        <v>6.771</v>
      </c>
      <c r="DE182" s="9" t="n">
        <v>8.4249</v>
      </c>
      <c r="DF182" s="9" t="n">
        <v>19.8342467218963</v>
      </c>
      <c r="DG182" s="9" t="n">
        <v>22.5967364927506</v>
      </c>
      <c r="DH182" s="9" t="n">
        <v>18.9992645216477</v>
      </c>
      <c r="DI182" s="9" t="n">
        <v>21.3099936813469</v>
      </c>
      <c r="DJ182" s="9" t="n">
        <v>5.219</v>
      </c>
      <c r="DK182" s="9" t="n">
        <v>4.558</v>
      </c>
      <c r="DL182" s="9" t="n">
        <v>10.109</v>
      </c>
      <c r="DM182" s="9" t="n">
        <v>14.1151698941595</v>
      </c>
      <c r="DN182" s="9" t="n">
        <v>14.1151698941595</v>
      </c>
      <c r="DO182" s="9" t="n">
        <v>0.0931000000000001</v>
      </c>
    </row>
    <row r="183" customFormat="false" ht="15" hidden="false" customHeight="false" outlineLevel="0" collapsed="false">
      <c r="A183" s="9" t="s">
        <v>1048</v>
      </c>
      <c r="B183" s="9" t="s">
        <v>1049</v>
      </c>
      <c r="C183" s="9" t="n">
        <v>0.005</v>
      </c>
      <c r="D183" s="9" t="n">
        <v>0.005</v>
      </c>
      <c r="E183" s="9" t="n">
        <v>0.01</v>
      </c>
      <c r="F183" s="9" t="n">
        <v>0.005</v>
      </c>
      <c r="G183" s="9" t="n">
        <v>0.005</v>
      </c>
      <c r="H183" s="9" t="n">
        <v>0.01</v>
      </c>
      <c r="I183" s="9" t="n">
        <v>0.005</v>
      </c>
      <c r="J183" s="9" t="n">
        <v>0.005</v>
      </c>
      <c r="K183" s="9" t="n">
        <v>0.01</v>
      </c>
      <c r="L183" s="9" t="n">
        <v>0.01</v>
      </c>
      <c r="M183" s="9" t="n">
        <v>0.005</v>
      </c>
      <c r="N183" s="9" t="n">
        <v>0.005692</v>
      </c>
      <c r="O183" s="9" t="n">
        <v>0.001675</v>
      </c>
      <c r="P183" s="9" t="n">
        <v>0.116589</v>
      </c>
      <c r="Q183" s="9" t="n">
        <v>0.0152030328844014</v>
      </c>
      <c r="R183" s="9" t="n">
        <v>0.0040606535822113</v>
      </c>
      <c r="S183" s="9" t="n">
        <v>0.0077618300402158</v>
      </c>
      <c r="T183" s="9" t="n">
        <v>0.0015128188974043</v>
      </c>
      <c r="U183" s="9" t="n">
        <v>0.000379</v>
      </c>
      <c r="V183" s="9" t="n">
        <v>0.000215</v>
      </c>
      <c r="W183" s="9" t="n">
        <v>0.00058</v>
      </c>
      <c r="X183" s="9" t="n">
        <v>4.3067800829378E-005</v>
      </c>
      <c r="Y183" s="9" t="n">
        <v>4.3067800829378E-005</v>
      </c>
      <c r="Z183" s="9" t="n">
        <v>0.02</v>
      </c>
      <c r="AA183" s="9" t="n">
        <v>0</v>
      </c>
      <c r="AB183" s="9" t="n">
        <v>0</v>
      </c>
      <c r="AC183" s="9" t="n">
        <v>0</v>
      </c>
      <c r="AD183" s="9" t="n">
        <v>0</v>
      </c>
      <c r="AE183" s="9" t="n">
        <v>0.233</v>
      </c>
      <c r="AF183" s="9" t="n">
        <v>0</v>
      </c>
      <c r="AG183" s="9" t="n">
        <v>0</v>
      </c>
      <c r="AH183" s="9" t="n">
        <v>0</v>
      </c>
      <c r="AI183" s="9" t="n">
        <v>0</v>
      </c>
      <c r="AJ183" s="9" t="n">
        <v>0</v>
      </c>
      <c r="AK183" s="9" t="n">
        <v>0</v>
      </c>
      <c r="AL183" s="9" t="n">
        <v>0</v>
      </c>
      <c r="AM183" s="9" t="n">
        <v>0</v>
      </c>
      <c r="AN183" s="9" t="n">
        <v>0</v>
      </c>
      <c r="AO183" s="9" t="n">
        <v>2.17799070615723</v>
      </c>
      <c r="AP183" s="9" t="n">
        <v>1.93182883</v>
      </c>
      <c r="AQ183" s="9" t="n">
        <v>1.9825393367875</v>
      </c>
      <c r="AR183" s="9" t="n">
        <v>1.99493020764242</v>
      </c>
      <c r="AS183" s="9" t="n">
        <v>0.140841707930758</v>
      </c>
      <c r="AT183" s="9" t="n">
        <v>0.13869696096</v>
      </c>
      <c r="AU183" s="9" t="n">
        <v>0.134052385613267</v>
      </c>
      <c r="AV183" s="9" t="n">
        <v>0.136986698691543</v>
      </c>
      <c r="AW183" s="9" t="n">
        <v>0.108419339460915</v>
      </c>
      <c r="AX183" s="9" t="n">
        <v>0.10557099936</v>
      </c>
      <c r="AY183" s="9" t="n">
        <v>0.103192948416214</v>
      </c>
      <c r="AZ183" s="9" t="n">
        <v>0.105451769971223</v>
      </c>
      <c r="BA183" s="9" t="n">
        <v>0.511006713185065</v>
      </c>
      <c r="BB183" s="9" t="n">
        <v>0.558313871137899</v>
      </c>
      <c r="BC183" s="9" t="n">
        <v>0.38673198595047</v>
      </c>
      <c r="BD183" s="9" t="n">
        <v>0.473670715733742</v>
      </c>
      <c r="BE183" s="9" t="n">
        <v>0.0036133427020639</v>
      </c>
      <c r="BF183" s="9" t="n">
        <v>0.0034401191385072</v>
      </c>
      <c r="BG183" s="9" t="n">
        <v>0.003530422265893</v>
      </c>
      <c r="BH183" s="9" t="n">
        <v>0.0035524874050548</v>
      </c>
      <c r="BI183" s="9" t="n">
        <v>0.099596363589342</v>
      </c>
      <c r="BJ183" s="9" t="n">
        <v>0.0920268575079871</v>
      </c>
      <c r="BK183" s="9" t="n">
        <v>0.0944425625175718</v>
      </c>
      <c r="BL183" s="9" t="n">
        <v>0.0950328285333066</v>
      </c>
      <c r="BM183" s="9" t="n">
        <v>0</v>
      </c>
      <c r="BN183" s="9" t="n">
        <v>0</v>
      </c>
      <c r="BO183" s="9" t="n">
        <v>0</v>
      </c>
      <c r="BP183" s="9" t="n">
        <v>0</v>
      </c>
      <c r="BQ183" s="9" t="n">
        <v>0</v>
      </c>
      <c r="BR183" s="9" t="n">
        <v>0</v>
      </c>
      <c r="BS183" s="9" t="n">
        <v>0</v>
      </c>
      <c r="BT183" s="9" t="n">
        <v>0</v>
      </c>
      <c r="BU183" s="9" t="n">
        <v>0</v>
      </c>
      <c r="BV183" s="9" t="n">
        <v>0.472704059668842</v>
      </c>
      <c r="BW183" s="9" t="n">
        <v>0.515479960329803</v>
      </c>
      <c r="BX183" s="9" t="n">
        <v>0.499068775255474</v>
      </c>
      <c r="BY183" s="9" t="n">
        <v>0.486510715055991</v>
      </c>
      <c r="BZ183" s="9" t="n">
        <v>0.0692391798310204</v>
      </c>
      <c r="CA183" s="9" t="n">
        <v>-2.77777777777778</v>
      </c>
      <c r="CB183" s="9" t="n">
        <v>3.053</v>
      </c>
      <c r="CC183" s="9" t="n">
        <v>3.528</v>
      </c>
      <c r="CD183" s="9" t="n">
        <v>1.265</v>
      </c>
      <c r="CE183" s="9" t="n">
        <v>0.01</v>
      </c>
      <c r="CF183" s="9" t="n">
        <v>0</v>
      </c>
      <c r="CG183" s="9" t="n">
        <v>0.06</v>
      </c>
      <c r="CH183" s="9" t="n">
        <v>0</v>
      </c>
      <c r="CI183" s="9" t="n">
        <v>0.06</v>
      </c>
      <c r="CJ183" s="9" t="n">
        <v>0.01</v>
      </c>
      <c r="CK183" s="9" t="n">
        <v>0.08</v>
      </c>
      <c r="CL183" s="9" t="n">
        <v>0</v>
      </c>
      <c r="CM183" s="9" t="n">
        <v>0.654</v>
      </c>
      <c r="CN183" s="9" t="n">
        <v>0.654</v>
      </c>
      <c r="CO183" s="9" t="n">
        <v>3</v>
      </c>
      <c r="CP183" s="9" t="n">
        <v>2</v>
      </c>
      <c r="CQ183" s="9" t="n">
        <v>0.5</v>
      </c>
      <c r="CR183" s="9" t="n">
        <v>0.3</v>
      </c>
      <c r="CS183" s="9" t="n">
        <v>0.6</v>
      </c>
      <c r="CT183" s="9" t="n">
        <v>0.8</v>
      </c>
      <c r="CU183" s="9" t="n">
        <v>0.8</v>
      </c>
      <c r="CV183" s="9" t="n">
        <v>0.7</v>
      </c>
      <c r="CW183" s="9" t="n">
        <v>0.5</v>
      </c>
      <c r="CX183" s="9" t="n">
        <v>0.5</v>
      </c>
      <c r="CY183" s="9" t="n">
        <v>1</v>
      </c>
      <c r="CZ183" s="9" t="n">
        <v>0.3</v>
      </c>
      <c r="DA183" s="9" t="n">
        <v>0.8</v>
      </c>
      <c r="DB183" s="9" t="n">
        <v>1.01851851851852</v>
      </c>
      <c r="DC183" s="9" t="n">
        <v>7.124</v>
      </c>
      <c r="DD183" s="9" t="n">
        <v>4.833</v>
      </c>
      <c r="DE183" s="9" t="n">
        <v>13.16865</v>
      </c>
      <c r="DF183" s="9" t="n">
        <v>20.5078992760192</v>
      </c>
      <c r="DG183" s="9" t="n">
        <v>22.2265307091217</v>
      </c>
      <c r="DH183" s="9" t="n">
        <v>19.8628674544499</v>
      </c>
      <c r="DI183" s="9" t="n">
        <v>22.7504688032727</v>
      </c>
      <c r="DJ183" s="9" t="n">
        <v>13.543</v>
      </c>
      <c r="DK183" s="9" t="n">
        <v>12.219</v>
      </c>
      <c r="DL183" s="9" t="n">
        <v>24.7066</v>
      </c>
      <c r="DM183" s="9" t="n">
        <v>14.1151698941595</v>
      </c>
      <c r="DN183" s="9" t="n">
        <v>14.1151698941595</v>
      </c>
      <c r="DO183" s="9" t="n">
        <v>0.105</v>
      </c>
    </row>
    <row r="184" customFormat="false" ht="15" hidden="false" customHeight="false" outlineLevel="0" collapsed="false">
      <c r="A184" s="9" t="s">
        <v>1050</v>
      </c>
      <c r="B184" s="9" t="s">
        <v>1051</v>
      </c>
      <c r="C184" s="9" t="n">
        <v>0.005</v>
      </c>
      <c r="D184" s="9" t="n">
        <v>0.005</v>
      </c>
      <c r="E184" s="9" t="n">
        <v>0.01</v>
      </c>
      <c r="F184" s="9" t="n">
        <v>0.005</v>
      </c>
      <c r="G184" s="9" t="n">
        <v>0.005</v>
      </c>
      <c r="H184" s="9" t="n">
        <v>0.01</v>
      </c>
      <c r="I184" s="9" t="n">
        <v>0.005</v>
      </c>
      <c r="J184" s="9" t="n">
        <v>0.005</v>
      </c>
      <c r="K184" s="9" t="n">
        <v>0.01</v>
      </c>
      <c r="L184" s="9" t="n">
        <v>0.01</v>
      </c>
      <c r="M184" s="9" t="n">
        <v>0.005</v>
      </c>
      <c r="N184" s="9" t="n">
        <v>0.031573</v>
      </c>
      <c r="O184" s="9" t="n">
        <v>0.010278</v>
      </c>
      <c r="P184" s="9" t="n">
        <v>0.456253</v>
      </c>
      <c r="Q184" s="9" t="n">
        <v>0.121758328620929</v>
      </c>
      <c r="R184" s="9" t="n">
        <v>0.0380042859912598</v>
      </c>
      <c r="S184" s="9" t="n">
        <v>0.0412728027394411</v>
      </c>
      <c r="T184" s="9" t="n">
        <v>0.0094260254376731</v>
      </c>
      <c r="U184" s="9" t="n">
        <v>0.00225</v>
      </c>
      <c r="V184" s="9" t="n">
        <v>0.001319</v>
      </c>
      <c r="W184" s="9" t="n">
        <v>0.002411</v>
      </c>
      <c r="X184" s="9" t="n">
        <v>8.2772743170419E-005</v>
      </c>
      <c r="Y184" s="9" t="n">
        <v>8.2772743170419E-005</v>
      </c>
      <c r="Z184" s="9" t="n">
        <v>0.05</v>
      </c>
      <c r="AA184" s="9" t="n">
        <v>0.02</v>
      </c>
      <c r="AB184" s="9" t="n">
        <v>0</v>
      </c>
      <c r="AC184" s="9" t="n">
        <v>0</v>
      </c>
      <c r="AD184" s="9" t="n">
        <v>0</v>
      </c>
      <c r="AE184" s="9" t="n">
        <v>0.375</v>
      </c>
      <c r="AF184" s="9" t="n">
        <v>0</v>
      </c>
      <c r="AG184" s="9" t="n">
        <v>0</v>
      </c>
      <c r="AH184" s="9" t="n">
        <v>0</v>
      </c>
      <c r="AI184" s="9" t="n">
        <v>0</v>
      </c>
      <c r="AJ184" s="9" t="n">
        <v>0</v>
      </c>
      <c r="AK184" s="9" t="n">
        <v>0</v>
      </c>
      <c r="AL184" s="9" t="n">
        <v>0</v>
      </c>
      <c r="AM184" s="9" t="n">
        <v>0</v>
      </c>
      <c r="AN184" s="9" t="n">
        <v>0</v>
      </c>
      <c r="AO184" s="9" t="n">
        <v>0.761275788005227</v>
      </c>
      <c r="AP184" s="9" t="n">
        <v>0.6817968</v>
      </c>
      <c r="AQ184" s="9" t="n">
        <v>0.701276708571428</v>
      </c>
      <c r="AR184" s="9" t="n">
        <v>0.708289475657143</v>
      </c>
      <c r="AS184" s="9" t="n">
        <v>0.371690453523384</v>
      </c>
      <c r="AT184" s="9" t="n">
        <v>0.37007083332</v>
      </c>
      <c r="AU184" s="9" t="n">
        <v>0.324035022642108</v>
      </c>
      <c r="AV184" s="9" t="n">
        <v>0.348852536403809</v>
      </c>
      <c r="AW184" s="9" t="n">
        <v>0.188662142115415</v>
      </c>
      <c r="AX184" s="9" t="n">
        <v>0.178901964</v>
      </c>
      <c r="AY184" s="9" t="n">
        <v>0.164473262395024</v>
      </c>
      <c r="AZ184" s="9" t="n">
        <v>0.177070102760112</v>
      </c>
      <c r="BA184" s="9" t="n">
        <v>1.69401083808369</v>
      </c>
      <c r="BB184" s="9" t="n">
        <v>1.98423607224103</v>
      </c>
      <c r="BC184" s="9" t="n">
        <v>1.193032108</v>
      </c>
      <c r="BD184" s="9" t="n">
        <v>1.57373285695794</v>
      </c>
      <c r="BE184" s="9" t="n">
        <v>0.0402552112538383</v>
      </c>
      <c r="BF184" s="9" t="n">
        <v>0.0374866059413293</v>
      </c>
      <c r="BG184" s="9" t="n">
        <v>0.0385576518253673</v>
      </c>
      <c r="BH184" s="9" t="n">
        <v>0.0389432283436209</v>
      </c>
      <c r="BI184" s="9" t="n">
        <v>0.105918343639681</v>
      </c>
      <c r="BJ184" s="9" t="n">
        <v>0.0942415335463258</v>
      </c>
      <c r="BK184" s="9" t="n">
        <v>0.0969341487905065</v>
      </c>
      <c r="BL184" s="9" t="n">
        <v>0.0979034902784116</v>
      </c>
      <c r="BM184" s="9" t="n">
        <v>0</v>
      </c>
      <c r="BN184" s="9" t="n">
        <v>0</v>
      </c>
      <c r="BO184" s="9" t="n">
        <v>0</v>
      </c>
      <c r="BP184" s="9" t="n">
        <v>0</v>
      </c>
      <c r="BQ184" s="9" t="n">
        <v>0</v>
      </c>
      <c r="BR184" s="9" t="n">
        <v>0</v>
      </c>
      <c r="BS184" s="9" t="n">
        <v>0</v>
      </c>
      <c r="BT184" s="9" t="n">
        <v>0</v>
      </c>
      <c r="BU184" s="9" t="n">
        <v>0</v>
      </c>
      <c r="BV184" s="9" t="n">
        <v>1.40360735000457</v>
      </c>
      <c r="BW184" s="9" t="n">
        <v>1.40088521026276</v>
      </c>
      <c r="BX184" s="9" t="n">
        <v>1.24248537201858</v>
      </c>
      <c r="BY184" s="9" t="n">
        <v>1.36126476652759</v>
      </c>
      <c r="BZ184" s="9" t="n">
        <v>0.155653498788555</v>
      </c>
      <c r="CA184" s="9" t="n">
        <v>-1.10294117647059</v>
      </c>
      <c r="CB184" s="9" t="n">
        <v>4.204</v>
      </c>
      <c r="CC184" s="9" t="n">
        <v>3.208</v>
      </c>
      <c r="CD184" s="9" t="n">
        <v>1.176</v>
      </c>
      <c r="CE184" s="9" t="n">
        <v>0.04</v>
      </c>
      <c r="CF184" s="9" t="n">
        <v>0</v>
      </c>
      <c r="CG184" s="9" t="n">
        <v>0.09</v>
      </c>
      <c r="CH184" s="9" t="n">
        <v>0</v>
      </c>
      <c r="CI184" s="9" t="n">
        <v>0.09</v>
      </c>
      <c r="CJ184" s="9" t="n">
        <v>0.03</v>
      </c>
      <c r="CK184" s="9" t="n">
        <v>0.16</v>
      </c>
      <c r="CL184" s="9" t="n">
        <v>0</v>
      </c>
      <c r="CM184" s="9" t="n">
        <v>0.585</v>
      </c>
      <c r="CN184" s="9" t="n">
        <v>0.686</v>
      </c>
      <c r="CO184" s="9" t="n">
        <v>3</v>
      </c>
      <c r="CP184" s="9" t="n">
        <v>3</v>
      </c>
      <c r="CQ184" s="9" t="n">
        <v>0.5</v>
      </c>
      <c r="CR184" s="9" t="n">
        <v>0.3</v>
      </c>
      <c r="CS184" s="9" t="n">
        <v>0.6</v>
      </c>
      <c r="CT184" s="9" t="n">
        <v>0.8</v>
      </c>
      <c r="CU184" s="9" t="n">
        <v>0.8</v>
      </c>
      <c r="CV184" s="9" t="n">
        <v>0.7</v>
      </c>
      <c r="CW184" s="9" t="n">
        <v>0.5</v>
      </c>
      <c r="CX184" s="9" t="n">
        <v>0.5</v>
      </c>
      <c r="CY184" s="9" t="n">
        <v>1</v>
      </c>
      <c r="CZ184" s="9" t="n">
        <v>0.3</v>
      </c>
      <c r="DA184" s="9" t="n">
        <v>0.8</v>
      </c>
      <c r="DB184" s="9" t="n">
        <v>0.705458908218356</v>
      </c>
      <c r="DC184" s="9" t="n">
        <v>7.124</v>
      </c>
      <c r="DD184" s="9" t="n">
        <v>4.833</v>
      </c>
      <c r="DE184" s="9" t="n">
        <v>13.16865</v>
      </c>
      <c r="DF184" s="9" t="n">
        <v>19.9508301204525</v>
      </c>
      <c r="DG184" s="9" t="n">
        <v>23.6776138455705</v>
      </c>
      <c r="DH184" s="9" t="n">
        <v>19.590143767542</v>
      </c>
      <c r="DI184" s="9" t="n">
        <v>21.6434732726542</v>
      </c>
      <c r="DJ184" s="9" t="n">
        <v>12.541</v>
      </c>
      <c r="DK184" s="9" t="n">
        <v>11.218</v>
      </c>
      <c r="DL184" s="9" t="n">
        <v>23.55545</v>
      </c>
      <c r="DM184" s="9" t="n">
        <v>14.1151698941595</v>
      </c>
      <c r="DN184" s="9" t="n">
        <v>14.1151698941595</v>
      </c>
      <c r="DO184" s="9" t="n">
        <v>0.105</v>
      </c>
    </row>
    <row r="185" customFormat="false" ht="15" hidden="false" customHeight="false" outlineLevel="0" collapsed="false">
      <c r="A185" s="9" t="s">
        <v>990</v>
      </c>
      <c r="B185" s="9" t="s">
        <v>991</v>
      </c>
      <c r="C185" s="9" t="n">
        <v>0.005</v>
      </c>
      <c r="D185" s="9" t="n">
        <v>0.005</v>
      </c>
      <c r="E185" s="9" t="n">
        <v>0.01</v>
      </c>
      <c r="F185" s="9" t="n">
        <v>0.005</v>
      </c>
      <c r="G185" s="9" t="n">
        <v>0.005</v>
      </c>
      <c r="H185" s="9" t="n">
        <v>0.01</v>
      </c>
      <c r="I185" s="9" t="n">
        <v>0.005</v>
      </c>
      <c r="J185" s="9" t="n">
        <v>0.005</v>
      </c>
      <c r="K185" s="9" t="n">
        <v>0.01</v>
      </c>
      <c r="L185" s="9" t="n">
        <v>0.01</v>
      </c>
      <c r="M185" s="9" t="n">
        <v>0.005</v>
      </c>
      <c r="N185" s="9" t="n">
        <v>0</v>
      </c>
      <c r="O185" s="9" t="n">
        <v>0</v>
      </c>
      <c r="P185" s="9" t="n">
        <v>0</v>
      </c>
      <c r="Q185" s="9" t="n">
        <v>0</v>
      </c>
      <c r="R185" s="9" t="n">
        <v>0</v>
      </c>
      <c r="S185" s="9" t="n">
        <v>0</v>
      </c>
      <c r="T185" s="9" t="n">
        <v>0</v>
      </c>
      <c r="U185" s="9" t="n">
        <v>0</v>
      </c>
      <c r="V185" s="9" t="n">
        <v>0</v>
      </c>
      <c r="W185" s="9" t="n">
        <v>0</v>
      </c>
      <c r="X185" s="9" t="n">
        <v>0</v>
      </c>
      <c r="Y185" s="9" t="n">
        <v>0</v>
      </c>
      <c r="Z185" s="9" t="n">
        <v>1.33</v>
      </c>
      <c r="AA185" s="9" t="n">
        <v>0</v>
      </c>
      <c r="AB185" s="9" t="n">
        <v>0</v>
      </c>
      <c r="AC185" s="9" t="n">
        <v>0</v>
      </c>
      <c r="AD185" s="9" t="n">
        <v>0</v>
      </c>
      <c r="AE185" s="9" t="n">
        <v>8.674</v>
      </c>
      <c r="AF185" s="9" t="n">
        <v>0.809881434930381</v>
      </c>
      <c r="AG185" s="9" t="n">
        <v>0.7973718732</v>
      </c>
      <c r="AH185" s="9" t="n">
        <v>0.7973718732</v>
      </c>
      <c r="AI185" s="9" t="n">
        <v>0.7973718732</v>
      </c>
      <c r="AJ185" s="9" t="n">
        <v>61.9198440884904</v>
      </c>
      <c r="AK185" s="9" t="n">
        <v>0.620858494485253</v>
      </c>
      <c r="AL185" s="9" t="n">
        <v>0.6095603988</v>
      </c>
      <c r="AM185" s="9" t="n">
        <v>0.6095603988</v>
      </c>
      <c r="AN185" s="9" t="n">
        <v>0.6095603988</v>
      </c>
      <c r="AO185" s="9" t="n">
        <v>18.4322189883366</v>
      </c>
      <c r="AP185" s="9" t="n">
        <v>16.45847503</v>
      </c>
      <c r="AQ185" s="9" t="n">
        <v>16.45847503</v>
      </c>
      <c r="AR185" s="9" t="n">
        <v>16.45847503</v>
      </c>
      <c r="AS185" s="9" t="n">
        <v>9.82145491800339</v>
      </c>
      <c r="AT185" s="9" t="n">
        <v>8.8524819972</v>
      </c>
      <c r="AU185" s="9" t="n">
        <v>9.19005778973237</v>
      </c>
      <c r="AV185" s="9" t="n">
        <v>10.2317575295311</v>
      </c>
      <c r="AW185" s="9" t="n">
        <v>13.2613390748343</v>
      </c>
      <c r="AX185" s="9" t="n">
        <v>12.034830996</v>
      </c>
      <c r="AY185" s="9" t="n">
        <v>12.408800272917</v>
      </c>
      <c r="AZ185" s="9" t="n">
        <v>13.8153468160687</v>
      </c>
      <c r="BA185" s="9" t="n">
        <v>2.63239814318595</v>
      </c>
      <c r="BB185" s="9" t="n">
        <v>2.35324646</v>
      </c>
      <c r="BC185" s="9" t="n">
        <v>2.24293967960872</v>
      </c>
      <c r="BD185" s="9" t="n">
        <v>2.35324646</v>
      </c>
      <c r="BE185" s="9" t="n">
        <v>0</v>
      </c>
      <c r="BF185" s="9" t="n">
        <v>0</v>
      </c>
      <c r="BG185" s="9" t="n">
        <v>0</v>
      </c>
      <c r="BH185" s="9" t="n">
        <v>0</v>
      </c>
      <c r="BI185" s="9" t="n">
        <v>0.291153064346057</v>
      </c>
      <c r="BJ185" s="9" t="n">
        <v>0.270824809846107</v>
      </c>
      <c r="BK185" s="9" t="n">
        <v>0.270824809846107</v>
      </c>
      <c r="BL185" s="9" t="n">
        <v>0.270824809846107</v>
      </c>
      <c r="BM185" s="9" t="n">
        <v>0</v>
      </c>
      <c r="BN185" s="9" t="n">
        <v>0</v>
      </c>
      <c r="BO185" s="9" t="n">
        <v>0</v>
      </c>
      <c r="BP185" s="9" t="n">
        <v>0</v>
      </c>
      <c r="BQ185" s="9" t="n">
        <v>0</v>
      </c>
      <c r="BR185" s="9" t="n">
        <v>0</v>
      </c>
      <c r="BS185" s="9" t="n">
        <v>0</v>
      </c>
      <c r="BT185" s="9" t="n">
        <v>0</v>
      </c>
      <c r="BU185" s="9" t="n">
        <v>0</v>
      </c>
      <c r="BV185" s="9" t="n">
        <v>13.7958933808646</v>
      </c>
      <c r="BW185" s="9" t="n">
        <v>11.9872173089283</v>
      </c>
      <c r="BX185" s="9" t="n">
        <v>11.7943427002074</v>
      </c>
      <c r="BY185" s="9" t="n">
        <v>11.8111625359402</v>
      </c>
      <c r="BZ185" s="9" t="n">
        <v>6.41188722023268</v>
      </c>
      <c r="CA185" s="9" t="n">
        <v>1.46353168958238</v>
      </c>
      <c r="CB185" s="9" t="n">
        <v>3.591</v>
      </c>
      <c r="CC185" s="9" t="n">
        <v>3.3</v>
      </c>
      <c r="CD185" s="9" t="n">
        <v>11.2</v>
      </c>
      <c r="CE185" s="9" t="n">
        <v>0.24</v>
      </c>
      <c r="CF185" s="9" t="n">
        <v>5.22</v>
      </c>
      <c r="CG185" s="9" t="n">
        <v>5.23</v>
      </c>
      <c r="CH185" s="9" t="n">
        <v>0</v>
      </c>
      <c r="CI185" s="9" t="n">
        <v>0.01</v>
      </c>
      <c r="CJ185" s="9" t="n">
        <v>0.01</v>
      </c>
      <c r="CK185" s="9" t="n">
        <v>5.87</v>
      </c>
      <c r="CL185" s="9" t="n">
        <v>0.39</v>
      </c>
      <c r="CM185" s="9" t="n">
        <v>8.674</v>
      </c>
      <c r="CN185" s="9" t="n">
        <v>8.674</v>
      </c>
      <c r="CO185" s="9" t="n">
        <v>3</v>
      </c>
      <c r="CP185" s="9" t="n">
        <v>2</v>
      </c>
      <c r="CQ185" s="9" t="n">
        <v>0.5</v>
      </c>
      <c r="CR185" s="9" t="n">
        <v>0.3</v>
      </c>
      <c r="CS185" s="9" t="n">
        <v>0.6</v>
      </c>
      <c r="CT185" s="9" t="n">
        <v>0.8</v>
      </c>
      <c r="CU185" s="9" t="n">
        <v>0.8</v>
      </c>
      <c r="CV185" s="9" t="n">
        <v>0.7</v>
      </c>
      <c r="CW185" s="9" t="n">
        <v>0.5</v>
      </c>
      <c r="CX185" s="9" t="n">
        <v>0.5</v>
      </c>
      <c r="CY185" s="9" t="n">
        <v>1</v>
      </c>
      <c r="CZ185" s="9" t="n">
        <v>0.3</v>
      </c>
      <c r="DA185" s="9" t="n">
        <v>0.8</v>
      </c>
      <c r="DB185" s="9" t="n">
        <v>0.370713623725672</v>
      </c>
      <c r="DC185" s="9" t="n">
        <v>3.402</v>
      </c>
      <c r="DD185" s="9" t="n">
        <v>2.067</v>
      </c>
      <c r="DE185" s="9" t="n">
        <v>6.37436</v>
      </c>
      <c r="DF185" s="9" t="n">
        <v>21.1463730309458</v>
      </c>
      <c r="DG185" s="9" t="n">
        <v>23.9372383094641</v>
      </c>
      <c r="DH185" s="9" t="n">
        <v>15.656114517978</v>
      </c>
      <c r="DI185" s="9" t="n">
        <v>20.5857025415434</v>
      </c>
      <c r="DJ185" s="9" t="n">
        <v>12.815</v>
      </c>
      <c r="DK185" s="9" t="n">
        <v>11.492</v>
      </c>
      <c r="DL185" s="9" t="n">
        <v>24.49326</v>
      </c>
      <c r="DM185" s="9" t="n">
        <v>13.4947462084719</v>
      </c>
      <c r="DN185" s="9" t="n">
        <v>13.4947462084719</v>
      </c>
      <c r="DO185" s="9" t="n">
        <v>0.105</v>
      </c>
    </row>
    <row r="186" customFormat="false" ht="15" hidden="false" customHeight="false" outlineLevel="0" collapsed="false">
      <c r="A186" s="9" t="s">
        <v>1004</v>
      </c>
      <c r="B186" s="9" t="s">
        <v>1005</v>
      </c>
      <c r="C186" s="9" t="n">
        <v>0.005</v>
      </c>
      <c r="D186" s="9" t="n">
        <v>0.005</v>
      </c>
      <c r="E186" s="9" t="n">
        <v>0.01</v>
      </c>
      <c r="F186" s="9" t="n">
        <v>0.005</v>
      </c>
      <c r="G186" s="9" t="n">
        <v>0.005</v>
      </c>
      <c r="H186" s="9" t="n">
        <v>0.01</v>
      </c>
      <c r="I186" s="9" t="n">
        <v>0.005</v>
      </c>
      <c r="J186" s="9" t="n">
        <v>0.005</v>
      </c>
      <c r="K186" s="9" t="n">
        <v>0.01</v>
      </c>
      <c r="L186" s="9" t="n">
        <v>0.01</v>
      </c>
      <c r="M186" s="9" t="n">
        <v>0.005</v>
      </c>
      <c r="N186" s="9" t="n">
        <v>2.086559</v>
      </c>
      <c r="O186" s="9" t="n">
        <v>0.284208</v>
      </c>
      <c r="P186" s="9" t="n">
        <v>0.341157</v>
      </c>
      <c r="Q186" s="9" t="n">
        <v>2.28069625064251</v>
      </c>
      <c r="R186" s="9" t="n">
        <v>0.470206527128883</v>
      </c>
      <c r="S186" s="9" t="n">
        <v>0.221755219340091</v>
      </c>
      <c r="T186" s="9" t="n">
        <v>0.263502019745323</v>
      </c>
      <c r="U186" s="9" t="n">
        <v>0.094528</v>
      </c>
      <c r="V186" s="9" t="n">
        <v>0.002283</v>
      </c>
      <c r="W186" s="9" t="n">
        <v>0.000696</v>
      </c>
      <c r="X186" s="9" t="n">
        <v>2.93534264311748</v>
      </c>
      <c r="Y186" s="9" t="n">
        <v>2.93534264311748</v>
      </c>
      <c r="Z186" s="9" t="n">
        <v>2.24</v>
      </c>
      <c r="AA186" s="9" t="n">
        <v>0.4</v>
      </c>
      <c r="AB186" s="9" t="n">
        <v>0</v>
      </c>
      <c r="AC186" s="9" t="n">
        <v>0</v>
      </c>
      <c r="AD186" s="9" t="n">
        <v>0</v>
      </c>
      <c r="AE186" s="9" t="n">
        <v>13.135</v>
      </c>
      <c r="AF186" s="9" t="n">
        <v>3.09824028368325</v>
      </c>
      <c r="AG186" s="9" t="n">
        <v>2.784284802</v>
      </c>
      <c r="AH186" s="9" t="n">
        <v>2.77191020288</v>
      </c>
      <c r="AI186" s="9" t="n">
        <v>2.89510621189689</v>
      </c>
      <c r="AJ186" s="9" t="n">
        <v>0</v>
      </c>
      <c r="AK186" s="9" t="n">
        <v>0</v>
      </c>
      <c r="AL186" s="9" t="n">
        <v>0</v>
      </c>
      <c r="AM186" s="9" t="n">
        <v>0</v>
      </c>
      <c r="AN186" s="9" t="n">
        <v>0</v>
      </c>
      <c r="AO186" s="9" t="n">
        <v>8.72824731707352</v>
      </c>
      <c r="AP186" s="9" t="n">
        <v>8.20208841</v>
      </c>
      <c r="AQ186" s="9" t="n">
        <v>8.16563468373333</v>
      </c>
      <c r="AR186" s="9" t="n">
        <v>8.52855178078815</v>
      </c>
      <c r="AS186" s="9" t="n">
        <v>1.60950426784205</v>
      </c>
      <c r="AT186" s="9" t="n">
        <v>1.2214109772</v>
      </c>
      <c r="AU186" s="9" t="n">
        <v>1.18890574050805</v>
      </c>
      <c r="AV186" s="9" t="n">
        <v>1.21965908088512</v>
      </c>
      <c r="AW186" s="9" t="n">
        <v>9.41127151780906</v>
      </c>
      <c r="AX186" s="9" t="n">
        <v>7.0887799368</v>
      </c>
      <c r="AY186" s="9" t="n">
        <v>6.95190125093916</v>
      </c>
      <c r="AZ186" s="9" t="n">
        <v>7.13172558701023</v>
      </c>
      <c r="BA186" s="9" t="n">
        <v>30.5781984589474</v>
      </c>
      <c r="BB186" s="9" t="n">
        <v>28.3578414423737</v>
      </c>
      <c r="BC186" s="9" t="n">
        <v>29.34477394</v>
      </c>
      <c r="BD186" s="9" t="n">
        <v>30.0621517921027</v>
      </c>
      <c r="BE186" s="9" t="n">
        <v>4.5608247498023</v>
      </c>
      <c r="BF186" s="9" t="n">
        <v>4.39429722625238</v>
      </c>
      <c r="BG186" s="9" t="n">
        <v>4.37476701635792</v>
      </c>
      <c r="BH186" s="9" t="n">
        <v>4.56920110597383</v>
      </c>
      <c r="BI186" s="9" t="n">
        <v>26.978692551945</v>
      </c>
      <c r="BJ186" s="9" t="n">
        <v>25.22600394</v>
      </c>
      <c r="BK186" s="9" t="n">
        <v>25.1138883669333</v>
      </c>
      <c r="BL186" s="9" t="n">
        <v>26.2300611832414</v>
      </c>
      <c r="BM186" s="9" t="n">
        <v>0</v>
      </c>
      <c r="BN186" s="9" t="n">
        <v>0</v>
      </c>
      <c r="BO186" s="9" t="n">
        <v>0</v>
      </c>
      <c r="BP186" s="9" t="n">
        <v>0</v>
      </c>
      <c r="BQ186" s="9" t="n">
        <v>22.8548833901976</v>
      </c>
      <c r="BR186" s="9" t="n">
        <v>0</v>
      </c>
      <c r="BS186" s="9" t="n">
        <v>0</v>
      </c>
      <c r="BT186" s="9" t="n">
        <v>0</v>
      </c>
      <c r="BU186" s="9" t="n">
        <v>0</v>
      </c>
      <c r="BV186" s="9" t="n">
        <v>30.1475959268553</v>
      </c>
      <c r="BW186" s="9" t="n">
        <v>43.0163524685515</v>
      </c>
      <c r="BX186" s="9" t="n">
        <v>26.7405812316717</v>
      </c>
      <c r="BY186" s="9" t="n">
        <v>28.1158467126525</v>
      </c>
      <c r="BZ186" s="9" t="n">
        <v>3.06132660712531</v>
      </c>
      <c r="CA186" s="9" t="n">
        <v>-1.96173081104588</v>
      </c>
      <c r="CB186" s="9" t="n">
        <v>-0.541</v>
      </c>
      <c r="CC186" s="9" t="n">
        <v>0.512</v>
      </c>
      <c r="CD186" s="9" t="n">
        <v>8.058</v>
      </c>
      <c r="CE186" s="9" t="n">
        <v>0</v>
      </c>
      <c r="CF186" s="9" t="n">
        <v>0</v>
      </c>
      <c r="CG186" s="9" t="n">
        <v>4.66</v>
      </c>
      <c r="CH186" s="9" t="n">
        <v>0.06</v>
      </c>
      <c r="CI186" s="9" t="n">
        <v>4.6</v>
      </c>
      <c r="CJ186" s="9" t="n">
        <v>0.59</v>
      </c>
      <c r="CK186" s="9" t="n">
        <v>5.25</v>
      </c>
      <c r="CL186" s="9" t="n">
        <v>0</v>
      </c>
      <c r="CM186" s="9" t="n">
        <v>40.539</v>
      </c>
      <c r="CN186" s="9" t="n">
        <v>40.539</v>
      </c>
      <c r="CO186" s="9" t="n">
        <v>3</v>
      </c>
      <c r="CP186" s="9" t="n">
        <v>1</v>
      </c>
      <c r="CQ186" s="9" t="n">
        <v>0.5</v>
      </c>
      <c r="CR186" s="9" t="n">
        <v>0.3</v>
      </c>
      <c r="CS186" s="9" t="n">
        <v>0.6</v>
      </c>
      <c r="CT186" s="9" t="n">
        <v>0.8</v>
      </c>
      <c r="CU186" s="9" t="n">
        <v>0.8</v>
      </c>
      <c r="CV186" s="9" t="n">
        <v>0.7</v>
      </c>
      <c r="CW186" s="9" t="n">
        <v>0.5</v>
      </c>
      <c r="CX186" s="9" t="n">
        <v>0.5</v>
      </c>
      <c r="CY186" s="9" t="n">
        <v>1</v>
      </c>
      <c r="CZ186" s="9" t="n">
        <v>0.3</v>
      </c>
      <c r="DA186" s="9" t="n">
        <v>0.8</v>
      </c>
      <c r="DB186" s="9" t="n">
        <v>0.275534279363994</v>
      </c>
      <c r="DC186" s="9" t="n">
        <v>7.124</v>
      </c>
      <c r="DD186" s="9" t="n">
        <v>5.575</v>
      </c>
      <c r="DE186" s="9" t="n">
        <v>12.80265</v>
      </c>
      <c r="DF186" s="9" t="n">
        <v>19.8582176414707</v>
      </c>
      <c r="DG186" s="9" t="n">
        <v>21.6186909024774</v>
      </c>
      <c r="DH186" s="9" t="n">
        <v>18.1356615888456</v>
      </c>
      <c r="DI186" s="9" t="n">
        <v>20.6587833313565</v>
      </c>
      <c r="DJ186" s="9" t="n">
        <v>6.978</v>
      </c>
      <c r="DK186" s="9" t="n">
        <v>6.316</v>
      </c>
      <c r="DL186" s="9" t="n">
        <v>11.49645</v>
      </c>
      <c r="DM186" s="9" t="n">
        <v>14.1151698941595</v>
      </c>
      <c r="DN186" s="9" t="n">
        <v>14.1151698941595</v>
      </c>
      <c r="DO186" s="9" t="n">
        <v>0.14592</v>
      </c>
    </row>
    <row r="187" customFormat="false" ht="15" hidden="false" customHeight="false" outlineLevel="0" collapsed="false">
      <c r="A187" s="9" t="s">
        <v>774</v>
      </c>
      <c r="B187" s="9" t="s">
        <v>775</v>
      </c>
      <c r="C187" s="9" t="n">
        <v>0.005</v>
      </c>
      <c r="D187" s="9" t="n">
        <v>0.005</v>
      </c>
      <c r="E187" s="9" t="n">
        <v>0.01</v>
      </c>
      <c r="F187" s="9" t="n">
        <v>0.005</v>
      </c>
      <c r="G187" s="9" t="n">
        <v>0.005</v>
      </c>
      <c r="H187" s="9" t="n">
        <v>0.01</v>
      </c>
      <c r="I187" s="9" t="n">
        <v>0.005</v>
      </c>
      <c r="J187" s="9" t="n">
        <v>0.005</v>
      </c>
      <c r="K187" s="9" t="n">
        <v>0.01</v>
      </c>
      <c r="L187" s="9" t="n">
        <v>0.01</v>
      </c>
      <c r="M187" s="9" t="n">
        <v>0.005</v>
      </c>
      <c r="N187" s="9" t="n">
        <v>2.440059</v>
      </c>
      <c r="O187" s="9" t="n">
        <v>2.180488</v>
      </c>
      <c r="P187" s="9" t="n">
        <v>29.579767</v>
      </c>
      <c r="Q187" s="9" t="n">
        <v>7.04980990846273</v>
      </c>
      <c r="R187" s="9" t="n">
        <v>0.682933301763182</v>
      </c>
      <c r="S187" s="9" t="n">
        <v>2.05542796184418</v>
      </c>
      <c r="T187" s="9" t="n">
        <v>1.92387894498878</v>
      </c>
      <c r="U187" s="9" t="n">
        <v>0.040243</v>
      </c>
      <c r="V187" s="9" t="n">
        <v>0.045998</v>
      </c>
      <c r="W187" s="9" t="n">
        <v>0.048962</v>
      </c>
      <c r="X187" s="9" t="n">
        <v>2.19243907446208</v>
      </c>
      <c r="Y187" s="9" t="n">
        <v>2.19243907446208</v>
      </c>
      <c r="Z187" s="9" t="n">
        <v>51.2</v>
      </c>
      <c r="AA187" s="9" t="n">
        <v>11.26</v>
      </c>
      <c r="AB187" s="9" t="n">
        <v>4.33</v>
      </c>
      <c r="AC187" s="9" t="n">
        <v>3</v>
      </c>
      <c r="AD187" s="9" t="n">
        <v>0.124897851168204</v>
      </c>
      <c r="AE187" s="9" t="n">
        <v>407.218</v>
      </c>
      <c r="AF187" s="9" t="n">
        <v>954.820189868787</v>
      </c>
      <c r="AG187" s="9" t="n">
        <v>967.3050333384</v>
      </c>
      <c r="AH187" s="9" t="n">
        <v>1005.0299296386</v>
      </c>
      <c r="AI187" s="9" t="n">
        <v>969.397050315047</v>
      </c>
      <c r="AJ187" s="9" t="n">
        <v>2392.8946251963</v>
      </c>
      <c r="AK187" s="9" t="n">
        <v>153.946503160275</v>
      </c>
      <c r="AL187" s="9" t="n">
        <v>155.5357513968</v>
      </c>
      <c r="AM187" s="9" t="n">
        <v>161.601645701275</v>
      </c>
      <c r="AN187" s="9" t="n">
        <v>155.87213280823</v>
      </c>
      <c r="AO187" s="9" t="n">
        <v>366.942148780245</v>
      </c>
      <c r="AP187" s="9" t="n">
        <v>365.26571372</v>
      </c>
      <c r="AQ187" s="9" t="n">
        <v>379.51107655508</v>
      </c>
      <c r="AR187" s="9" t="n">
        <v>366.055683840855</v>
      </c>
      <c r="AS187" s="9" t="n">
        <v>492.974419019373</v>
      </c>
      <c r="AT187" s="9" t="n">
        <v>524.581421616</v>
      </c>
      <c r="AU187" s="9" t="n">
        <v>459.878999814133</v>
      </c>
      <c r="AV187" s="9" t="n">
        <v>462.54767683011</v>
      </c>
      <c r="AW187" s="9" t="n">
        <v>163.591547507425</v>
      </c>
      <c r="AX187" s="9" t="n">
        <v>170.4774692592</v>
      </c>
      <c r="AY187" s="9" t="n">
        <v>152.558649405728</v>
      </c>
      <c r="AZ187" s="9" t="n">
        <v>153.466325139543</v>
      </c>
      <c r="BA187" s="9" t="n">
        <v>281.156327815004</v>
      </c>
      <c r="BB187" s="9" t="n">
        <v>289.650108833706</v>
      </c>
      <c r="BC187" s="9" t="n">
        <v>273.521512730478</v>
      </c>
      <c r="BD187" s="9" t="n">
        <v>276.734349203431</v>
      </c>
      <c r="BE187" s="9" t="n">
        <v>25.227597917979</v>
      </c>
      <c r="BF187" s="9" t="n">
        <v>23.9261458159012</v>
      </c>
      <c r="BG187" s="9" t="n">
        <v>24.8592655027213</v>
      </c>
      <c r="BH187" s="9" t="n">
        <v>23.9778915439885</v>
      </c>
      <c r="BI187" s="9" t="n">
        <v>6.31854391974409</v>
      </c>
      <c r="BJ187" s="9" t="n">
        <v>6.18788417999999</v>
      </c>
      <c r="BK187" s="9" t="n">
        <v>6.42921166301999</v>
      </c>
      <c r="BL187" s="9" t="n">
        <v>6.20126688587656</v>
      </c>
      <c r="BM187" s="9" t="n">
        <v>65.8765818569308</v>
      </c>
      <c r="BN187" s="9" t="n">
        <v>59.9376300876</v>
      </c>
      <c r="BO187" s="9" t="n">
        <v>62.2751976610164</v>
      </c>
      <c r="BP187" s="9" t="n">
        <v>60.0672588348531</v>
      </c>
      <c r="BQ187" s="9" t="n">
        <v>0</v>
      </c>
      <c r="BR187" s="9" t="n">
        <v>4.45546899709475</v>
      </c>
      <c r="BS187" s="9" t="n">
        <v>4.0277392812</v>
      </c>
      <c r="BT187" s="9" t="n">
        <v>4.1848211131668</v>
      </c>
      <c r="BU187" s="9" t="n">
        <v>4.03645018279089</v>
      </c>
      <c r="BV187" s="9" t="n">
        <v>205.535627798188</v>
      </c>
      <c r="BW187" s="9" t="n">
        <v>232.16982988635</v>
      </c>
      <c r="BX187" s="9" t="n">
        <v>208.687034629968</v>
      </c>
      <c r="BY187" s="9" t="n">
        <v>201.712518152892</v>
      </c>
      <c r="BZ187" s="9" t="n">
        <v>182.379435146333</v>
      </c>
      <c r="CA187" s="9" t="n">
        <v>1.24730249085846</v>
      </c>
      <c r="CB187" s="9" t="n">
        <v>1.115</v>
      </c>
      <c r="CC187" s="9" t="n">
        <v>1.049</v>
      </c>
      <c r="CD187" s="9" t="n">
        <v>401.076</v>
      </c>
      <c r="CE187" s="9" t="n">
        <v>12.51</v>
      </c>
      <c r="CF187" s="9" t="n">
        <v>197.5</v>
      </c>
      <c r="CG187" s="9" t="n">
        <v>199.45</v>
      </c>
      <c r="CH187" s="9" t="n">
        <v>0</v>
      </c>
      <c r="CI187" s="9" t="n">
        <v>1.95</v>
      </c>
      <c r="CJ187" s="9" t="n">
        <v>19.48</v>
      </c>
      <c r="CK187" s="9" t="n">
        <v>242.76</v>
      </c>
      <c r="CL187" s="9" t="n">
        <v>11.32</v>
      </c>
      <c r="CM187" s="9" t="n">
        <v>540.307</v>
      </c>
      <c r="CN187" s="9" t="n">
        <v>546.776</v>
      </c>
      <c r="CO187" s="9" t="n">
        <v>3</v>
      </c>
      <c r="CP187" s="9" t="n">
        <v>3</v>
      </c>
      <c r="CQ187" s="9" t="n">
        <v>0.5</v>
      </c>
      <c r="CR187" s="9" t="n">
        <v>0.3</v>
      </c>
      <c r="CS187" s="9" t="n">
        <v>0.6</v>
      </c>
      <c r="CT187" s="9" t="n">
        <v>0.8</v>
      </c>
      <c r="CU187" s="9" t="n">
        <v>0.8</v>
      </c>
      <c r="CV187" s="9" t="n">
        <v>0.7</v>
      </c>
      <c r="CW187" s="9" t="n">
        <v>0.5</v>
      </c>
      <c r="CX187" s="9" t="n">
        <v>0.5</v>
      </c>
      <c r="CY187" s="9" t="n">
        <v>1</v>
      </c>
      <c r="CZ187" s="9" t="n">
        <v>0.3</v>
      </c>
      <c r="DA187" s="9" t="n">
        <v>0.8</v>
      </c>
      <c r="DB187" s="9" t="n">
        <v>0.404823042077469</v>
      </c>
      <c r="DC187" s="9" t="n">
        <v>2.167</v>
      </c>
      <c r="DD187" s="9" t="n">
        <v>2.171</v>
      </c>
      <c r="DE187" s="9" t="n">
        <v>5.5913</v>
      </c>
      <c r="DF187" s="9" t="n">
        <v>21.7218896056033</v>
      </c>
      <c r="DG187" s="9" t="n">
        <v>23.7161042661455</v>
      </c>
      <c r="DH187" s="9" t="n">
        <v>16.8211307688606</v>
      </c>
      <c r="DI187" s="9" t="n">
        <v>22.2707112616549</v>
      </c>
      <c r="DJ187" s="9" t="n">
        <v>7.641</v>
      </c>
      <c r="DK187" s="9" t="n">
        <v>6.32</v>
      </c>
      <c r="DL187" s="9" t="n">
        <v>17.9078</v>
      </c>
      <c r="DM187" s="9" t="n">
        <v>13.4947462084719</v>
      </c>
      <c r="DN187" s="9" t="n">
        <v>13.4947462084719</v>
      </c>
      <c r="DO187" s="9" t="n">
        <v>0.09152</v>
      </c>
    </row>
    <row r="188" customFormat="false" ht="15" hidden="false" customHeight="false" outlineLevel="0" collapsed="false">
      <c r="A188" s="9" t="s">
        <v>930</v>
      </c>
      <c r="B188" s="9" t="s">
        <v>931</v>
      </c>
      <c r="C188" s="9" t="n">
        <v>0.005</v>
      </c>
      <c r="D188" s="9" t="n">
        <v>0.005</v>
      </c>
      <c r="E188" s="9" t="n">
        <v>0.01</v>
      </c>
      <c r="F188" s="9" t="n">
        <v>0.005</v>
      </c>
      <c r="G188" s="9" t="n">
        <v>0.005</v>
      </c>
      <c r="H188" s="9" t="n">
        <v>0.01</v>
      </c>
      <c r="I188" s="9" t="n">
        <v>0.005</v>
      </c>
      <c r="J188" s="9" t="n">
        <v>0.005</v>
      </c>
      <c r="K188" s="9" t="n">
        <v>0.01</v>
      </c>
      <c r="L188" s="9" t="n">
        <v>0.01</v>
      </c>
      <c r="M188" s="9" t="n">
        <v>0.005</v>
      </c>
      <c r="N188" s="9" t="n">
        <v>0.022215</v>
      </c>
      <c r="O188" s="9" t="n">
        <v>0.021069</v>
      </c>
      <c r="P188" s="9" t="n">
        <v>0.786216</v>
      </c>
      <c r="Q188" s="9" t="n">
        <v>0.161790300572272</v>
      </c>
      <c r="R188" s="9" t="n">
        <v>0.0310840172103081</v>
      </c>
      <c r="S188" s="9" t="n">
        <v>0.0419880567021913</v>
      </c>
      <c r="T188" s="9" t="n">
        <v>0.0148178671489346</v>
      </c>
      <c r="U188" s="9" t="n">
        <v>0.00095</v>
      </c>
      <c r="V188" s="9" t="n">
        <v>0.000114</v>
      </c>
      <c r="W188" s="9" t="n">
        <v>0.001768</v>
      </c>
      <c r="X188" s="9" t="n">
        <v>0.0432400574611481</v>
      </c>
      <c r="Y188" s="9" t="n">
        <v>0.0432400574611481</v>
      </c>
      <c r="Z188" s="9" t="n">
        <v>0.54</v>
      </c>
      <c r="AA188" s="9" t="n">
        <v>0.19</v>
      </c>
      <c r="AB188" s="9" t="n">
        <v>0</v>
      </c>
      <c r="AC188" s="9" t="n">
        <v>3</v>
      </c>
      <c r="AD188" s="9" t="n">
        <v>0</v>
      </c>
      <c r="AE188" s="9" t="n">
        <v>11.83</v>
      </c>
      <c r="AF188" s="9" t="n">
        <v>16.240398298202</v>
      </c>
      <c r="AG188" s="9" t="n">
        <v>15.122344788</v>
      </c>
      <c r="AH188" s="9" t="n">
        <v>15.9506354076829</v>
      </c>
      <c r="AI188" s="9" t="n">
        <v>15.6224484778569</v>
      </c>
      <c r="AJ188" s="9" t="n">
        <v>42.9389159121947</v>
      </c>
      <c r="AK188" s="9" t="n">
        <v>0</v>
      </c>
      <c r="AL188" s="9" t="n">
        <v>0</v>
      </c>
      <c r="AM188" s="9" t="n">
        <v>0</v>
      </c>
      <c r="AN188" s="9" t="n">
        <v>0</v>
      </c>
      <c r="AO188" s="9" t="n">
        <v>21.1831065185495</v>
      </c>
      <c r="AP188" s="9" t="n">
        <v>18.42343838</v>
      </c>
      <c r="AQ188" s="9" t="n">
        <v>19.4325385828052</v>
      </c>
      <c r="AR188" s="9" t="n">
        <v>19.0327109262126</v>
      </c>
      <c r="AS188" s="9" t="n">
        <v>38.9957877576271</v>
      </c>
      <c r="AT188" s="9" t="n">
        <v>30.074600826</v>
      </c>
      <c r="AU188" s="9" t="n">
        <v>34.9713244835661</v>
      </c>
      <c r="AV188" s="9" t="n">
        <v>37.5426405338619</v>
      </c>
      <c r="AW188" s="9" t="n">
        <v>20.7715670441115</v>
      </c>
      <c r="AX188" s="9" t="n">
        <v>16.1182923984</v>
      </c>
      <c r="AY188" s="9" t="n">
        <v>18.6293384450384</v>
      </c>
      <c r="AZ188" s="9" t="n">
        <v>19.99878110539</v>
      </c>
      <c r="BA188" s="9" t="n">
        <v>17.4589900440089</v>
      </c>
      <c r="BB188" s="9" t="n">
        <v>15.1839624104131</v>
      </c>
      <c r="BC188" s="9" t="n">
        <v>16.3209823674835</v>
      </c>
      <c r="BD188" s="9" t="n">
        <v>15.8349355882528</v>
      </c>
      <c r="BE188" s="9" t="n">
        <v>0</v>
      </c>
      <c r="BF188" s="9" t="n">
        <v>0</v>
      </c>
      <c r="BG188" s="9" t="n">
        <v>0</v>
      </c>
      <c r="BH188" s="9" t="n">
        <v>0</v>
      </c>
      <c r="BI188" s="9" t="n">
        <v>0.0212922604196554</v>
      </c>
      <c r="BJ188" s="9" t="n">
        <v>0.0195002599999999</v>
      </c>
      <c r="BK188" s="9" t="n">
        <v>0.0205683405566736</v>
      </c>
      <c r="BL188" s="9" t="n">
        <v>0.0201451435888801</v>
      </c>
      <c r="BM188" s="9" t="n">
        <v>0</v>
      </c>
      <c r="BN188" s="9" t="n">
        <v>0</v>
      </c>
      <c r="BO188" s="9" t="n">
        <v>0</v>
      </c>
      <c r="BP188" s="9" t="n">
        <v>0</v>
      </c>
      <c r="BQ188" s="9" t="n">
        <v>0</v>
      </c>
      <c r="BR188" s="9" t="n">
        <v>0</v>
      </c>
      <c r="BS188" s="9" t="n">
        <v>0</v>
      </c>
      <c r="BT188" s="9" t="n">
        <v>0</v>
      </c>
      <c r="BU188" s="9" t="n">
        <v>0</v>
      </c>
      <c r="BV188" s="9" t="n">
        <v>34.7879295060599</v>
      </c>
      <c r="BW188" s="9" t="n">
        <v>29.0647137461384</v>
      </c>
      <c r="BX188" s="9" t="n">
        <v>29.5096888394509</v>
      </c>
      <c r="BY188" s="9" t="n">
        <v>28.8935454252989</v>
      </c>
      <c r="BZ188" s="9" t="n">
        <v>16.6020430004829</v>
      </c>
      <c r="CA188" s="9" t="n">
        <v>-1.50393698383845</v>
      </c>
      <c r="CB188" s="9" t="n">
        <v>3.758</v>
      </c>
      <c r="CC188" s="9" t="n">
        <v>4.287</v>
      </c>
      <c r="CD188" s="9" t="n">
        <v>25.303</v>
      </c>
      <c r="CE188" s="9" t="n">
        <v>17.08</v>
      </c>
      <c r="CF188" s="9" t="n">
        <v>2.13</v>
      </c>
      <c r="CG188" s="9" t="n">
        <v>2.47</v>
      </c>
      <c r="CH188" s="9" t="n">
        <v>0</v>
      </c>
      <c r="CI188" s="9" t="n">
        <v>0.34</v>
      </c>
      <c r="CJ188" s="9" t="n">
        <v>0.17</v>
      </c>
      <c r="CK188" s="9" t="n">
        <v>19.72</v>
      </c>
      <c r="CL188" s="9" t="n">
        <v>0</v>
      </c>
      <c r="CM188" s="9" t="n">
        <v>34.276</v>
      </c>
      <c r="CN188" s="9" t="n">
        <v>82.986</v>
      </c>
      <c r="CO188" s="9" t="n">
        <v>3</v>
      </c>
      <c r="CP188" s="9" t="n">
        <v>2</v>
      </c>
      <c r="CQ188" s="9" t="n">
        <v>0.5</v>
      </c>
      <c r="CR188" s="9" t="n">
        <v>0.3</v>
      </c>
      <c r="CS188" s="9" t="n">
        <v>0.6</v>
      </c>
      <c r="CT188" s="9" t="n">
        <v>0.8</v>
      </c>
      <c r="CU188" s="9" t="n">
        <v>0.8</v>
      </c>
      <c r="CV188" s="9" t="n">
        <v>0.7</v>
      </c>
      <c r="CW188" s="9" t="n">
        <v>0.5</v>
      </c>
      <c r="CX188" s="9" t="n">
        <v>0.5</v>
      </c>
      <c r="CY188" s="9" t="n">
        <v>1</v>
      </c>
      <c r="CZ188" s="9" t="n">
        <v>0.3</v>
      </c>
      <c r="DA188" s="9" t="n">
        <v>0.8</v>
      </c>
      <c r="DB188" s="9" t="n">
        <v>0.281235064631937</v>
      </c>
      <c r="DC188" s="9" t="n">
        <v>3.767</v>
      </c>
      <c r="DD188" s="9" t="n">
        <v>2.42</v>
      </c>
      <c r="DE188" s="9" t="n">
        <v>7.04932</v>
      </c>
      <c r="DF188" s="9" t="n">
        <v>20.8480503786145</v>
      </c>
      <c r="DG188" s="9" t="n">
        <v>23.730917072875</v>
      </c>
      <c r="DH188" s="9" t="n">
        <v>15.656114517978</v>
      </c>
      <c r="DI188" s="9" t="n">
        <v>20.0705683118632</v>
      </c>
      <c r="DJ188" s="9" t="n">
        <v>10.611</v>
      </c>
      <c r="DK188" s="9" t="n">
        <v>9.287</v>
      </c>
      <c r="DL188" s="9" t="n">
        <v>21.52032</v>
      </c>
      <c r="DM188" s="9" t="n">
        <v>13.4947462084719</v>
      </c>
      <c r="DN188" s="9" t="n">
        <v>13.4947462084719</v>
      </c>
      <c r="DO188" s="9" t="n">
        <v>0.038</v>
      </c>
    </row>
    <row r="189" customFormat="false" ht="15" hidden="false" customHeight="false" outlineLevel="0" collapsed="false">
      <c r="A189" s="9" t="s">
        <v>878</v>
      </c>
      <c r="B189" s="9" t="s">
        <v>879</v>
      </c>
      <c r="C189" s="9" t="n">
        <v>0.005</v>
      </c>
      <c r="D189" s="9" t="n">
        <v>0.005</v>
      </c>
      <c r="E189" s="9" t="n">
        <v>0.01</v>
      </c>
      <c r="F189" s="9" t="n">
        <v>0.005</v>
      </c>
      <c r="G189" s="9" t="n">
        <v>0.005</v>
      </c>
      <c r="H189" s="9" t="n">
        <v>0.01</v>
      </c>
      <c r="I189" s="9" t="n">
        <v>0.005</v>
      </c>
      <c r="J189" s="9" t="n">
        <v>0.005</v>
      </c>
      <c r="K189" s="9" t="n">
        <v>0.01</v>
      </c>
      <c r="L189" s="9" t="n">
        <v>0.01</v>
      </c>
      <c r="M189" s="9" t="n">
        <v>0.005</v>
      </c>
      <c r="N189" s="9" t="n">
        <v>0.00447</v>
      </c>
      <c r="O189" s="9" t="n">
        <v>0.195791</v>
      </c>
      <c r="P189" s="9" t="n">
        <v>0.428912</v>
      </c>
      <c r="Q189" s="9" t="n">
        <v>0.0331141897923029</v>
      </c>
      <c r="R189" s="9" t="n">
        <v>0.006376941893191</v>
      </c>
      <c r="S189" s="9" t="n">
        <v>0.0245570527210923</v>
      </c>
      <c r="T189" s="9" t="n">
        <v>0.0081459479091002</v>
      </c>
      <c r="U189" s="9" t="n">
        <v>0.000194</v>
      </c>
      <c r="V189" s="9" t="n">
        <v>4.4E-005</v>
      </c>
      <c r="W189" s="9" t="n">
        <v>0.001004</v>
      </c>
      <c r="X189" s="9" t="n">
        <v>0.008730600869379</v>
      </c>
      <c r="Y189" s="9" t="n">
        <v>0.008730600869379</v>
      </c>
      <c r="Z189" s="9" t="n">
        <v>1.68</v>
      </c>
      <c r="AA189" s="9" t="n">
        <v>0.1</v>
      </c>
      <c r="AB189" s="9" t="n">
        <v>0</v>
      </c>
      <c r="AC189" s="9" t="n">
        <v>3</v>
      </c>
      <c r="AD189" s="9" t="n">
        <v>0</v>
      </c>
      <c r="AE189" s="9" t="n">
        <v>9.654</v>
      </c>
      <c r="AF189" s="9" t="n">
        <v>10.6605074252367</v>
      </c>
      <c r="AG189" s="9" t="n">
        <v>10.6152378408</v>
      </c>
      <c r="AH189" s="9" t="n">
        <v>10.9761559273872</v>
      </c>
      <c r="AI189" s="9" t="n">
        <v>10.4712527547274</v>
      </c>
      <c r="AJ189" s="9" t="n">
        <v>43.4078308006633</v>
      </c>
      <c r="AK189" s="9" t="n">
        <v>5.03686610704515</v>
      </c>
      <c r="AL189" s="9" t="n">
        <v>5.0105152188</v>
      </c>
      <c r="AM189" s="9" t="n">
        <v>5.1808727362392</v>
      </c>
      <c r="AN189" s="9" t="n">
        <v>4.9425525903722</v>
      </c>
      <c r="AO189" s="9" t="n">
        <v>11.7587199856939</v>
      </c>
      <c r="AP189" s="9" t="n">
        <v>12.04391198</v>
      </c>
      <c r="AQ189" s="9" t="n">
        <v>12.45340498732</v>
      </c>
      <c r="AR189" s="9" t="n">
        <v>11.8805483579033</v>
      </c>
      <c r="AS189" s="9" t="n">
        <v>25.2919654402986</v>
      </c>
      <c r="AT189" s="9" t="n">
        <v>20.8029196656</v>
      </c>
      <c r="AU189" s="9" t="n">
        <v>22.1387084057976</v>
      </c>
      <c r="AV189" s="9" t="n">
        <v>24.1270472752722</v>
      </c>
      <c r="AW189" s="9" t="n">
        <v>11.0209823582037</v>
      </c>
      <c r="AX189" s="9" t="n">
        <v>9.072439722</v>
      </c>
      <c r="AY189" s="9" t="n">
        <v>9.64694955596267</v>
      </c>
      <c r="AZ189" s="9" t="n">
        <v>10.513368880089</v>
      </c>
      <c r="BA189" s="9" t="n">
        <v>8.91086051510105</v>
      </c>
      <c r="BB189" s="9" t="n">
        <v>8.05348180902025</v>
      </c>
      <c r="BC189" s="9" t="n">
        <v>11.1167223802278</v>
      </c>
      <c r="BD189" s="9" t="n">
        <v>9.17886252126889</v>
      </c>
      <c r="BE189" s="9" t="n">
        <v>2.34007018323054</v>
      </c>
      <c r="BF189" s="9" t="n">
        <v>2.28795147258834</v>
      </c>
      <c r="BG189" s="9" t="n">
        <v>2.36574182265635</v>
      </c>
      <c r="BH189" s="9" t="n">
        <v>2.25691769881416</v>
      </c>
      <c r="BI189" s="9" t="n">
        <v>2.80959454116126</v>
      </c>
      <c r="BJ189" s="9" t="n">
        <v>2.6882202</v>
      </c>
      <c r="BK189" s="9" t="n">
        <v>2.7796196868</v>
      </c>
      <c r="BL189" s="9" t="n">
        <v>2.6517571812072</v>
      </c>
      <c r="BM189" s="9" t="n">
        <v>0</v>
      </c>
      <c r="BN189" s="9" t="n">
        <v>0</v>
      </c>
      <c r="BO189" s="9" t="n">
        <v>0</v>
      </c>
      <c r="BP189" s="9" t="n">
        <v>0</v>
      </c>
      <c r="BQ189" s="9" t="n">
        <v>0</v>
      </c>
      <c r="BR189" s="9" t="n">
        <v>0</v>
      </c>
      <c r="BS189" s="9" t="n">
        <v>0</v>
      </c>
      <c r="BT189" s="9" t="n">
        <v>0</v>
      </c>
      <c r="BU189" s="9" t="n">
        <v>0</v>
      </c>
      <c r="BV189" s="9" t="n">
        <v>25.7045075343089</v>
      </c>
      <c r="BW189" s="9" t="n">
        <v>26.1578994057702</v>
      </c>
      <c r="BX189" s="9" t="n">
        <v>29.3489606257089</v>
      </c>
      <c r="BY189" s="9" t="n">
        <v>26.82183922338</v>
      </c>
      <c r="BZ189" s="9" t="n">
        <v>10.0869299440284</v>
      </c>
      <c r="CA189" s="9" t="n">
        <v>-4.53225851698697</v>
      </c>
      <c r="CB189" s="9" t="n">
        <v>7.54</v>
      </c>
      <c r="CC189" s="9" t="n">
        <v>4.972</v>
      </c>
      <c r="CD189" s="9" t="n">
        <v>49.154</v>
      </c>
      <c r="CE189" s="9" t="n">
        <v>5.82</v>
      </c>
      <c r="CF189" s="9" t="n">
        <v>4.4</v>
      </c>
      <c r="CG189" s="9" t="n">
        <v>4.4</v>
      </c>
      <c r="CH189" s="9" t="n">
        <v>0</v>
      </c>
      <c r="CI189" s="9" t="n">
        <v>0</v>
      </c>
      <c r="CJ189" s="9" t="n">
        <v>0.04</v>
      </c>
      <c r="CK189" s="9" t="n">
        <v>10.26</v>
      </c>
      <c r="CL189" s="9" t="n">
        <v>0</v>
      </c>
      <c r="CM189" s="9" t="n">
        <v>30.23</v>
      </c>
      <c r="CN189" s="9" t="n">
        <v>113.046</v>
      </c>
      <c r="CO189" s="9" t="n">
        <v>3</v>
      </c>
      <c r="CP189" s="9" t="n">
        <v>1</v>
      </c>
      <c r="CQ189" s="9" t="n">
        <v>0.5</v>
      </c>
      <c r="CR189" s="9" t="n">
        <v>0.3</v>
      </c>
      <c r="CS189" s="9" t="n">
        <v>0.6</v>
      </c>
      <c r="CT189" s="9" t="n">
        <v>0.8</v>
      </c>
      <c r="CU189" s="9" t="n">
        <v>0.8</v>
      </c>
      <c r="CV189" s="9" t="n">
        <v>0.7</v>
      </c>
      <c r="CW189" s="9" t="n">
        <v>0.5</v>
      </c>
      <c r="CX189" s="9" t="n">
        <v>0.5</v>
      </c>
      <c r="CY189" s="9" t="n">
        <v>1</v>
      </c>
      <c r="CZ189" s="9" t="n">
        <v>0.3</v>
      </c>
      <c r="DA189" s="9" t="n">
        <v>0.8</v>
      </c>
      <c r="DB189" s="9" t="n">
        <v>0.392146538381759</v>
      </c>
      <c r="DC189" s="9" t="n">
        <v>3.374</v>
      </c>
      <c r="DD189" s="9" t="n">
        <v>2.051</v>
      </c>
      <c r="DE189" s="9" t="n">
        <v>6.138345</v>
      </c>
      <c r="DF189" s="9" t="n">
        <v>20.5282236127501</v>
      </c>
      <c r="DG189" s="9" t="n">
        <v>22.348436105044</v>
      </c>
      <c r="DH189" s="9" t="n">
        <v>17.5281990473705</v>
      </c>
      <c r="DI189" s="9" t="n">
        <v>22.7847981551754</v>
      </c>
      <c r="DJ189" s="9" t="n">
        <v>12.782</v>
      </c>
      <c r="DK189" s="9" t="n">
        <v>11.458</v>
      </c>
      <c r="DL189" s="9" t="n">
        <v>23.72898</v>
      </c>
      <c r="DM189" s="9" t="n">
        <v>14.3688237197376</v>
      </c>
      <c r="DN189" s="9" t="n">
        <v>14.3688237197376</v>
      </c>
      <c r="DO189" s="9" t="n">
        <v>0.105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1196</v>
      </c>
    </row>
    <row r="2" customFormat="false" ht="15" hidden="false" customHeight="false" outlineLevel="0" collapsed="false">
      <c r="A2" s="0" t="s">
        <v>1197</v>
      </c>
      <c r="B2" s="0" t="s">
        <v>1198</v>
      </c>
      <c r="C2" s="0" t="s">
        <v>293</v>
      </c>
      <c r="D2" s="0" t="n">
        <v>2024</v>
      </c>
      <c r="E2" s="0" t="n">
        <v>2025</v>
      </c>
      <c r="F2" s="0" t="n">
        <v>2030</v>
      </c>
      <c r="G2" s="0" t="n">
        <v>2040</v>
      </c>
      <c r="H2" s="0" t="n">
        <v>2050</v>
      </c>
    </row>
    <row r="3" customFormat="false" ht="15" hidden="false" customHeight="false" outlineLevel="0" collapsed="false">
      <c r="A3" s="0" t="s">
        <v>1199</v>
      </c>
      <c r="B3" s="0" t="s">
        <v>1018</v>
      </c>
      <c r="C3" s="0" t="s">
        <v>428</v>
      </c>
      <c r="D3" s="0" t="n">
        <v>4.285</v>
      </c>
      <c r="E3" s="0" t="n">
        <v>4.5253028</v>
      </c>
      <c r="F3" s="0" t="n">
        <v>5.031379268</v>
      </c>
      <c r="G3" s="0" t="n">
        <v>5.979228596</v>
      </c>
      <c r="H3" s="0" t="n">
        <v>6.939138887</v>
      </c>
    </row>
    <row r="4" customFormat="false" ht="15" hidden="false" customHeight="false" outlineLevel="0" collapsed="false">
      <c r="A4" s="0" t="s">
        <v>1200</v>
      </c>
      <c r="B4" s="0" t="s">
        <v>962</v>
      </c>
      <c r="C4" s="0" t="s">
        <v>428</v>
      </c>
      <c r="D4" s="0" t="n">
        <v>17.817</v>
      </c>
      <c r="E4" s="0" t="n">
        <v>18.35222268</v>
      </c>
      <c r="F4" s="0" t="n">
        <v>21.49737277</v>
      </c>
      <c r="G4" s="0" t="n">
        <v>31.87464869</v>
      </c>
      <c r="H4" s="0" t="n">
        <v>49.50035475</v>
      </c>
    </row>
    <row r="5" customFormat="false" ht="15" hidden="false" customHeight="false" outlineLevel="0" collapsed="false">
      <c r="A5" s="0" t="s">
        <v>1201</v>
      </c>
      <c r="B5" s="0" t="s">
        <v>828</v>
      </c>
      <c r="C5" s="0" t="s">
        <v>428</v>
      </c>
      <c r="D5" s="0" t="n">
        <v>119.574</v>
      </c>
      <c r="E5" s="0" t="n">
        <v>123.3166662</v>
      </c>
      <c r="F5" s="0" t="n">
        <v>139.7773715</v>
      </c>
      <c r="G5" s="0" t="n">
        <v>196.2392752</v>
      </c>
      <c r="H5" s="0" t="n">
        <v>290.4820656</v>
      </c>
    </row>
    <row r="6" customFormat="false" ht="15" hidden="false" customHeight="false" outlineLevel="0" collapsed="false">
      <c r="A6" s="0" t="s">
        <v>1202</v>
      </c>
      <c r="B6" s="0" t="s">
        <v>926</v>
      </c>
      <c r="C6" s="0" t="s">
        <v>428</v>
      </c>
      <c r="D6" s="0" t="n">
        <v>27.084</v>
      </c>
      <c r="E6" s="0" t="n">
        <v>28.0874622</v>
      </c>
      <c r="F6" s="0" t="n">
        <v>33.11896365</v>
      </c>
      <c r="G6" s="0" t="n">
        <v>45.08033566</v>
      </c>
      <c r="H6" s="0" t="n">
        <v>60.58420148</v>
      </c>
    </row>
    <row r="7" customFormat="false" ht="15" hidden="false" customHeight="false" outlineLevel="0" collapsed="false">
      <c r="A7" s="0" t="s">
        <v>1203</v>
      </c>
      <c r="B7" s="0" t="s">
        <v>748</v>
      </c>
      <c r="C7" s="0" t="s">
        <v>428</v>
      </c>
      <c r="D7" s="0" t="n">
        <v>552.325</v>
      </c>
      <c r="E7" s="0" t="n">
        <v>584.381943</v>
      </c>
      <c r="F7" s="0" t="n">
        <v>674.4436687</v>
      </c>
      <c r="G7" s="0" t="n">
        <v>824.3663869</v>
      </c>
      <c r="H7" s="0" t="n">
        <v>956.7108467</v>
      </c>
    </row>
    <row r="8" customFormat="false" ht="15" hidden="false" customHeight="false" outlineLevel="0" collapsed="false">
      <c r="A8" s="0" t="s">
        <v>1204</v>
      </c>
      <c r="B8" s="0" t="s">
        <v>736</v>
      </c>
      <c r="C8" s="0" t="s">
        <v>428</v>
      </c>
      <c r="D8" s="0" t="n">
        <v>637.234</v>
      </c>
      <c r="E8" s="0" t="n">
        <v>665.0620088</v>
      </c>
      <c r="F8" s="0" t="n">
        <v>779.0351204</v>
      </c>
      <c r="G8" s="0" t="n">
        <v>962.9461735</v>
      </c>
      <c r="H8" s="0" t="n">
        <v>1117.538347</v>
      </c>
    </row>
    <row r="9" customFormat="false" ht="15" hidden="false" customHeight="false" outlineLevel="0" collapsed="false">
      <c r="A9" s="0" t="s">
        <v>1205</v>
      </c>
      <c r="B9" s="0" t="s">
        <v>920</v>
      </c>
      <c r="C9" s="0" t="s">
        <v>428</v>
      </c>
      <c r="D9" s="0" t="n">
        <v>25.955</v>
      </c>
      <c r="E9" s="0" t="n">
        <v>27.8138971</v>
      </c>
      <c r="F9" s="0" t="n">
        <v>35.44965908</v>
      </c>
      <c r="G9" s="0" t="n">
        <v>51.16814437</v>
      </c>
      <c r="H9" s="0" t="n">
        <v>68.76570732</v>
      </c>
    </row>
    <row r="10" customFormat="false" ht="15" hidden="false" customHeight="false" outlineLevel="0" collapsed="false">
      <c r="A10" s="0" t="s">
        <v>1206</v>
      </c>
      <c r="B10" s="0" t="s">
        <v>1038</v>
      </c>
      <c r="C10" s="0" t="s">
        <v>428</v>
      </c>
      <c r="D10" s="0" t="n">
        <v>2.162</v>
      </c>
      <c r="E10" s="0" t="n">
        <v>2.22770318</v>
      </c>
      <c r="F10" s="0" t="n">
        <v>2.512680623</v>
      </c>
      <c r="G10" s="0" t="n">
        <v>3.018515736</v>
      </c>
      <c r="H10" s="0" t="n">
        <v>3.503110743</v>
      </c>
    </row>
    <row r="11" customFormat="false" ht="15" hidden="false" customHeight="false" outlineLevel="0" collapsed="false">
      <c r="A11" s="0" t="s">
        <v>1207</v>
      </c>
      <c r="B11" s="0" t="s">
        <v>718</v>
      </c>
      <c r="C11" s="0" t="s">
        <v>428</v>
      </c>
      <c r="D11" s="0" t="n">
        <v>1799.418</v>
      </c>
      <c r="E11" s="0" t="n">
        <v>1834.884529</v>
      </c>
      <c r="F11" s="0" t="n">
        <v>2019.540131</v>
      </c>
      <c r="G11" s="0" t="n">
        <v>2381.8003</v>
      </c>
      <c r="H11" s="0" t="n">
        <v>2764.176485</v>
      </c>
    </row>
    <row r="12" customFormat="false" ht="15" hidden="false" customHeight="false" outlineLevel="0" collapsed="false">
      <c r="A12" s="0" t="s">
        <v>1208</v>
      </c>
      <c r="B12" s="0" t="s">
        <v>758</v>
      </c>
      <c r="C12" s="0" t="s">
        <v>428</v>
      </c>
      <c r="D12" s="0" t="n">
        <v>534.63</v>
      </c>
      <c r="E12" s="0" t="n">
        <v>537.9233208</v>
      </c>
      <c r="F12" s="0" t="n">
        <v>559.7546161</v>
      </c>
      <c r="G12" s="0" t="n">
        <v>632.9763023</v>
      </c>
      <c r="H12" s="0" t="n">
        <v>734.5948402</v>
      </c>
    </row>
    <row r="13" customFormat="false" ht="15" hidden="false" customHeight="false" outlineLevel="0" collapsed="false">
      <c r="A13" s="0" t="s">
        <v>1209</v>
      </c>
      <c r="B13" s="0" t="s">
        <v>868</v>
      </c>
      <c r="C13" s="0" t="s">
        <v>428</v>
      </c>
      <c r="D13" s="0" t="n">
        <v>74.426</v>
      </c>
      <c r="E13" s="0" t="n">
        <v>75.467964</v>
      </c>
      <c r="F13" s="0" t="n">
        <v>84.67449276</v>
      </c>
      <c r="G13" s="0" t="n">
        <v>111.0438862</v>
      </c>
      <c r="H13" s="0" t="n">
        <v>149.2336975</v>
      </c>
    </row>
    <row r="14" customFormat="false" ht="15" hidden="false" customHeight="false" outlineLevel="0" collapsed="false">
      <c r="A14" s="0" t="s">
        <v>1210</v>
      </c>
      <c r="B14" s="0" t="s">
        <v>1012</v>
      </c>
      <c r="C14" s="0" t="s">
        <v>428</v>
      </c>
      <c r="D14" s="0" t="n">
        <v>4.838</v>
      </c>
      <c r="E14" s="0" t="n">
        <v>5.02687552</v>
      </c>
      <c r="F14" s="0" t="n">
        <v>6.091380544</v>
      </c>
      <c r="G14" s="0" t="n">
        <v>9.263352011</v>
      </c>
      <c r="H14" s="0" t="n">
        <v>14.38570242</v>
      </c>
    </row>
    <row r="15" customFormat="false" ht="15" hidden="false" customHeight="false" outlineLevel="0" collapsed="false">
      <c r="A15" s="0" t="s">
        <v>1211</v>
      </c>
      <c r="B15" s="0" t="s">
        <v>742</v>
      </c>
      <c r="C15" s="0" t="s">
        <v>428</v>
      </c>
      <c r="D15" s="0" t="n">
        <v>671.168</v>
      </c>
      <c r="E15" s="0" t="n">
        <v>677.691753</v>
      </c>
      <c r="F15" s="0" t="n">
        <v>704.5659831</v>
      </c>
      <c r="G15" s="0" t="n">
        <v>796.1988595</v>
      </c>
      <c r="H15" s="0" t="n">
        <v>924.0212813</v>
      </c>
    </row>
    <row r="16" customFormat="false" ht="15" hidden="false" customHeight="false" outlineLevel="0" collapsed="false">
      <c r="A16" s="0" t="s">
        <v>1212</v>
      </c>
      <c r="B16" s="0" t="s">
        <v>934</v>
      </c>
      <c r="C16" s="0" t="s">
        <v>428</v>
      </c>
      <c r="D16" s="0" t="n">
        <v>21.487</v>
      </c>
      <c r="E16" s="0" t="n">
        <v>23.098525</v>
      </c>
      <c r="F16" s="0" t="n">
        <v>31.82353407</v>
      </c>
      <c r="G16" s="0" t="n">
        <v>53.30375956</v>
      </c>
      <c r="H16" s="0" t="n">
        <v>82.77910866</v>
      </c>
    </row>
    <row r="17" customFormat="false" ht="15" hidden="false" customHeight="false" outlineLevel="0" collapsed="false">
      <c r="A17" s="0" t="s">
        <v>1213</v>
      </c>
      <c r="B17" s="0" t="s">
        <v>938</v>
      </c>
      <c r="C17" s="0" t="s">
        <v>428</v>
      </c>
      <c r="D17" s="0" t="n">
        <v>23.13</v>
      </c>
      <c r="E17" s="0" t="n">
        <v>24.2853435</v>
      </c>
      <c r="F17" s="0" t="n">
        <v>30.71090475</v>
      </c>
      <c r="G17" s="0" t="n">
        <v>48.22076543</v>
      </c>
      <c r="H17" s="0" t="n">
        <v>74.88537421</v>
      </c>
    </row>
    <row r="18" customFormat="false" ht="15" hidden="false" customHeight="false" outlineLevel="0" collapsed="false">
      <c r="A18" s="0" t="s">
        <v>1214</v>
      </c>
      <c r="B18" s="0" t="s">
        <v>756</v>
      </c>
      <c r="C18" s="0" t="s">
        <v>428</v>
      </c>
      <c r="D18" s="0" t="n">
        <v>450.461</v>
      </c>
      <c r="E18" s="0" t="n">
        <v>466.1820889</v>
      </c>
      <c r="F18" s="0" t="n">
        <v>583.5646251</v>
      </c>
      <c r="G18" s="0" t="n">
        <v>882.4908242</v>
      </c>
      <c r="H18" s="0" t="n">
        <v>1306.301999</v>
      </c>
    </row>
    <row r="19" customFormat="false" ht="15" hidden="false" customHeight="false" outlineLevel="0" collapsed="false">
      <c r="A19" s="0" t="s">
        <v>1215</v>
      </c>
      <c r="B19" s="0" t="s">
        <v>830</v>
      </c>
      <c r="C19" s="0" t="s">
        <v>428</v>
      </c>
      <c r="D19" s="0" t="n">
        <v>113.364</v>
      </c>
      <c r="E19" s="0" t="n">
        <v>116.8737494</v>
      </c>
      <c r="F19" s="0" t="n">
        <v>134.2137968</v>
      </c>
      <c r="G19" s="0" t="n">
        <v>179.0982619</v>
      </c>
      <c r="H19" s="0" t="n">
        <v>240.6930876</v>
      </c>
    </row>
    <row r="20" customFormat="false" ht="15" hidden="false" customHeight="false" outlineLevel="0" collapsed="false">
      <c r="A20" s="0" t="s">
        <v>1216</v>
      </c>
      <c r="B20" s="0" t="s">
        <v>898</v>
      </c>
      <c r="C20" s="0" t="s">
        <v>428</v>
      </c>
      <c r="D20" s="0" t="n">
        <v>47.21</v>
      </c>
      <c r="E20" s="0" t="n">
        <v>48.6777589</v>
      </c>
      <c r="F20" s="0" t="n">
        <v>48.16001726</v>
      </c>
      <c r="G20" s="0" t="n">
        <v>52.44827137</v>
      </c>
      <c r="H20" s="0" t="n">
        <v>60.86836013</v>
      </c>
    </row>
    <row r="21" customFormat="false" ht="15" hidden="false" customHeight="false" outlineLevel="0" collapsed="false">
      <c r="A21" s="0" t="s">
        <v>1217</v>
      </c>
      <c r="B21" s="0" t="s">
        <v>976</v>
      </c>
      <c r="C21" s="0" t="s">
        <v>428</v>
      </c>
      <c r="D21" s="0" t="n">
        <v>15.833</v>
      </c>
      <c r="E21" s="0" t="n">
        <v>16.276324</v>
      </c>
      <c r="F21" s="0" t="n">
        <v>17.98294883</v>
      </c>
      <c r="G21" s="0" t="n">
        <v>21.26974192</v>
      </c>
      <c r="H21" s="0" t="n">
        <v>24.68440383</v>
      </c>
    </row>
    <row r="22" customFormat="false" ht="15" hidden="false" customHeight="false" outlineLevel="0" collapsed="false">
      <c r="A22" s="0" t="s">
        <v>1218</v>
      </c>
      <c r="B22" s="0" t="s">
        <v>924</v>
      </c>
      <c r="C22" s="0" t="s">
        <v>428</v>
      </c>
      <c r="D22" s="0" t="n">
        <v>29.738</v>
      </c>
      <c r="E22" s="0" t="n">
        <v>30.33276</v>
      </c>
      <c r="F22" s="0" t="n">
        <v>34.00890389</v>
      </c>
      <c r="G22" s="0" t="n">
        <v>44.57624487</v>
      </c>
      <c r="H22" s="0" t="n">
        <v>59.90674561</v>
      </c>
    </row>
    <row r="23" customFormat="false" ht="15" hidden="false" customHeight="false" outlineLevel="0" collapsed="false">
      <c r="A23" s="0" t="s">
        <v>1219</v>
      </c>
      <c r="B23" s="0" t="s">
        <v>864</v>
      </c>
      <c r="C23" s="0" t="s">
        <v>428</v>
      </c>
      <c r="D23" s="0" t="n">
        <v>78.847</v>
      </c>
      <c r="E23" s="0" t="n">
        <v>79.84283761</v>
      </c>
      <c r="F23" s="0" t="n">
        <v>85.90383831</v>
      </c>
      <c r="G23" s="0" t="n">
        <v>109.1857186</v>
      </c>
      <c r="H23" s="0" t="n">
        <v>146.7364756</v>
      </c>
    </row>
    <row r="24" customFormat="false" ht="15" hidden="false" customHeight="false" outlineLevel="0" collapsed="false">
      <c r="A24" s="0" t="s">
        <v>1220</v>
      </c>
      <c r="B24" s="0" t="s">
        <v>1022</v>
      </c>
      <c r="C24" s="0" t="s">
        <v>428</v>
      </c>
      <c r="D24" s="0" t="n">
        <v>3.204</v>
      </c>
      <c r="E24" s="0" t="n">
        <v>3.29201388</v>
      </c>
      <c r="F24" s="0" t="n">
        <v>3.689748901</v>
      </c>
      <c r="G24" s="0" t="n">
        <v>4.835026406</v>
      </c>
      <c r="H24" s="0" t="n">
        <v>6.497871181</v>
      </c>
    </row>
    <row r="25" customFormat="false" ht="15" hidden="false" customHeight="false" outlineLevel="0" collapsed="false">
      <c r="A25" s="0" t="s">
        <v>1221</v>
      </c>
      <c r="B25" s="0" t="s">
        <v>896</v>
      </c>
      <c r="C25" s="0" t="s">
        <v>428</v>
      </c>
      <c r="D25" s="0" t="n">
        <v>55.281</v>
      </c>
      <c r="E25" s="0" t="n">
        <v>54.617628</v>
      </c>
      <c r="F25" s="0" t="n">
        <v>48.75083639</v>
      </c>
      <c r="G25" s="0" t="n">
        <v>57.40437544</v>
      </c>
      <c r="H25" s="0" t="n">
        <v>84.97249868</v>
      </c>
    </row>
    <row r="26" customFormat="false" ht="15" hidden="false" customHeight="false" outlineLevel="0" collapsed="false">
      <c r="A26" s="0" t="s">
        <v>1222</v>
      </c>
      <c r="B26" s="0" t="s">
        <v>710</v>
      </c>
      <c r="C26" s="0" t="s">
        <v>428</v>
      </c>
      <c r="D26" s="0" t="n">
        <v>2185.822</v>
      </c>
      <c r="E26" s="0" t="n">
        <v>2235.789891</v>
      </c>
      <c r="F26" s="0" t="n">
        <v>2476.551474</v>
      </c>
      <c r="G26" s="0" t="n">
        <v>3216.807687</v>
      </c>
      <c r="H26" s="0" t="n">
        <v>4323.12054</v>
      </c>
    </row>
    <row r="27" customFormat="false" ht="15" hidden="false" customHeight="false" outlineLevel="0" collapsed="false">
      <c r="A27" s="0" t="s">
        <v>1223</v>
      </c>
      <c r="B27" s="0" t="s">
        <v>1000</v>
      </c>
      <c r="C27" s="0" t="s">
        <v>428</v>
      </c>
      <c r="D27" s="0" t="n">
        <v>7.598</v>
      </c>
      <c r="E27" s="0" t="n">
        <v>7.80641314</v>
      </c>
      <c r="F27" s="0" t="n">
        <v>8.757996895</v>
      </c>
      <c r="G27" s="0" t="n">
        <v>10.47872799</v>
      </c>
      <c r="H27" s="0" t="n">
        <v>12.16099163</v>
      </c>
    </row>
    <row r="28" customFormat="false" ht="15" hidden="false" customHeight="false" outlineLevel="0" collapsed="false">
      <c r="A28" s="0" t="s">
        <v>1224</v>
      </c>
      <c r="B28" s="0" t="s">
        <v>980</v>
      </c>
      <c r="C28" s="0" t="s">
        <v>428</v>
      </c>
      <c r="D28" s="0" t="n">
        <v>15.334</v>
      </c>
      <c r="E28" s="0" t="n">
        <v>15.426004</v>
      </c>
      <c r="F28" s="0" t="n">
        <v>17.40446086</v>
      </c>
      <c r="G28" s="0" t="n">
        <v>20.91281678</v>
      </c>
      <c r="H28" s="0" t="n">
        <v>24.27017764</v>
      </c>
    </row>
    <row r="29" customFormat="false" ht="15" hidden="false" customHeight="false" outlineLevel="0" collapsed="false">
      <c r="A29" s="0" t="s">
        <v>1225</v>
      </c>
      <c r="B29" s="0" t="s">
        <v>1020</v>
      </c>
      <c r="C29" s="0" t="s">
        <v>428</v>
      </c>
      <c r="D29" s="0" t="n">
        <v>3.147</v>
      </c>
      <c r="E29" s="0" t="n">
        <v>3.37116081</v>
      </c>
      <c r="F29" s="0" t="n">
        <v>4.72393513</v>
      </c>
      <c r="G29" s="0" t="n">
        <v>7.779860391</v>
      </c>
      <c r="H29" s="0" t="n">
        <v>11.51609388</v>
      </c>
    </row>
    <row r="30" customFormat="false" ht="15" hidden="false" customHeight="false" outlineLevel="0" collapsed="false">
      <c r="A30" s="0" t="s">
        <v>1226</v>
      </c>
      <c r="B30" s="0" t="s">
        <v>952</v>
      </c>
      <c r="C30" s="0" t="s">
        <v>428</v>
      </c>
      <c r="D30" s="0" t="n">
        <v>19.356</v>
      </c>
      <c r="E30" s="0" t="n">
        <v>19.18431228</v>
      </c>
      <c r="F30" s="0" t="n">
        <v>23.90599216</v>
      </c>
      <c r="G30" s="0" t="n">
        <v>33.92286168</v>
      </c>
      <c r="H30" s="0" t="n">
        <v>45.58948944</v>
      </c>
    </row>
    <row r="31" customFormat="false" ht="15" hidden="false" customHeight="false" outlineLevel="0" collapsed="false">
      <c r="A31" s="0" t="s">
        <v>1227</v>
      </c>
      <c r="B31" s="0" t="s">
        <v>1026</v>
      </c>
      <c r="C31" s="0" t="s">
        <v>428</v>
      </c>
      <c r="D31" s="0" t="n">
        <v>2.868</v>
      </c>
      <c r="E31" s="0" t="n">
        <v>3.00569268</v>
      </c>
      <c r="F31" s="0" t="n">
        <v>3.464574453</v>
      </c>
      <c r="G31" s="0" t="n">
        <v>5.075771056</v>
      </c>
      <c r="H31" s="0" t="n">
        <v>7.882517241</v>
      </c>
    </row>
    <row r="32" customFormat="false" ht="15" hidden="false" customHeight="false" outlineLevel="0" collapsed="false">
      <c r="A32" s="0" t="s">
        <v>1228</v>
      </c>
      <c r="B32" s="0" t="s">
        <v>708</v>
      </c>
      <c r="C32" s="0" t="s">
        <v>428</v>
      </c>
      <c r="D32" s="0" t="n">
        <v>2270.076</v>
      </c>
      <c r="E32" s="0" t="n">
        <v>2309.643425</v>
      </c>
      <c r="F32" s="0" t="n">
        <v>2488.141916</v>
      </c>
      <c r="G32" s="0" t="n">
        <v>2887.590272</v>
      </c>
      <c r="H32" s="0" t="n">
        <v>3351.166397</v>
      </c>
    </row>
    <row r="33" customFormat="false" ht="15" hidden="false" customHeight="false" outlineLevel="0" collapsed="false">
      <c r="A33" s="0" t="s">
        <v>1229</v>
      </c>
      <c r="B33" s="0" t="s">
        <v>734</v>
      </c>
      <c r="C33" s="0" t="s">
        <v>428</v>
      </c>
      <c r="D33" s="0" t="n">
        <v>970.19</v>
      </c>
      <c r="E33" s="0" t="n">
        <v>982.5308168</v>
      </c>
      <c r="F33" s="0" t="n">
        <v>1051.422088</v>
      </c>
      <c r="G33" s="0" t="n">
        <v>1214.125982</v>
      </c>
      <c r="H33" s="0" t="n">
        <v>1409.042768</v>
      </c>
    </row>
    <row r="34" customFormat="false" ht="15" hidden="false" customHeight="false" outlineLevel="0" collapsed="false">
      <c r="A34" s="0" t="s">
        <v>1230</v>
      </c>
      <c r="B34" s="0" t="s">
        <v>782</v>
      </c>
      <c r="C34" s="0" t="s">
        <v>428</v>
      </c>
      <c r="D34" s="0" t="n">
        <v>330.21</v>
      </c>
      <c r="E34" s="0" t="n">
        <v>337.7784132</v>
      </c>
      <c r="F34" s="0" t="n">
        <v>377.8590728</v>
      </c>
      <c r="G34" s="0" t="n">
        <v>451.1163665</v>
      </c>
      <c r="H34" s="0" t="n">
        <v>523.5389602</v>
      </c>
    </row>
    <row r="35" customFormat="false" ht="15" hidden="false" customHeight="false" outlineLevel="0" collapsed="false">
      <c r="A35" s="0" t="s">
        <v>1231</v>
      </c>
      <c r="B35" s="0" t="s">
        <v>696</v>
      </c>
      <c r="C35" s="0" t="s">
        <v>428</v>
      </c>
      <c r="D35" s="0" t="n">
        <v>18945.112</v>
      </c>
      <c r="E35" s="0" t="n">
        <v>19884.6001</v>
      </c>
      <c r="F35" s="0" t="n">
        <v>24439.12306</v>
      </c>
      <c r="G35" s="0" t="n">
        <v>34320.13084</v>
      </c>
      <c r="H35" s="0" t="n">
        <v>46123.38598</v>
      </c>
    </row>
    <row r="36" customFormat="false" ht="15" hidden="false" customHeight="false" outlineLevel="0" collapsed="false">
      <c r="A36" s="0" t="s">
        <v>1232</v>
      </c>
      <c r="B36" s="0" t="s">
        <v>836</v>
      </c>
      <c r="C36" s="0" t="s">
        <v>428</v>
      </c>
      <c r="D36" s="0" t="n">
        <v>87.132</v>
      </c>
      <c r="E36" s="0" t="n">
        <v>92.79558</v>
      </c>
      <c r="F36" s="0" t="n">
        <v>123.5120588</v>
      </c>
      <c r="G36" s="0" t="n">
        <v>195.6284896</v>
      </c>
      <c r="H36" s="0" t="n">
        <v>289.5779537</v>
      </c>
    </row>
    <row r="37" customFormat="false" ht="15" hidden="false" customHeight="false" outlineLevel="0" collapsed="false">
      <c r="A37" s="0" t="s">
        <v>1233</v>
      </c>
      <c r="B37" s="0" t="s">
        <v>880</v>
      </c>
      <c r="C37" s="0" t="s">
        <v>428</v>
      </c>
      <c r="D37" s="0" t="n">
        <v>53.308</v>
      </c>
      <c r="E37" s="0" t="n">
        <v>54.94615484</v>
      </c>
      <c r="F37" s="0" t="n">
        <v>65.06260322</v>
      </c>
      <c r="G37" s="0" t="n">
        <v>94.37284289</v>
      </c>
      <c r="H37" s="0" t="n">
        <v>139.6948613</v>
      </c>
    </row>
    <row r="38" customFormat="false" ht="15" hidden="false" customHeight="false" outlineLevel="0" collapsed="false">
      <c r="A38" s="0" t="s">
        <v>1234</v>
      </c>
      <c r="B38" s="0" t="s">
        <v>850</v>
      </c>
      <c r="C38" s="0" t="s">
        <v>428</v>
      </c>
      <c r="D38" s="0" t="n">
        <v>76.731</v>
      </c>
      <c r="E38" s="0" t="n">
        <v>81.13996326</v>
      </c>
      <c r="F38" s="0" t="n">
        <v>107.0595481</v>
      </c>
      <c r="G38" s="0" t="n">
        <v>173.5588837</v>
      </c>
      <c r="H38" s="0" t="n">
        <v>269.5316392</v>
      </c>
    </row>
    <row r="39" customFormat="false" ht="15" hidden="false" customHeight="false" outlineLevel="0" collapsed="false">
      <c r="A39" s="0" t="s">
        <v>1235</v>
      </c>
      <c r="B39" s="0" t="s">
        <v>978</v>
      </c>
      <c r="C39" s="0" t="s">
        <v>428</v>
      </c>
      <c r="D39" s="0" t="n">
        <v>14.774</v>
      </c>
      <c r="E39" s="0" t="n">
        <v>15.12370058</v>
      </c>
      <c r="F39" s="0" t="n">
        <v>17.53513199</v>
      </c>
      <c r="G39" s="0" t="n">
        <v>25.03758035</v>
      </c>
      <c r="H39" s="0" t="n">
        <v>37.06173522</v>
      </c>
    </row>
    <row r="40" customFormat="false" ht="15" hidden="false" customHeight="false" outlineLevel="0" collapsed="false">
      <c r="A40" s="0" t="s">
        <v>1236</v>
      </c>
      <c r="B40" s="0" t="s">
        <v>766</v>
      </c>
      <c r="C40" s="0" t="s">
        <v>428</v>
      </c>
      <c r="D40" s="0" t="n">
        <v>420.504</v>
      </c>
      <c r="E40" s="0" t="n">
        <v>431.6137157</v>
      </c>
      <c r="F40" s="0" t="n">
        <v>486.8081464</v>
      </c>
      <c r="G40" s="0" t="n">
        <v>640.9134356</v>
      </c>
      <c r="H40" s="0" t="n">
        <v>861.3340638</v>
      </c>
    </row>
    <row r="41" customFormat="false" ht="15" hidden="false" customHeight="false" outlineLevel="0" collapsed="false">
      <c r="A41" s="0" t="s">
        <v>1237</v>
      </c>
      <c r="B41" s="0" t="s">
        <v>1044</v>
      </c>
      <c r="C41" s="0" t="s">
        <v>428</v>
      </c>
      <c r="D41" s="0" t="n">
        <v>1.442</v>
      </c>
      <c r="E41" s="0" t="n">
        <v>1.49644992</v>
      </c>
      <c r="F41" s="0" t="n">
        <v>1.833173176</v>
      </c>
      <c r="G41" s="0" t="n">
        <v>2.810547541</v>
      </c>
      <c r="H41" s="0" t="n">
        <v>4.364694389</v>
      </c>
    </row>
    <row r="42" customFormat="false" ht="15" hidden="false" customHeight="false" outlineLevel="0" collapsed="false">
      <c r="A42" s="0" t="s">
        <v>1238</v>
      </c>
      <c r="B42" s="0" t="s">
        <v>1024</v>
      </c>
      <c r="C42" s="0" t="s">
        <v>428</v>
      </c>
      <c r="D42" s="0" t="n">
        <v>2.726</v>
      </c>
      <c r="E42" s="0" t="n">
        <v>2.87628438</v>
      </c>
      <c r="F42" s="0" t="n">
        <v>3.614407824</v>
      </c>
      <c r="G42" s="0" t="n">
        <v>5.481710157</v>
      </c>
      <c r="H42" s="0" t="n">
        <v>8.114270132</v>
      </c>
    </row>
    <row r="43" customFormat="false" ht="15" hidden="false" customHeight="false" outlineLevel="0" collapsed="false">
      <c r="A43" s="0" t="s">
        <v>1239</v>
      </c>
      <c r="B43" s="0" t="s">
        <v>838</v>
      </c>
      <c r="C43" s="0" t="s">
        <v>428</v>
      </c>
      <c r="D43" s="0" t="n">
        <v>96.73</v>
      </c>
      <c r="E43" s="0" t="n">
        <v>101.140888</v>
      </c>
      <c r="F43" s="0" t="n">
        <v>120.0075413</v>
      </c>
      <c r="G43" s="0" t="n">
        <v>164.1198386</v>
      </c>
      <c r="H43" s="0" t="n">
        <v>220.5633392</v>
      </c>
    </row>
    <row r="44" customFormat="false" ht="15" hidden="false" customHeight="false" outlineLevel="0" collapsed="false">
      <c r="A44" s="0" t="s">
        <v>1240</v>
      </c>
      <c r="B44" s="0" t="s">
        <v>906</v>
      </c>
      <c r="C44" s="0" t="s">
        <v>428</v>
      </c>
      <c r="D44" s="0" t="n">
        <v>37.623</v>
      </c>
      <c r="E44" s="0" t="n">
        <v>39.04025841</v>
      </c>
      <c r="F44" s="0" t="n">
        <v>44.70159382</v>
      </c>
      <c r="G44" s="0" t="n">
        <v>54.31282462</v>
      </c>
      <c r="H44" s="0" t="n">
        <v>63.03225029</v>
      </c>
    </row>
    <row r="45" customFormat="false" ht="15" hidden="false" customHeight="false" outlineLevel="0" collapsed="false">
      <c r="A45" s="0" t="s">
        <v>1241</v>
      </c>
      <c r="B45" s="0" t="s">
        <v>778</v>
      </c>
      <c r="C45" s="0" t="s">
        <v>428</v>
      </c>
      <c r="D45" s="0" t="n">
        <v>347.083</v>
      </c>
      <c r="E45" s="0" t="n">
        <v>355.9266748</v>
      </c>
      <c r="F45" s="0" t="n">
        <v>395.4653161</v>
      </c>
      <c r="G45" s="0" t="n">
        <v>469.7287866</v>
      </c>
      <c r="H45" s="0" t="n">
        <v>545.1394335</v>
      </c>
    </row>
    <row r="46" customFormat="false" ht="15" hidden="false" customHeight="false" outlineLevel="0" collapsed="false">
      <c r="A46" s="0" t="s">
        <v>1242</v>
      </c>
      <c r="B46" s="0" t="s">
        <v>700</v>
      </c>
      <c r="C46" s="0" t="s">
        <v>428</v>
      </c>
      <c r="D46" s="0" t="n">
        <v>4684.182</v>
      </c>
      <c r="E46" s="0" t="n">
        <v>4695.424037</v>
      </c>
      <c r="F46" s="0" t="n">
        <v>4908.672722</v>
      </c>
      <c r="G46" s="0" t="n">
        <v>5570.03675</v>
      </c>
      <c r="H46" s="0" t="n">
        <v>6464.255045</v>
      </c>
    </row>
    <row r="47" customFormat="false" ht="15" hidden="false" customHeight="false" outlineLevel="0" collapsed="false">
      <c r="A47" s="0" t="s">
        <v>1243</v>
      </c>
      <c r="B47" s="0" t="s">
        <v>1014</v>
      </c>
      <c r="C47" s="0" t="s">
        <v>428</v>
      </c>
      <c r="D47" s="0" t="n">
        <v>4.152</v>
      </c>
      <c r="E47" s="0" t="n">
        <v>4.40112</v>
      </c>
      <c r="F47" s="0" t="n">
        <v>5.810689154</v>
      </c>
      <c r="G47" s="0" t="n">
        <v>9.147241489</v>
      </c>
      <c r="H47" s="0" t="n">
        <v>13.54015194</v>
      </c>
    </row>
    <row r="48" customFormat="false" ht="15" hidden="false" customHeight="false" outlineLevel="0" collapsed="false">
      <c r="A48" s="0" t="s">
        <v>1244</v>
      </c>
      <c r="B48" s="0" t="s">
        <v>1058</v>
      </c>
      <c r="C48" s="0" t="s">
        <v>428</v>
      </c>
      <c r="D48" s="0" t="n">
        <v>0.689</v>
      </c>
      <c r="E48" s="0" t="n">
        <v>0.72029438</v>
      </c>
      <c r="F48" s="0" t="n">
        <v>0.8397893821</v>
      </c>
      <c r="G48" s="0" t="n">
        <v>1.133440724</v>
      </c>
      <c r="H48" s="0" t="n">
        <v>1.523249554</v>
      </c>
    </row>
    <row r="49" customFormat="false" ht="15" hidden="false" customHeight="false" outlineLevel="0" collapsed="false">
      <c r="A49" s="0" t="s">
        <v>1245</v>
      </c>
      <c r="B49" s="0" t="s">
        <v>768</v>
      </c>
      <c r="C49" s="0" t="s">
        <v>428</v>
      </c>
      <c r="D49" s="0" t="n">
        <v>424.525</v>
      </c>
      <c r="E49" s="0" t="n">
        <v>436.7470748</v>
      </c>
      <c r="F49" s="0" t="n">
        <v>480.5177396</v>
      </c>
      <c r="G49" s="0" t="n">
        <v>566.5507026</v>
      </c>
      <c r="H49" s="0" t="n">
        <v>657.5052199</v>
      </c>
    </row>
    <row r="50" customFormat="false" ht="15" hidden="false" customHeight="false" outlineLevel="0" collapsed="false">
      <c r="A50" s="0" t="s">
        <v>1246</v>
      </c>
      <c r="B50" s="0" t="s">
        <v>818</v>
      </c>
      <c r="C50" s="0" t="s">
        <v>428</v>
      </c>
      <c r="D50" s="0" t="n">
        <v>124.613</v>
      </c>
      <c r="E50" s="0" t="n">
        <v>127.2510572</v>
      </c>
      <c r="F50" s="0" t="n">
        <v>151.9913696</v>
      </c>
      <c r="G50" s="0" t="n">
        <v>208.8977951</v>
      </c>
      <c r="H50" s="0" t="n">
        <v>280.7411685</v>
      </c>
    </row>
    <row r="51" customFormat="false" ht="15" hidden="false" customHeight="false" outlineLevel="0" collapsed="false">
      <c r="A51" s="0" t="s">
        <v>1247</v>
      </c>
      <c r="B51" s="0" t="s">
        <v>788</v>
      </c>
      <c r="C51" s="0" t="s">
        <v>428</v>
      </c>
      <c r="D51" s="0" t="n">
        <v>269.14</v>
      </c>
      <c r="E51" s="0" t="n">
        <v>279.4265308</v>
      </c>
      <c r="F51" s="0" t="n">
        <v>334.5405168</v>
      </c>
      <c r="G51" s="0" t="n">
        <v>460.610289</v>
      </c>
      <c r="H51" s="0" t="n">
        <v>619.0217118</v>
      </c>
    </row>
    <row r="52" customFormat="false" ht="15" hidden="false" customHeight="false" outlineLevel="0" collapsed="false">
      <c r="A52" s="0" t="s">
        <v>1248</v>
      </c>
      <c r="B52" s="0" t="s">
        <v>824</v>
      </c>
      <c r="C52" s="0" t="s">
        <v>428</v>
      </c>
      <c r="D52" s="0" t="n">
        <v>123.802</v>
      </c>
      <c r="E52" s="0" t="n">
        <v>128.4148625</v>
      </c>
      <c r="F52" s="0" t="n">
        <v>145.8574149</v>
      </c>
      <c r="G52" s="0" t="n">
        <v>193.0423922</v>
      </c>
      <c r="H52" s="0" t="n">
        <v>259.4328328</v>
      </c>
    </row>
    <row r="53" customFormat="false" ht="15" hidden="false" customHeight="false" outlineLevel="0" collapsed="false">
      <c r="A53" s="0" t="s">
        <v>1249</v>
      </c>
      <c r="B53" s="0" t="s">
        <v>764</v>
      </c>
      <c r="C53" s="0" t="s">
        <v>428</v>
      </c>
      <c r="D53" s="0" t="n">
        <v>383.105</v>
      </c>
      <c r="E53" s="0" t="n">
        <v>399.9309716</v>
      </c>
      <c r="F53" s="0" t="n">
        <v>491.408488</v>
      </c>
      <c r="G53" s="0" t="n">
        <v>732.8174151</v>
      </c>
      <c r="H53" s="0" t="n">
        <v>1084.748791</v>
      </c>
    </row>
    <row r="54" customFormat="false" ht="15" hidden="false" customHeight="false" outlineLevel="0" collapsed="false">
      <c r="A54" s="0" t="s">
        <v>1250</v>
      </c>
      <c r="B54" s="0" t="s">
        <v>722</v>
      </c>
      <c r="C54" s="0" t="s">
        <v>428</v>
      </c>
      <c r="D54" s="0" t="n">
        <v>1725.152</v>
      </c>
      <c r="E54" s="0" t="n">
        <v>1772.869704</v>
      </c>
      <c r="F54" s="0" t="n">
        <v>1957.938086</v>
      </c>
      <c r="G54" s="0" t="n">
        <v>2315.064515</v>
      </c>
      <c r="H54" s="0" t="n">
        <v>2686.726882</v>
      </c>
    </row>
    <row r="55" customFormat="false" ht="15" hidden="false" customHeight="false" outlineLevel="0" collapsed="false">
      <c r="A55" s="0" t="s">
        <v>1251</v>
      </c>
      <c r="B55" s="0" t="s">
        <v>902</v>
      </c>
      <c r="C55" s="0" t="s">
        <v>428</v>
      </c>
      <c r="D55" s="0" t="n">
        <v>43.117</v>
      </c>
      <c r="E55" s="0" t="n">
        <v>43.36880328</v>
      </c>
      <c r="F55" s="0" t="n">
        <v>46.5806224</v>
      </c>
      <c r="G55" s="0" t="n">
        <v>53.93728479</v>
      </c>
      <c r="H55" s="0" t="n">
        <v>62.59642098</v>
      </c>
    </row>
    <row r="56" customFormat="false" ht="15" hidden="false" customHeight="false" outlineLevel="0" collapsed="false">
      <c r="A56" s="0" t="s">
        <v>1252</v>
      </c>
      <c r="B56" s="0" t="s">
        <v>802</v>
      </c>
      <c r="C56" s="0" t="s">
        <v>428</v>
      </c>
      <c r="D56" s="0" t="n">
        <v>142.073</v>
      </c>
      <c r="E56" s="0" t="n">
        <v>155.0741002</v>
      </c>
      <c r="F56" s="0" t="n">
        <v>233.5110777</v>
      </c>
      <c r="G56" s="0" t="n">
        <v>418.4829742</v>
      </c>
      <c r="H56" s="0" t="n">
        <v>649.8912625</v>
      </c>
    </row>
    <row r="57" customFormat="false" ht="15" hidden="false" customHeight="false" outlineLevel="0" collapsed="false">
      <c r="A57" s="0" t="s">
        <v>1253</v>
      </c>
      <c r="B57" s="0" t="s">
        <v>794</v>
      </c>
      <c r="C57" s="0" t="s">
        <v>428</v>
      </c>
      <c r="D57" s="0" t="n">
        <v>298.639</v>
      </c>
      <c r="E57" s="0" t="n">
        <v>299.1556455</v>
      </c>
      <c r="F57" s="0" t="n">
        <v>316.1581261</v>
      </c>
      <c r="G57" s="0" t="n">
        <v>361.6831591</v>
      </c>
      <c r="H57" s="0" t="n">
        <v>419.7480718</v>
      </c>
    </row>
    <row r="58" customFormat="false" ht="15" hidden="false" customHeight="false" outlineLevel="0" collapsed="false">
      <c r="A58" s="0" t="s">
        <v>1254</v>
      </c>
      <c r="B58" s="0" t="s">
        <v>1006</v>
      </c>
      <c r="C58" s="0" t="s">
        <v>428</v>
      </c>
      <c r="D58" s="0" t="n">
        <v>5.968</v>
      </c>
      <c r="E58" s="0" t="n">
        <v>6.15843888</v>
      </c>
      <c r="F58" s="0" t="n">
        <v>6.971588132</v>
      </c>
      <c r="G58" s="0" t="n">
        <v>9.203841688</v>
      </c>
      <c r="H58" s="0" t="n">
        <v>12.3691936</v>
      </c>
    </row>
    <row r="59" customFormat="false" ht="15" hidden="false" customHeight="false" outlineLevel="0" collapsed="false">
      <c r="A59" s="0" t="s">
        <v>1255</v>
      </c>
      <c r="B59" s="0" t="s">
        <v>706</v>
      </c>
      <c r="C59" s="0" t="s">
        <v>428</v>
      </c>
      <c r="D59" s="0" t="n">
        <v>3161.042</v>
      </c>
      <c r="E59" s="0" t="n">
        <v>3190.37647</v>
      </c>
      <c r="F59" s="0" t="n">
        <v>3344.775366</v>
      </c>
      <c r="G59" s="0" t="n">
        <v>3803.515455</v>
      </c>
      <c r="H59" s="0" t="n">
        <v>4414.134965</v>
      </c>
    </row>
    <row r="60" customFormat="false" ht="15" hidden="false" customHeight="false" outlineLevel="0" collapsed="false">
      <c r="A60" s="0" t="s">
        <v>1256</v>
      </c>
      <c r="B60" s="0" t="s">
        <v>950</v>
      </c>
      <c r="C60" s="0" t="s">
        <v>428</v>
      </c>
      <c r="D60" s="0" t="n">
        <v>20.9</v>
      </c>
      <c r="E60" s="0" t="n">
        <v>21.425008</v>
      </c>
      <c r="F60" s="0" t="n">
        <v>24.49316596</v>
      </c>
      <c r="G60" s="0" t="n">
        <v>32.57418916</v>
      </c>
      <c r="H60" s="0" t="n">
        <v>43.77698636</v>
      </c>
    </row>
    <row r="61" customFormat="false" ht="15" hidden="false" customHeight="false" outlineLevel="0" collapsed="false">
      <c r="A61" s="0" t="s">
        <v>1257</v>
      </c>
      <c r="B61" s="0" t="s">
        <v>704</v>
      </c>
      <c r="C61" s="0" t="s">
        <v>428</v>
      </c>
      <c r="D61" s="0" t="n">
        <v>3695.355</v>
      </c>
      <c r="E61" s="0" t="n">
        <v>3744.244547</v>
      </c>
      <c r="F61" s="0" t="n">
        <v>3915.292016</v>
      </c>
      <c r="G61" s="0" t="n">
        <v>4443.661019</v>
      </c>
      <c r="H61" s="0" t="n">
        <v>5157.050025</v>
      </c>
    </row>
    <row r="62" customFormat="false" ht="15" hidden="false" customHeight="false" outlineLevel="0" collapsed="false">
      <c r="A62" s="0" t="s">
        <v>1258</v>
      </c>
      <c r="B62" s="0" t="s">
        <v>900</v>
      </c>
      <c r="C62" s="0" t="s">
        <v>428</v>
      </c>
      <c r="D62" s="0" t="n">
        <v>34.191</v>
      </c>
      <c r="E62" s="0" t="n">
        <v>36.74233242</v>
      </c>
      <c r="F62" s="0" t="n">
        <v>47.16067028</v>
      </c>
      <c r="G62" s="0" t="n">
        <v>72.67644029</v>
      </c>
      <c r="H62" s="0" t="n">
        <v>107.5788854</v>
      </c>
    </row>
    <row r="63" customFormat="false" ht="15" hidden="false" customHeight="false" outlineLevel="0" collapsed="false">
      <c r="A63" s="0" t="s">
        <v>1259</v>
      </c>
      <c r="B63" s="0" t="s">
        <v>844</v>
      </c>
      <c r="C63" s="0" t="s">
        <v>428</v>
      </c>
      <c r="D63" s="0" t="n">
        <v>83.289</v>
      </c>
      <c r="E63" s="0" t="n">
        <v>88.24802706</v>
      </c>
      <c r="F63" s="0" t="n">
        <v>110.7267061</v>
      </c>
      <c r="G63" s="0" t="n">
        <v>167.7398749</v>
      </c>
      <c r="H63" s="0" t="n">
        <v>248.2959912</v>
      </c>
    </row>
    <row r="64" customFormat="false" ht="15" hidden="false" customHeight="false" outlineLevel="0" collapsed="false">
      <c r="A64" s="0" t="s">
        <v>1260</v>
      </c>
      <c r="B64" s="0" t="s">
        <v>914</v>
      </c>
      <c r="C64" s="0" t="s">
        <v>428</v>
      </c>
      <c r="D64" s="0" t="n">
        <v>24.233</v>
      </c>
      <c r="E64" s="0" t="n">
        <v>25.85346071</v>
      </c>
      <c r="F64" s="0" t="n">
        <v>38.12716888</v>
      </c>
      <c r="G64" s="0" t="n">
        <v>67.25080521</v>
      </c>
      <c r="H64" s="0" t="n">
        <v>104.4384441</v>
      </c>
    </row>
    <row r="65" customFormat="false" ht="15" hidden="false" customHeight="false" outlineLevel="0" collapsed="false">
      <c r="A65" s="0" t="s">
        <v>1261</v>
      </c>
      <c r="B65" s="0" t="s">
        <v>1028</v>
      </c>
      <c r="C65" s="0" t="s">
        <v>428</v>
      </c>
      <c r="D65" s="0" t="n">
        <v>2.403</v>
      </c>
      <c r="E65" s="0" t="n">
        <v>2.54727612</v>
      </c>
      <c r="F65" s="0" t="n">
        <v>3.254844448</v>
      </c>
      <c r="G65" s="0" t="n">
        <v>5.150597805</v>
      </c>
      <c r="H65" s="0" t="n">
        <v>7.998720895</v>
      </c>
    </row>
    <row r="66" customFormat="false" ht="15" hidden="false" customHeight="false" outlineLevel="0" collapsed="false">
      <c r="A66" s="0" t="s">
        <v>1262</v>
      </c>
      <c r="B66" s="0" t="s">
        <v>1030</v>
      </c>
      <c r="C66" s="0" t="s">
        <v>428</v>
      </c>
      <c r="D66" s="0" t="n">
        <v>2.186</v>
      </c>
      <c r="E66" s="0" t="n">
        <v>2.30623</v>
      </c>
      <c r="F66" s="0" t="n">
        <v>2.921438138</v>
      </c>
      <c r="G66" s="0" t="n">
        <v>4.593019769</v>
      </c>
      <c r="H66" s="0" t="n">
        <v>7.132819254</v>
      </c>
    </row>
    <row r="67" customFormat="false" ht="15" hidden="false" customHeight="false" outlineLevel="0" collapsed="false">
      <c r="A67" s="0" t="s">
        <v>1263</v>
      </c>
      <c r="B67" s="0" t="s">
        <v>994</v>
      </c>
      <c r="C67" s="0" t="s">
        <v>428</v>
      </c>
      <c r="D67" s="0" t="n">
        <v>12.769</v>
      </c>
      <c r="E67" s="0" t="n">
        <v>11.95714698</v>
      </c>
      <c r="F67" s="0" t="n">
        <v>10.87720135</v>
      </c>
      <c r="G67" s="0" t="n">
        <v>12.21369642</v>
      </c>
      <c r="H67" s="0" t="n">
        <v>16.41418667</v>
      </c>
    </row>
    <row r="68" customFormat="false" ht="15" hidden="false" customHeight="false" outlineLevel="0" collapsed="false">
      <c r="A68" s="0" t="s">
        <v>1264</v>
      </c>
      <c r="B68" s="0" t="s">
        <v>798</v>
      </c>
      <c r="C68" s="0" t="s">
        <v>428</v>
      </c>
      <c r="D68" s="0" t="n">
        <v>256.161</v>
      </c>
      <c r="E68" s="0" t="n">
        <v>261.4712175</v>
      </c>
      <c r="F68" s="0" t="n">
        <v>285.2889137</v>
      </c>
      <c r="G68" s="0" t="n">
        <v>334.2689076</v>
      </c>
      <c r="H68" s="0" t="n">
        <v>387.9327138</v>
      </c>
    </row>
    <row r="69" customFormat="false" ht="15" hidden="false" customHeight="false" outlineLevel="0" collapsed="false">
      <c r="A69" s="0" t="s">
        <v>1265</v>
      </c>
      <c r="B69" s="0" t="s">
        <v>1046</v>
      </c>
      <c r="C69" s="0" t="s">
        <v>428</v>
      </c>
      <c r="D69" s="0" t="n">
        <v>1.351</v>
      </c>
      <c r="E69" s="0" t="n">
        <v>1.4105791</v>
      </c>
      <c r="F69" s="0" t="n">
        <v>1.642882522</v>
      </c>
      <c r="G69" s="0" t="n">
        <v>2.215625248</v>
      </c>
      <c r="H69" s="0" t="n">
        <v>2.977615062</v>
      </c>
    </row>
    <row r="70" customFormat="false" ht="15" hidden="false" customHeight="false" outlineLevel="0" collapsed="false">
      <c r="A70" s="0" t="s">
        <v>1266</v>
      </c>
      <c r="B70" s="0" t="s">
        <v>826</v>
      </c>
      <c r="C70" s="0" t="s">
        <v>428</v>
      </c>
      <c r="D70" s="0" t="n">
        <v>113.19</v>
      </c>
      <c r="E70" s="0" t="n">
        <v>117.8511642</v>
      </c>
      <c r="F70" s="0" t="n">
        <v>142.0493577</v>
      </c>
      <c r="G70" s="0" t="n">
        <v>196.5735182</v>
      </c>
      <c r="H70" s="0" t="n">
        <v>264.1783709</v>
      </c>
    </row>
    <row r="71" customFormat="false" ht="15" hidden="false" customHeight="false" outlineLevel="0" collapsed="false">
      <c r="A71" s="0" t="s">
        <v>1267</v>
      </c>
      <c r="B71" s="0" t="s">
        <v>890</v>
      </c>
      <c r="C71" s="0" t="s">
        <v>428</v>
      </c>
      <c r="D71" s="0" t="n">
        <v>24.659</v>
      </c>
      <c r="E71" s="0" t="n">
        <v>29.42040631</v>
      </c>
      <c r="F71" s="0" t="n">
        <v>57.34334482</v>
      </c>
      <c r="G71" s="0" t="n">
        <v>114.91353</v>
      </c>
      <c r="H71" s="0" t="n">
        <v>154.4341752</v>
      </c>
    </row>
    <row r="72" customFormat="false" ht="15" hidden="false" customHeight="false" outlineLevel="0" collapsed="false">
      <c r="A72" s="0" t="s">
        <v>1268</v>
      </c>
      <c r="B72" s="0" t="s">
        <v>770</v>
      </c>
      <c r="C72" s="0" t="s">
        <v>428</v>
      </c>
      <c r="D72" s="0" t="n">
        <v>408.369</v>
      </c>
      <c r="E72" s="0" t="n">
        <v>422.6129107</v>
      </c>
      <c r="F72" s="0" t="n">
        <v>473.2356248</v>
      </c>
      <c r="G72" s="0" t="n">
        <v>565.4118494</v>
      </c>
      <c r="H72" s="0" t="n">
        <v>656.1835342</v>
      </c>
    </row>
    <row r="73" customFormat="false" ht="15" hidden="false" customHeight="false" outlineLevel="0" collapsed="false">
      <c r="A73" s="0" t="s">
        <v>1269</v>
      </c>
      <c r="B73" s="0" t="s">
        <v>904</v>
      </c>
      <c r="C73" s="0" t="s">
        <v>428</v>
      </c>
      <c r="D73" s="0" t="n">
        <v>37.1</v>
      </c>
      <c r="E73" s="0" t="n">
        <v>38.4727</v>
      </c>
      <c r="F73" s="0" t="n">
        <v>45.47313037</v>
      </c>
      <c r="G73" s="0" t="n">
        <v>65.86855161</v>
      </c>
      <c r="H73" s="0" t="n">
        <v>97.50154707</v>
      </c>
    </row>
    <row r="74" customFormat="false" ht="15" hidden="false" customHeight="false" outlineLevel="0" collapsed="false">
      <c r="A74" s="0" t="s">
        <v>1270</v>
      </c>
      <c r="B74" s="0" t="s">
        <v>846</v>
      </c>
      <c r="C74" s="0" t="s">
        <v>428</v>
      </c>
      <c r="D74" s="0" t="n">
        <v>92.955</v>
      </c>
      <c r="E74" s="0" t="n">
        <v>95.8868007</v>
      </c>
      <c r="F74" s="0" t="n">
        <v>108.3568019</v>
      </c>
      <c r="G74" s="0" t="n">
        <v>130.3551413</v>
      </c>
      <c r="H74" s="0" t="n">
        <v>151.2824633</v>
      </c>
    </row>
    <row r="75" customFormat="false" ht="15" hidden="false" customHeight="false" outlineLevel="0" collapsed="false">
      <c r="A75" s="0" t="s">
        <v>1271</v>
      </c>
      <c r="B75" s="0" t="s">
        <v>956</v>
      </c>
      <c r="C75" s="0" t="s">
        <v>428</v>
      </c>
      <c r="D75" s="0" t="n">
        <v>25.285</v>
      </c>
      <c r="E75" s="0" t="n">
        <v>24.59901795</v>
      </c>
      <c r="F75" s="0" t="n">
        <v>23.61131116</v>
      </c>
      <c r="G75" s="0" t="n">
        <v>30.22226271</v>
      </c>
      <c r="H75" s="0" t="n">
        <v>46.93424985</v>
      </c>
    </row>
    <row r="76" customFormat="false" ht="15" hidden="false" customHeight="false" outlineLevel="0" collapsed="false">
      <c r="A76" s="0" t="s">
        <v>1272</v>
      </c>
      <c r="B76" s="0" t="s">
        <v>800</v>
      </c>
      <c r="C76" s="0" t="s">
        <v>428</v>
      </c>
      <c r="D76" s="0" t="n">
        <v>222.878</v>
      </c>
      <c r="E76" s="0" t="n">
        <v>223.789571</v>
      </c>
      <c r="F76" s="0" t="n">
        <v>242.7385096</v>
      </c>
      <c r="G76" s="0" t="n">
        <v>283.1563548</v>
      </c>
      <c r="H76" s="0" t="n">
        <v>328.6145096</v>
      </c>
    </row>
    <row r="77" customFormat="false" ht="15" hidden="false" customHeight="false" outlineLevel="0" collapsed="false">
      <c r="A77" s="0" t="s">
        <v>1273</v>
      </c>
      <c r="B77" s="0" t="s">
        <v>724</v>
      </c>
      <c r="C77" s="0" t="s">
        <v>428</v>
      </c>
      <c r="D77" s="0" t="n">
        <v>1396.302</v>
      </c>
      <c r="E77" s="0" t="n">
        <v>1467.625106</v>
      </c>
      <c r="F77" s="0" t="n">
        <v>1856.592611</v>
      </c>
      <c r="G77" s="0" t="n">
        <v>2829.926657</v>
      </c>
      <c r="H77" s="0" t="n">
        <v>4188.98276</v>
      </c>
    </row>
    <row r="78" customFormat="false" ht="15" hidden="false" customHeight="false" outlineLevel="0" collapsed="false">
      <c r="A78" s="0" t="s">
        <v>1274</v>
      </c>
      <c r="B78" s="0" t="s">
        <v>36</v>
      </c>
      <c r="C78" s="0" t="s">
        <v>428</v>
      </c>
      <c r="D78" s="0" t="n">
        <v>3760.814</v>
      </c>
      <c r="E78" s="0" t="n">
        <v>4047.312811</v>
      </c>
      <c r="F78" s="0" t="n">
        <v>5447.895717</v>
      </c>
      <c r="G78" s="0" t="n">
        <v>8702.528675</v>
      </c>
      <c r="H78" s="0" t="n">
        <v>12881.86833</v>
      </c>
    </row>
    <row r="79" customFormat="false" ht="15" hidden="false" customHeight="false" outlineLevel="0" collapsed="false">
      <c r="A79" s="0" t="s">
        <v>1275</v>
      </c>
      <c r="B79" s="0" t="s">
        <v>738</v>
      </c>
      <c r="C79" s="0" t="s">
        <v>428</v>
      </c>
      <c r="D79" s="0" t="n">
        <v>608.974</v>
      </c>
      <c r="E79" s="0" t="n">
        <v>684.1092121</v>
      </c>
      <c r="F79" s="0" t="n">
        <v>769.1411467</v>
      </c>
      <c r="G79" s="0" t="n">
        <v>921.7394088</v>
      </c>
      <c r="H79" s="0" t="n">
        <v>1069.716214</v>
      </c>
    </row>
    <row r="80" customFormat="false" ht="15" hidden="false" customHeight="false" outlineLevel="0" collapsed="false">
      <c r="A80" s="0" t="s">
        <v>1276</v>
      </c>
      <c r="B80" s="0" t="s">
        <v>790</v>
      </c>
      <c r="C80" s="0" t="s">
        <v>428</v>
      </c>
      <c r="D80" s="0" t="n">
        <v>416.676</v>
      </c>
      <c r="E80" s="0" t="n">
        <v>410.321691</v>
      </c>
      <c r="F80" s="0" t="n">
        <v>321.2145091</v>
      </c>
      <c r="G80" s="0" t="n">
        <v>323.3841432</v>
      </c>
      <c r="H80" s="0" t="n">
        <v>434.6012468</v>
      </c>
    </row>
    <row r="81" customFormat="false" ht="15" hidden="false" customHeight="false" outlineLevel="0" collapsed="false">
      <c r="A81" s="0" t="s">
        <v>1277</v>
      </c>
      <c r="B81" s="0" t="s">
        <v>806</v>
      </c>
      <c r="C81" s="0" t="s">
        <v>428</v>
      </c>
      <c r="D81" s="0" t="n">
        <v>286.523</v>
      </c>
      <c r="E81" s="0" t="n">
        <v>285.3367948</v>
      </c>
      <c r="F81" s="0" t="n">
        <v>216.4042672</v>
      </c>
      <c r="G81" s="0" t="n">
        <v>212.9494497</v>
      </c>
      <c r="H81" s="0" t="n">
        <v>286.1862535</v>
      </c>
    </row>
    <row r="82" customFormat="false" ht="15" hidden="false" customHeight="false" outlineLevel="0" collapsed="false">
      <c r="A82" s="0" t="s">
        <v>1278</v>
      </c>
      <c r="B82" s="0" t="s">
        <v>916</v>
      </c>
      <c r="C82" s="0" t="s">
        <v>428</v>
      </c>
      <c r="D82" s="0" t="n">
        <v>33.187</v>
      </c>
      <c r="E82" s="0" t="n">
        <v>33.61146173</v>
      </c>
      <c r="F82" s="0" t="n">
        <v>36.8278743</v>
      </c>
      <c r="G82" s="0" t="n">
        <v>43.28734025</v>
      </c>
      <c r="H82" s="0" t="n">
        <v>50.23672557</v>
      </c>
    </row>
    <row r="83" customFormat="false" ht="15" hidden="false" customHeight="false" outlineLevel="0" collapsed="false">
      <c r="A83" s="0" t="s">
        <v>1279</v>
      </c>
      <c r="B83" s="0" t="s">
        <v>750</v>
      </c>
      <c r="C83" s="0" t="s">
        <v>428</v>
      </c>
      <c r="D83" s="0" t="n">
        <v>542.285</v>
      </c>
      <c r="E83" s="0" t="n">
        <v>558.1793733</v>
      </c>
      <c r="F83" s="0" t="n">
        <v>654.6504634</v>
      </c>
      <c r="G83" s="0" t="n">
        <v>809.9596443</v>
      </c>
      <c r="H83" s="0" t="n">
        <v>939.9912339</v>
      </c>
    </row>
    <row r="84" customFormat="false" ht="15" hidden="false" customHeight="false" outlineLevel="0" collapsed="false">
      <c r="A84" s="0" t="s">
        <v>1280</v>
      </c>
      <c r="B84" s="0" t="s">
        <v>712</v>
      </c>
      <c r="C84" s="0" t="s">
        <v>428</v>
      </c>
      <c r="D84" s="0" t="n">
        <v>2382.718</v>
      </c>
      <c r="E84" s="0" t="n">
        <v>2395.584677</v>
      </c>
      <c r="F84" s="0" t="n">
        <v>2475.788831</v>
      </c>
      <c r="G84" s="0" t="n">
        <v>2785.35272</v>
      </c>
      <c r="H84" s="0" t="n">
        <v>3232.515543</v>
      </c>
    </row>
    <row r="85" customFormat="false" ht="15" hidden="false" customHeight="false" outlineLevel="0" collapsed="false">
      <c r="A85" s="0" t="s">
        <v>1281</v>
      </c>
      <c r="B85" s="0" t="s">
        <v>964</v>
      </c>
      <c r="C85" s="0" t="s">
        <v>428</v>
      </c>
      <c r="D85" s="0" t="n">
        <v>21.9</v>
      </c>
      <c r="E85" s="0" t="n">
        <v>21.88686</v>
      </c>
      <c r="F85" s="0" t="n">
        <v>21.28112976</v>
      </c>
      <c r="G85" s="0" t="n">
        <v>25.09430548</v>
      </c>
      <c r="H85" s="0" t="n">
        <v>33.72464817</v>
      </c>
    </row>
    <row r="86" customFormat="false" ht="15" hidden="false" customHeight="false" outlineLevel="0" collapsed="false">
      <c r="A86" s="0" t="s">
        <v>1282</v>
      </c>
      <c r="B86" s="0" t="s">
        <v>876</v>
      </c>
      <c r="C86" s="0" t="s">
        <v>428</v>
      </c>
      <c r="D86" s="0" t="n">
        <v>58.701</v>
      </c>
      <c r="E86" s="0" t="n">
        <v>60.27594783</v>
      </c>
      <c r="F86" s="0" t="n">
        <v>69.1467156</v>
      </c>
      <c r="G86" s="0" t="n">
        <v>92.19907974</v>
      </c>
      <c r="H86" s="0" t="n">
        <v>123.9078534</v>
      </c>
    </row>
    <row r="87" customFormat="false" ht="15" hidden="false" customHeight="false" outlineLevel="0" collapsed="false">
      <c r="A87" s="0" t="s">
        <v>1283</v>
      </c>
      <c r="B87" s="0" t="s">
        <v>702</v>
      </c>
      <c r="C87" s="0" t="s">
        <v>428</v>
      </c>
      <c r="D87" s="0" t="n">
        <v>4190.008</v>
      </c>
      <c r="E87" s="0" t="n">
        <v>4239.994795</v>
      </c>
      <c r="F87" s="0" t="n">
        <v>4419.01831</v>
      </c>
      <c r="G87" s="0" t="n">
        <v>5002.951077</v>
      </c>
      <c r="H87" s="0" t="n">
        <v>5806.12897</v>
      </c>
    </row>
    <row r="88" customFormat="false" ht="15" hidden="false" customHeight="false" outlineLevel="0" collapsed="false">
      <c r="A88" s="0" t="s">
        <v>1284</v>
      </c>
      <c r="B88" s="0" t="s">
        <v>780</v>
      </c>
      <c r="C88" s="0" t="s">
        <v>428</v>
      </c>
      <c r="D88" s="0" t="n">
        <v>291.48</v>
      </c>
      <c r="E88" s="0" t="n">
        <v>310.382478</v>
      </c>
      <c r="F88" s="0" t="n">
        <v>384.55919</v>
      </c>
      <c r="G88" s="0" t="n">
        <v>543.3321167</v>
      </c>
      <c r="H88" s="0" t="n">
        <v>730.1929311</v>
      </c>
    </row>
    <row r="89" customFormat="false" ht="15" hidden="false" customHeight="false" outlineLevel="0" collapsed="false">
      <c r="A89" s="0" t="s">
        <v>1285</v>
      </c>
      <c r="B89" s="0" t="s">
        <v>814</v>
      </c>
      <c r="C89" s="0" t="s">
        <v>428</v>
      </c>
      <c r="D89" s="0" t="n">
        <v>119.307</v>
      </c>
      <c r="E89" s="0" t="n">
        <v>125.1291816</v>
      </c>
      <c r="F89" s="0" t="n">
        <v>155.2357003</v>
      </c>
      <c r="G89" s="0" t="n">
        <v>233.1743335</v>
      </c>
      <c r="H89" s="0" t="n">
        <v>345.1549746</v>
      </c>
    </row>
    <row r="90" customFormat="false" ht="15" hidden="false" customHeight="false" outlineLevel="0" collapsed="false">
      <c r="A90" s="0" t="s">
        <v>1286</v>
      </c>
      <c r="B90" s="0" t="s">
        <v>946</v>
      </c>
      <c r="C90" s="0" t="s">
        <v>428</v>
      </c>
      <c r="D90" s="0" t="n">
        <v>18.175</v>
      </c>
      <c r="E90" s="0" t="n">
        <v>20.191698</v>
      </c>
      <c r="F90" s="0" t="n">
        <v>26.73973297</v>
      </c>
      <c r="G90" s="0" t="n">
        <v>42.19076746</v>
      </c>
      <c r="H90" s="0" t="n">
        <v>62.45264242</v>
      </c>
    </row>
    <row r="91" customFormat="false" ht="15" hidden="false" customHeight="false" outlineLevel="0" collapsed="false">
      <c r="A91" s="0" t="s">
        <v>1287</v>
      </c>
      <c r="B91" s="0" t="s">
        <v>886</v>
      </c>
      <c r="C91" s="0" t="s">
        <v>428</v>
      </c>
      <c r="D91" s="0" t="n">
        <v>46.098</v>
      </c>
      <c r="E91" s="0" t="n">
        <v>48.40889274</v>
      </c>
      <c r="F91" s="0" t="n">
        <v>58.95023462</v>
      </c>
      <c r="G91" s="0" t="n">
        <v>87.32009774</v>
      </c>
      <c r="H91" s="0" t="n">
        <v>129.2550756</v>
      </c>
    </row>
    <row r="92" customFormat="false" ht="15" hidden="false" customHeight="false" outlineLevel="0" collapsed="false">
      <c r="A92" s="0" t="s">
        <v>1288</v>
      </c>
      <c r="B92" s="0" t="s">
        <v>1054</v>
      </c>
      <c r="C92" s="0" t="s">
        <v>428</v>
      </c>
      <c r="D92" s="0" t="n">
        <v>1.051</v>
      </c>
      <c r="E92" s="0" t="n">
        <v>1.06671245</v>
      </c>
      <c r="F92" s="0" t="n">
        <v>1.175543711</v>
      </c>
      <c r="G92" s="0" t="n">
        <v>1.38772456</v>
      </c>
      <c r="H92" s="0" t="n">
        <v>1.610511005</v>
      </c>
    </row>
    <row r="93" customFormat="false" ht="15" hidden="false" customHeight="false" outlineLevel="0" collapsed="false">
      <c r="A93" s="0" t="s">
        <v>1289</v>
      </c>
      <c r="B93" s="0" t="s">
        <v>716</v>
      </c>
      <c r="C93" s="0" t="s">
        <v>428</v>
      </c>
      <c r="D93" s="0" t="n">
        <v>1875.388</v>
      </c>
      <c r="E93" s="0" t="n">
        <v>1894.273157</v>
      </c>
      <c r="F93" s="0" t="n">
        <v>2072.052458</v>
      </c>
      <c r="G93" s="0" t="n">
        <v>2432.404533</v>
      </c>
      <c r="H93" s="0" t="n">
        <v>2822.904763</v>
      </c>
    </row>
    <row r="94" customFormat="false" ht="15" hidden="false" customHeight="false" outlineLevel="0" collapsed="false">
      <c r="A94" s="0" t="s">
        <v>1290</v>
      </c>
      <c r="B94" s="0" t="s">
        <v>812</v>
      </c>
      <c r="C94" s="0" t="s">
        <v>428</v>
      </c>
      <c r="D94" s="0" t="n">
        <v>160.902</v>
      </c>
      <c r="E94" s="0" t="n">
        <v>166.4820814</v>
      </c>
      <c r="F94" s="0" t="n">
        <v>164.2731222</v>
      </c>
      <c r="G94" s="0" t="n">
        <v>178.5461813</v>
      </c>
      <c r="H94" s="0" t="n">
        <v>207.2101326</v>
      </c>
    </row>
    <row r="95" customFormat="false" ht="15" hidden="false" customHeight="false" outlineLevel="0" collapsed="false">
      <c r="A95" s="0" t="s">
        <v>1291</v>
      </c>
      <c r="B95" s="0" t="s">
        <v>972</v>
      </c>
      <c r="C95" s="0" t="s">
        <v>428</v>
      </c>
      <c r="D95" s="0" t="n">
        <v>15.792</v>
      </c>
      <c r="E95" s="0" t="n">
        <v>16.54559424</v>
      </c>
      <c r="F95" s="0" t="n">
        <v>20.14103162</v>
      </c>
      <c r="G95" s="0" t="n">
        <v>29.82562771</v>
      </c>
      <c r="H95" s="0" t="n">
        <v>44.14921496</v>
      </c>
    </row>
    <row r="96" customFormat="false" ht="15" hidden="false" customHeight="false" outlineLevel="0" collapsed="false">
      <c r="A96" s="0" t="s">
        <v>1292</v>
      </c>
      <c r="B96" s="0" t="s">
        <v>922</v>
      </c>
      <c r="C96" s="0" t="s">
        <v>428</v>
      </c>
      <c r="D96" s="0" t="n">
        <v>29.339</v>
      </c>
      <c r="E96" s="0" t="n">
        <v>30.51256</v>
      </c>
      <c r="F96" s="0" t="n">
        <v>35.37241975</v>
      </c>
      <c r="G96" s="0" t="n">
        <v>47.53757428</v>
      </c>
      <c r="H96" s="0" t="n">
        <v>63.88652471</v>
      </c>
    </row>
    <row r="97" customFormat="false" ht="15" hidden="false" customHeight="false" outlineLevel="0" collapsed="false">
      <c r="A97" s="0" t="s">
        <v>1293</v>
      </c>
      <c r="B97" s="0" t="s">
        <v>1008</v>
      </c>
      <c r="C97" s="0" t="s">
        <v>428</v>
      </c>
      <c r="D97" s="0" t="n">
        <v>4.778</v>
      </c>
      <c r="E97" s="0" t="n">
        <v>5.0235892</v>
      </c>
      <c r="F97" s="0" t="n">
        <v>6.418752216</v>
      </c>
      <c r="G97" s="0" t="n">
        <v>10.15698213</v>
      </c>
      <c r="H97" s="0" t="n">
        <v>15.77348266</v>
      </c>
    </row>
    <row r="98" customFormat="false" ht="15" hidden="false" customHeight="false" outlineLevel="0" collapsed="false">
      <c r="A98" s="0" t="s">
        <v>1294</v>
      </c>
      <c r="B98" s="0" t="s">
        <v>874</v>
      </c>
      <c r="C98" s="0" t="s">
        <v>428</v>
      </c>
      <c r="D98" s="0" t="n">
        <v>49.349</v>
      </c>
      <c r="E98" s="0" t="n">
        <v>57.18117979</v>
      </c>
      <c r="F98" s="0" t="n">
        <v>77.20197417</v>
      </c>
      <c r="G98" s="0" t="n">
        <v>116.4154065</v>
      </c>
      <c r="H98" s="0" t="n">
        <v>156.4525717</v>
      </c>
    </row>
    <row r="99" customFormat="false" ht="15" hidden="false" customHeight="false" outlineLevel="0" collapsed="false">
      <c r="A99" s="0" t="s">
        <v>1295</v>
      </c>
      <c r="B99" s="0" t="s">
        <v>1032</v>
      </c>
      <c r="C99" s="0" t="s">
        <v>428</v>
      </c>
      <c r="D99" s="0" t="n">
        <v>2.574</v>
      </c>
      <c r="E99" s="0" t="n">
        <v>2.61657396</v>
      </c>
      <c r="F99" s="0" t="n">
        <v>2.904675069</v>
      </c>
      <c r="G99" s="0" t="n">
        <v>3.779056226</v>
      </c>
      <c r="H99" s="0" t="n">
        <v>5.07873556</v>
      </c>
    </row>
    <row r="100" customFormat="false" ht="15" hidden="false" customHeight="false" outlineLevel="0" collapsed="false">
      <c r="A100" s="0" t="s">
        <v>1296</v>
      </c>
      <c r="B100" s="0" t="s">
        <v>840</v>
      </c>
      <c r="C100" s="0" t="s">
        <v>428</v>
      </c>
      <c r="D100" s="0" t="n">
        <v>98.964</v>
      </c>
      <c r="E100" s="0" t="n">
        <v>101.93292</v>
      </c>
      <c r="F100" s="0" t="n">
        <v>118.9896567</v>
      </c>
      <c r="G100" s="0" t="n">
        <v>170.7618116</v>
      </c>
      <c r="H100" s="0" t="n">
        <v>252.7691957</v>
      </c>
    </row>
    <row r="101" customFormat="false" ht="15" hidden="false" customHeight="false" outlineLevel="0" collapsed="false">
      <c r="A101" s="0" t="s">
        <v>1297</v>
      </c>
      <c r="B101" s="0" t="s">
        <v>1034</v>
      </c>
      <c r="C101" s="0" t="s">
        <v>428</v>
      </c>
      <c r="D101" s="0" t="n">
        <v>2.514</v>
      </c>
      <c r="E101" s="0" t="n">
        <v>2.5488189</v>
      </c>
      <c r="F101" s="0" t="n">
        <v>2.748954164</v>
      </c>
      <c r="G101" s="0" t="n">
        <v>3.719436409</v>
      </c>
      <c r="H101" s="0" t="n">
        <v>5.505674488</v>
      </c>
    </row>
    <row r="102" customFormat="false" ht="15" hidden="false" customHeight="false" outlineLevel="0" collapsed="false">
      <c r="A102" s="0" t="s">
        <v>1298</v>
      </c>
      <c r="B102" s="0" t="s">
        <v>856</v>
      </c>
      <c r="C102" s="0" t="s">
        <v>428</v>
      </c>
      <c r="D102" s="0" t="n">
        <v>85.482</v>
      </c>
      <c r="E102" s="0" t="n">
        <v>87.92507556</v>
      </c>
      <c r="F102" s="0" t="n">
        <v>100.5033049</v>
      </c>
      <c r="G102" s="0" t="n">
        <v>121.9549463</v>
      </c>
      <c r="H102" s="0" t="n">
        <v>141.5336939</v>
      </c>
    </row>
    <row r="103" customFormat="false" ht="15" hidden="false" customHeight="false" outlineLevel="0" collapsed="false">
      <c r="A103" s="0" t="s">
        <v>1299</v>
      </c>
      <c r="B103" s="0" t="s">
        <v>854</v>
      </c>
      <c r="C103" s="0" t="s">
        <v>428</v>
      </c>
      <c r="D103" s="0" t="n">
        <v>93.252</v>
      </c>
      <c r="E103" s="0" t="n">
        <v>93.84694776</v>
      </c>
      <c r="F103" s="0" t="n">
        <v>101.4931554</v>
      </c>
      <c r="G103" s="0" t="n">
        <v>118.1305455</v>
      </c>
      <c r="H103" s="0" t="n">
        <v>137.0953207</v>
      </c>
    </row>
    <row r="104" customFormat="false" ht="15" hidden="false" customHeight="false" outlineLevel="0" collapsed="false">
      <c r="A104" s="0" t="s">
        <v>1300</v>
      </c>
      <c r="B104" s="0" t="s">
        <v>894</v>
      </c>
      <c r="C104" s="0" t="s">
        <v>428</v>
      </c>
      <c r="D104" s="0" t="n">
        <v>43.988</v>
      </c>
      <c r="E104" s="0" t="n">
        <v>44.92846344</v>
      </c>
      <c r="F104" s="0" t="n">
        <v>49.88590325</v>
      </c>
      <c r="G104" s="0" t="n">
        <v>59.22393706</v>
      </c>
      <c r="H104" s="0" t="n">
        <v>68.73179678</v>
      </c>
    </row>
    <row r="105" customFormat="false" ht="15" hidden="false" customHeight="false" outlineLevel="0" collapsed="false">
      <c r="A105" s="0" t="s">
        <v>1301</v>
      </c>
      <c r="B105" s="0" t="s">
        <v>882</v>
      </c>
      <c r="C105" s="0" t="s">
        <v>428</v>
      </c>
      <c r="D105" s="0" t="n">
        <v>49.467</v>
      </c>
      <c r="E105" s="0" t="n">
        <v>51.77760357</v>
      </c>
      <c r="F105" s="0" t="n">
        <v>59.38498329</v>
      </c>
      <c r="G105" s="0" t="n">
        <v>72.24412936</v>
      </c>
      <c r="H105" s="0" t="n">
        <v>83.84226149</v>
      </c>
    </row>
    <row r="106" customFormat="false" ht="15" hidden="false" customHeight="false" outlineLevel="0" collapsed="false">
      <c r="A106" s="0" t="s">
        <v>1302</v>
      </c>
      <c r="B106" s="0" t="s">
        <v>808</v>
      </c>
      <c r="C106" s="0" t="s">
        <v>428</v>
      </c>
      <c r="D106" s="0" t="n">
        <v>160.606</v>
      </c>
      <c r="E106" s="0" t="n">
        <v>168.475694</v>
      </c>
      <c r="F106" s="0" t="n">
        <v>212.448338</v>
      </c>
      <c r="G106" s="0" t="n">
        <v>323.0494982</v>
      </c>
      <c r="H106" s="0" t="n">
        <v>478.1921735</v>
      </c>
    </row>
    <row r="107" customFormat="false" ht="15" hidden="false" customHeight="false" outlineLevel="0" collapsed="false">
      <c r="A107" s="0" t="s">
        <v>1303</v>
      </c>
      <c r="B107" s="0" t="s">
        <v>966</v>
      </c>
      <c r="C107" s="0" t="s">
        <v>428</v>
      </c>
      <c r="D107" s="0" t="n">
        <v>18.208</v>
      </c>
      <c r="E107" s="0" t="n">
        <v>18.64790528</v>
      </c>
      <c r="F107" s="0" t="n">
        <v>20.79121435</v>
      </c>
      <c r="G107" s="0" t="n">
        <v>28.83342539</v>
      </c>
      <c r="H107" s="0" t="n">
        <v>42.68051315</v>
      </c>
    </row>
    <row r="108" customFormat="false" ht="15" hidden="false" customHeight="false" outlineLevel="0" collapsed="false">
      <c r="A108" s="0" t="s">
        <v>1304</v>
      </c>
      <c r="B108" s="0" t="s">
        <v>960</v>
      </c>
      <c r="C108" s="0" t="s">
        <v>428</v>
      </c>
      <c r="D108" s="0" t="n">
        <v>17.593</v>
      </c>
      <c r="E108" s="0" t="n">
        <v>18.09176155</v>
      </c>
      <c r="F108" s="0" t="n">
        <v>21.75794845</v>
      </c>
      <c r="G108" s="0" t="n">
        <v>32.90164387</v>
      </c>
      <c r="H108" s="0" t="n">
        <v>51.09524685</v>
      </c>
    </row>
    <row r="109" customFormat="false" ht="15" hidden="false" customHeight="false" outlineLevel="0" collapsed="false">
      <c r="A109" s="0" t="s">
        <v>1305</v>
      </c>
      <c r="B109" s="0" t="s">
        <v>1002</v>
      </c>
      <c r="C109" s="0" t="s">
        <v>428</v>
      </c>
      <c r="D109" s="0" t="n">
        <v>7.052</v>
      </c>
      <c r="E109" s="0" t="n">
        <v>7.40678612</v>
      </c>
      <c r="F109" s="0" t="n">
        <v>8.594358028</v>
      </c>
      <c r="G109" s="0" t="n">
        <v>11.55803054</v>
      </c>
      <c r="H109" s="0" t="n">
        <v>15.53302656</v>
      </c>
    </row>
    <row r="110" customFormat="false" ht="15" hidden="false" customHeight="false" outlineLevel="0" collapsed="false">
      <c r="A110" s="0" t="s">
        <v>1306</v>
      </c>
      <c r="B110" s="0" t="s">
        <v>720</v>
      </c>
      <c r="C110" s="0" t="s">
        <v>428</v>
      </c>
      <c r="D110" s="0" t="n">
        <v>1830.489</v>
      </c>
      <c r="E110" s="0" t="n">
        <v>1840.776348</v>
      </c>
      <c r="F110" s="0" t="n">
        <v>2015.815948</v>
      </c>
      <c r="G110" s="0" t="n">
        <v>2596.105145</v>
      </c>
      <c r="H110" s="0" t="n">
        <v>3488.948227</v>
      </c>
    </row>
    <row r="111" customFormat="false" ht="15" hidden="false" customHeight="false" outlineLevel="0" collapsed="false">
      <c r="A111" s="0" t="s">
        <v>1307</v>
      </c>
      <c r="B111" s="0" t="s">
        <v>970</v>
      </c>
      <c r="C111" s="0" t="s">
        <v>428</v>
      </c>
      <c r="D111" s="0" t="n">
        <v>16.954</v>
      </c>
      <c r="E111" s="0" t="n">
        <v>17.54518598</v>
      </c>
      <c r="F111" s="0" t="n">
        <v>20.42445084</v>
      </c>
      <c r="G111" s="0" t="n">
        <v>27.53452734</v>
      </c>
      <c r="H111" s="0" t="n">
        <v>37.00410229</v>
      </c>
    </row>
    <row r="112" customFormat="false" ht="15" hidden="false" customHeight="false" outlineLevel="0" collapsed="false">
      <c r="A112" s="0" t="s">
        <v>1308</v>
      </c>
      <c r="B112" s="0" t="s">
        <v>918</v>
      </c>
      <c r="C112" s="0" t="s">
        <v>428</v>
      </c>
      <c r="D112" s="0" t="n">
        <v>26.777</v>
      </c>
      <c r="E112" s="0" t="n">
        <v>28.089073</v>
      </c>
      <c r="F112" s="0" t="n">
        <v>36.46333033</v>
      </c>
      <c r="G112" s="0" t="n">
        <v>58.39138219</v>
      </c>
      <c r="H112" s="0" t="n">
        <v>90.68003104</v>
      </c>
    </row>
    <row r="113" customFormat="false" ht="15" hidden="false" customHeight="false" outlineLevel="0" collapsed="false">
      <c r="A113" s="0" t="s">
        <v>1309</v>
      </c>
      <c r="B113" s="0" t="s">
        <v>936</v>
      </c>
      <c r="C113" s="0" t="s">
        <v>428</v>
      </c>
      <c r="D113" s="0" t="n">
        <v>25.035</v>
      </c>
      <c r="E113" s="0" t="n">
        <v>26.0268867</v>
      </c>
      <c r="F113" s="0" t="n">
        <v>30.74113285</v>
      </c>
      <c r="G113" s="0" t="n">
        <v>38.2375448</v>
      </c>
      <c r="H113" s="0" t="n">
        <v>44.37623179</v>
      </c>
    </row>
    <row r="114" customFormat="false" ht="15" hidden="false" customHeight="false" outlineLevel="0" collapsed="false">
      <c r="A114" s="0" t="s">
        <v>1310</v>
      </c>
      <c r="B114" s="0" t="s">
        <v>862</v>
      </c>
      <c r="C114" s="0" t="s">
        <v>428</v>
      </c>
      <c r="D114" s="0" t="n">
        <v>76.759</v>
      </c>
      <c r="E114" s="0" t="n">
        <v>75.25145324</v>
      </c>
      <c r="F114" s="0" t="n">
        <v>87.82525065</v>
      </c>
      <c r="G114" s="0" t="n">
        <v>126.0182757</v>
      </c>
      <c r="H114" s="0" t="n">
        <v>186.5378324</v>
      </c>
    </row>
    <row r="115" customFormat="false" ht="15" hidden="false" customHeight="false" outlineLevel="0" collapsed="false">
      <c r="A115" s="0" t="s">
        <v>1311</v>
      </c>
      <c r="B115" s="0" t="s">
        <v>996</v>
      </c>
      <c r="C115" s="0" t="s">
        <v>428</v>
      </c>
      <c r="D115" s="0" t="n">
        <v>8.272</v>
      </c>
      <c r="E115" s="0" t="n">
        <v>8.495344</v>
      </c>
      <c r="F115" s="0" t="n">
        <v>9.766747026</v>
      </c>
      <c r="G115" s="0" t="n">
        <v>13.04398885</v>
      </c>
      <c r="H115" s="0" t="n">
        <v>17.53003027</v>
      </c>
    </row>
    <row r="116" customFormat="false" ht="15" hidden="false" customHeight="false" outlineLevel="0" collapsed="false">
      <c r="A116" s="0" t="s">
        <v>1312</v>
      </c>
      <c r="B116" s="0" t="s">
        <v>928</v>
      </c>
      <c r="C116" s="0" t="s">
        <v>428</v>
      </c>
      <c r="D116" s="0" t="n">
        <v>23.795</v>
      </c>
      <c r="E116" s="0" t="n">
        <v>25.4235298</v>
      </c>
      <c r="F116" s="0" t="n">
        <v>32.57258947</v>
      </c>
      <c r="G116" s="0" t="n">
        <v>50.12625971</v>
      </c>
      <c r="H116" s="0" t="n">
        <v>74.19910946</v>
      </c>
    </row>
    <row r="117" customFormat="false" ht="15" hidden="false" customHeight="false" outlineLevel="0" collapsed="false">
      <c r="A117" s="0" t="s">
        <v>1313</v>
      </c>
      <c r="B117" s="0" t="s">
        <v>954</v>
      </c>
      <c r="C117" s="0" t="s">
        <v>428</v>
      </c>
      <c r="D117" s="0" t="n">
        <v>22.745</v>
      </c>
      <c r="E117" s="0" t="n">
        <v>22.6258162</v>
      </c>
      <c r="F117" s="0" t="n">
        <v>23.88245432</v>
      </c>
      <c r="G117" s="0" t="n">
        <v>32.77917861</v>
      </c>
      <c r="H117" s="0" t="n">
        <v>50.90506204</v>
      </c>
    </row>
    <row r="118" customFormat="false" ht="15" hidden="false" customHeight="false" outlineLevel="0" collapsed="false">
      <c r="A118" s="0" t="s">
        <v>1314</v>
      </c>
      <c r="B118" s="0" t="s">
        <v>988</v>
      </c>
      <c r="C118" s="0" t="s">
        <v>428</v>
      </c>
      <c r="D118" s="0" t="n">
        <v>11.003</v>
      </c>
      <c r="E118" s="0" t="n">
        <v>11.46677645</v>
      </c>
      <c r="F118" s="0" t="n">
        <v>14.192471</v>
      </c>
      <c r="G118" s="0" t="n">
        <v>21.28058427</v>
      </c>
      <c r="H118" s="0" t="n">
        <v>31.50046325</v>
      </c>
    </row>
    <row r="119" customFormat="false" ht="15" hidden="false" customHeight="false" outlineLevel="0" collapsed="false">
      <c r="A119" s="0" t="s">
        <v>1315</v>
      </c>
      <c r="B119" s="0" t="s">
        <v>974</v>
      </c>
      <c r="C119" s="0" t="s">
        <v>428</v>
      </c>
      <c r="D119" s="0" t="n">
        <v>14.986</v>
      </c>
      <c r="E119" s="0" t="n">
        <v>15.450566</v>
      </c>
      <c r="F119" s="0" t="n">
        <v>18.21153487</v>
      </c>
      <c r="G119" s="0" t="n">
        <v>24.7819338</v>
      </c>
      <c r="H119" s="0" t="n">
        <v>33.30484675</v>
      </c>
    </row>
    <row r="120" customFormat="false" ht="15" hidden="false" customHeight="false" outlineLevel="0" collapsed="false">
      <c r="A120" s="0" t="s">
        <v>1316</v>
      </c>
      <c r="B120" s="0" t="s">
        <v>992</v>
      </c>
      <c r="C120" s="0" t="s">
        <v>428</v>
      </c>
      <c r="D120" s="0" t="n">
        <v>11.79</v>
      </c>
      <c r="E120" s="0" t="n">
        <v>12.0360573</v>
      </c>
      <c r="F120" s="0" t="n">
        <v>13.65191032</v>
      </c>
      <c r="G120" s="0" t="n">
        <v>19.7625203</v>
      </c>
      <c r="H120" s="0" t="n">
        <v>30.69058972</v>
      </c>
    </row>
    <row r="121" customFormat="false" ht="15" hidden="false" customHeight="false" outlineLevel="0" collapsed="false">
      <c r="A121" s="0" t="s">
        <v>1317</v>
      </c>
      <c r="B121" s="0" t="s">
        <v>760</v>
      </c>
      <c r="C121" s="0" t="s">
        <v>428</v>
      </c>
      <c r="D121" s="0" t="n">
        <v>422.227</v>
      </c>
      <c r="E121" s="0" t="n">
        <v>444.0603582</v>
      </c>
      <c r="F121" s="0" t="n">
        <v>552.2424461</v>
      </c>
      <c r="G121" s="0" t="n">
        <v>782.4496295</v>
      </c>
      <c r="H121" s="0" t="n">
        <v>1051.546873</v>
      </c>
    </row>
    <row r="122" customFormat="false" ht="15" hidden="false" customHeight="false" outlineLevel="0" collapsed="false">
      <c r="A122" s="0" t="s">
        <v>1318</v>
      </c>
      <c r="B122" s="0" t="s">
        <v>982</v>
      </c>
      <c r="C122" s="0" t="s">
        <v>428</v>
      </c>
      <c r="D122" s="0" t="n">
        <v>13.37</v>
      </c>
      <c r="E122" s="0" t="n">
        <v>13.696228</v>
      </c>
      <c r="F122" s="0" t="n">
        <v>15.48262546</v>
      </c>
      <c r="G122" s="0" t="n">
        <v>20.41832144</v>
      </c>
      <c r="H122" s="0" t="n">
        <v>27.44051662</v>
      </c>
    </row>
    <row r="123" customFormat="false" ht="15" hidden="false" customHeight="false" outlineLevel="0" collapsed="false">
      <c r="A123" s="0" t="s">
        <v>1319</v>
      </c>
      <c r="B123" s="0" t="s">
        <v>940</v>
      </c>
      <c r="C123" s="0" t="s">
        <v>428</v>
      </c>
      <c r="D123" s="0" t="n">
        <v>19.866</v>
      </c>
      <c r="E123" s="0" t="n">
        <v>21.236754</v>
      </c>
      <c r="F123" s="0" t="n">
        <v>28.97274639</v>
      </c>
      <c r="G123" s="0" t="n">
        <v>48.16953438</v>
      </c>
      <c r="H123" s="0" t="n">
        <v>74.80581395</v>
      </c>
    </row>
    <row r="124" customFormat="false" ht="15" hidden="false" customHeight="false" outlineLevel="0" collapsed="false">
      <c r="A124" s="0" t="s">
        <v>1320</v>
      </c>
      <c r="B124" s="0" t="s">
        <v>792</v>
      </c>
      <c r="C124" s="0" t="s">
        <v>428</v>
      </c>
      <c r="D124" s="0" t="n">
        <v>252.109</v>
      </c>
      <c r="E124" s="0" t="n">
        <v>262.2261342</v>
      </c>
      <c r="F124" s="0" t="n">
        <v>319.8014504</v>
      </c>
      <c r="G124" s="0" t="n">
        <v>474.2335034</v>
      </c>
      <c r="H124" s="0" t="n">
        <v>701.9814331</v>
      </c>
    </row>
    <row r="125" customFormat="false" ht="15" hidden="false" customHeight="false" outlineLevel="0" collapsed="false">
      <c r="A125" s="0" t="s">
        <v>1321</v>
      </c>
      <c r="B125" s="0" t="s">
        <v>948</v>
      </c>
      <c r="C125" s="0" t="s">
        <v>428</v>
      </c>
      <c r="D125" s="0" t="n">
        <v>19.697</v>
      </c>
      <c r="E125" s="0" t="n">
        <v>20.66688028</v>
      </c>
      <c r="F125" s="0" t="n">
        <v>24.97906765</v>
      </c>
      <c r="G125" s="0" t="n">
        <v>36.79266611</v>
      </c>
      <c r="H125" s="0" t="n">
        <v>54.46213374</v>
      </c>
    </row>
    <row r="126" customFormat="false" ht="15" hidden="false" customHeight="false" outlineLevel="0" collapsed="false">
      <c r="A126" s="0" t="s">
        <v>1322</v>
      </c>
      <c r="B126" s="0" t="s">
        <v>730</v>
      </c>
      <c r="C126" s="0" t="s">
        <v>428</v>
      </c>
      <c r="D126" s="0" t="n">
        <v>1214.562</v>
      </c>
      <c r="E126" s="0" t="n">
        <v>1237.104271</v>
      </c>
      <c r="F126" s="0" t="n">
        <v>1317.755339</v>
      </c>
      <c r="G126" s="0" t="n">
        <v>1516.42496</v>
      </c>
      <c r="H126" s="0" t="n">
        <v>1759.873075</v>
      </c>
    </row>
    <row r="127" customFormat="false" ht="15" hidden="false" customHeight="false" outlineLevel="0" collapsed="false">
      <c r="A127" s="0" t="s">
        <v>1323</v>
      </c>
      <c r="B127" s="0" t="s">
        <v>762</v>
      </c>
      <c r="C127" s="0" t="s">
        <v>428</v>
      </c>
      <c r="D127" s="0" t="n">
        <v>500.886</v>
      </c>
      <c r="E127" s="0" t="n">
        <v>506.3206131</v>
      </c>
      <c r="F127" s="0" t="n">
        <v>544.8755643</v>
      </c>
      <c r="G127" s="0" t="n">
        <v>631.8498779</v>
      </c>
      <c r="H127" s="0" t="n">
        <v>733.2875786</v>
      </c>
    </row>
    <row r="128" customFormat="false" ht="15" hidden="false" customHeight="false" outlineLevel="0" collapsed="false">
      <c r="A128" s="0" t="s">
        <v>1324</v>
      </c>
      <c r="B128" s="0" t="s">
        <v>892</v>
      </c>
      <c r="C128" s="0" t="s">
        <v>428</v>
      </c>
      <c r="D128" s="0" t="n">
        <v>42.914</v>
      </c>
      <c r="E128" s="0" t="n">
        <v>44.88976056</v>
      </c>
      <c r="F128" s="0" t="n">
        <v>52.48682088</v>
      </c>
      <c r="G128" s="0" t="n">
        <v>77.71746379</v>
      </c>
      <c r="H128" s="0" t="n">
        <v>120.6928448</v>
      </c>
    </row>
    <row r="129" customFormat="false" ht="15" hidden="false" customHeight="false" outlineLevel="0" collapsed="false">
      <c r="A129" s="0" t="s">
        <v>1325</v>
      </c>
      <c r="B129" s="0" t="s">
        <v>1064</v>
      </c>
      <c r="C129" s="0" t="s">
        <v>428</v>
      </c>
      <c r="D129" s="0" t="n">
        <v>0.168</v>
      </c>
      <c r="E129" s="0" t="n">
        <v>0.17171784</v>
      </c>
      <c r="F129" s="0" t="n">
        <v>0.19196507</v>
      </c>
      <c r="G129" s="0" t="n">
        <v>0.2510619294</v>
      </c>
      <c r="H129" s="0" t="n">
        <v>0.3374062392</v>
      </c>
    </row>
    <row r="130" customFormat="false" ht="15" hidden="false" customHeight="false" outlineLevel="0" collapsed="false">
      <c r="A130" s="0" t="s">
        <v>1326</v>
      </c>
      <c r="B130" s="0" t="s">
        <v>796</v>
      </c>
      <c r="C130" s="0" t="s">
        <v>428</v>
      </c>
      <c r="D130" s="0" t="n">
        <v>258.827</v>
      </c>
      <c r="E130" s="0" t="n">
        <v>259.2825355</v>
      </c>
      <c r="F130" s="0" t="n">
        <v>286.8423894</v>
      </c>
      <c r="G130" s="0" t="n">
        <v>339.6016764</v>
      </c>
      <c r="H130" s="0" t="n">
        <v>394.1216098</v>
      </c>
    </row>
    <row r="131" customFormat="false" ht="15" hidden="false" customHeight="false" outlineLevel="0" collapsed="false">
      <c r="A131" s="0" t="s">
        <v>1327</v>
      </c>
      <c r="B131" s="0" t="s">
        <v>832</v>
      </c>
      <c r="C131" s="0" t="s">
        <v>428</v>
      </c>
      <c r="D131" s="0" t="n">
        <v>107.137</v>
      </c>
      <c r="E131" s="0" t="n">
        <v>109.7040025</v>
      </c>
      <c r="F131" s="0" t="n">
        <v>128.2483565</v>
      </c>
      <c r="G131" s="0" t="n">
        <v>158.2859576</v>
      </c>
      <c r="H131" s="0" t="n">
        <v>183.6973159</v>
      </c>
    </row>
    <row r="132" customFormat="false" ht="15" hidden="false" customHeight="false" outlineLevel="0" collapsed="false">
      <c r="A132" s="0" t="s">
        <v>1328</v>
      </c>
      <c r="B132" s="0" t="s">
        <v>772</v>
      </c>
      <c r="C132" s="0" t="s">
        <v>428</v>
      </c>
      <c r="D132" s="0" t="n">
        <v>372.243</v>
      </c>
      <c r="E132" s="0" t="n">
        <v>383.756476</v>
      </c>
      <c r="F132" s="0" t="n">
        <v>459.3096736</v>
      </c>
      <c r="G132" s="0" t="n">
        <v>671.5921647</v>
      </c>
      <c r="H132" s="0" t="n">
        <v>994.1204637</v>
      </c>
    </row>
    <row r="133" customFormat="false" ht="15" hidden="false" customHeight="false" outlineLevel="0" collapsed="false">
      <c r="A133" s="0" t="s">
        <v>1329</v>
      </c>
      <c r="B133" s="0" t="s">
        <v>848</v>
      </c>
      <c r="C133" s="0" t="s">
        <v>428</v>
      </c>
      <c r="D133" s="0" t="n">
        <v>86.524</v>
      </c>
      <c r="E133" s="0" t="n">
        <v>90.287794</v>
      </c>
      <c r="F133" s="0" t="n">
        <v>107.2617833</v>
      </c>
      <c r="G133" s="0" t="n">
        <v>134.0050997</v>
      </c>
      <c r="H133" s="0" t="n">
        <v>155.518389</v>
      </c>
    </row>
    <row r="134" customFormat="false" ht="15" hidden="false" customHeight="false" outlineLevel="0" collapsed="false">
      <c r="A134" s="0" t="s">
        <v>1330</v>
      </c>
      <c r="B134" s="0" t="s">
        <v>784</v>
      </c>
      <c r="C134" s="0" t="s">
        <v>428</v>
      </c>
      <c r="D134" s="0" t="n">
        <v>295.22</v>
      </c>
      <c r="E134" s="0" t="n">
        <v>305.3726158</v>
      </c>
      <c r="F134" s="0" t="n">
        <v>351.3670636</v>
      </c>
      <c r="G134" s="0" t="n">
        <v>469.5618589</v>
      </c>
      <c r="H134" s="0" t="n">
        <v>631.0518732</v>
      </c>
    </row>
    <row r="135" customFormat="false" ht="15" hidden="false" customHeight="false" outlineLevel="0" collapsed="false">
      <c r="A135" s="0" t="s">
        <v>1331</v>
      </c>
      <c r="B135" s="0" t="s">
        <v>754</v>
      </c>
      <c r="C135" s="0" t="s">
        <v>428</v>
      </c>
      <c r="D135" s="0" t="n">
        <v>461.617</v>
      </c>
      <c r="E135" s="0" t="n">
        <v>481.9419965</v>
      </c>
      <c r="F135" s="0" t="n">
        <v>587.9526185</v>
      </c>
      <c r="G135" s="0" t="n">
        <v>872.090356</v>
      </c>
      <c r="H135" s="0" t="n">
        <v>1290.906765</v>
      </c>
    </row>
    <row r="136" customFormat="false" ht="15" hidden="false" customHeight="false" outlineLevel="0" collapsed="false">
      <c r="A136" s="0" t="s">
        <v>1332</v>
      </c>
      <c r="B136" s="0" t="s">
        <v>1062</v>
      </c>
      <c r="C136" s="0" t="s">
        <v>428</v>
      </c>
      <c r="D136" s="0" t="n">
        <v>0.322</v>
      </c>
      <c r="E136" s="0" t="n">
        <v>0.34236328</v>
      </c>
      <c r="F136" s="0" t="n">
        <v>0.3977161793</v>
      </c>
      <c r="G136" s="0" t="n">
        <v>0.4885293646</v>
      </c>
      <c r="H136" s="0" t="n">
        <v>0.5669582719</v>
      </c>
    </row>
    <row r="137" customFormat="false" ht="15" hidden="false" customHeight="false" outlineLevel="0" collapsed="false">
      <c r="A137" s="0" t="s">
        <v>1333</v>
      </c>
      <c r="B137" s="0" t="s">
        <v>912</v>
      </c>
      <c r="C137" s="0" t="s">
        <v>428</v>
      </c>
      <c r="D137" s="0" t="n">
        <v>30.756</v>
      </c>
      <c r="E137" s="0" t="n">
        <v>32.48971572</v>
      </c>
      <c r="F137" s="0" t="n">
        <v>39.1279903</v>
      </c>
      <c r="G137" s="0" t="n">
        <v>57.47828211</v>
      </c>
      <c r="H137" s="0" t="n">
        <v>85.0818986</v>
      </c>
    </row>
    <row r="138" customFormat="false" ht="15" hidden="false" customHeight="false" outlineLevel="0" collapsed="false">
      <c r="A138" s="0" t="s">
        <v>1334</v>
      </c>
      <c r="B138" s="0" t="s">
        <v>732</v>
      </c>
      <c r="C138" s="0" t="s">
        <v>428</v>
      </c>
      <c r="D138" s="0" t="n">
        <v>917.623</v>
      </c>
      <c r="E138" s="0" t="n">
        <v>950.4096698</v>
      </c>
      <c r="F138" s="0" t="n">
        <v>1105.1731</v>
      </c>
      <c r="G138" s="0" t="n">
        <v>1358.548523</v>
      </c>
      <c r="H138" s="0" t="n">
        <v>1576.651024</v>
      </c>
    </row>
    <row r="139" customFormat="false" ht="15" hidden="false" customHeight="false" outlineLevel="0" collapsed="false">
      <c r="A139" s="0" t="s">
        <v>1335</v>
      </c>
      <c r="B139" s="0" t="s">
        <v>834</v>
      </c>
      <c r="C139" s="0" t="s">
        <v>428</v>
      </c>
      <c r="D139" s="0" t="n">
        <v>125.842</v>
      </c>
      <c r="E139" s="0" t="n">
        <v>124.835264</v>
      </c>
      <c r="F139" s="0" t="n">
        <v>125.6390243</v>
      </c>
      <c r="G139" s="0" t="n">
        <v>138.58015</v>
      </c>
      <c r="H139" s="0" t="n">
        <v>160.8279216</v>
      </c>
    </row>
    <row r="140" customFormat="false" ht="15" hidden="false" customHeight="false" outlineLevel="0" collapsed="false">
      <c r="A140" s="0" t="s">
        <v>1336</v>
      </c>
      <c r="B140" s="0" t="s">
        <v>786</v>
      </c>
      <c r="C140" s="0" t="s">
        <v>428</v>
      </c>
      <c r="D140" s="0" t="n">
        <v>313.562</v>
      </c>
      <c r="E140" s="0" t="n">
        <v>319.4067957</v>
      </c>
      <c r="F140" s="0" t="n">
        <v>350.384619</v>
      </c>
      <c r="G140" s="0" t="n">
        <v>412.2053834</v>
      </c>
      <c r="H140" s="0" t="n">
        <v>478.3811758</v>
      </c>
    </row>
    <row r="141" customFormat="false" ht="15" hidden="false" customHeight="false" outlineLevel="0" collapsed="false">
      <c r="A141" s="0" t="s">
        <v>1337</v>
      </c>
      <c r="B141" s="0" t="s">
        <v>888</v>
      </c>
      <c r="C141" s="0" t="s">
        <v>428</v>
      </c>
      <c r="D141" s="0" t="n">
        <v>44.739</v>
      </c>
      <c r="E141" s="0" t="n">
        <v>47.42334</v>
      </c>
      <c r="F141" s="0" t="n">
        <v>57.77684683</v>
      </c>
      <c r="G141" s="0" t="n">
        <v>80.60219127</v>
      </c>
      <c r="H141" s="0" t="n">
        <v>108.3226051</v>
      </c>
    </row>
    <row r="142" customFormat="false" ht="15" hidden="false" customHeight="false" outlineLevel="0" collapsed="false">
      <c r="A142" s="0" t="s">
        <v>1338</v>
      </c>
      <c r="B142" s="0" t="s">
        <v>816</v>
      </c>
      <c r="C142" s="0" t="s">
        <v>428</v>
      </c>
      <c r="D142" s="0" t="n">
        <v>219.163</v>
      </c>
      <c r="E142" s="0" t="n">
        <v>225.2951807</v>
      </c>
      <c r="F142" s="0" t="n">
        <v>155.0385053</v>
      </c>
      <c r="G142" s="0" t="n">
        <v>129.5072571</v>
      </c>
      <c r="H142" s="0" t="n">
        <v>150.298459</v>
      </c>
    </row>
    <row r="143" customFormat="false" ht="15" hidden="false" customHeight="false" outlineLevel="0" collapsed="false">
      <c r="A143" s="0" t="s">
        <v>1339</v>
      </c>
      <c r="B143" s="0" t="s">
        <v>776</v>
      </c>
      <c r="C143" s="0" t="s">
        <v>428</v>
      </c>
      <c r="D143" s="0" t="n">
        <v>382.65</v>
      </c>
      <c r="E143" s="0" t="n">
        <v>385.1946225</v>
      </c>
      <c r="F143" s="0" t="n">
        <v>405.3077996</v>
      </c>
      <c r="G143" s="0" t="n">
        <v>506.6928703</v>
      </c>
      <c r="H143" s="0" t="n">
        <v>680.9528477</v>
      </c>
    </row>
    <row r="144" customFormat="false" ht="15" hidden="false" customHeight="false" outlineLevel="0" collapsed="false">
      <c r="A144" s="0" t="s">
        <v>1340</v>
      </c>
      <c r="B144" s="0" t="s">
        <v>714</v>
      </c>
      <c r="C144" s="0" t="s">
        <v>428</v>
      </c>
      <c r="D144" s="0" t="n">
        <v>2185.848</v>
      </c>
      <c r="E144" s="0" t="n">
        <v>2207.291169</v>
      </c>
      <c r="F144" s="0" t="n">
        <v>2361.936821</v>
      </c>
      <c r="G144" s="0" t="n">
        <v>2989.915601</v>
      </c>
      <c r="H144" s="0" t="n">
        <v>4018.19655</v>
      </c>
    </row>
    <row r="145" customFormat="false" ht="15" hidden="false" customHeight="false" outlineLevel="0" collapsed="false">
      <c r="A145" s="0" t="s">
        <v>1341</v>
      </c>
      <c r="B145" s="0" t="s">
        <v>958</v>
      </c>
      <c r="C145" s="0" t="s">
        <v>428</v>
      </c>
      <c r="D145" s="0" t="n">
        <v>15.111</v>
      </c>
      <c r="E145" s="0" t="n">
        <v>16.16544558</v>
      </c>
      <c r="F145" s="0" t="n">
        <v>22.50619565</v>
      </c>
      <c r="G145" s="0" t="n">
        <v>37.99787073</v>
      </c>
      <c r="H145" s="0" t="n">
        <v>59.00953133</v>
      </c>
    </row>
    <row r="146" customFormat="false" ht="15" hidden="false" customHeight="false" outlineLevel="0" collapsed="false">
      <c r="A146" s="0" t="s">
        <v>1342</v>
      </c>
      <c r="B146" s="0" t="s">
        <v>728</v>
      </c>
      <c r="C146" s="0" t="s">
        <v>428</v>
      </c>
      <c r="D146" s="0" t="n">
        <v>1254.141</v>
      </c>
      <c r="E146" s="0" t="n">
        <v>1310.602428</v>
      </c>
      <c r="F146" s="0" t="n">
        <v>1510.822598</v>
      </c>
      <c r="G146" s="0" t="n">
        <v>1845.039847</v>
      </c>
      <c r="H146" s="0" t="n">
        <v>2141.244066</v>
      </c>
    </row>
    <row r="147" customFormat="false" ht="15" hidden="false" customHeight="false" outlineLevel="0" collapsed="false">
      <c r="A147" s="0" t="s">
        <v>1343</v>
      </c>
      <c r="B147" s="0" t="s">
        <v>932</v>
      </c>
      <c r="C147" s="0" t="s">
        <v>428</v>
      </c>
      <c r="D147" s="0" t="n">
        <v>29.156</v>
      </c>
      <c r="E147" s="0" t="n">
        <v>30.096281</v>
      </c>
      <c r="F147" s="0" t="n">
        <v>31.91756139</v>
      </c>
      <c r="G147" s="0" t="n">
        <v>42.65051738</v>
      </c>
      <c r="H147" s="0" t="n">
        <v>63.1331846</v>
      </c>
    </row>
    <row r="148" customFormat="false" ht="15" hidden="false" customHeight="false" outlineLevel="0" collapsed="false">
      <c r="A148" s="0" t="s">
        <v>1344</v>
      </c>
      <c r="B148" s="0" t="s">
        <v>910</v>
      </c>
      <c r="C148" s="0" t="s">
        <v>428</v>
      </c>
      <c r="D148" s="0" t="n">
        <v>32.829</v>
      </c>
      <c r="E148" s="0" t="n">
        <v>35.41625349</v>
      </c>
      <c r="F148" s="0" t="n">
        <v>40.0803252</v>
      </c>
      <c r="G148" s="0" t="n">
        <v>57.92306373</v>
      </c>
      <c r="H148" s="0" t="n">
        <v>89.95274679</v>
      </c>
    </row>
    <row r="149" customFormat="false" ht="15" hidden="false" customHeight="false" outlineLevel="0" collapsed="false">
      <c r="A149" s="0" t="s">
        <v>1345</v>
      </c>
      <c r="B149" s="0" t="s">
        <v>740</v>
      </c>
      <c r="C149" s="0" t="s">
        <v>428</v>
      </c>
      <c r="D149" s="0" t="n">
        <v>572.877</v>
      </c>
      <c r="E149" s="0" t="n">
        <v>601.6526117</v>
      </c>
      <c r="F149" s="0" t="n">
        <v>704.9639389</v>
      </c>
      <c r="G149" s="0" t="n">
        <v>871.580084</v>
      </c>
      <c r="H149" s="0" t="n">
        <v>1011.50427</v>
      </c>
    </row>
    <row r="150" customFormat="false" ht="15" hidden="false" customHeight="false" outlineLevel="0" collapsed="false">
      <c r="A150" s="0" t="s">
        <v>1346</v>
      </c>
      <c r="B150" s="0" t="s">
        <v>1042</v>
      </c>
      <c r="C150" s="0" t="s">
        <v>428</v>
      </c>
      <c r="D150" s="0" t="n">
        <v>1.584</v>
      </c>
      <c r="E150" s="0" t="n">
        <v>1.62643536</v>
      </c>
      <c r="F150" s="0" t="n">
        <v>1.881688821</v>
      </c>
      <c r="G150" s="0" t="n">
        <v>2.682436917</v>
      </c>
      <c r="H150" s="0" t="n">
        <v>3.970661916</v>
      </c>
    </row>
    <row r="151" customFormat="false" ht="15" hidden="false" customHeight="false" outlineLevel="0" collapsed="false">
      <c r="A151" s="0" t="s">
        <v>1347</v>
      </c>
      <c r="B151" s="0" t="s">
        <v>998</v>
      </c>
      <c r="C151" s="0" t="s">
        <v>428</v>
      </c>
      <c r="D151" s="0" t="n">
        <v>6.97</v>
      </c>
      <c r="E151" s="0" t="n">
        <v>7.2750769</v>
      </c>
      <c r="F151" s="0" t="n">
        <v>9.084675339</v>
      </c>
      <c r="G151" s="0" t="n">
        <v>14.12993489</v>
      </c>
      <c r="H151" s="0" t="n">
        <v>21.94335682</v>
      </c>
    </row>
    <row r="152" customFormat="false" ht="15" hidden="false" customHeight="false" outlineLevel="0" collapsed="false">
      <c r="A152" s="0" t="s">
        <v>1348</v>
      </c>
      <c r="B152" s="0" t="s">
        <v>908</v>
      </c>
      <c r="C152" s="0" t="s">
        <v>428</v>
      </c>
      <c r="D152" s="0" t="n">
        <v>35.365</v>
      </c>
      <c r="E152" s="0" t="n">
        <v>36.673505</v>
      </c>
      <c r="F152" s="0" t="n">
        <v>43.34655675</v>
      </c>
      <c r="G152" s="0" t="n">
        <v>62.78817595</v>
      </c>
      <c r="H152" s="0" t="n">
        <v>92.94183861</v>
      </c>
    </row>
    <row r="153" customFormat="false" ht="15" hidden="false" customHeight="false" outlineLevel="0" collapsed="false">
      <c r="A153" s="0" t="s">
        <v>1349</v>
      </c>
      <c r="B153" s="0" t="s">
        <v>984</v>
      </c>
      <c r="C153" s="0" t="s">
        <v>428</v>
      </c>
      <c r="D153" s="0" t="n">
        <v>12.161</v>
      </c>
      <c r="E153" s="0" t="n">
        <v>12.52583</v>
      </c>
      <c r="F153" s="0" t="n">
        <v>14.43034082</v>
      </c>
      <c r="G153" s="0" t="n">
        <v>21.13263342</v>
      </c>
      <c r="H153" s="0" t="n">
        <v>32.8183335</v>
      </c>
    </row>
    <row r="154" customFormat="false" ht="15" hidden="false" customHeight="false" outlineLevel="0" collapsed="false">
      <c r="A154" s="0" t="s">
        <v>1350</v>
      </c>
      <c r="B154" s="0" t="s">
        <v>852</v>
      </c>
      <c r="C154" s="0" t="s">
        <v>428</v>
      </c>
      <c r="D154" s="0" t="n">
        <v>90.088</v>
      </c>
      <c r="E154" s="0" t="n">
        <v>91.9167864</v>
      </c>
      <c r="F154" s="0" t="n">
        <v>105.8271852</v>
      </c>
      <c r="G154" s="0" t="n">
        <v>141.4921859</v>
      </c>
      <c r="H154" s="0" t="n">
        <v>190.1536662</v>
      </c>
    </row>
    <row r="155" customFormat="false" ht="15" hidden="false" customHeight="false" outlineLevel="0" collapsed="false">
      <c r="A155" s="0" t="s">
        <v>1351</v>
      </c>
      <c r="B155" s="0" t="s">
        <v>1056</v>
      </c>
      <c r="C155" s="0" t="s">
        <v>428</v>
      </c>
      <c r="D155" s="0" t="n">
        <v>0.828</v>
      </c>
      <c r="E155" s="0" t="n">
        <v>0.845388</v>
      </c>
      <c r="F155" s="0" t="n">
        <v>1.003362151</v>
      </c>
      <c r="G155" s="0" t="n">
        <v>1.457897663</v>
      </c>
      <c r="H155" s="0" t="n">
        <v>2.158044684</v>
      </c>
    </row>
    <row r="156" customFormat="false" ht="15" hidden="false" customHeight="false" outlineLevel="0" collapsed="false">
      <c r="A156" s="0" t="s">
        <v>1352</v>
      </c>
      <c r="B156" s="0" t="s">
        <v>1016</v>
      </c>
      <c r="C156" s="0" t="s">
        <v>428</v>
      </c>
      <c r="D156" s="0" t="n">
        <v>4.434</v>
      </c>
      <c r="E156" s="0" t="n">
        <v>4.50099774</v>
      </c>
      <c r="F156" s="0" t="n">
        <v>5.42226965</v>
      </c>
      <c r="G156" s="0" t="n">
        <v>7.500520098</v>
      </c>
      <c r="H156" s="0" t="n">
        <v>10.08007181</v>
      </c>
    </row>
    <row r="157" customFormat="false" ht="15" hidden="false" customHeight="false" outlineLevel="0" collapsed="false">
      <c r="A157" s="0" t="s">
        <v>1353</v>
      </c>
      <c r="B157" s="0" t="s">
        <v>822</v>
      </c>
      <c r="C157" s="0" t="s">
        <v>428</v>
      </c>
      <c r="D157" s="0" t="n">
        <v>140.892</v>
      </c>
      <c r="E157" s="0" t="n">
        <v>142.0289984</v>
      </c>
      <c r="F157" s="0" t="n">
        <v>147.2848217</v>
      </c>
      <c r="G157" s="0" t="n">
        <v>166.1228882</v>
      </c>
      <c r="H157" s="0" t="n">
        <v>192.7923937</v>
      </c>
    </row>
    <row r="158" customFormat="false" ht="15" hidden="false" customHeight="false" outlineLevel="0" collapsed="false">
      <c r="A158" s="0" t="s">
        <v>1354</v>
      </c>
      <c r="B158" s="0" t="s">
        <v>870</v>
      </c>
      <c r="C158" s="0" t="s">
        <v>428</v>
      </c>
      <c r="D158" s="0" t="n">
        <v>72.95</v>
      </c>
      <c r="E158" s="0" t="n">
        <v>73.72327</v>
      </c>
      <c r="F158" s="0" t="n">
        <v>81.11179468</v>
      </c>
      <c r="G158" s="0" t="n">
        <v>95.63423051</v>
      </c>
      <c r="H158" s="0" t="n">
        <v>110.9874288</v>
      </c>
    </row>
    <row r="159" customFormat="false" ht="15" hidden="false" customHeight="false" outlineLevel="0" collapsed="false">
      <c r="A159" s="0" t="s">
        <v>1355</v>
      </c>
      <c r="B159" s="0" t="s">
        <v>746</v>
      </c>
      <c r="C159" s="0" t="s">
        <v>428</v>
      </c>
      <c r="D159" s="0" t="n">
        <v>604.827</v>
      </c>
      <c r="E159" s="0" t="n">
        <v>614.1594806</v>
      </c>
      <c r="F159" s="0" t="n">
        <v>674.6598677</v>
      </c>
      <c r="G159" s="0" t="n">
        <v>794.5229676</v>
      </c>
      <c r="H159" s="0" t="n">
        <v>922.0763404</v>
      </c>
    </row>
    <row r="160" customFormat="false" ht="15" hidden="false" customHeight="false" outlineLevel="0" collapsed="false">
      <c r="A160" s="0" t="s">
        <v>1356</v>
      </c>
      <c r="B160" s="0" t="s">
        <v>1010</v>
      </c>
      <c r="C160" s="0" t="s">
        <v>428</v>
      </c>
      <c r="D160" s="0" t="n">
        <v>4.855</v>
      </c>
      <c r="E160" s="0" t="n">
        <v>5.03041115</v>
      </c>
      <c r="F160" s="0" t="n">
        <v>6.129601721</v>
      </c>
      <c r="G160" s="0" t="n">
        <v>9.083688742</v>
      </c>
      <c r="H160" s="0" t="n">
        <v>13.44607835</v>
      </c>
    </row>
    <row r="161" customFormat="false" ht="15" hidden="false" customHeight="false" outlineLevel="0" collapsed="false">
      <c r="A161" s="0" t="s">
        <v>1357</v>
      </c>
      <c r="B161" s="0" t="s">
        <v>1036</v>
      </c>
      <c r="C161" s="0" t="s">
        <v>428</v>
      </c>
      <c r="D161" s="0" t="n">
        <v>2.229</v>
      </c>
      <c r="E161" s="0" t="n">
        <v>2.34250068</v>
      </c>
      <c r="F161" s="0" t="n">
        <v>2.525776923</v>
      </c>
      <c r="G161" s="0" t="n">
        <v>2.933217156</v>
      </c>
      <c r="H161" s="0" t="n">
        <v>3.404118258</v>
      </c>
    </row>
    <row r="162" customFormat="false" ht="15" hidden="false" customHeight="false" outlineLevel="0" collapsed="false">
      <c r="A162" s="0" t="s">
        <v>1358</v>
      </c>
      <c r="B162" s="0" t="s">
        <v>858</v>
      </c>
      <c r="C162" s="0" t="s">
        <v>428</v>
      </c>
      <c r="D162" s="0" t="n">
        <v>81.68214</v>
      </c>
      <c r="E162" s="0" t="n">
        <v>84.1326042</v>
      </c>
      <c r="F162" s="0" t="n">
        <v>98.55100313</v>
      </c>
      <c r="G162" s="0" t="n">
        <v>146.1238374</v>
      </c>
      <c r="H162" s="0" t="n">
        <v>226.9258512</v>
      </c>
    </row>
    <row r="163" customFormat="false" ht="15" hidden="false" customHeight="false" outlineLevel="0" collapsed="false">
      <c r="A163" s="0" t="s">
        <v>1359</v>
      </c>
      <c r="B163" s="0" t="s">
        <v>942</v>
      </c>
      <c r="C163" s="0" t="s">
        <v>428</v>
      </c>
      <c r="D163" s="0" t="n">
        <v>20.656</v>
      </c>
      <c r="E163" s="0" t="n">
        <v>21.81397536</v>
      </c>
      <c r="F163" s="0" t="n">
        <v>28.00780553</v>
      </c>
      <c r="G163" s="0" t="n">
        <v>44.48137495</v>
      </c>
      <c r="H163" s="0" t="n">
        <v>69.07821513</v>
      </c>
    </row>
    <row r="164" customFormat="false" ht="15" hidden="false" customHeight="false" outlineLevel="0" collapsed="false">
      <c r="A164" s="0" t="s">
        <v>1360</v>
      </c>
      <c r="B164" s="0" t="s">
        <v>986</v>
      </c>
      <c r="C164" s="0" t="s">
        <v>428</v>
      </c>
      <c r="D164" s="0" t="n">
        <v>10.644</v>
      </c>
      <c r="E164" s="0" t="n">
        <v>11.27082516</v>
      </c>
      <c r="F164" s="0" t="n">
        <v>14.33587686</v>
      </c>
      <c r="G164" s="0" t="n">
        <v>22.60784253</v>
      </c>
      <c r="H164" s="0" t="n">
        <v>35.10928814</v>
      </c>
    </row>
    <row r="165" customFormat="false" ht="15" hidden="false" customHeight="false" outlineLevel="0" collapsed="false">
      <c r="A165" s="0" t="s">
        <v>1361</v>
      </c>
      <c r="B165" s="0" t="s">
        <v>752</v>
      </c>
      <c r="C165" s="0" t="s">
        <v>428</v>
      </c>
      <c r="D165" s="0" t="n">
        <v>529.386</v>
      </c>
      <c r="E165" s="0" t="n">
        <v>542.1600842</v>
      </c>
      <c r="F165" s="0" t="n">
        <v>590.248509</v>
      </c>
      <c r="G165" s="0" t="n">
        <v>756.851245</v>
      </c>
      <c r="H165" s="0" t="n">
        <v>1017.144785</v>
      </c>
    </row>
    <row r="166" customFormat="false" ht="15" hidden="false" customHeight="false" outlineLevel="0" collapsed="false">
      <c r="A166" s="0" t="s">
        <v>1362</v>
      </c>
      <c r="B166" s="0" t="s">
        <v>968</v>
      </c>
      <c r="C166" s="0" t="s">
        <v>428</v>
      </c>
      <c r="D166" s="0" t="n">
        <v>14.426</v>
      </c>
      <c r="E166" s="0" t="n">
        <v>15.637784</v>
      </c>
      <c r="F166" s="0" t="n">
        <v>20.71610467</v>
      </c>
      <c r="G166" s="0" t="n">
        <v>33.68555978</v>
      </c>
      <c r="H166" s="0" t="n">
        <v>52.31264429</v>
      </c>
    </row>
    <row r="167" customFormat="false" ht="15" hidden="false" customHeight="false" outlineLevel="0" collapsed="false">
      <c r="A167" s="0" t="s">
        <v>1363</v>
      </c>
      <c r="B167" s="0" t="s">
        <v>872</v>
      </c>
      <c r="C167" s="0" t="s">
        <v>428</v>
      </c>
      <c r="D167" s="0" t="n">
        <v>68.675</v>
      </c>
      <c r="E167" s="0" t="n">
        <v>71.130818</v>
      </c>
      <c r="F167" s="0" t="n">
        <v>81.09675919</v>
      </c>
      <c r="G167" s="0" t="n">
        <v>107.6340858</v>
      </c>
      <c r="H167" s="0" t="n">
        <v>144.6512108</v>
      </c>
    </row>
    <row r="168" customFormat="false" ht="15" hidden="false" customHeight="false" outlineLevel="0" collapsed="false">
      <c r="A168" s="0" t="s">
        <v>1364</v>
      </c>
      <c r="B168" s="0" t="s">
        <v>1040</v>
      </c>
      <c r="C168" s="0" t="s">
        <v>428</v>
      </c>
      <c r="D168" s="0" t="n">
        <v>1.866</v>
      </c>
      <c r="E168" s="0" t="n">
        <v>1.94997</v>
      </c>
      <c r="F168" s="0" t="n">
        <v>2.382229257</v>
      </c>
      <c r="G168" s="0" t="n">
        <v>3.53719426</v>
      </c>
      <c r="H168" s="0" t="n">
        <v>5.235911587</v>
      </c>
    </row>
    <row r="169" customFormat="false" ht="15" hidden="false" customHeight="false" outlineLevel="0" collapsed="false">
      <c r="A169" s="0" t="s">
        <v>1365</v>
      </c>
      <c r="B169" s="0" t="s">
        <v>1060</v>
      </c>
      <c r="C169" s="0" t="s">
        <v>428</v>
      </c>
      <c r="D169" s="0" t="n">
        <v>0.646</v>
      </c>
      <c r="E169" s="0" t="n">
        <v>0.664088</v>
      </c>
      <c r="F169" s="0" t="n">
        <v>0.7484158018</v>
      </c>
      <c r="G169" s="0" t="n">
        <v>0.9847505339</v>
      </c>
      <c r="H169" s="0" t="n">
        <v>1.323422372</v>
      </c>
    </row>
    <row r="170" customFormat="false" ht="15" hidden="false" customHeight="false" outlineLevel="0" collapsed="false">
      <c r="A170" s="0" t="s">
        <v>1366</v>
      </c>
      <c r="B170" s="0" t="s">
        <v>944</v>
      </c>
      <c r="C170" s="0" t="s">
        <v>428</v>
      </c>
      <c r="D170" s="0" t="n">
        <v>25.634</v>
      </c>
      <c r="E170" s="0" t="n">
        <v>25.83445788</v>
      </c>
      <c r="F170" s="0" t="n">
        <v>26.97909157</v>
      </c>
      <c r="G170" s="0" t="n">
        <v>30.58978092</v>
      </c>
      <c r="H170" s="0" t="n">
        <v>35.50068959</v>
      </c>
    </row>
    <row r="171" customFormat="false" ht="15" hidden="false" customHeight="false" outlineLevel="0" collapsed="false">
      <c r="A171" s="0" t="s">
        <v>1367</v>
      </c>
      <c r="B171" s="0" t="s">
        <v>884</v>
      </c>
      <c r="C171" s="0" t="s">
        <v>428</v>
      </c>
      <c r="D171" s="0" t="n">
        <v>51.331</v>
      </c>
      <c r="E171" s="0" t="n">
        <v>52.61068183</v>
      </c>
      <c r="F171" s="0" t="n">
        <v>59.18345735</v>
      </c>
      <c r="G171" s="0" t="n">
        <v>82.62296135</v>
      </c>
      <c r="H171" s="0" t="n">
        <v>122.3021663</v>
      </c>
    </row>
    <row r="172" customFormat="false" ht="15" hidden="false" customHeight="false" outlineLevel="0" collapsed="false">
      <c r="A172" s="0" t="s">
        <v>1368</v>
      </c>
      <c r="B172" s="0" t="s">
        <v>726</v>
      </c>
      <c r="C172" s="0" t="s">
        <v>428</v>
      </c>
      <c r="D172" s="0" t="n">
        <v>1358.251</v>
      </c>
      <c r="E172" s="0" t="n">
        <v>1407.215949</v>
      </c>
      <c r="F172" s="0" t="n">
        <v>1656.3438</v>
      </c>
      <c r="G172" s="0" t="n">
        <v>2251.537087</v>
      </c>
      <c r="H172" s="0" t="n">
        <v>3025.877571</v>
      </c>
    </row>
    <row r="173" customFormat="false" ht="15" hidden="false" customHeight="false" outlineLevel="0" collapsed="false">
      <c r="A173" s="0" t="s">
        <v>1369</v>
      </c>
      <c r="B173" s="0" t="s">
        <v>842</v>
      </c>
      <c r="C173" s="0" t="s">
        <v>428</v>
      </c>
      <c r="D173" s="0" t="n">
        <v>79.236</v>
      </c>
      <c r="E173" s="0" t="n">
        <v>83.89190736</v>
      </c>
      <c r="F173" s="0" t="n">
        <v>110.8656972</v>
      </c>
      <c r="G173" s="0" t="n">
        <v>179.9436098</v>
      </c>
      <c r="H173" s="0" t="n">
        <v>279.4469236</v>
      </c>
    </row>
    <row r="174" customFormat="false" ht="15" hidden="false" customHeight="false" outlineLevel="0" collapsed="false">
      <c r="A174" s="0" t="s">
        <v>1370</v>
      </c>
      <c r="B174" s="0" t="s">
        <v>866</v>
      </c>
      <c r="C174" s="0" t="s">
        <v>428</v>
      </c>
      <c r="D174" s="0" t="n">
        <v>57.061</v>
      </c>
      <c r="E174" s="0" t="n">
        <v>60.89835225</v>
      </c>
      <c r="F174" s="0" t="n">
        <v>85.72428024</v>
      </c>
      <c r="G174" s="0" t="n">
        <v>145.9451074</v>
      </c>
      <c r="H174" s="0" t="n">
        <v>226.6482891</v>
      </c>
    </row>
    <row r="175" customFormat="false" ht="15" hidden="false" customHeight="false" outlineLevel="0" collapsed="false">
      <c r="A175" s="0" t="s">
        <v>1371</v>
      </c>
      <c r="B175" s="0" t="s">
        <v>804</v>
      </c>
      <c r="C175" s="0" t="s">
        <v>428</v>
      </c>
      <c r="D175" s="0" t="n">
        <v>190.834</v>
      </c>
      <c r="E175" s="0" t="n">
        <v>194.269012</v>
      </c>
      <c r="F175" s="0" t="n">
        <v>217.5074852</v>
      </c>
      <c r="G175" s="0" t="n">
        <v>302.5832875</v>
      </c>
      <c r="H175" s="0" t="n">
        <v>447.897182</v>
      </c>
    </row>
    <row r="176" customFormat="false" ht="15" hidden="false" customHeight="false" outlineLevel="0" collapsed="false">
      <c r="A176" s="0" t="s">
        <v>1372</v>
      </c>
      <c r="B176" s="0" t="s">
        <v>860</v>
      </c>
      <c r="C176" s="0" t="s">
        <v>428</v>
      </c>
      <c r="D176" s="0" t="n">
        <v>82.323</v>
      </c>
      <c r="E176" s="0" t="n">
        <v>83.79246555</v>
      </c>
      <c r="F176" s="0" t="n">
        <v>91.41751145</v>
      </c>
      <c r="G176" s="0" t="n">
        <v>107.1058056</v>
      </c>
      <c r="H176" s="0" t="n">
        <v>124.30066</v>
      </c>
    </row>
    <row r="177" customFormat="false" ht="15" hidden="false" customHeight="false" outlineLevel="0" collapsed="false">
      <c r="A177" s="0" t="s">
        <v>1373</v>
      </c>
      <c r="B177" s="0" t="s">
        <v>693</v>
      </c>
      <c r="C177" s="0" t="s">
        <v>428</v>
      </c>
      <c r="D177" s="0" t="n">
        <v>29298.025</v>
      </c>
      <c r="E177" s="0" t="n">
        <v>29918.26419</v>
      </c>
      <c r="F177" s="0" t="n">
        <v>33367.50252</v>
      </c>
      <c r="G177" s="0" t="n">
        <v>39746.23374</v>
      </c>
      <c r="H177" s="0" t="n">
        <v>46127.12689</v>
      </c>
    </row>
    <row r="178" customFormat="false" ht="15" hidden="false" customHeight="false" outlineLevel="0" collapsed="false">
      <c r="A178" s="0" t="s">
        <v>1374</v>
      </c>
      <c r="B178" s="0" t="s">
        <v>810</v>
      </c>
      <c r="C178" s="0" t="s">
        <v>428</v>
      </c>
      <c r="D178" s="0" t="n">
        <v>121.352</v>
      </c>
      <c r="E178" s="0" t="n">
        <v>130.696104</v>
      </c>
      <c r="F178" s="0" t="n">
        <v>175.8954152</v>
      </c>
      <c r="G178" s="0" t="n">
        <v>280.9429108</v>
      </c>
      <c r="H178" s="0" t="n">
        <v>415.8641381</v>
      </c>
    </row>
    <row r="179" customFormat="false" ht="15" hidden="false" customHeight="false" outlineLevel="0" collapsed="false">
      <c r="A179" s="0" t="s">
        <v>1375</v>
      </c>
      <c r="B179" s="0" t="s">
        <v>1052</v>
      </c>
      <c r="C179" s="0" t="s">
        <v>428</v>
      </c>
      <c r="D179" s="0" t="n">
        <v>1.126</v>
      </c>
      <c r="E179" s="0" t="n">
        <v>1.1641714</v>
      </c>
      <c r="F179" s="0" t="n">
        <v>1.349593722</v>
      </c>
      <c r="G179" s="0" t="n">
        <v>1.813741109</v>
      </c>
      <c r="H179" s="0" t="n">
        <v>2.437516384</v>
      </c>
    </row>
    <row r="180" customFormat="false" ht="15" hidden="false" customHeight="false" outlineLevel="0" collapsed="false">
      <c r="A180" s="0" t="s">
        <v>1376</v>
      </c>
      <c r="B180" s="0" t="s">
        <v>820</v>
      </c>
      <c r="C180" s="0" t="s">
        <v>428</v>
      </c>
      <c r="D180" s="0" t="n">
        <v>120.566</v>
      </c>
      <c r="E180" s="0" t="n">
        <v>122.4142768</v>
      </c>
      <c r="F180" s="0" t="n">
        <v>148.1778506</v>
      </c>
      <c r="G180" s="0" t="n">
        <v>205.7116674</v>
      </c>
      <c r="H180" s="0" t="n">
        <v>276.4592792</v>
      </c>
    </row>
    <row r="181" customFormat="false" ht="15" hidden="false" customHeight="false" outlineLevel="0" collapsed="false">
      <c r="A181" s="0" t="s">
        <v>1377</v>
      </c>
      <c r="B181" s="0" t="s">
        <v>744</v>
      </c>
      <c r="C181" s="0" t="s">
        <v>428</v>
      </c>
      <c r="D181" s="0" t="n">
        <v>459.448</v>
      </c>
      <c r="E181" s="0" t="n">
        <v>496.2911351</v>
      </c>
      <c r="F181" s="0" t="n">
        <v>684.9784151</v>
      </c>
      <c r="G181" s="0" t="n">
        <v>1115.173593</v>
      </c>
      <c r="H181" s="0" t="n">
        <v>1650.729338</v>
      </c>
    </row>
    <row r="182" customFormat="false" ht="15" hidden="false" customHeight="false" outlineLevel="0" collapsed="false">
      <c r="A182" s="0" t="s">
        <v>1378</v>
      </c>
      <c r="B182" s="0" t="s">
        <v>1048</v>
      </c>
      <c r="C182" s="0" t="s">
        <v>428</v>
      </c>
      <c r="D182" s="0" t="n">
        <v>1.265</v>
      </c>
      <c r="E182" s="0" t="n">
        <v>1.30362045</v>
      </c>
      <c r="F182" s="0" t="n">
        <v>1.555442251</v>
      </c>
      <c r="G182" s="0" t="n">
        <v>2.269056559</v>
      </c>
      <c r="H182" s="0" t="n">
        <v>3.358758003</v>
      </c>
    </row>
    <row r="183" customFormat="false" ht="15" hidden="false" customHeight="false" outlineLevel="0" collapsed="false">
      <c r="A183" s="0" t="s">
        <v>1379</v>
      </c>
      <c r="B183" s="0" t="s">
        <v>1050</v>
      </c>
      <c r="C183" s="0" t="s">
        <v>428</v>
      </c>
      <c r="D183" s="0" t="n">
        <v>1.176</v>
      </c>
      <c r="E183" s="0" t="n">
        <v>1.22543904</v>
      </c>
      <c r="F183" s="0" t="n">
        <v>1.432957158</v>
      </c>
      <c r="G183" s="0" t="n">
        <v>1.938309684</v>
      </c>
      <c r="H183" s="0" t="n">
        <v>2.604926132</v>
      </c>
    </row>
    <row r="184" customFormat="false" ht="15" hidden="false" customHeight="false" outlineLevel="0" collapsed="false">
      <c r="A184" s="0" t="s">
        <v>1380</v>
      </c>
      <c r="B184" s="0" t="s">
        <v>990</v>
      </c>
      <c r="C184" s="0" t="s">
        <v>428</v>
      </c>
      <c r="D184" s="0" t="n">
        <v>11.2</v>
      </c>
      <c r="E184" s="0" t="n">
        <v>11.602192</v>
      </c>
      <c r="F184" s="0" t="n">
        <v>13.71330812</v>
      </c>
      <c r="G184" s="0" t="n">
        <v>19.86394463</v>
      </c>
      <c r="H184" s="0" t="n">
        <v>29.40349051</v>
      </c>
    </row>
    <row r="185" customFormat="false" ht="15" hidden="false" customHeight="false" outlineLevel="0" collapsed="false">
      <c r="A185" s="0" t="s">
        <v>1381</v>
      </c>
      <c r="B185" s="0" t="s">
        <v>1004</v>
      </c>
      <c r="C185" s="0" t="s">
        <v>428</v>
      </c>
      <c r="D185" s="0" t="n">
        <v>8.058</v>
      </c>
      <c r="E185" s="0" t="n">
        <v>8.01440622</v>
      </c>
      <c r="F185" s="0" t="n">
        <v>8.457014975</v>
      </c>
      <c r="G185" s="0" t="n">
        <v>11.60489078</v>
      </c>
      <c r="H185" s="0" t="n">
        <v>18.02204052</v>
      </c>
    </row>
    <row r="186" customFormat="false" ht="15" hidden="false" customHeight="false" outlineLevel="0" collapsed="false">
      <c r="A186" s="0" t="s">
        <v>1382</v>
      </c>
      <c r="B186" s="0" t="s">
        <v>774</v>
      </c>
      <c r="C186" s="0" t="s">
        <v>428</v>
      </c>
      <c r="D186" s="0" t="n">
        <v>401.076</v>
      </c>
      <c r="E186" s="0" t="n">
        <v>405.5479974</v>
      </c>
      <c r="F186" s="0" t="n">
        <v>433.1909594</v>
      </c>
      <c r="G186" s="0" t="n">
        <v>547.6409874</v>
      </c>
      <c r="H186" s="0" t="n">
        <v>735.9836929</v>
      </c>
    </row>
    <row r="187" customFormat="false" ht="15" hidden="false" customHeight="false" outlineLevel="0" collapsed="false">
      <c r="A187" s="0" t="s">
        <v>1383</v>
      </c>
      <c r="B187" s="0" t="s">
        <v>930</v>
      </c>
      <c r="C187" s="0" t="s">
        <v>428</v>
      </c>
      <c r="D187" s="0" t="n">
        <v>25.303</v>
      </c>
      <c r="E187" s="0" t="n">
        <v>26.25388674</v>
      </c>
      <c r="F187" s="0" t="n">
        <v>32.32142666</v>
      </c>
      <c r="G187" s="0" t="n">
        <v>48.26960983</v>
      </c>
      <c r="H187" s="0" t="n">
        <v>71.45081408</v>
      </c>
    </row>
    <row r="188" customFormat="false" ht="15" hidden="false" customHeight="false" outlineLevel="0" collapsed="false">
      <c r="A188" s="0" t="s">
        <v>1384</v>
      </c>
      <c r="B188" s="0" t="s">
        <v>878</v>
      </c>
      <c r="C188" s="0" t="s">
        <v>428</v>
      </c>
      <c r="D188" s="0" t="n">
        <v>49.154</v>
      </c>
      <c r="E188" s="0" t="n">
        <v>52.8602116</v>
      </c>
      <c r="F188" s="0" t="n">
        <v>67.15846209</v>
      </c>
      <c r="G188" s="0" t="n">
        <v>105.8186829</v>
      </c>
      <c r="H188" s="0" t="n">
        <v>164.3331788</v>
      </c>
    </row>
    <row r="189" customFormat="false" ht="15" hidden="false" customHeight="false" outlineLevel="0" collapsed="false">
      <c r="A189" s="0" t="s">
        <v>1385</v>
      </c>
      <c r="B189" s="0" t="s">
        <v>1018</v>
      </c>
      <c r="C189" s="0" t="s">
        <v>449</v>
      </c>
      <c r="D189" s="0" t="n">
        <v>1.332903322</v>
      </c>
      <c r="E189" s="0" t="n">
        <v>1.385447403</v>
      </c>
      <c r="F189" s="0" t="n">
        <v>1.470927486</v>
      </c>
      <c r="G189" s="0" t="n">
        <v>1.606560656</v>
      </c>
      <c r="H189" s="0" t="n">
        <v>1.72172921</v>
      </c>
    </row>
    <row r="190" customFormat="false" ht="15" hidden="false" customHeight="false" outlineLevel="0" collapsed="false">
      <c r="A190" s="0" t="s">
        <v>1386</v>
      </c>
      <c r="B190" s="0" t="s">
        <v>962</v>
      </c>
      <c r="C190" s="0" t="s">
        <v>449</v>
      </c>
      <c r="D190" s="0" t="n">
        <v>11.88573098</v>
      </c>
      <c r="E190" s="0" t="n">
        <v>12.1099711</v>
      </c>
      <c r="F190" s="0" t="n">
        <v>13.4051035</v>
      </c>
      <c r="G190" s="0" t="n">
        <v>17.47662509</v>
      </c>
      <c r="H190" s="0" t="n">
        <v>23.64434435</v>
      </c>
    </row>
    <row r="191" customFormat="false" ht="15" hidden="false" customHeight="false" outlineLevel="0" collapsed="false">
      <c r="A191" s="0" t="s">
        <v>1387</v>
      </c>
      <c r="B191" s="0" t="s">
        <v>828</v>
      </c>
      <c r="C191" s="0" t="s">
        <v>449</v>
      </c>
      <c r="D191" s="0" t="n">
        <v>35.33689063</v>
      </c>
      <c r="E191" s="0" t="n">
        <v>36.03879694</v>
      </c>
      <c r="F191" s="0" t="n">
        <v>38.85724907</v>
      </c>
      <c r="G191" s="0" t="n">
        <v>48.4942987</v>
      </c>
      <c r="H191" s="0" t="n">
        <v>63.13886636</v>
      </c>
    </row>
    <row r="192" customFormat="false" ht="15" hidden="false" customHeight="false" outlineLevel="0" collapsed="false">
      <c r="A192" s="0" t="s">
        <v>1388</v>
      </c>
      <c r="B192" s="0" t="s">
        <v>926</v>
      </c>
      <c r="C192" s="0" t="s">
        <v>449</v>
      </c>
      <c r="D192" s="0" t="n">
        <v>14.03084561</v>
      </c>
      <c r="E192" s="0" t="n">
        <v>14.37333476</v>
      </c>
      <c r="F192" s="0" t="n">
        <v>15.99479292</v>
      </c>
      <c r="G192" s="0" t="n">
        <v>19.47360364</v>
      </c>
      <c r="H192" s="0" t="n">
        <v>23.46840133</v>
      </c>
    </row>
    <row r="193" customFormat="false" ht="15" hidden="false" customHeight="false" outlineLevel="0" collapsed="false">
      <c r="A193" s="0" t="s">
        <v>1389</v>
      </c>
      <c r="B193" s="0" t="s">
        <v>748</v>
      </c>
      <c r="C193" s="0" t="s">
        <v>449</v>
      </c>
      <c r="D193" s="0" t="n">
        <v>180.2517119</v>
      </c>
      <c r="E193" s="0" t="n">
        <v>187.6354987</v>
      </c>
      <c r="F193" s="0" t="n">
        <v>205.2503055</v>
      </c>
      <c r="G193" s="0" t="n">
        <v>229.2782558</v>
      </c>
      <c r="H193" s="0" t="n">
        <v>245.7143891</v>
      </c>
    </row>
    <row r="194" customFormat="false" ht="15" hidden="false" customHeight="false" outlineLevel="0" collapsed="false">
      <c r="A194" s="0" t="s">
        <v>1390</v>
      </c>
      <c r="B194" s="0" t="s">
        <v>736</v>
      </c>
      <c r="C194" s="0" t="s">
        <v>449</v>
      </c>
      <c r="D194" s="0" t="n">
        <v>162.246793</v>
      </c>
      <c r="E194" s="0" t="n">
        <v>167.0554388</v>
      </c>
      <c r="F194" s="0" t="n">
        <v>184.920998</v>
      </c>
      <c r="G194" s="0" t="n">
        <v>208.4306538</v>
      </c>
      <c r="H194" s="0" t="n">
        <v>223.3722975</v>
      </c>
    </row>
    <row r="195" customFormat="false" ht="15" hidden="false" customHeight="false" outlineLevel="0" collapsed="false">
      <c r="A195" s="0" t="s">
        <v>1391</v>
      </c>
      <c r="B195" s="0" t="s">
        <v>920</v>
      </c>
      <c r="C195" s="0" t="s">
        <v>449</v>
      </c>
      <c r="D195" s="0" t="n">
        <v>7.255998765</v>
      </c>
      <c r="E195" s="0" t="n">
        <v>7.630689582</v>
      </c>
      <c r="F195" s="0" t="n">
        <v>9.036778832</v>
      </c>
      <c r="G195" s="0" t="n">
        <v>11.53089771</v>
      </c>
      <c r="H195" s="0" t="n">
        <v>13.89633578</v>
      </c>
    </row>
    <row r="196" customFormat="false" ht="15" hidden="false" customHeight="false" outlineLevel="0" collapsed="false">
      <c r="A196" s="0" t="s">
        <v>1392</v>
      </c>
      <c r="B196" s="0" t="s">
        <v>1038</v>
      </c>
      <c r="C196" s="0" t="s">
        <v>449</v>
      </c>
      <c r="D196" s="0" t="n">
        <v>0.4060547847</v>
      </c>
      <c r="E196" s="0" t="n">
        <v>0.4138280062</v>
      </c>
      <c r="F196" s="0" t="n">
        <v>0.4444404131</v>
      </c>
      <c r="G196" s="0" t="n">
        <v>0.4896410808</v>
      </c>
      <c r="H196" s="0" t="n">
        <v>0.5247416884</v>
      </c>
    </row>
    <row r="197" customFormat="false" ht="15" hidden="false" customHeight="false" outlineLevel="0" collapsed="false">
      <c r="A197" s="0" t="s">
        <v>1393</v>
      </c>
      <c r="B197" s="0" t="s">
        <v>718</v>
      </c>
      <c r="C197" s="0" t="s">
        <v>449</v>
      </c>
      <c r="D197" s="0" t="n">
        <v>295.9883001</v>
      </c>
      <c r="E197" s="0" t="n">
        <v>299.1505636</v>
      </c>
      <c r="F197" s="0" t="n">
        <v>315.0463959</v>
      </c>
      <c r="G197" s="0" t="n">
        <v>342.0079367</v>
      </c>
      <c r="H197" s="0" t="n">
        <v>366.5252553</v>
      </c>
    </row>
    <row r="198" customFormat="false" ht="15" hidden="false" customHeight="false" outlineLevel="0" collapsed="false">
      <c r="A198" s="0" t="s">
        <v>1394</v>
      </c>
      <c r="B198" s="0" t="s">
        <v>758</v>
      </c>
      <c r="C198" s="0" t="s">
        <v>449</v>
      </c>
      <c r="D198" s="0" t="n">
        <v>74.6207407</v>
      </c>
      <c r="E198" s="0" t="n">
        <v>74.61516989</v>
      </c>
      <c r="F198" s="0" t="n">
        <v>75.13091398</v>
      </c>
      <c r="G198" s="0" t="n">
        <v>78.86237797</v>
      </c>
      <c r="H198" s="0" t="n">
        <v>84.51573813</v>
      </c>
    </row>
    <row r="199" customFormat="false" ht="15" hidden="false" customHeight="false" outlineLevel="0" collapsed="false">
      <c r="A199" s="0" t="s">
        <v>1395</v>
      </c>
      <c r="B199" s="0" t="s">
        <v>868</v>
      </c>
      <c r="C199" s="0" t="s">
        <v>449</v>
      </c>
      <c r="D199" s="0" t="n">
        <v>26.46247859</v>
      </c>
      <c r="E199" s="0" t="n">
        <v>26.62531913</v>
      </c>
      <c r="F199" s="0" t="n">
        <v>28.47452508</v>
      </c>
      <c r="G199" s="0" t="n">
        <v>33.65034418</v>
      </c>
      <c r="H199" s="0" t="n">
        <v>40.55334577</v>
      </c>
    </row>
    <row r="200" customFormat="false" ht="15" hidden="false" customHeight="false" outlineLevel="0" collapsed="false">
      <c r="A200" s="0" t="s">
        <v>1396</v>
      </c>
      <c r="B200" s="0" t="s">
        <v>1012</v>
      </c>
      <c r="C200" s="0" t="s">
        <v>449</v>
      </c>
      <c r="D200" s="0" t="n">
        <v>0.6319698286</v>
      </c>
      <c r="E200" s="0" t="n">
        <v>0.648389684</v>
      </c>
      <c r="F200" s="0" t="n">
        <v>0.7374623762</v>
      </c>
      <c r="G200" s="0" t="n">
        <v>0.9811179007</v>
      </c>
      <c r="H200" s="0" t="n">
        <v>1.327366662</v>
      </c>
    </row>
    <row r="201" customFormat="false" ht="15" hidden="false" customHeight="false" outlineLevel="0" collapsed="false">
      <c r="A201" s="0" t="s">
        <v>1397</v>
      </c>
      <c r="B201" s="0" t="s">
        <v>742</v>
      </c>
      <c r="C201" s="0" t="s">
        <v>449</v>
      </c>
      <c r="D201" s="0" t="n">
        <v>61.87657568</v>
      </c>
      <c r="E201" s="0" t="n">
        <v>62.04702692</v>
      </c>
      <c r="F201" s="0" t="n">
        <v>62.43128074</v>
      </c>
      <c r="G201" s="0" t="n">
        <v>65.49701846</v>
      </c>
      <c r="H201" s="0" t="n">
        <v>70.19226408</v>
      </c>
    </row>
    <row r="202" customFormat="false" ht="15" hidden="false" customHeight="false" outlineLevel="0" collapsed="false">
      <c r="A202" s="0" t="s">
        <v>1398</v>
      </c>
      <c r="B202" s="0" t="s">
        <v>934</v>
      </c>
      <c r="C202" s="0" t="s">
        <v>449</v>
      </c>
      <c r="D202" s="0" t="n">
        <v>1.577682626</v>
      </c>
      <c r="E202" s="0" t="n">
        <v>1.663337399</v>
      </c>
      <c r="F202" s="0" t="n">
        <v>2.096434852</v>
      </c>
      <c r="G202" s="0" t="n">
        <v>3.013202372</v>
      </c>
      <c r="H202" s="0" t="n">
        <v>4.076599123</v>
      </c>
    </row>
    <row r="203" customFormat="false" ht="15" hidden="false" customHeight="false" outlineLevel="0" collapsed="false">
      <c r="A203" s="0" t="s">
        <v>1399</v>
      </c>
      <c r="B203" s="0" t="s">
        <v>938</v>
      </c>
      <c r="C203" s="0" t="s">
        <v>449</v>
      </c>
      <c r="D203" s="0" t="n">
        <v>1.723613386</v>
      </c>
      <c r="E203" s="0" t="n">
        <v>1.783235457</v>
      </c>
      <c r="F203" s="0" t="n">
        <v>2.098635767</v>
      </c>
      <c r="G203" s="0" t="n">
        <v>2.864373478</v>
      </c>
      <c r="H203" s="0" t="n">
        <v>3.875246652</v>
      </c>
    </row>
    <row r="204" customFormat="false" ht="15" hidden="false" customHeight="false" outlineLevel="0" collapsed="false">
      <c r="A204" s="0" t="s">
        <v>1400</v>
      </c>
      <c r="B204" s="0" t="s">
        <v>756</v>
      </c>
      <c r="C204" s="0" t="s">
        <v>449</v>
      </c>
      <c r="D204" s="0" t="n">
        <v>250.2930771</v>
      </c>
      <c r="E204" s="0" t="n">
        <v>255.9773185</v>
      </c>
      <c r="F204" s="0" t="n">
        <v>298.811891</v>
      </c>
      <c r="G204" s="0" t="n">
        <v>395.7621448</v>
      </c>
      <c r="H204" s="0" t="n">
        <v>515.2765137</v>
      </c>
    </row>
    <row r="205" customFormat="false" ht="15" hidden="false" customHeight="false" outlineLevel="0" collapsed="false">
      <c r="A205" s="0" t="s">
        <v>1401</v>
      </c>
      <c r="B205" s="0" t="s">
        <v>830</v>
      </c>
      <c r="C205" s="0" t="s">
        <v>449</v>
      </c>
      <c r="D205" s="0" t="n">
        <v>52.1688354</v>
      </c>
      <c r="E205" s="0" t="n">
        <v>53.1910462</v>
      </c>
      <c r="F205" s="0" t="n">
        <v>57.9525262</v>
      </c>
      <c r="G205" s="0" t="n">
        <v>69.44598168</v>
      </c>
      <c r="H205" s="0" t="n">
        <v>83.69206843</v>
      </c>
    </row>
    <row r="206" customFormat="false" ht="15" hidden="false" customHeight="false" outlineLevel="0" collapsed="false">
      <c r="A206" s="0" t="s">
        <v>1402</v>
      </c>
      <c r="B206" s="0" t="s">
        <v>898</v>
      </c>
      <c r="C206" s="0" t="s">
        <v>449</v>
      </c>
      <c r="D206" s="0" t="n">
        <v>36.45303956</v>
      </c>
      <c r="E206" s="0" t="n">
        <v>37.17105992</v>
      </c>
      <c r="F206" s="0" t="n">
        <v>35.94673774</v>
      </c>
      <c r="G206" s="0" t="n">
        <v>36.61293138</v>
      </c>
      <c r="H206" s="0" t="n">
        <v>39.23758071</v>
      </c>
    </row>
    <row r="207" customFormat="false" ht="15" hidden="false" customHeight="false" outlineLevel="0" collapsed="false">
      <c r="A207" s="0" t="s">
        <v>1403</v>
      </c>
      <c r="B207" s="0" t="s">
        <v>976</v>
      </c>
      <c r="C207" s="0" t="s">
        <v>449</v>
      </c>
      <c r="D207" s="0" t="n">
        <v>2.360869591</v>
      </c>
      <c r="E207" s="0" t="n">
        <v>2.401598636</v>
      </c>
      <c r="F207" s="0" t="n">
        <v>2.536960966</v>
      </c>
      <c r="G207" s="0" t="n">
        <v>2.760413972</v>
      </c>
      <c r="H207" s="0" t="n">
        <v>2.958298119</v>
      </c>
    </row>
    <row r="208" customFormat="false" ht="15" hidden="false" customHeight="false" outlineLevel="0" collapsed="false">
      <c r="A208" s="0" t="s">
        <v>1404</v>
      </c>
      <c r="B208" s="0" t="s">
        <v>924</v>
      </c>
      <c r="C208" s="0" t="s">
        <v>449</v>
      </c>
      <c r="D208" s="0" t="n">
        <v>22.37927095</v>
      </c>
      <c r="E208" s="0" t="n">
        <v>22.62351126</v>
      </c>
      <c r="F208" s="0" t="n">
        <v>24.1810005</v>
      </c>
      <c r="G208" s="0" t="n">
        <v>28.56421708</v>
      </c>
      <c r="H208" s="0" t="n">
        <v>34.4238551</v>
      </c>
    </row>
    <row r="209" customFormat="false" ht="15" hidden="false" customHeight="false" outlineLevel="0" collapsed="false">
      <c r="A209" s="0" t="s">
        <v>1405</v>
      </c>
      <c r="B209" s="0" t="s">
        <v>864</v>
      </c>
      <c r="C209" s="0" t="s">
        <v>449</v>
      </c>
      <c r="D209" s="0" t="n">
        <v>23.48115757</v>
      </c>
      <c r="E209" s="0" t="n">
        <v>23.60011248</v>
      </c>
      <c r="F209" s="0" t="n">
        <v>24.40647441</v>
      </c>
      <c r="G209" s="0" t="n">
        <v>28.12982596</v>
      </c>
      <c r="H209" s="0" t="n">
        <v>33.90035338</v>
      </c>
    </row>
    <row r="210" customFormat="false" ht="15" hidden="false" customHeight="false" outlineLevel="0" collapsed="false">
      <c r="A210" s="0" t="s">
        <v>1406</v>
      </c>
      <c r="B210" s="0" t="s">
        <v>1022</v>
      </c>
      <c r="C210" s="0" t="s">
        <v>449</v>
      </c>
      <c r="D210" s="0" t="n">
        <v>1.088562665</v>
      </c>
      <c r="E210" s="0" t="n">
        <v>1.106885487</v>
      </c>
      <c r="F210" s="0" t="n">
        <v>1.182770566</v>
      </c>
      <c r="G210" s="0" t="n">
        <v>1.39688779</v>
      </c>
      <c r="H210" s="0" t="n">
        <v>1.683444105</v>
      </c>
    </row>
    <row r="211" customFormat="false" ht="15" hidden="false" customHeight="false" outlineLevel="0" collapsed="false">
      <c r="A211" s="0" t="s">
        <v>1407</v>
      </c>
      <c r="B211" s="0" t="s">
        <v>896</v>
      </c>
      <c r="C211" s="0" t="s">
        <v>449</v>
      </c>
      <c r="D211" s="0" t="n">
        <v>14.22303822</v>
      </c>
      <c r="E211" s="0" t="n">
        <v>14.01625115</v>
      </c>
      <c r="F211" s="0" t="n">
        <v>12.48305692</v>
      </c>
      <c r="G211" s="0" t="n">
        <v>13.53414027</v>
      </c>
      <c r="H211" s="0" t="n">
        <v>17.62125233</v>
      </c>
    </row>
    <row r="212" customFormat="false" ht="15" hidden="false" customHeight="false" outlineLevel="0" collapsed="false">
      <c r="A212" s="0" t="s">
        <v>1408</v>
      </c>
      <c r="B212" s="0" t="s">
        <v>710</v>
      </c>
      <c r="C212" s="0" t="s">
        <v>449</v>
      </c>
      <c r="D212" s="0" t="n">
        <v>536.4192888</v>
      </c>
      <c r="E212" s="0" t="n">
        <v>543.4896533</v>
      </c>
      <c r="F212" s="0" t="n">
        <v>575.2995952</v>
      </c>
      <c r="G212" s="0" t="n">
        <v>674.6765914</v>
      </c>
      <c r="H212" s="0" t="n">
        <v>813.0791457</v>
      </c>
    </row>
    <row r="213" customFormat="false" ht="15" hidden="false" customHeight="false" outlineLevel="0" collapsed="false">
      <c r="A213" s="0" t="s">
        <v>1409</v>
      </c>
      <c r="B213" s="0" t="s">
        <v>1000</v>
      </c>
      <c r="C213" s="0" t="s">
        <v>449</v>
      </c>
      <c r="D213" s="0" t="n">
        <v>1.63875012</v>
      </c>
      <c r="E213" s="0" t="n">
        <v>1.666281869</v>
      </c>
      <c r="F213" s="0" t="n">
        <v>1.781889481</v>
      </c>
      <c r="G213" s="0" t="n">
        <v>1.956785271</v>
      </c>
      <c r="H213" s="0" t="n">
        <v>2.097060168</v>
      </c>
    </row>
    <row r="214" customFormat="false" ht="15" hidden="false" customHeight="false" outlineLevel="0" collapsed="false">
      <c r="A214" s="0" t="s">
        <v>1410</v>
      </c>
      <c r="B214" s="0" t="s">
        <v>980</v>
      </c>
      <c r="C214" s="0" t="s">
        <v>449</v>
      </c>
      <c r="D214" s="0" t="n">
        <v>5.534004161</v>
      </c>
      <c r="E214" s="0" t="n">
        <v>5.532887046</v>
      </c>
      <c r="F214" s="0" t="n">
        <v>5.943567557</v>
      </c>
      <c r="G214" s="0" t="n">
        <v>6.549198476</v>
      </c>
      <c r="H214" s="0" t="n">
        <v>7.018686954</v>
      </c>
    </row>
    <row r="215" customFormat="false" ht="15" hidden="false" customHeight="false" outlineLevel="0" collapsed="false">
      <c r="A215" s="0" t="s">
        <v>1411</v>
      </c>
      <c r="B215" s="0" t="s">
        <v>1020</v>
      </c>
      <c r="C215" s="0" t="s">
        <v>449</v>
      </c>
      <c r="D215" s="0" t="n">
        <v>2.715768259</v>
      </c>
      <c r="E215" s="0" t="n">
        <v>2.855175628</v>
      </c>
      <c r="F215" s="0" t="n">
        <v>3.647724948</v>
      </c>
      <c r="G215" s="0" t="n">
        <v>5.172443658</v>
      </c>
      <c r="H215" s="0" t="n">
        <v>6.734445855</v>
      </c>
    </row>
    <row r="216" customFormat="false" ht="15" hidden="false" customHeight="false" outlineLevel="0" collapsed="false">
      <c r="A216" s="0" t="s">
        <v>1412</v>
      </c>
      <c r="B216" s="0" t="s">
        <v>952</v>
      </c>
      <c r="C216" s="0" t="s">
        <v>449</v>
      </c>
      <c r="D216" s="0" t="n">
        <v>6.221392707</v>
      </c>
      <c r="E216" s="0" t="n">
        <v>6.146474036</v>
      </c>
      <c r="F216" s="0" t="n">
        <v>7.14898149</v>
      </c>
      <c r="G216" s="0" t="n">
        <v>8.998541462</v>
      </c>
      <c r="H216" s="0" t="n">
        <v>10.84449423</v>
      </c>
    </row>
    <row r="217" customFormat="false" ht="15" hidden="false" customHeight="false" outlineLevel="0" collapsed="false">
      <c r="A217" s="0" t="s">
        <v>1413</v>
      </c>
      <c r="B217" s="0" t="s">
        <v>1026</v>
      </c>
      <c r="C217" s="0" t="s">
        <v>449</v>
      </c>
      <c r="D217" s="0" t="n">
        <v>0.1173928717</v>
      </c>
      <c r="E217" s="0" t="n">
        <v>0.1212740849</v>
      </c>
      <c r="F217" s="0" t="n">
        <v>0.1325262647</v>
      </c>
      <c r="G217" s="0" t="n">
        <v>0.1711287747</v>
      </c>
      <c r="H217" s="0" t="n">
        <v>0.2315222566</v>
      </c>
    </row>
    <row r="218" customFormat="false" ht="15" hidden="false" customHeight="false" outlineLevel="0" collapsed="false">
      <c r="A218" s="0" t="s">
        <v>1414</v>
      </c>
      <c r="B218" s="0" t="s">
        <v>708</v>
      </c>
      <c r="C218" s="0" t="s">
        <v>449</v>
      </c>
      <c r="D218" s="0" t="n">
        <v>661.8814769</v>
      </c>
      <c r="E218" s="0" t="n">
        <v>667.7559967</v>
      </c>
      <c r="F218" s="0" t="n">
        <v>691.2762831</v>
      </c>
      <c r="G218" s="0" t="n">
        <v>740.831393</v>
      </c>
      <c r="H218" s="0" t="n">
        <v>793.9389304</v>
      </c>
    </row>
    <row r="219" customFormat="false" ht="15" hidden="false" customHeight="false" outlineLevel="0" collapsed="false">
      <c r="A219" s="0" t="s">
        <v>1415</v>
      </c>
      <c r="B219" s="0" t="s">
        <v>734</v>
      </c>
      <c r="C219" s="0" t="s">
        <v>449</v>
      </c>
      <c r="D219" s="0" t="n">
        <v>63.65010016</v>
      </c>
      <c r="E219" s="0" t="n">
        <v>63.97709837</v>
      </c>
      <c r="F219" s="0" t="n">
        <v>65.87778111</v>
      </c>
      <c r="G219" s="0" t="n">
        <v>70.3181879</v>
      </c>
      <c r="H219" s="0" t="n">
        <v>75.35904582</v>
      </c>
    </row>
    <row r="220" customFormat="false" ht="15" hidden="false" customHeight="false" outlineLevel="0" collapsed="false">
      <c r="A220" s="0" t="s">
        <v>1416</v>
      </c>
      <c r="B220" s="0" t="s">
        <v>782</v>
      </c>
      <c r="C220" s="0" t="s">
        <v>449</v>
      </c>
      <c r="D220" s="0" t="n">
        <v>57.37624944</v>
      </c>
      <c r="E220" s="0" t="n">
        <v>58.13523471</v>
      </c>
      <c r="F220" s="0" t="n">
        <v>62.02510272</v>
      </c>
      <c r="G220" s="0" t="n">
        <v>67.99451147</v>
      </c>
      <c r="H220" s="0" t="n">
        <v>72.86879339</v>
      </c>
    </row>
    <row r="221" customFormat="false" ht="15" hidden="false" customHeight="false" outlineLevel="0" collapsed="false">
      <c r="A221" s="0" t="s">
        <v>1417</v>
      </c>
      <c r="B221" s="0" t="s">
        <v>696</v>
      </c>
      <c r="C221" s="0" t="s">
        <v>449</v>
      </c>
      <c r="D221" s="0" t="n">
        <v>5513.455362</v>
      </c>
      <c r="E221" s="0" t="n">
        <v>5702.608387</v>
      </c>
      <c r="F221" s="0" t="n">
        <v>6559.915499</v>
      </c>
      <c r="G221" s="0" t="n">
        <v>8188.574053</v>
      </c>
      <c r="H221" s="0" t="n">
        <v>9868.370833</v>
      </c>
    </row>
    <row r="222" customFormat="false" ht="15" hidden="false" customHeight="false" outlineLevel="0" collapsed="false">
      <c r="A222" s="0" t="s">
        <v>1418</v>
      </c>
      <c r="B222" s="0" t="s">
        <v>836</v>
      </c>
      <c r="C222" s="0" t="s">
        <v>449</v>
      </c>
      <c r="D222" s="0" t="n">
        <v>21.07148305</v>
      </c>
      <c r="E222" s="0" t="n">
        <v>22.05000679</v>
      </c>
      <c r="F222" s="0" t="n">
        <v>27.03485691</v>
      </c>
      <c r="G222" s="0" t="n">
        <v>37.15708623</v>
      </c>
      <c r="H222" s="0" t="n">
        <v>48.37798184</v>
      </c>
    </row>
    <row r="223" customFormat="false" ht="15" hidden="false" customHeight="false" outlineLevel="0" collapsed="false">
      <c r="A223" s="0" t="s">
        <v>1419</v>
      </c>
      <c r="B223" s="0" t="s">
        <v>880</v>
      </c>
      <c r="C223" s="0" t="s">
        <v>449</v>
      </c>
      <c r="D223" s="0" t="n">
        <v>4.807214453</v>
      </c>
      <c r="E223" s="0" t="n">
        <v>4.900533566</v>
      </c>
      <c r="F223" s="0" t="n">
        <v>5.471776673</v>
      </c>
      <c r="G223" s="0" t="n">
        <v>7.00939005</v>
      </c>
      <c r="H223" s="0" t="n">
        <v>9.126123142</v>
      </c>
    </row>
    <row r="224" customFormat="false" ht="15" hidden="false" customHeight="false" outlineLevel="0" collapsed="false">
      <c r="A224" s="0" t="s">
        <v>1420</v>
      </c>
      <c r="B224" s="0" t="s">
        <v>850</v>
      </c>
      <c r="C224" s="0" t="s">
        <v>449</v>
      </c>
      <c r="D224" s="0" t="n">
        <v>7.38088386</v>
      </c>
      <c r="E224" s="0" t="n">
        <v>7.679862928</v>
      </c>
      <c r="F224" s="0" t="n">
        <v>9.350517323</v>
      </c>
      <c r="G224" s="0" t="n">
        <v>13.0927892</v>
      </c>
      <c r="H224" s="0" t="n">
        <v>17.71339803</v>
      </c>
    </row>
    <row r="225" customFormat="false" ht="15" hidden="false" customHeight="false" outlineLevel="0" collapsed="false">
      <c r="A225" s="0" t="s">
        <v>1421</v>
      </c>
      <c r="B225" s="0" t="s">
        <v>978</v>
      </c>
      <c r="C225" s="0" t="s">
        <v>449</v>
      </c>
      <c r="D225" s="0" t="n">
        <v>3.397199394</v>
      </c>
      <c r="E225" s="0" t="n">
        <v>3.444157132</v>
      </c>
      <c r="F225" s="0" t="n">
        <v>3.781406993</v>
      </c>
      <c r="G225" s="0" t="n">
        <v>4.783430397</v>
      </c>
      <c r="H225" s="0" t="n">
        <v>6.227956289</v>
      </c>
    </row>
    <row r="226" customFormat="false" ht="15" hidden="false" customHeight="false" outlineLevel="0" collapsed="false">
      <c r="A226" s="0" t="s">
        <v>1422</v>
      </c>
      <c r="B226" s="0" t="s">
        <v>766</v>
      </c>
      <c r="C226" s="0" t="s">
        <v>449</v>
      </c>
      <c r="D226" s="0" t="n">
        <v>142.0323986</v>
      </c>
      <c r="E226" s="0" t="n">
        <v>144.3050216</v>
      </c>
      <c r="F226" s="0" t="n">
        <v>154.9748467</v>
      </c>
      <c r="G226" s="0" t="n">
        <v>183.7188967</v>
      </c>
      <c r="H226" s="0" t="n">
        <v>221.4068274</v>
      </c>
    </row>
    <row r="227" customFormat="false" ht="15" hidden="false" customHeight="false" outlineLevel="0" collapsed="false">
      <c r="A227" s="0" t="s">
        <v>1423</v>
      </c>
      <c r="B227" s="0" t="s">
        <v>1044</v>
      </c>
      <c r="C227" s="0" t="s">
        <v>449</v>
      </c>
      <c r="D227" s="0" t="n">
        <v>0.3868254669</v>
      </c>
      <c r="E227" s="0" t="n">
        <v>0.3964847961</v>
      </c>
      <c r="F227" s="0" t="n">
        <v>0.4548930218</v>
      </c>
      <c r="G227" s="0" t="n">
        <v>0.6091420922</v>
      </c>
      <c r="H227" s="0" t="n">
        <v>0.8241159444</v>
      </c>
    </row>
    <row r="228" customFormat="false" ht="15" hidden="false" customHeight="false" outlineLevel="0" collapsed="false">
      <c r="A228" s="0" t="s">
        <v>1424</v>
      </c>
      <c r="B228" s="0" t="s">
        <v>1024</v>
      </c>
      <c r="C228" s="0" t="s">
        <v>449</v>
      </c>
      <c r="D228" s="0" t="n">
        <v>0.5638275351</v>
      </c>
      <c r="E228" s="0" t="n">
        <v>0.5856322659</v>
      </c>
      <c r="F228" s="0" t="n">
        <v>0.6857391621</v>
      </c>
      <c r="G228" s="0" t="n">
        <v>0.9103354745</v>
      </c>
      <c r="H228" s="0" t="n">
        <v>1.185243449</v>
      </c>
    </row>
    <row r="229" customFormat="false" ht="15" hidden="false" customHeight="false" outlineLevel="0" collapsed="false">
      <c r="A229" s="0" t="s">
        <v>1425</v>
      </c>
      <c r="B229" s="0" t="s">
        <v>838</v>
      </c>
      <c r="C229" s="0" t="s">
        <v>449</v>
      </c>
      <c r="D229" s="0" t="n">
        <v>15.71862884</v>
      </c>
      <c r="E229" s="0" t="n">
        <v>16.208434</v>
      </c>
      <c r="F229" s="0" t="n">
        <v>18.12742716</v>
      </c>
      <c r="G229" s="0" t="n">
        <v>22.15325699</v>
      </c>
      <c r="H229" s="0" t="n">
        <v>26.69775638</v>
      </c>
    </row>
    <row r="230" customFormat="false" ht="15" hidden="false" customHeight="false" outlineLevel="0" collapsed="false">
      <c r="A230" s="0" t="s">
        <v>1426</v>
      </c>
      <c r="B230" s="0" t="s">
        <v>906</v>
      </c>
      <c r="C230" s="0" t="s">
        <v>449</v>
      </c>
      <c r="D230" s="0" t="n">
        <v>6.184036333</v>
      </c>
      <c r="E230" s="0" t="n">
        <v>6.338016707</v>
      </c>
      <c r="F230" s="0" t="n">
        <v>6.889240252</v>
      </c>
      <c r="G230" s="0" t="n">
        <v>7.659037889</v>
      </c>
      <c r="H230" s="0" t="n">
        <v>8.208086762</v>
      </c>
    </row>
    <row r="231" customFormat="false" ht="15" hidden="false" customHeight="false" outlineLevel="0" collapsed="false">
      <c r="A231" s="0" t="s">
        <v>1427</v>
      </c>
      <c r="B231" s="0" t="s">
        <v>778</v>
      </c>
      <c r="C231" s="0" t="s">
        <v>449</v>
      </c>
      <c r="D231" s="0" t="n">
        <v>63.72884416</v>
      </c>
      <c r="E231" s="0" t="n">
        <v>64.70111066</v>
      </c>
      <c r="F231" s="0" t="n">
        <v>68.65619288</v>
      </c>
      <c r="G231" s="0" t="n">
        <v>74.95664169</v>
      </c>
      <c r="H231" s="0" t="n">
        <v>80.33001367</v>
      </c>
    </row>
    <row r="232" customFormat="false" ht="15" hidden="false" customHeight="false" outlineLevel="0" collapsed="false">
      <c r="A232" s="0" t="s">
        <v>1428</v>
      </c>
      <c r="B232" s="0" t="s">
        <v>700</v>
      </c>
      <c r="C232" s="0" t="s">
        <v>449</v>
      </c>
      <c r="D232" s="0" t="n">
        <v>506.534463</v>
      </c>
      <c r="E232" s="0" t="n">
        <v>504.9818666</v>
      </c>
      <c r="F232" s="0" t="n">
        <v>510.3602967</v>
      </c>
      <c r="G232" s="0" t="n">
        <v>537.1943674</v>
      </c>
      <c r="H232" s="0" t="n">
        <v>575.703899</v>
      </c>
    </row>
    <row r="233" customFormat="false" ht="15" hidden="false" customHeight="false" outlineLevel="0" collapsed="false">
      <c r="A233" s="0" t="s">
        <v>1429</v>
      </c>
      <c r="B233" s="0" t="s">
        <v>1014</v>
      </c>
      <c r="C233" s="0" t="s">
        <v>449</v>
      </c>
      <c r="D233" s="0" t="n">
        <v>1.459322567</v>
      </c>
      <c r="E233" s="0" t="n">
        <v>1.521352768</v>
      </c>
      <c r="F233" s="0" t="n">
        <v>1.853237872</v>
      </c>
      <c r="G233" s="0" t="n">
        <v>2.534664898</v>
      </c>
      <c r="H233" s="0" t="n">
        <v>3.300096558</v>
      </c>
    </row>
    <row r="234" customFormat="false" ht="15" hidden="false" customHeight="false" outlineLevel="0" collapsed="false">
      <c r="A234" s="0" t="s">
        <v>1430</v>
      </c>
      <c r="B234" s="0" t="s">
        <v>1058</v>
      </c>
      <c r="C234" s="0" t="s">
        <v>449</v>
      </c>
      <c r="D234" s="0" t="n">
        <v>0.1920870259</v>
      </c>
      <c r="E234" s="0" t="n">
        <v>0.1980453337</v>
      </c>
      <c r="F234" s="0" t="n">
        <v>0.2184050056</v>
      </c>
      <c r="G234" s="0" t="n">
        <v>0.2641099218</v>
      </c>
      <c r="H234" s="0" t="n">
        <v>0.3182891957</v>
      </c>
    </row>
    <row r="235" customFormat="false" ht="15" hidden="false" customHeight="false" outlineLevel="0" collapsed="false">
      <c r="A235" s="0" t="s">
        <v>1431</v>
      </c>
      <c r="B235" s="0" t="s">
        <v>768</v>
      </c>
      <c r="C235" s="0" t="s">
        <v>449</v>
      </c>
      <c r="D235" s="0" t="n">
        <v>41.73643163</v>
      </c>
      <c r="E235" s="0" t="n">
        <v>42.48255622</v>
      </c>
      <c r="F235" s="0" t="n">
        <v>44.72639227</v>
      </c>
      <c r="G235" s="0" t="n">
        <v>48.54301385</v>
      </c>
      <c r="H235" s="0" t="n">
        <v>52.02288788</v>
      </c>
    </row>
    <row r="236" customFormat="false" ht="15" hidden="false" customHeight="false" outlineLevel="0" collapsed="false">
      <c r="A236" s="0" t="s">
        <v>1432</v>
      </c>
      <c r="B236" s="0" t="s">
        <v>818</v>
      </c>
      <c r="C236" s="0" t="s">
        <v>449</v>
      </c>
      <c r="D236" s="0" t="n">
        <v>26.04404396</v>
      </c>
      <c r="E236" s="0" t="n">
        <v>26.35243774</v>
      </c>
      <c r="F236" s="0" t="n">
        <v>29.62896703</v>
      </c>
      <c r="G236" s="0" t="n">
        <v>36.35363439</v>
      </c>
      <c r="H236" s="0" t="n">
        <v>43.81118654</v>
      </c>
    </row>
    <row r="237" customFormat="false" ht="15" hidden="false" customHeight="false" outlineLevel="0" collapsed="false">
      <c r="A237" s="0" t="s">
        <v>1433</v>
      </c>
      <c r="B237" s="0" t="s">
        <v>788</v>
      </c>
      <c r="C237" s="0" t="s">
        <v>449</v>
      </c>
      <c r="D237" s="0" t="n">
        <v>91.6150086</v>
      </c>
      <c r="E237" s="0" t="n">
        <v>93.93600314</v>
      </c>
      <c r="F237" s="0" t="n">
        <v>105.8148539</v>
      </c>
      <c r="G237" s="0" t="n">
        <v>130.015146</v>
      </c>
      <c r="H237" s="0" t="n">
        <v>156.6863371</v>
      </c>
    </row>
    <row r="238" customFormat="false" ht="15" hidden="false" customHeight="false" outlineLevel="0" collapsed="false">
      <c r="A238" s="0" t="s">
        <v>1434</v>
      </c>
      <c r="B238" s="0" t="s">
        <v>824</v>
      </c>
      <c r="C238" s="0" t="s">
        <v>449</v>
      </c>
      <c r="D238" s="0" t="n">
        <v>33.27324575</v>
      </c>
      <c r="E238" s="0" t="n">
        <v>34.09095836</v>
      </c>
      <c r="F238" s="0" t="n">
        <v>36.81793936</v>
      </c>
      <c r="G238" s="0" t="n">
        <v>43.83067951</v>
      </c>
      <c r="H238" s="0" t="n">
        <v>52.82206602</v>
      </c>
    </row>
    <row r="239" customFormat="false" ht="15" hidden="false" customHeight="false" outlineLevel="0" collapsed="false">
      <c r="A239" s="0" t="s">
        <v>1435</v>
      </c>
      <c r="B239" s="0" t="s">
        <v>764</v>
      </c>
      <c r="C239" s="0" t="s">
        <v>449</v>
      </c>
      <c r="D239" s="0" t="n">
        <v>341.1149818</v>
      </c>
      <c r="E239" s="0" t="n">
        <v>351.2921999</v>
      </c>
      <c r="F239" s="0" t="n">
        <v>404.0213267</v>
      </c>
      <c r="G239" s="0" t="n">
        <v>529.1589855</v>
      </c>
      <c r="H239" s="0" t="n">
        <v>688.9572458</v>
      </c>
    </row>
    <row r="240" customFormat="false" ht="15" hidden="false" customHeight="false" outlineLevel="0" collapsed="false">
      <c r="A240" s="0" t="s">
        <v>1436</v>
      </c>
      <c r="B240" s="0" t="s">
        <v>722</v>
      </c>
      <c r="C240" s="0" t="s">
        <v>449</v>
      </c>
      <c r="D240" s="0" t="n">
        <v>324.2733723</v>
      </c>
      <c r="E240" s="0" t="n">
        <v>329.7803605</v>
      </c>
      <c r="F240" s="0" t="n">
        <v>348.2508526</v>
      </c>
      <c r="G240" s="0" t="n">
        <v>378.8287106</v>
      </c>
      <c r="H240" s="0" t="n">
        <v>405.985578</v>
      </c>
    </row>
    <row r="241" customFormat="false" ht="15" hidden="false" customHeight="false" outlineLevel="0" collapsed="false">
      <c r="A241" s="0" t="s">
        <v>1437</v>
      </c>
      <c r="B241" s="0" t="s">
        <v>902</v>
      </c>
      <c r="C241" s="0" t="s">
        <v>449</v>
      </c>
      <c r="D241" s="0" t="n">
        <v>6.782313922</v>
      </c>
      <c r="E241" s="0" t="n">
        <v>6.780082021</v>
      </c>
      <c r="F241" s="0" t="n">
        <v>7.002077575</v>
      </c>
      <c r="G241" s="0" t="n">
        <v>7.490543575</v>
      </c>
      <c r="H241" s="0" t="n">
        <v>8.027513696</v>
      </c>
    </row>
    <row r="242" customFormat="false" ht="15" hidden="false" customHeight="false" outlineLevel="0" collapsed="false">
      <c r="A242" s="0" t="s">
        <v>1438</v>
      </c>
      <c r="B242" s="0" t="s">
        <v>802</v>
      </c>
      <c r="C242" s="0" t="s">
        <v>449</v>
      </c>
      <c r="D242" s="0" t="n">
        <v>25.44022416</v>
      </c>
      <c r="E242" s="0" t="n">
        <v>27.15045094</v>
      </c>
      <c r="F242" s="0" t="n">
        <v>36.7418748</v>
      </c>
      <c r="G242" s="0" t="n">
        <v>55.74384734</v>
      </c>
      <c r="H242" s="0" t="n">
        <v>75.41654728</v>
      </c>
    </row>
    <row r="243" customFormat="false" ht="15" hidden="false" customHeight="false" outlineLevel="0" collapsed="false">
      <c r="A243" s="0" t="s">
        <v>1439</v>
      </c>
      <c r="B243" s="0" t="s">
        <v>794</v>
      </c>
      <c r="C243" s="0" t="s">
        <v>449</v>
      </c>
      <c r="D243" s="0" t="n">
        <v>92.63426562</v>
      </c>
      <c r="E243" s="0" t="n">
        <v>92.30094456</v>
      </c>
      <c r="F243" s="0" t="n">
        <v>94.09825143</v>
      </c>
      <c r="G243" s="0" t="n">
        <v>99.69194897</v>
      </c>
      <c r="H243" s="0" t="n">
        <v>106.8385061</v>
      </c>
    </row>
    <row r="244" customFormat="false" ht="15" hidden="false" customHeight="false" outlineLevel="0" collapsed="false">
      <c r="A244" s="0" t="s">
        <v>1440</v>
      </c>
      <c r="B244" s="0" t="s">
        <v>1006</v>
      </c>
      <c r="C244" s="0" t="s">
        <v>449</v>
      </c>
      <c r="D244" s="0" t="n">
        <v>1.39118797</v>
      </c>
      <c r="E244" s="0" t="n">
        <v>1.419492847</v>
      </c>
      <c r="F244" s="0" t="n">
        <v>1.528944668</v>
      </c>
      <c r="G244" s="0" t="n">
        <v>1.816523772</v>
      </c>
      <c r="H244" s="0" t="n">
        <v>2.189163839</v>
      </c>
    </row>
    <row r="245" customFormat="false" ht="15" hidden="false" customHeight="false" outlineLevel="0" collapsed="false">
      <c r="A245" s="0" t="s">
        <v>1441</v>
      </c>
      <c r="B245" s="0" t="s">
        <v>706</v>
      </c>
      <c r="C245" s="0" t="s">
        <v>449</v>
      </c>
      <c r="D245" s="0" t="n">
        <v>604.4915791</v>
      </c>
      <c r="E245" s="0" t="n">
        <v>605.9454481</v>
      </c>
      <c r="F245" s="0" t="n">
        <v>613.7948449</v>
      </c>
      <c r="G245" s="0" t="n">
        <v>647.1682497</v>
      </c>
      <c r="H245" s="0" t="n">
        <v>693.5614133</v>
      </c>
    </row>
    <row r="246" customFormat="false" ht="15" hidden="false" customHeight="false" outlineLevel="0" collapsed="false">
      <c r="A246" s="0" t="s">
        <v>1442</v>
      </c>
      <c r="B246" s="0" t="s">
        <v>950</v>
      </c>
      <c r="C246" s="0" t="s">
        <v>449</v>
      </c>
      <c r="D246" s="0" t="n">
        <v>4.929847051</v>
      </c>
      <c r="E246" s="0" t="n">
        <v>5.003652597</v>
      </c>
      <c r="F246" s="0" t="n">
        <v>5.431952783</v>
      </c>
      <c r="G246" s="0" t="n">
        <v>6.491698177</v>
      </c>
      <c r="H246" s="0" t="n">
        <v>7.823399352</v>
      </c>
    </row>
    <row r="247" customFormat="false" ht="15" hidden="false" customHeight="false" outlineLevel="0" collapsed="false">
      <c r="A247" s="0" t="s">
        <v>1443</v>
      </c>
      <c r="B247" s="0" t="s">
        <v>704</v>
      </c>
      <c r="C247" s="0" t="s">
        <v>449</v>
      </c>
      <c r="D247" s="0" t="n">
        <v>356.3919406</v>
      </c>
      <c r="E247" s="0" t="n">
        <v>358.3671927</v>
      </c>
      <c r="F247" s="0" t="n">
        <v>362.2579275</v>
      </c>
      <c r="G247" s="0" t="n">
        <v>381.3631191</v>
      </c>
      <c r="H247" s="0" t="n">
        <v>408.7016692</v>
      </c>
    </row>
    <row r="248" customFormat="false" ht="15" hidden="false" customHeight="false" outlineLevel="0" collapsed="false">
      <c r="A248" s="0" t="s">
        <v>1444</v>
      </c>
      <c r="B248" s="0" t="s">
        <v>900</v>
      </c>
      <c r="C248" s="0" t="s">
        <v>449</v>
      </c>
      <c r="D248" s="0" t="n">
        <v>10.6873933</v>
      </c>
      <c r="E248" s="0" t="n">
        <v>11.26444154</v>
      </c>
      <c r="F248" s="0" t="n">
        <v>13.41559547</v>
      </c>
      <c r="G248" s="0" t="n">
        <v>18.03849412</v>
      </c>
      <c r="H248" s="0" t="n">
        <v>23.48585504</v>
      </c>
    </row>
    <row r="249" customFormat="false" ht="15" hidden="false" customHeight="false" outlineLevel="0" collapsed="false">
      <c r="A249" s="0" t="s">
        <v>1445</v>
      </c>
      <c r="B249" s="0" t="s">
        <v>844</v>
      </c>
      <c r="C249" s="0" t="s">
        <v>449</v>
      </c>
      <c r="D249" s="0" t="n">
        <v>20.57024567</v>
      </c>
      <c r="E249" s="0" t="n">
        <v>21.43716261</v>
      </c>
      <c r="F249" s="0" t="n">
        <v>25.07118689</v>
      </c>
      <c r="G249" s="0" t="n">
        <v>33.25227964</v>
      </c>
      <c r="H249" s="0" t="n">
        <v>43.29398087</v>
      </c>
    </row>
    <row r="250" customFormat="false" ht="15" hidden="false" customHeight="false" outlineLevel="0" collapsed="false">
      <c r="A250" s="0" t="s">
        <v>1446</v>
      </c>
      <c r="B250" s="0" t="s">
        <v>914</v>
      </c>
      <c r="C250" s="0" t="s">
        <v>449</v>
      </c>
      <c r="D250" s="0" t="n">
        <v>2.867232162</v>
      </c>
      <c r="E250" s="0" t="n">
        <v>3.004595416</v>
      </c>
      <c r="F250" s="0" t="n">
        <v>3.998788087</v>
      </c>
      <c r="G250" s="0" t="n">
        <v>5.990155776</v>
      </c>
      <c r="H250" s="0" t="n">
        <v>8.104156563</v>
      </c>
    </row>
    <row r="251" customFormat="false" ht="15" hidden="false" customHeight="false" outlineLevel="0" collapsed="false">
      <c r="A251" s="0" t="s">
        <v>1447</v>
      </c>
      <c r="B251" s="0" t="s">
        <v>1028</v>
      </c>
      <c r="C251" s="0" t="s">
        <v>449</v>
      </c>
      <c r="D251" s="0" t="n">
        <v>1.113906931</v>
      </c>
      <c r="E251" s="0" t="n">
        <v>1.161289895</v>
      </c>
      <c r="F251" s="0" t="n">
        <v>1.378077714</v>
      </c>
      <c r="G251" s="0" t="n">
        <v>1.892670496</v>
      </c>
      <c r="H251" s="0" t="n">
        <v>2.560617552</v>
      </c>
    </row>
    <row r="252" customFormat="false" ht="15" hidden="false" customHeight="false" outlineLevel="0" collapsed="false">
      <c r="A252" s="0" t="s">
        <v>1448</v>
      </c>
      <c r="B252" s="0" t="s">
        <v>1030</v>
      </c>
      <c r="C252" s="0" t="s">
        <v>449</v>
      </c>
      <c r="D252" s="0" t="n">
        <v>0.4150428858</v>
      </c>
      <c r="E252" s="0" t="n">
        <v>0.4310512214</v>
      </c>
      <c r="F252" s="0" t="n">
        <v>0.5079884442</v>
      </c>
      <c r="G252" s="0" t="n">
        <v>0.6940559979</v>
      </c>
      <c r="H252" s="0" t="n">
        <v>0.9389970279</v>
      </c>
    </row>
    <row r="253" customFormat="false" ht="15" hidden="false" customHeight="false" outlineLevel="0" collapsed="false">
      <c r="A253" s="0" t="s">
        <v>1449</v>
      </c>
      <c r="B253" s="0" t="s">
        <v>994</v>
      </c>
      <c r="C253" s="0" t="s">
        <v>449</v>
      </c>
      <c r="D253" s="0" t="n">
        <v>1.64782916</v>
      </c>
      <c r="E253" s="0" t="n">
        <v>1.555688591</v>
      </c>
      <c r="F253" s="0" t="n">
        <v>1.406708261</v>
      </c>
      <c r="G253" s="0" t="n">
        <v>1.468274928</v>
      </c>
      <c r="H253" s="0" t="n">
        <v>1.769475538</v>
      </c>
    </row>
    <row r="254" customFormat="false" ht="15" hidden="false" customHeight="false" outlineLevel="0" collapsed="false">
      <c r="A254" s="0" t="s">
        <v>1450</v>
      </c>
      <c r="B254" s="0" t="s">
        <v>798</v>
      </c>
      <c r="C254" s="0" t="s">
        <v>449</v>
      </c>
      <c r="D254" s="0" t="n">
        <v>78.72162564</v>
      </c>
      <c r="E254" s="0" t="n">
        <v>79.62632928</v>
      </c>
      <c r="F254" s="0" t="n">
        <v>83.27510552</v>
      </c>
      <c r="G254" s="0" t="n">
        <v>89.92976189</v>
      </c>
      <c r="H254" s="0" t="n">
        <v>96.37650299</v>
      </c>
    </row>
    <row r="255" customFormat="false" ht="15" hidden="false" customHeight="false" outlineLevel="0" collapsed="false">
      <c r="A255" s="0" t="s">
        <v>1451</v>
      </c>
      <c r="B255" s="0" t="s">
        <v>1046</v>
      </c>
      <c r="C255" s="0" t="s">
        <v>449</v>
      </c>
      <c r="D255" s="0" t="n">
        <v>0.312072449</v>
      </c>
      <c r="E255" s="0" t="n">
        <v>0.32142751</v>
      </c>
      <c r="F255" s="0" t="n">
        <v>0.3541766996</v>
      </c>
      <c r="G255" s="0" t="n">
        <v>0.4280270404</v>
      </c>
      <c r="H255" s="0" t="n">
        <v>0.5158321257</v>
      </c>
    </row>
    <row r="256" customFormat="false" ht="15" hidden="false" customHeight="false" outlineLevel="0" collapsed="false">
      <c r="A256" s="0" t="s">
        <v>1452</v>
      </c>
      <c r="B256" s="0" t="s">
        <v>826</v>
      </c>
      <c r="C256" s="0" t="s">
        <v>449</v>
      </c>
      <c r="D256" s="0" t="n">
        <v>23.70255001</v>
      </c>
      <c r="E256" s="0" t="n">
        <v>24.35845079</v>
      </c>
      <c r="F256" s="0" t="n">
        <v>27.58694904</v>
      </c>
      <c r="G256" s="0" t="n">
        <v>34.03389417</v>
      </c>
      <c r="H256" s="0" t="n">
        <v>41.01557687</v>
      </c>
    </row>
    <row r="257" customFormat="false" ht="15" hidden="false" customHeight="false" outlineLevel="0" collapsed="false">
      <c r="A257" s="0" t="s">
        <v>1453</v>
      </c>
      <c r="B257" s="0" t="s">
        <v>890</v>
      </c>
      <c r="C257" s="0" t="s">
        <v>449</v>
      </c>
      <c r="D257" s="0" t="n">
        <v>2.088121043</v>
      </c>
      <c r="E257" s="0" t="n">
        <v>2.392919962</v>
      </c>
      <c r="F257" s="0" t="n">
        <v>3.980754073</v>
      </c>
      <c r="G257" s="0" t="n">
        <v>6.60412441</v>
      </c>
      <c r="H257" s="0" t="n">
        <v>7.958888602</v>
      </c>
    </row>
    <row r="258" customFormat="false" ht="15" hidden="false" customHeight="false" outlineLevel="0" collapsed="false">
      <c r="A258" s="0" t="s">
        <v>1454</v>
      </c>
      <c r="B258" s="0" t="s">
        <v>770</v>
      </c>
      <c r="C258" s="0" t="s">
        <v>449</v>
      </c>
      <c r="D258" s="0" t="n">
        <v>49.14273749</v>
      </c>
      <c r="E258" s="0" t="n">
        <v>50.25800885</v>
      </c>
      <c r="F258" s="0" t="n">
        <v>53.66395858</v>
      </c>
      <c r="G258" s="0" t="n">
        <v>58.86431146</v>
      </c>
      <c r="H258" s="0" t="n">
        <v>63.08408218</v>
      </c>
    </row>
    <row r="259" customFormat="false" ht="15" hidden="false" customHeight="false" outlineLevel="0" collapsed="false">
      <c r="A259" s="0" t="s">
        <v>1455</v>
      </c>
      <c r="B259" s="0" t="s">
        <v>904</v>
      </c>
      <c r="C259" s="0" t="s">
        <v>449</v>
      </c>
      <c r="D259" s="0" t="n">
        <v>12.50563823</v>
      </c>
      <c r="E259" s="0" t="n">
        <v>12.81040335</v>
      </c>
      <c r="F259" s="0" t="n">
        <v>14.28282925</v>
      </c>
      <c r="G259" s="0" t="n">
        <v>18.27646656</v>
      </c>
      <c r="H259" s="0" t="n">
        <v>23.79569168</v>
      </c>
    </row>
    <row r="260" customFormat="false" ht="15" hidden="false" customHeight="false" outlineLevel="0" collapsed="false">
      <c r="A260" s="0" t="s">
        <v>1456</v>
      </c>
      <c r="B260" s="0" t="s">
        <v>846</v>
      </c>
      <c r="C260" s="0" t="s">
        <v>449</v>
      </c>
      <c r="D260" s="0" t="n">
        <v>29.09081192</v>
      </c>
      <c r="E260" s="0" t="n">
        <v>29.67417403</v>
      </c>
      <c r="F260" s="0" t="n">
        <v>31.91730478</v>
      </c>
      <c r="G260" s="0" t="n">
        <v>35.20328423</v>
      </c>
      <c r="H260" s="0" t="n">
        <v>37.72688103</v>
      </c>
    </row>
    <row r="261" customFormat="false" ht="15" hidden="false" customHeight="false" outlineLevel="0" collapsed="false">
      <c r="A261" s="0" t="s">
        <v>1457</v>
      </c>
      <c r="B261" s="0" t="s">
        <v>956</v>
      </c>
      <c r="C261" s="0" t="s">
        <v>449</v>
      </c>
      <c r="D261" s="0" t="n">
        <v>2.089528227</v>
      </c>
      <c r="E261" s="0" t="n">
        <v>2.033883297</v>
      </c>
      <c r="F261" s="0" t="n">
        <v>1.919807081</v>
      </c>
      <c r="G261" s="0" t="n">
        <v>2.225166275</v>
      </c>
      <c r="H261" s="0" t="n">
        <v>3.010455244</v>
      </c>
    </row>
    <row r="262" customFormat="false" ht="15" hidden="false" customHeight="false" outlineLevel="0" collapsed="false">
      <c r="A262" s="0" t="s">
        <v>1458</v>
      </c>
      <c r="B262" s="0" t="s">
        <v>800</v>
      </c>
      <c r="C262" s="0" t="s">
        <v>449</v>
      </c>
      <c r="D262" s="0" t="n">
        <v>45.02537274</v>
      </c>
      <c r="E262" s="0" t="n">
        <v>44.94789613</v>
      </c>
      <c r="F262" s="0" t="n">
        <v>46.78623841</v>
      </c>
      <c r="G262" s="0" t="n">
        <v>50.34630673</v>
      </c>
      <c r="H262" s="0" t="n">
        <v>53.95545234</v>
      </c>
    </row>
    <row r="263" customFormat="false" ht="15" hidden="false" customHeight="false" outlineLevel="0" collapsed="false">
      <c r="A263" s="0" t="s">
        <v>1459</v>
      </c>
      <c r="B263" s="0" t="s">
        <v>724</v>
      </c>
      <c r="C263" s="0" t="s">
        <v>449</v>
      </c>
      <c r="D263" s="0" t="n">
        <v>569.8441135</v>
      </c>
      <c r="E263" s="0" t="n">
        <v>590.0633254</v>
      </c>
      <c r="F263" s="0" t="n">
        <v>694.6235478</v>
      </c>
      <c r="G263" s="0" t="n">
        <v>925.8395611</v>
      </c>
      <c r="H263" s="0" t="n">
        <v>1205.429543</v>
      </c>
    </row>
    <row r="264" customFormat="false" ht="15" hidden="false" customHeight="false" outlineLevel="0" collapsed="false">
      <c r="A264" s="0" t="s">
        <v>1460</v>
      </c>
      <c r="B264" s="0" t="s">
        <v>36</v>
      </c>
      <c r="C264" s="0" t="s">
        <v>449</v>
      </c>
      <c r="D264" s="0" t="n">
        <v>1506.905761</v>
      </c>
      <c r="E264" s="0" t="n">
        <v>1590.112915</v>
      </c>
      <c r="F264" s="0" t="n">
        <v>1967.194346</v>
      </c>
      <c r="G264" s="0" t="n">
        <v>2722.199762</v>
      </c>
      <c r="H264" s="0" t="n">
        <v>3544.264204</v>
      </c>
    </row>
    <row r="265" customFormat="false" ht="15" hidden="false" customHeight="false" outlineLevel="0" collapsed="false">
      <c r="A265" s="0" t="s">
        <v>1461</v>
      </c>
      <c r="B265" s="0" t="s">
        <v>738</v>
      </c>
      <c r="C265" s="0" t="s">
        <v>449</v>
      </c>
      <c r="D265" s="0" t="n">
        <v>37.11330295</v>
      </c>
      <c r="E265" s="0" t="n">
        <v>40.53077378</v>
      </c>
      <c r="F265" s="0" t="n">
        <v>43.41692604</v>
      </c>
      <c r="G265" s="0" t="n">
        <v>47.73975025</v>
      </c>
      <c r="H265" s="0" t="n">
        <v>51.1620412</v>
      </c>
    </row>
    <row r="266" customFormat="false" ht="15" hidden="false" customHeight="false" outlineLevel="0" collapsed="false">
      <c r="A266" s="0" t="s">
        <v>1462</v>
      </c>
      <c r="B266" s="0" t="s">
        <v>790</v>
      </c>
      <c r="C266" s="0" t="s">
        <v>449</v>
      </c>
      <c r="D266" s="0" t="n">
        <v>425.9369089</v>
      </c>
      <c r="E266" s="0" t="n">
        <v>418.6393088</v>
      </c>
      <c r="F266" s="0" t="n">
        <v>335.6960556</v>
      </c>
      <c r="G266" s="0" t="n">
        <v>321.0882952</v>
      </c>
      <c r="H266" s="0" t="n">
        <v>386.9560618</v>
      </c>
    </row>
    <row r="267" customFormat="false" ht="15" hidden="false" customHeight="false" outlineLevel="0" collapsed="false">
      <c r="A267" s="0" t="s">
        <v>1463</v>
      </c>
      <c r="B267" s="0" t="s">
        <v>806</v>
      </c>
      <c r="C267" s="0" t="s">
        <v>449</v>
      </c>
      <c r="D267" s="0" t="n">
        <v>133.3895996</v>
      </c>
      <c r="E267" s="0" t="n">
        <v>132.286199</v>
      </c>
      <c r="F267" s="0" t="n">
        <v>103.4214596</v>
      </c>
      <c r="G267" s="0" t="n">
        <v>97.13116699</v>
      </c>
      <c r="H267" s="0" t="n">
        <v>117.056568</v>
      </c>
    </row>
    <row r="268" customFormat="false" ht="15" hidden="false" customHeight="false" outlineLevel="0" collapsed="false">
      <c r="A268" s="0" t="s">
        <v>1464</v>
      </c>
      <c r="B268" s="0" t="s">
        <v>916</v>
      </c>
      <c r="C268" s="0" t="s">
        <v>449</v>
      </c>
      <c r="D268" s="0" t="n">
        <v>3.645984842</v>
      </c>
      <c r="E268" s="0" t="n">
        <v>3.664918495</v>
      </c>
      <c r="F268" s="0" t="n">
        <v>3.845788653</v>
      </c>
      <c r="G268" s="0" t="n">
        <v>4.163630641</v>
      </c>
      <c r="H268" s="0" t="n">
        <v>4.462106342</v>
      </c>
    </row>
    <row r="269" customFormat="false" ht="15" hidden="false" customHeight="false" outlineLevel="0" collapsed="false">
      <c r="A269" s="0" t="s">
        <v>1465</v>
      </c>
      <c r="B269" s="0" t="s">
        <v>750</v>
      </c>
      <c r="C269" s="0" t="s">
        <v>449</v>
      </c>
      <c r="D269" s="0" t="n">
        <v>98.32821163</v>
      </c>
      <c r="E269" s="0" t="n">
        <v>100.1264993</v>
      </c>
      <c r="F269" s="0" t="n">
        <v>110.944884</v>
      </c>
      <c r="G269" s="0" t="n">
        <v>125.1439284</v>
      </c>
      <c r="H269" s="0" t="n">
        <v>134.1150464</v>
      </c>
    </row>
    <row r="270" customFormat="false" ht="15" hidden="false" customHeight="false" outlineLevel="0" collapsed="false">
      <c r="A270" s="0" t="s">
        <v>1466</v>
      </c>
      <c r="B270" s="0" t="s">
        <v>712</v>
      </c>
      <c r="C270" s="0" t="s">
        <v>449</v>
      </c>
      <c r="D270" s="0" t="n">
        <v>238.5718895</v>
      </c>
      <c r="E270" s="0" t="n">
        <v>238.4099152</v>
      </c>
      <c r="F270" s="0" t="n">
        <v>238.7457574</v>
      </c>
      <c r="G270" s="0" t="n">
        <v>249.5791637</v>
      </c>
      <c r="H270" s="0" t="n">
        <v>267.470596</v>
      </c>
    </row>
    <row r="271" customFormat="false" ht="15" hidden="false" customHeight="false" outlineLevel="0" collapsed="false">
      <c r="A271" s="0" t="s">
        <v>1467</v>
      </c>
      <c r="B271" s="0" t="s">
        <v>964</v>
      </c>
      <c r="C271" s="0" t="s">
        <v>449</v>
      </c>
      <c r="D271" s="0" t="n">
        <v>4.850274915</v>
      </c>
      <c r="E271" s="0" t="n">
        <v>4.823827505</v>
      </c>
      <c r="F271" s="0" t="n">
        <v>4.60055722</v>
      </c>
      <c r="G271" s="0" t="n">
        <v>4.993605385</v>
      </c>
      <c r="H271" s="0" t="n">
        <v>6.01798914</v>
      </c>
    </row>
    <row r="272" customFormat="false" ht="15" hidden="false" customHeight="false" outlineLevel="0" collapsed="false">
      <c r="A272" s="0" t="s">
        <v>1468</v>
      </c>
      <c r="B272" s="0" t="s">
        <v>876</v>
      </c>
      <c r="C272" s="0" t="s">
        <v>449</v>
      </c>
      <c r="D272" s="0" t="n">
        <v>37.69574298</v>
      </c>
      <c r="E272" s="0" t="n">
        <v>38.31114084</v>
      </c>
      <c r="F272" s="0" t="n">
        <v>41.70583132</v>
      </c>
      <c r="G272" s="0" t="n">
        <v>49.94593973</v>
      </c>
      <c r="H272" s="0" t="n">
        <v>60.19180526</v>
      </c>
    </row>
    <row r="273" customFormat="false" ht="15" hidden="false" customHeight="false" outlineLevel="0" collapsed="false">
      <c r="A273" s="0" t="s">
        <v>1469</v>
      </c>
      <c r="B273" s="0" t="s">
        <v>702</v>
      </c>
      <c r="C273" s="0" t="s">
        <v>449</v>
      </c>
      <c r="D273" s="0" t="n">
        <v>1085.366661</v>
      </c>
      <c r="E273" s="0" t="n">
        <v>1090.261792</v>
      </c>
      <c r="F273" s="0" t="n">
        <v>1099.180122</v>
      </c>
      <c r="G273" s="0" t="n">
        <v>1154.858067</v>
      </c>
      <c r="H273" s="0" t="n">
        <v>1237.645687</v>
      </c>
    </row>
    <row r="274" customFormat="false" ht="15" hidden="false" customHeight="false" outlineLevel="0" collapsed="false">
      <c r="A274" s="0" t="s">
        <v>1470</v>
      </c>
      <c r="B274" s="0" t="s">
        <v>780</v>
      </c>
      <c r="C274" s="0" t="s">
        <v>449</v>
      </c>
      <c r="D274" s="0" t="n">
        <v>52.83991691</v>
      </c>
      <c r="E274" s="0" t="n">
        <v>55.28748219</v>
      </c>
      <c r="F274" s="0" t="n">
        <v>64.01021742</v>
      </c>
      <c r="G274" s="0" t="n">
        <v>80.29165892</v>
      </c>
      <c r="H274" s="0" t="n">
        <v>96.76261823</v>
      </c>
    </row>
    <row r="275" customFormat="false" ht="15" hidden="false" customHeight="false" outlineLevel="0" collapsed="false">
      <c r="A275" s="0" t="s">
        <v>1471</v>
      </c>
      <c r="B275" s="0" t="s">
        <v>814</v>
      </c>
      <c r="C275" s="0" t="s">
        <v>449</v>
      </c>
      <c r="D275" s="0" t="n">
        <v>18.17694545</v>
      </c>
      <c r="E275" s="0" t="n">
        <v>18.7892301</v>
      </c>
      <c r="F275" s="0" t="n">
        <v>21.77634945</v>
      </c>
      <c r="G275" s="0" t="n">
        <v>28.68638156</v>
      </c>
      <c r="H275" s="0" t="n">
        <v>37.34924847</v>
      </c>
    </row>
    <row r="276" customFormat="false" ht="15" hidden="false" customHeight="false" outlineLevel="0" collapsed="false">
      <c r="A276" s="0" t="s">
        <v>1472</v>
      </c>
      <c r="B276" s="0" t="s">
        <v>946</v>
      </c>
      <c r="C276" s="0" t="s">
        <v>449</v>
      </c>
      <c r="D276" s="0" t="n">
        <v>40.0132851</v>
      </c>
      <c r="E276" s="0" t="n">
        <v>43.31086772</v>
      </c>
      <c r="F276" s="0" t="n">
        <v>52.88761166</v>
      </c>
      <c r="G276" s="0" t="n">
        <v>72.46722401</v>
      </c>
      <c r="H276" s="0" t="n">
        <v>94.35126385</v>
      </c>
    </row>
    <row r="277" customFormat="false" ht="15" hidden="false" customHeight="false" outlineLevel="0" collapsed="false">
      <c r="A277" s="0" t="s">
        <v>1473</v>
      </c>
      <c r="B277" s="0" t="s">
        <v>886</v>
      </c>
      <c r="C277" s="0" t="s">
        <v>449</v>
      </c>
      <c r="D277" s="0" t="n">
        <v>19.3761447</v>
      </c>
      <c r="E277" s="0" t="n">
        <v>20.04914052</v>
      </c>
      <c r="F277" s="0" t="n">
        <v>22.89358268</v>
      </c>
      <c r="G277" s="0" t="n">
        <v>29.8233266</v>
      </c>
      <c r="H277" s="0" t="n">
        <v>38.82953426</v>
      </c>
    </row>
    <row r="278" customFormat="false" ht="15" hidden="false" customHeight="false" outlineLevel="0" collapsed="false">
      <c r="A278" s="0" t="s">
        <v>1474</v>
      </c>
      <c r="B278" s="0" t="s">
        <v>1054</v>
      </c>
      <c r="C278" s="0" t="s">
        <v>449</v>
      </c>
      <c r="D278" s="0" t="n">
        <v>0.2008822933</v>
      </c>
      <c r="E278" s="0" t="n">
        <v>0.2022699254</v>
      </c>
      <c r="F278" s="0" t="n">
        <v>0.2132328642</v>
      </c>
      <c r="G278" s="0" t="n">
        <v>0.2316568339</v>
      </c>
      <c r="H278" s="0" t="n">
        <v>0.2482634789</v>
      </c>
    </row>
    <row r="279" customFormat="false" ht="15" hidden="false" customHeight="false" outlineLevel="0" collapsed="false">
      <c r="A279" s="0" t="s">
        <v>1475</v>
      </c>
      <c r="B279" s="0" t="s">
        <v>716</v>
      </c>
      <c r="C279" s="0" t="s">
        <v>449</v>
      </c>
      <c r="D279" s="0" t="n">
        <v>314.6012349</v>
      </c>
      <c r="E279" s="0" t="n">
        <v>315.5553438</v>
      </c>
      <c r="F279" s="0" t="n">
        <v>330.6829043</v>
      </c>
      <c r="G279" s="0" t="n">
        <v>357.6507762</v>
      </c>
      <c r="H279" s="0" t="n">
        <v>383.2894737</v>
      </c>
    </row>
    <row r="280" customFormat="false" ht="15" hidden="false" customHeight="false" outlineLevel="0" collapsed="false">
      <c r="A280" s="0" t="s">
        <v>1476</v>
      </c>
      <c r="B280" s="0" t="s">
        <v>812</v>
      </c>
      <c r="C280" s="0" t="s">
        <v>449</v>
      </c>
      <c r="D280" s="0" t="n">
        <v>128.7590293</v>
      </c>
      <c r="E280" s="0" t="n">
        <v>131.6607958</v>
      </c>
      <c r="F280" s="0" t="n">
        <v>127.053133</v>
      </c>
      <c r="G280" s="0" t="n">
        <v>129.2028236</v>
      </c>
      <c r="H280" s="0" t="n">
        <v>138.4649093</v>
      </c>
    </row>
    <row r="281" customFormat="false" ht="15" hidden="false" customHeight="false" outlineLevel="0" collapsed="false">
      <c r="A281" s="0" t="s">
        <v>1477</v>
      </c>
      <c r="B281" s="0" t="s">
        <v>972</v>
      </c>
      <c r="C281" s="0" t="s">
        <v>449</v>
      </c>
      <c r="D281" s="0" t="n">
        <v>9.157345971</v>
      </c>
      <c r="E281" s="0" t="n">
        <v>9.458009548</v>
      </c>
      <c r="F281" s="0" t="n">
        <v>10.79664726</v>
      </c>
      <c r="G281" s="0" t="n">
        <v>14.06159548</v>
      </c>
      <c r="H281" s="0" t="n">
        <v>18.30799128</v>
      </c>
    </row>
    <row r="282" customFormat="false" ht="15" hidden="false" customHeight="false" outlineLevel="0" collapsed="false">
      <c r="A282" s="0" t="s">
        <v>1478</v>
      </c>
      <c r="B282" s="0" t="s">
        <v>922</v>
      </c>
      <c r="C282" s="0" t="s">
        <v>449</v>
      </c>
      <c r="D282" s="0" t="n">
        <v>30.33019551</v>
      </c>
      <c r="E282" s="0" t="n">
        <v>31.14123411</v>
      </c>
      <c r="F282" s="0" t="n">
        <v>34.18648184</v>
      </c>
      <c r="G282" s="0" t="n">
        <v>41.19946624</v>
      </c>
      <c r="H282" s="0" t="n">
        <v>49.65108801</v>
      </c>
    </row>
    <row r="283" customFormat="false" ht="15" hidden="false" customHeight="false" outlineLevel="0" collapsed="false">
      <c r="A283" s="0" t="s">
        <v>1479</v>
      </c>
      <c r="B283" s="0" t="s">
        <v>1008</v>
      </c>
      <c r="C283" s="0" t="s">
        <v>449</v>
      </c>
      <c r="D283" s="0" t="n">
        <v>1.360422681</v>
      </c>
      <c r="E283" s="0" t="n">
        <v>1.409036296</v>
      </c>
      <c r="F283" s="0" t="n">
        <v>1.672018452</v>
      </c>
      <c r="G283" s="0" t="n">
        <v>2.296316308</v>
      </c>
      <c r="H283" s="0" t="n">
        <v>3.106715013</v>
      </c>
    </row>
    <row r="284" customFormat="false" ht="15" hidden="false" customHeight="false" outlineLevel="0" collapsed="false">
      <c r="A284" s="0" t="s">
        <v>1480</v>
      </c>
      <c r="B284" s="0" t="s">
        <v>874</v>
      </c>
      <c r="C284" s="0" t="s">
        <v>449</v>
      </c>
      <c r="D284" s="0" t="n">
        <v>75.59640029</v>
      </c>
      <c r="E284" s="0" t="n">
        <v>84.62815217</v>
      </c>
      <c r="F284" s="0" t="n">
        <v>104.950566</v>
      </c>
      <c r="G284" s="0" t="n">
        <v>138.6851019</v>
      </c>
      <c r="H284" s="0" t="n">
        <v>167.13484</v>
      </c>
    </row>
    <row r="285" customFormat="false" ht="15" hidden="false" customHeight="false" outlineLevel="0" collapsed="false">
      <c r="A285" s="0" t="s">
        <v>1481</v>
      </c>
      <c r="B285" s="0" t="s">
        <v>1032</v>
      </c>
      <c r="C285" s="0" t="s">
        <v>449</v>
      </c>
      <c r="D285" s="0" t="n">
        <v>0.5438515148</v>
      </c>
      <c r="E285" s="0" t="n">
        <v>0.5482944612</v>
      </c>
      <c r="F285" s="0" t="n">
        <v>0.5814002092</v>
      </c>
      <c r="G285" s="0" t="n">
        <v>0.6827209081</v>
      </c>
      <c r="H285" s="0" t="n">
        <v>0.8227736664</v>
      </c>
    </row>
    <row r="286" customFormat="false" ht="15" hidden="false" customHeight="false" outlineLevel="0" collapsed="false">
      <c r="A286" s="0" t="s">
        <v>1482</v>
      </c>
      <c r="B286" s="0" t="s">
        <v>840</v>
      </c>
      <c r="C286" s="0" t="s">
        <v>449</v>
      </c>
      <c r="D286" s="0" t="n">
        <v>18.84699144</v>
      </c>
      <c r="E286" s="0" t="n">
        <v>19.20196843</v>
      </c>
      <c r="F286" s="0" t="n">
        <v>21.19684575</v>
      </c>
      <c r="G286" s="0" t="n">
        <v>26.92252912</v>
      </c>
      <c r="H286" s="0" t="n">
        <v>35.05273844</v>
      </c>
    </row>
    <row r="287" customFormat="false" ht="15" hidden="false" customHeight="false" outlineLevel="0" collapsed="false">
      <c r="A287" s="0" t="s">
        <v>1483</v>
      </c>
      <c r="B287" s="0" t="s">
        <v>1034</v>
      </c>
      <c r="C287" s="0" t="s">
        <v>449</v>
      </c>
      <c r="D287" s="0" t="n">
        <v>1.355247745</v>
      </c>
      <c r="E287" s="0" t="n">
        <v>1.363426077</v>
      </c>
      <c r="F287" s="0" t="n">
        <v>1.412746054</v>
      </c>
      <c r="G287" s="0" t="n">
        <v>1.711792806</v>
      </c>
      <c r="H287" s="0" t="n">
        <v>2.228729152</v>
      </c>
    </row>
    <row r="288" customFormat="false" ht="15" hidden="false" customHeight="false" outlineLevel="0" collapsed="false">
      <c r="A288" s="0" t="s">
        <v>1484</v>
      </c>
      <c r="B288" s="0" t="s">
        <v>856</v>
      </c>
      <c r="C288" s="0" t="s">
        <v>449</v>
      </c>
      <c r="D288" s="0" t="n">
        <v>10.65511586</v>
      </c>
      <c r="E288" s="0" t="n">
        <v>10.84382687</v>
      </c>
      <c r="F288" s="0" t="n">
        <v>11.77080976</v>
      </c>
      <c r="G288" s="0" t="n">
        <v>13.07257024</v>
      </c>
      <c r="H288" s="0" t="n">
        <v>14.00969577</v>
      </c>
    </row>
    <row r="289" customFormat="false" ht="15" hidden="false" customHeight="false" outlineLevel="0" collapsed="false">
      <c r="A289" s="0" t="s">
        <v>1485</v>
      </c>
      <c r="B289" s="0" t="s">
        <v>854</v>
      </c>
      <c r="C289" s="0" t="s">
        <v>449</v>
      </c>
      <c r="D289" s="0" t="n">
        <v>3.089498762</v>
      </c>
      <c r="E289" s="0" t="n">
        <v>3.089808486</v>
      </c>
      <c r="F289" s="0" t="n">
        <v>3.208592284</v>
      </c>
      <c r="G289" s="0" t="n">
        <v>3.446626961</v>
      </c>
      <c r="H289" s="0" t="n">
        <v>3.693703248</v>
      </c>
    </row>
    <row r="290" customFormat="false" ht="15" hidden="false" customHeight="false" outlineLevel="0" collapsed="false">
      <c r="A290" s="0" t="s">
        <v>1486</v>
      </c>
      <c r="B290" s="0" t="s">
        <v>894</v>
      </c>
      <c r="C290" s="0" t="s">
        <v>449</v>
      </c>
      <c r="D290" s="0" t="n">
        <v>5.940077588</v>
      </c>
      <c r="E290" s="0" t="n">
        <v>6.011404271</v>
      </c>
      <c r="F290" s="0" t="n">
        <v>6.375447093</v>
      </c>
      <c r="G290" s="0" t="n">
        <v>6.957698034</v>
      </c>
      <c r="H290" s="0" t="n">
        <v>7.456470375</v>
      </c>
    </row>
    <row r="291" customFormat="false" ht="15" hidden="false" customHeight="false" outlineLevel="0" collapsed="false">
      <c r="A291" s="0" t="s">
        <v>1487</v>
      </c>
      <c r="B291" s="0" t="s">
        <v>882</v>
      </c>
      <c r="C291" s="0" t="s">
        <v>449</v>
      </c>
      <c r="D291" s="0" t="n">
        <v>5.889265403</v>
      </c>
      <c r="E291" s="0" t="n">
        <v>6.07793657</v>
      </c>
      <c r="F291" s="0" t="n">
        <v>6.615361915</v>
      </c>
      <c r="G291" s="0" t="n">
        <v>7.361964679</v>
      </c>
      <c r="H291" s="0" t="n">
        <v>7.889717442</v>
      </c>
    </row>
    <row r="292" customFormat="false" ht="15" hidden="false" customHeight="false" outlineLevel="0" collapsed="false">
      <c r="A292" s="0" t="s">
        <v>1488</v>
      </c>
      <c r="B292" s="0" t="s">
        <v>808</v>
      </c>
      <c r="C292" s="0" t="s">
        <v>449</v>
      </c>
      <c r="D292" s="0" t="n">
        <v>45.73168333</v>
      </c>
      <c r="E292" s="0" t="n">
        <v>47.27935208</v>
      </c>
      <c r="F292" s="0" t="n">
        <v>55.51547687</v>
      </c>
      <c r="G292" s="0" t="n">
        <v>73.8526432</v>
      </c>
      <c r="H292" s="0" t="n">
        <v>96.15505935</v>
      </c>
    </row>
    <row r="293" customFormat="false" ht="15" hidden="false" customHeight="false" outlineLevel="0" collapsed="false">
      <c r="A293" s="0" t="s">
        <v>1489</v>
      </c>
      <c r="B293" s="0" t="s">
        <v>966</v>
      </c>
      <c r="C293" s="0" t="s">
        <v>449</v>
      </c>
      <c r="D293" s="0" t="n">
        <v>6.667432444</v>
      </c>
      <c r="E293" s="0" t="n">
        <v>6.762181296</v>
      </c>
      <c r="F293" s="0" t="n">
        <v>7.195423204</v>
      </c>
      <c r="G293" s="0" t="n">
        <v>8.892192003</v>
      </c>
      <c r="H293" s="0" t="n">
        <v>11.5775037</v>
      </c>
    </row>
    <row r="294" customFormat="false" ht="15" hidden="false" customHeight="false" outlineLevel="0" collapsed="false">
      <c r="A294" s="0" t="s">
        <v>1490</v>
      </c>
      <c r="B294" s="0" t="s">
        <v>960</v>
      </c>
      <c r="C294" s="0" t="s">
        <v>449</v>
      </c>
      <c r="D294" s="0" t="n">
        <v>3.248522703</v>
      </c>
      <c r="E294" s="0" t="n">
        <v>3.30546533</v>
      </c>
      <c r="F294" s="0" t="n">
        <v>3.736904234</v>
      </c>
      <c r="G294" s="0" t="n">
        <v>4.949155207</v>
      </c>
      <c r="H294" s="0" t="n">
        <v>6.695773893</v>
      </c>
    </row>
    <row r="295" customFormat="false" ht="15" hidden="false" customHeight="false" outlineLevel="0" collapsed="false">
      <c r="A295" s="0" t="s">
        <v>1491</v>
      </c>
      <c r="B295" s="0" t="s">
        <v>1002</v>
      </c>
      <c r="C295" s="0" t="s">
        <v>449</v>
      </c>
      <c r="D295" s="0" t="n">
        <v>3.216061299</v>
      </c>
      <c r="E295" s="0" t="n">
        <v>3.328221766</v>
      </c>
      <c r="F295" s="0" t="n">
        <v>3.656359231</v>
      </c>
      <c r="G295" s="0" t="n">
        <v>4.408842222</v>
      </c>
      <c r="H295" s="0" t="n">
        <v>5.313268184</v>
      </c>
    </row>
    <row r="296" customFormat="false" ht="15" hidden="false" customHeight="false" outlineLevel="0" collapsed="false">
      <c r="A296" s="0" t="s">
        <v>1492</v>
      </c>
      <c r="B296" s="0" t="s">
        <v>720</v>
      </c>
      <c r="C296" s="0" t="s">
        <v>449</v>
      </c>
      <c r="D296" s="0" t="n">
        <v>255.8381269</v>
      </c>
      <c r="E296" s="0" t="n">
        <v>255.7091842</v>
      </c>
      <c r="F296" s="0" t="n">
        <v>268.210576</v>
      </c>
      <c r="G296" s="0" t="n">
        <v>312.4009905</v>
      </c>
      <c r="H296" s="0" t="n">
        <v>376.4866511</v>
      </c>
    </row>
    <row r="297" customFormat="false" ht="15" hidden="false" customHeight="false" outlineLevel="0" collapsed="false">
      <c r="A297" s="0" t="s">
        <v>1493</v>
      </c>
      <c r="B297" s="0" t="s">
        <v>970</v>
      </c>
      <c r="C297" s="0" t="s">
        <v>449</v>
      </c>
      <c r="D297" s="0" t="n">
        <v>14.72300267</v>
      </c>
      <c r="E297" s="0" t="n">
        <v>15.05701791</v>
      </c>
      <c r="F297" s="0" t="n">
        <v>16.58450784</v>
      </c>
      <c r="G297" s="0" t="n">
        <v>20.03658764</v>
      </c>
      <c r="H297" s="0" t="n">
        <v>24.14687536</v>
      </c>
    </row>
    <row r="298" customFormat="false" ht="15" hidden="false" customHeight="false" outlineLevel="0" collapsed="false">
      <c r="A298" s="0" t="s">
        <v>1494</v>
      </c>
      <c r="B298" s="0" t="s">
        <v>918</v>
      </c>
      <c r="C298" s="0" t="s">
        <v>449</v>
      </c>
      <c r="D298" s="0" t="n">
        <v>5.663700429</v>
      </c>
      <c r="E298" s="0" t="n">
        <v>5.8553735</v>
      </c>
      <c r="F298" s="0" t="n">
        <v>7.036868481</v>
      </c>
      <c r="G298" s="0" t="n">
        <v>9.756920259</v>
      </c>
      <c r="H298" s="0" t="n">
        <v>13.20025928</v>
      </c>
    </row>
    <row r="299" customFormat="false" ht="15" hidden="false" customHeight="false" outlineLevel="0" collapsed="false">
      <c r="A299" s="0" t="s">
        <v>1495</v>
      </c>
      <c r="B299" s="0" t="s">
        <v>936</v>
      </c>
      <c r="C299" s="0" t="s">
        <v>449</v>
      </c>
      <c r="D299" s="0" t="n">
        <v>4.472353046</v>
      </c>
      <c r="E299" s="0" t="n">
        <v>4.59060281</v>
      </c>
      <c r="F299" s="0" t="n">
        <v>5.115375586</v>
      </c>
      <c r="G299" s="0" t="n">
        <v>5.794727445</v>
      </c>
      <c r="H299" s="0" t="n">
        <v>6.210130608</v>
      </c>
    </row>
    <row r="300" customFormat="false" ht="15" hidden="false" customHeight="false" outlineLevel="0" collapsed="false">
      <c r="A300" s="0" t="s">
        <v>1496</v>
      </c>
      <c r="B300" s="0" t="s">
        <v>862</v>
      </c>
      <c r="C300" s="0" t="s">
        <v>449</v>
      </c>
      <c r="D300" s="0" t="n">
        <v>31.78377022</v>
      </c>
      <c r="E300" s="0" t="n">
        <v>31.12775626</v>
      </c>
      <c r="F300" s="0" t="n">
        <v>34.35588289</v>
      </c>
      <c r="G300" s="0" t="n">
        <v>43.63066215</v>
      </c>
      <c r="H300" s="0" t="n">
        <v>56.80648283</v>
      </c>
    </row>
    <row r="301" customFormat="false" ht="15" hidden="false" customHeight="false" outlineLevel="0" collapsed="false">
      <c r="A301" s="0" t="s">
        <v>1497</v>
      </c>
      <c r="B301" s="0" t="s">
        <v>996</v>
      </c>
      <c r="C301" s="0" t="s">
        <v>449</v>
      </c>
      <c r="D301" s="0" t="n">
        <v>5.798924136</v>
      </c>
      <c r="E301" s="0" t="n">
        <v>5.894374431</v>
      </c>
      <c r="F301" s="0" t="n">
        <v>6.427803432</v>
      </c>
      <c r="G301" s="0" t="n">
        <v>7.707798517</v>
      </c>
      <c r="H301" s="0" t="n">
        <v>9.288969431</v>
      </c>
    </row>
    <row r="302" customFormat="false" ht="15" hidden="false" customHeight="false" outlineLevel="0" collapsed="false">
      <c r="A302" s="0" t="s">
        <v>1498</v>
      </c>
      <c r="B302" s="0" t="s">
        <v>928</v>
      </c>
      <c r="C302" s="0" t="s">
        <v>449</v>
      </c>
      <c r="D302" s="0" t="n">
        <v>9.517336458</v>
      </c>
      <c r="E302" s="0" t="n">
        <v>9.985032251</v>
      </c>
      <c r="F302" s="0" t="n">
        <v>11.87441747</v>
      </c>
      <c r="G302" s="0" t="n">
        <v>15.94858316</v>
      </c>
      <c r="H302" s="0" t="n">
        <v>20.76482159</v>
      </c>
    </row>
    <row r="303" customFormat="false" ht="15" hidden="false" customHeight="false" outlineLevel="0" collapsed="false">
      <c r="A303" s="0" t="s">
        <v>1499</v>
      </c>
      <c r="B303" s="0" t="s">
        <v>954</v>
      </c>
      <c r="C303" s="0" t="s">
        <v>449</v>
      </c>
      <c r="D303" s="0" t="n">
        <v>6.05628864</v>
      </c>
      <c r="E303" s="0" t="n">
        <v>6.000882932</v>
      </c>
      <c r="F303" s="0" t="n">
        <v>6.111736282</v>
      </c>
      <c r="G303" s="0" t="n">
        <v>7.490646073</v>
      </c>
      <c r="H303" s="0" t="n">
        <v>10.13418863</v>
      </c>
    </row>
    <row r="304" customFormat="false" ht="15" hidden="false" customHeight="false" outlineLevel="0" collapsed="false">
      <c r="A304" s="0" t="s">
        <v>1500</v>
      </c>
      <c r="B304" s="0" t="s">
        <v>988</v>
      </c>
      <c r="C304" s="0" t="s">
        <v>449</v>
      </c>
      <c r="D304" s="0" t="n">
        <v>2.881823839</v>
      </c>
      <c r="E304" s="0" t="n">
        <v>2.963777209</v>
      </c>
      <c r="F304" s="0" t="n">
        <v>3.42853495</v>
      </c>
      <c r="G304" s="0" t="n">
        <v>4.510123032</v>
      </c>
      <c r="H304" s="0" t="n">
        <v>5.872114105</v>
      </c>
    </row>
    <row r="305" customFormat="false" ht="15" hidden="false" customHeight="false" outlineLevel="0" collapsed="false">
      <c r="A305" s="0" t="s">
        <v>1501</v>
      </c>
      <c r="B305" s="0" t="s">
        <v>974</v>
      </c>
      <c r="C305" s="0" t="s">
        <v>449</v>
      </c>
      <c r="D305" s="0" t="n">
        <v>4.470917783</v>
      </c>
      <c r="E305" s="0" t="n">
        <v>4.558663692</v>
      </c>
      <c r="F305" s="0" t="n">
        <v>5.07141289</v>
      </c>
      <c r="G305" s="0" t="n">
        <v>6.173042499</v>
      </c>
      <c r="H305" s="0" t="n">
        <v>7.439374932</v>
      </c>
    </row>
    <row r="306" customFormat="false" ht="15" hidden="false" customHeight="false" outlineLevel="0" collapsed="false">
      <c r="A306" s="0" t="s">
        <v>1502</v>
      </c>
      <c r="B306" s="0" t="s">
        <v>992</v>
      </c>
      <c r="C306" s="0" t="s">
        <v>449</v>
      </c>
      <c r="D306" s="0" t="n">
        <v>2.855371227</v>
      </c>
      <c r="E306" s="0" t="n">
        <v>2.888503316</v>
      </c>
      <c r="F306" s="0" t="n">
        <v>3.116089377</v>
      </c>
      <c r="G306" s="0" t="n">
        <v>3.985367822</v>
      </c>
      <c r="H306" s="0" t="n">
        <v>5.391853901</v>
      </c>
    </row>
    <row r="307" customFormat="false" ht="15" hidden="false" customHeight="false" outlineLevel="0" collapsed="false">
      <c r="A307" s="0" t="s">
        <v>1503</v>
      </c>
      <c r="B307" s="0" t="s">
        <v>760</v>
      </c>
      <c r="C307" s="0" t="s">
        <v>449</v>
      </c>
      <c r="D307" s="0" t="n">
        <v>181.0957586</v>
      </c>
      <c r="E307" s="0" t="n">
        <v>187.6113116</v>
      </c>
      <c r="F307" s="0" t="n">
        <v>217.8607198</v>
      </c>
      <c r="G307" s="0" t="n">
        <v>273.8921599</v>
      </c>
      <c r="H307" s="0" t="n">
        <v>330.0781534</v>
      </c>
    </row>
    <row r="308" customFormat="false" ht="15" hidden="false" customHeight="false" outlineLevel="0" collapsed="false">
      <c r="A308" s="0" t="s">
        <v>1504</v>
      </c>
      <c r="B308" s="0" t="s">
        <v>982</v>
      </c>
      <c r="C308" s="0" t="s">
        <v>449</v>
      </c>
      <c r="D308" s="0" t="n">
        <v>4.47052646</v>
      </c>
      <c r="E308" s="0" t="n">
        <v>4.534905733</v>
      </c>
      <c r="F308" s="0" t="n">
        <v>4.879022936</v>
      </c>
      <c r="G308" s="0" t="n">
        <v>5.791787044</v>
      </c>
      <c r="H308" s="0" t="n">
        <v>6.979909074</v>
      </c>
    </row>
    <row r="309" customFormat="false" ht="15" hidden="false" customHeight="false" outlineLevel="0" collapsed="false">
      <c r="A309" s="0" t="s">
        <v>1505</v>
      </c>
      <c r="B309" s="0" t="s">
        <v>940</v>
      </c>
      <c r="C309" s="0" t="s">
        <v>449</v>
      </c>
      <c r="D309" s="0" t="n">
        <v>3.481375676</v>
      </c>
      <c r="E309" s="0" t="n">
        <v>3.653986959</v>
      </c>
      <c r="F309" s="0" t="n">
        <v>4.569386634</v>
      </c>
      <c r="G309" s="0" t="n">
        <v>6.528651946</v>
      </c>
      <c r="H309" s="0" t="n">
        <v>8.832694757</v>
      </c>
    </row>
    <row r="310" customFormat="false" ht="15" hidden="false" customHeight="false" outlineLevel="0" collapsed="false">
      <c r="A310" s="0" t="s">
        <v>1506</v>
      </c>
      <c r="B310" s="0" t="s">
        <v>792</v>
      </c>
      <c r="C310" s="0" t="s">
        <v>449</v>
      </c>
      <c r="D310" s="0" t="n">
        <v>76.20486833</v>
      </c>
      <c r="E310" s="0" t="n">
        <v>78.25043372</v>
      </c>
      <c r="F310" s="0" t="n">
        <v>89.45817002</v>
      </c>
      <c r="G310" s="0" t="n">
        <v>116.6403556</v>
      </c>
      <c r="H310" s="0" t="n">
        <v>151.864034</v>
      </c>
    </row>
    <row r="311" customFormat="false" ht="15" hidden="false" customHeight="false" outlineLevel="0" collapsed="false">
      <c r="A311" s="0" t="s">
        <v>1507</v>
      </c>
      <c r="B311" s="0" t="s">
        <v>948</v>
      </c>
      <c r="C311" s="0" t="s">
        <v>449</v>
      </c>
      <c r="D311" s="0" t="n">
        <v>5.934618934</v>
      </c>
      <c r="E311" s="0" t="n">
        <v>6.136583487</v>
      </c>
      <c r="F311" s="0" t="n">
        <v>6.965260741</v>
      </c>
      <c r="G311" s="0" t="n">
        <v>9.03284981</v>
      </c>
      <c r="H311" s="0" t="n">
        <v>11.7606381</v>
      </c>
    </row>
    <row r="312" customFormat="false" ht="15" hidden="false" customHeight="false" outlineLevel="0" collapsed="false">
      <c r="A312" s="0" t="s">
        <v>1508</v>
      </c>
      <c r="B312" s="0" t="s">
        <v>730</v>
      </c>
      <c r="C312" s="0" t="s">
        <v>449</v>
      </c>
      <c r="D312" s="0" t="n">
        <v>63.7538078</v>
      </c>
      <c r="E312" s="0" t="n">
        <v>64.37679635</v>
      </c>
      <c r="F312" s="0" t="n">
        <v>66.04528742</v>
      </c>
      <c r="G312" s="0" t="n">
        <v>70.30239635</v>
      </c>
      <c r="H312" s="0" t="n">
        <v>75.34212223</v>
      </c>
    </row>
    <row r="313" customFormat="false" ht="15" hidden="false" customHeight="false" outlineLevel="0" collapsed="false">
      <c r="A313" s="0" t="s">
        <v>1509</v>
      </c>
      <c r="B313" s="0" t="s">
        <v>762</v>
      </c>
      <c r="C313" s="0" t="s">
        <v>449</v>
      </c>
      <c r="D313" s="0" t="n">
        <v>135.501707</v>
      </c>
      <c r="E313" s="0" t="n">
        <v>135.9966082</v>
      </c>
      <c r="F313" s="0" t="n">
        <v>140.6679462</v>
      </c>
      <c r="G313" s="0" t="n">
        <v>150.6564704</v>
      </c>
      <c r="H313" s="0" t="n">
        <v>161.4564908</v>
      </c>
    </row>
    <row r="314" customFormat="false" ht="15" hidden="false" customHeight="false" outlineLevel="0" collapsed="false">
      <c r="A314" s="0" t="s">
        <v>1510</v>
      </c>
      <c r="B314" s="0" t="s">
        <v>892</v>
      </c>
      <c r="C314" s="0" t="s">
        <v>449</v>
      </c>
      <c r="D314" s="0" t="n">
        <v>17.78343807</v>
      </c>
      <c r="E314" s="0" t="n">
        <v>18.34375743</v>
      </c>
      <c r="F314" s="0" t="n">
        <v>20.27591088</v>
      </c>
      <c r="G314" s="0" t="n">
        <v>26.40550252</v>
      </c>
      <c r="H314" s="0" t="n">
        <v>35.72433415</v>
      </c>
    </row>
    <row r="315" customFormat="false" ht="15" hidden="false" customHeight="false" outlineLevel="0" collapsed="false">
      <c r="A315" s="0" t="s">
        <v>1511</v>
      </c>
      <c r="B315" s="0" t="s">
        <v>1064</v>
      </c>
      <c r="C315" s="0" t="s">
        <v>449</v>
      </c>
      <c r="D315" s="0" t="n">
        <v>0.07065965602</v>
      </c>
      <c r="E315" s="0" t="n">
        <v>0.07155011981</v>
      </c>
      <c r="F315" s="0" t="n">
        <v>0.076296654</v>
      </c>
      <c r="G315" s="0" t="n">
        <v>0.08996877248</v>
      </c>
      <c r="H315" s="0" t="n">
        <v>0.1084248862</v>
      </c>
    </row>
    <row r="316" customFormat="false" ht="15" hidden="false" customHeight="false" outlineLevel="0" collapsed="false">
      <c r="A316" s="0" t="s">
        <v>1512</v>
      </c>
      <c r="B316" s="0" t="s">
        <v>796</v>
      </c>
      <c r="C316" s="0" t="s">
        <v>449</v>
      </c>
      <c r="D316" s="0" t="n">
        <v>49.57908746</v>
      </c>
      <c r="E316" s="0" t="n">
        <v>49.40187317</v>
      </c>
      <c r="F316" s="0" t="n">
        <v>52.24072083</v>
      </c>
      <c r="G316" s="0" t="n">
        <v>56.88656867</v>
      </c>
      <c r="H316" s="0" t="n">
        <v>60.96456212</v>
      </c>
    </row>
    <row r="317" customFormat="false" ht="15" hidden="false" customHeight="false" outlineLevel="0" collapsed="false">
      <c r="A317" s="0" t="s">
        <v>1513</v>
      </c>
      <c r="B317" s="0" t="s">
        <v>832</v>
      </c>
      <c r="C317" s="0" t="s">
        <v>449</v>
      </c>
      <c r="D317" s="0" t="n">
        <v>71.52468137</v>
      </c>
      <c r="E317" s="0" t="n">
        <v>72.52976384</v>
      </c>
      <c r="F317" s="0" t="n">
        <v>80.15847068</v>
      </c>
      <c r="G317" s="0" t="n">
        <v>90.24045348</v>
      </c>
      <c r="H317" s="0" t="n">
        <v>96.70946694</v>
      </c>
    </row>
    <row r="318" customFormat="false" ht="15" hidden="false" customHeight="false" outlineLevel="0" collapsed="false">
      <c r="A318" s="0" t="s">
        <v>1514</v>
      </c>
      <c r="B318" s="0" t="s">
        <v>772</v>
      </c>
      <c r="C318" s="0" t="s">
        <v>449</v>
      </c>
      <c r="D318" s="0" t="n">
        <v>220.8068038</v>
      </c>
      <c r="E318" s="0" t="n">
        <v>225.1281133</v>
      </c>
      <c r="F318" s="0" t="n">
        <v>253.5358182</v>
      </c>
      <c r="G318" s="0" t="n">
        <v>326.8727585</v>
      </c>
      <c r="H318" s="0" t="n">
        <v>425.5835421</v>
      </c>
    </row>
    <row r="319" customFormat="false" ht="15" hidden="false" customHeight="false" outlineLevel="0" collapsed="false">
      <c r="A319" s="0" t="s">
        <v>1515</v>
      </c>
      <c r="B319" s="0" t="s">
        <v>848</v>
      </c>
      <c r="C319" s="0" t="s">
        <v>449</v>
      </c>
      <c r="D319" s="0" t="n">
        <v>16.15895302</v>
      </c>
      <c r="E319" s="0" t="n">
        <v>16.63570151</v>
      </c>
      <c r="F319" s="0" t="n">
        <v>18.62359795</v>
      </c>
      <c r="G319" s="0" t="n">
        <v>21.17112909</v>
      </c>
      <c r="H319" s="0" t="n">
        <v>22.68881117</v>
      </c>
    </row>
    <row r="320" customFormat="false" ht="15" hidden="false" customHeight="false" outlineLevel="0" collapsed="false">
      <c r="A320" s="0" t="s">
        <v>1516</v>
      </c>
      <c r="B320" s="0" t="s">
        <v>784</v>
      </c>
      <c r="C320" s="0" t="s">
        <v>449</v>
      </c>
      <c r="D320" s="0" t="n">
        <v>42.63371568</v>
      </c>
      <c r="E320" s="0" t="n">
        <v>43.58475143</v>
      </c>
      <c r="F320" s="0" t="n">
        <v>47.56078704</v>
      </c>
      <c r="G320" s="0" t="n">
        <v>57.06027052</v>
      </c>
      <c r="H320" s="0" t="n">
        <v>68.76556353</v>
      </c>
    </row>
    <row r="321" customFormat="false" ht="15" hidden="false" customHeight="false" outlineLevel="0" collapsed="false">
      <c r="A321" s="0" t="s">
        <v>1517</v>
      </c>
      <c r="B321" s="0" t="s">
        <v>754</v>
      </c>
      <c r="C321" s="0" t="s">
        <v>449</v>
      </c>
      <c r="D321" s="0" t="n">
        <v>162.8948223</v>
      </c>
      <c r="E321" s="0" t="n">
        <v>167.7689556</v>
      </c>
      <c r="F321" s="0" t="n">
        <v>191.8489106</v>
      </c>
      <c r="G321" s="0" t="n">
        <v>250.1923601</v>
      </c>
      <c r="H321" s="0" t="n">
        <v>325.746787</v>
      </c>
    </row>
    <row r="322" customFormat="false" ht="15" hidden="false" customHeight="false" outlineLevel="0" collapsed="false">
      <c r="A322" s="0" t="s">
        <v>1518</v>
      </c>
      <c r="B322" s="0" t="s">
        <v>1062</v>
      </c>
      <c r="C322" s="0" t="s">
        <v>449</v>
      </c>
      <c r="D322" s="0" t="n">
        <v>0.1060677858</v>
      </c>
      <c r="E322" s="0" t="n">
        <v>0.1108466281</v>
      </c>
      <c r="F322" s="0" t="n">
        <v>0.1218880255</v>
      </c>
      <c r="G322" s="0" t="n">
        <v>0.1366955435</v>
      </c>
      <c r="H322" s="0" t="n">
        <v>0.1464947553</v>
      </c>
    </row>
    <row r="323" customFormat="false" ht="15" hidden="false" customHeight="false" outlineLevel="0" collapsed="false">
      <c r="A323" s="0" t="s">
        <v>1519</v>
      </c>
      <c r="B323" s="0" t="s">
        <v>912</v>
      </c>
      <c r="C323" s="0" t="s">
        <v>449</v>
      </c>
      <c r="D323" s="0" t="n">
        <v>2.111613471</v>
      </c>
      <c r="E323" s="0" t="n">
        <v>2.195337063</v>
      </c>
      <c r="F323" s="0" t="n">
        <v>2.484644192</v>
      </c>
      <c r="G323" s="0" t="n">
        <v>3.215263555</v>
      </c>
      <c r="H323" s="0" t="n">
        <v>4.186226038</v>
      </c>
    </row>
    <row r="324" customFormat="false" ht="15" hidden="false" customHeight="false" outlineLevel="0" collapsed="false">
      <c r="A324" s="0" t="s">
        <v>1520</v>
      </c>
      <c r="B324" s="0" t="s">
        <v>732</v>
      </c>
      <c r="C324" s="0" t="s">
        <v>449</v>
      </c>
      <c r="D324" s="0" t="n">
        <v>155.2815651</v>
      </c>
      <c r="E324" s="0" t="n">
        <v>158.909947</v>
      </c>
      <c r="F324" s="0" t="n">
        <v>174.8784685</v>
      </c>
      <c r="G324" s="0" t="n">
        <v>196.2418381</v>
      </c>
      <c r="H324" s="0" t="n">
        <v>210.3097095</v>
      </c>
    </row>
    <row r="325" customFormat="false" ht="15" hidden="false" customHeight="false" outlineLevel="0" collapsed="false">
      <c r="A325" s="0" t="s">
        <v>1521</v>
      </c>
      <c r="B325" s="0" t="s">
        <v>834</v>
      </c>
      <c r="C325" s="0" t="s">
        <v>449</v>
      </c>
      <c r="D325" s="0" t="n">
        <v>0</v>
      </c>
      <c r="E325" s="0" t="n">
        <v>0</v>
      </c>
      <c r="F325" s="0" t="n">
        <v>0</v>
      </c>
      <c r="G325" s="0" t="n">
        <v>0</v>
      </c>
      <c r="H325" s="0" t="n">
        <v>0</v>
      </c>
    </row>
    <row r="326" customFormat="false" ht="15" hidden="false" customHeight="false" outlineLevel="0" collapsed="false">
      <c r="A326" s="0" t="s">
        <v>1522</v>
      </c>
      <c r="B326" s="0" t="s">
        <v>786</v>
      </c>
      <c r="C326" s="0" t="s">
        <v>449</v>
      </c>
      <c r="D326" s="0" t="n">
        <v>62.88370603</v>
      </c>
      <c r="E326" s="0" t="n">
        <v>63.50218193</v>
      </c>
      <c r="F326" s="0" t="n">
        <v>66.69895725</v>
      </c>
      <c r="G326" s="0" t="n">
        <v>72.26255742</v>
      </c>
      <c r="H326" s="0" t="n">
        <v>77.4428002</v>
      </c>
    </row>
    <row r="327" customFormat="false" ht="15" hidden="false" customHeight="false" outlineLevel="0" collapsed="false">
      <c r="A327" s="0" t="s">
        <v>1523</v>
      </c>
      <c r="B327" s="0" t="s">
        <v>888</v>
      </c>
      <c r="C327" s="0" t="s">
        <v>449</v>
      </c>
      <c r="D327" s="0" t="n">
        <v>31.32544558</v>
      </c>
      <c r="E327" s="0" t="n">
        <v>32.65697003</v>
      </c>
      <c r="F327" s="0" t="n">
        <v>37.3039601</v>
      </c>
      <c r="G327" s="0" t="n">
        <v>46.32001913</v>
      </c>
      <c r="H327" s="0" t="n">
        <v>55.82206655</v>
      </c>
    </row>
    <row r="328" customFormat="false" ht="15" hidden="false" customHeight="false" outlineLevel="0" collapsed="false">
      <c r="A328" s="0" t="s">
        <v>1524</v>
      </c>
      <c r="B328" s="0" t="s">
        <v>816</v>
      </c>
      <c r="C328" s="0" t="s">
        <v>449</v>
      </c>
      <c r="D328" s="0" t="n">
        <v>82.58634858</v>
      </c>
      <c r="E328" s="0" t="n">
        <v>84.00979702</v>
      </c>
      <c r="F328" s="0" t="n">
        <v>60.76447685</v>
      </c>
      <c r="G328" s="0" t="n">
        <v>50.05791675</v>
      </c>
      <c r="H328" s="0" t="n">
        <v>53.64638872</v>
      </c>
    </row>
    <row r="329" customFormat="false" ht="15" hidden="false" customHeight="false" outlineLevel="0" collapsed="false">
      <c r="A329" s="0" t="s">
        <v>1525</v>
      </c>
      <c r="B329" s="0" t="s">
        <v>776</v>
      </c>
      <c r="C329" s="0" t="s">
        <v>449</v>
      </c>
      <c r="D329" s="0" t="n">
        <v>61.46180408</v>
      </c>
      <c r="E329" s="0" t="n">
        <v>61.48115822</v>
      </c>
      <c r="F329" s="0" t="n">
        <v>62.45907214</v>
      </c>
      <c r="G329" s="0" t="n">
        <v>71.03997114</v>
      </c>
      <c r="H329" s="0" t="n">
        <v>85.61304747</v>
      </c>
    </row>
    <row r="330" customFormat="false" ht="15" hidden="false" customHeight="false" outlineLevel="0" collapsed="false">
      <c r="A330" s="0" t="s">
        <v>1526</v>
      </c>
      <c r="B330" s="0" t="s">
        <v>714</v>
      </c>
      <c r="C330" s="0" t="s">
        <v>449</v>
      </c>
      <c r="D330" s="0" t="n">
        <v>731.5343781</v>
      </c>
      <c r="E330" s="0" t="n">
        <v>733.6018407</v>
      </c>
      <c r="F330" s="0" t="n">
        <v>755.3652894</v>
      </c>
      <c r="G330" s="0" t="n">
        <v>867.7785859</v>
      </c>
      <c r="H330" s="0" t="n">
        <v>1045.793911</v>
      </c>
    </row>
    <row r="331" customFormat="false" ht="15" hidden="false" customHeight="false" outlineLevel="0" collapsed="false">
      <c r="A331" s="0" t="s">
        <v>1527</v>
      </c>
      <c r="B331" s="0" t="s">
        <v>958</v>
      </c>
      <c r="C331" s="0" t="s">
        <v>449</v>
      </c>
      <c r="D331" s="0" t="n">
        <v>0.7285231405</v>
      </c>
      <c r="E331" s="0" t="n">
        <v>0.7650906045</v>
      </c>
      <c r="F331" s="0" t="n">
        <v>0.97242046</v>
      </c>
      <c r="G331" s="0" t="n">
        <v>1.406563059</v>
      </c>
      <c r="H331" s="0" t="n">
        <v>1.90295673</v>
      </c>
    </row>
    <row r="332" customFormat="false" ht="15" hidden="false" customHeight="false" outlineLevel="0" collapsed="false">
      <c r="A332" s="0" t="s">
        <v>1528</v>
      </c>
      <c r="B332" s="0" t="s">
        <v>728</v>
      </c>
      <c r="C332" s="0" t="s">
        <v>449</v>
      </c>
      <c r="D332" s="0" t="n">
        <v>562.2590441</v>
      </c>
      <c r="E332" s="0" t="n">
        <v>579.5221901</v>
      </c>
      <c r="F332" s="0" t="n">
        <v>633.3354014</v>
      </c>
      <c r="G332" s="0" t="n">
        <v>706.9797412</v>
      </c>
      <c r="H332" s="0" t="n">
        <v>757.6605754</v>
      </c>
    </row>
    <row r="333" customFormat="false" ht="15" hidden="false" customHeight="false" outlineLevel="0" collapsed="false">
      <c r="A333" s="0" t="s">
        <v>1529</v>
      </c>
      <c r="B333" s="0" t="s">
        <v>932</v>
      </c>
      <c r="C333" s="0" t="s">
        <v>449</v>
      </c>
      <c r="D333" s="0" t="n">
        <v>25.05943991</v>
      </c>
      <c r="E333" s="0" t="n">
        <v>25.57603465</v>
      </c>
      <c r="F333" s="0" t="n">
        <v>26.14667076</v>
      </c>
      <c r="G333" s="0" t="n">
        <v>31.36689007</v>
      </c>
      <c r="H333" s="0" t="n">
        <v>40.83923128</v>
      </c>
    </row>
    <row r="334" customFormat="false" ht="15" hidden="false" customHeight="false" outlineLevel="0" collapsed="false">
      <c r="A334" s="0" t="s">
        <v>1530</v>
      </c>
      <c r="B334" s="0" t="s">
        <v>910</v>
      </c>
      <c r="C334" s="0" t="s">
        <v>449</v>
      </c>
      <c r="D334" s="0" t="n">
        <v>11.00055058</v>
      </c>
      <c r="E334" s="0" t="n">
        <v>11.63065923</v>
      </c>
      <c r="F334" s="0" t="n">
        <v>12.52439966</v>
      </c>
      <c r="G334" s="0" t="n">
        <v>15.99677849</v>
      </c>
      <c r="H334" s="0" t="n">
        <v>21.64224141</v>
      </c>
    </row>
    <row r="335" customFormat="false" ht="15" hidden="false" customHeight="false" outlineLevel="0" collapsed="false">
      <c r="A335" s="0" t="s">
        <v>1531</v>
      </c>
      <c r="B335" s="0" t="s">
        <v>740</v>
      </c>
      <c r="C335" s="0" t="s">
        <v>449</v>
      </c>
      <c r="D335" s="0" t="n">
        <v>29.66717521</v>
      </c>
      <c r="E335" s="0" t="n">
        <v>30.69995017</v>
      </c>
      <c r="F335" s="0" t="n">
        <v>33.99102323</v>
      </c>
      <c r="G335" s="0" t="n">
        <v>38.31915622</v>
      </c>
      <c r="H335" s="0" t="n">
        <v>41.06611868</v>
      </c>
    </row>
    <row r="336" customFormat="false" ht="15" hidden="false" customHeight="false" outlineLevel="0" collapsed="false">
      <c r="A336" s="0" t="s">
        <v>1532</v>
      </c>
      <c r="B336" s="0" t="s">
        <v>1042</v>
      </c>
      <c r="C336" s="0" t="s">
        <v>449</v>
      </c>
      <c r="D336" s="0" t="n">
        <v>0.1078143626</v>
      </c>
      <c r="E336" s="0" t="n">
        <v>0.1095710597</v>
      </c>
      <c r="F336" s="0" t="n">
        <v>0.1200920756</v>
      </c>
      <c r="G336" s="0" t="n">
        <v>0.1517186968</v>
      </c>
      <c r="H336" s="0" t="n">
        <v>0.1975355202</v>
      </c>
    </row>
    <row r="337" customFormat="false" ht="15" hidden="false" customHeight="false" outlineLevel="0" collapsed="false">
      <c r="A337" s="0" t="s">
        <v>1533</v>
      </c>
      <c r="B337" s="0" t="s">
        <v>998</v>
      </c>
      <c r="C337" s="0" t="s">
        <v>449</v>
      </c>
      <c r="D337" s="0" t="n">
        <v>0.4003285657</v>
      </c>
      <c r="E337" s="0" t="n">
        <v>0.4122250382</v>
      </c>
      <c r="F337" s="0" t="n">
        <v>0.48026564</v>
      </c>
      <c r="G337" s="0" t="n">
        <v>0.6505572161</v>
      </c>
      <c r="H337" s="0" t="n">
        <v>0.8801469827</v>
      </c>
    </row>
    <row r="338" customFormat="false" ht="15" hidden="false" customHeight="false" outlineLevel="0" collapsed="false">
      <c r="A338" s="0" t="s">
        <v>1534</v>
      </c>
      <c r="B338" s="0" t="s">
        <v>908</v>
      </c>
      <c r="C338" s="0" t="s">
        <v>449</v>
      </c>
      <c r="D338" s="0" t="n">
        <v>12.60242964</v>
      </c>
      <c r="E338" s="0" t="n">
        <v>12.90955359</v>
      </c>
      <c r="F338" s="0" t="n">
        <v>14.3933758</v>
      </c>
      <c r="G338" s="0" t="n">
        <v>18.41792315</v>
      </c>
      <c r="H338" s="0" t="n">
        <v>23.97986608</v>
      </c>
    </row>
    <row r="339" customFormat="false" ht="15" hidden="false" customHeight="false" outlineLevel="0" collapsed="false">
      <c r="A339" s="0" t="s">
        <v>1535</v>
      </c>
      <c r="B339" s="0" t="s">
        <v>984</v>
      </c>
      <c r="C339" s="0" t="s">
        <v>449</v>
      </c>
      <c r="D339" s="0" t="n">
        <v>1.493344342</v>
      </c>
      <c r="E339" s="0" t="n">
        <v>1.521471</v>
      </c>
      <c r="F339" s="0" t="n">
        <v>1.661917383</v>
      </c>
      <c r="G339" s="0" t="n">
        <v>2.14531188</v>
      </c>
      <c r="H339" s="0" t="n">
        <v>2.902419236</v>
      </c>
    </row>
    <row r="340" customFormat="false" ht="15" hidden="false" customHeight="false" outlineLevel="0" collapsed="false">
      <c r="A340" s="0" t="s">
        <v>1536</v>
      </c>
      <c r="B340" s="0" t="s">
        <v>852</v>
      </c>
      <c r="C340" s="0" t="s">
        <v>449</v>
      </c>
      <c r="D340" s="0" t="n">
        <v>58.55977922</v>
      </c>
      <c r="E340" s="0" t="n">
        <v>59.21281093</v>
      </c>
      <c r="F340" s="0" t="n">
        <v>64.6468398</v>
      </c>
      <c r="G340" s="0" t="n">
        <v>77.58805252</v>
      </c>
      <c r="H340" s="0" t="n">
        <v>93.50439642</v>
      </c>
    </row>
    <row r="341" customFormat="false" ht="15" hidden="false" customHeight="false" outlineLevel="0" collapsed="false">
      <c r="A341" s="0" t="s">
        <v>1537</v>
      </c>
      <c r="B341" s="0" t="s">
        <v>1056</v>
      </c>
      <c r="C341" s="0" t="s">
        <v>449</v>
      </c>
      <c r="D341" s="0" t="n">
        <v>0.09905601419</v>
      </c>
      <c r="E341" s="0" t="n">
        <v>0.1002156115</v>
      </c>
      <c r="F341" s="0" t="n">
        <v>0.1121053608</v>
      </c>
      <c r="G341" s="0" t="n">
        <v>0.1438073963</v>
      </c>
      <c r="H341" s="0" t="n">
        <v>0.1872351229</v>
      </c>
    </row>
    <row r="342" customFormat="false" ht="15" hidden="false" customHeight="false" outlineLevel="0" collapsed="false">
      <c r="A342" s="0" t="s">
        <v>1538</v>
      </c>
      <c r="B342" s="0" t="s">
        <v>1016</v>
      </c>
      <c r="C342" s="0" t="s">
        <v>449</v>
      </c>
      <c r="D342" s="0" t="n">
        <v>3.146584387</v>
      </c>
      <c r="E342" s="0" t="n">
        <v>3.168719574</v>
      </c>
      <c r="F342" s="0" t="n">
        <v>3.587164979</v>
      </c>
      <c r="G342" s="0" t="n">
        <v>4.424039008</v>
      </c>
      <c r="H342" s="0" t="n">
        <v>5.331582426</v>
      </c>
    </row>
    <row r="343" customFormat="false" ht="15" hidden="false" customHeight="false" outlineLevel="0" collapsed="false">
      <c r="A343" s="0" t="s">
        <v>1539</v>
      </c>
      <c r="B343" s="0" t="s">
        <v>822</v>
      </c>
      <c r="C343" s="0" t="s">
        <v>449</v>
      </c>
      <c r="D343" s="0" t="n">
        <v>24.30386377</v>
      </c>
      <c r="E343" s="0" t="n">
        <v>24.33894856</v>
      </c>
      <c r="F343" s="0" t="n">
        <v>24.43972298</v>
      </c>
      <c r="G343" s="0" t="n">
        <v>25.60075923</v>
      </c>
      <c r="H343" s="0" t="n">
        <v>27.43598556</v>
      </c>
    </row>
    <row r="344" customFormat="false" ht="15" hidden="false" customHeight="false" outlineLevel="0" collapsed="false">
      <c r="A344" s="0" t="s">
        <v>1540</v>
      </c>
      <c r="B344" s="0" t="s">
        <v>870</v>
      </c>
      <c r="C344" s="0" t="s">
        <v>449</v>
      </c>
      <c r="D344" s="0" t="n">
        <v>15.4879764</v>
      </c>
      <c r="E344" s="0" t="n">
        <v>15.54146847</v>
      </c>
      <c r="F344" s="0" t="n">
        <v>16.36233497</v>
      </c>
      <c r="G344" s="0" t="n">
        <v>17.75857638</v>
      </c>
      <c r="H344" s="0" t="n">
        <v>19.03162483</v>
      </c>
    </row>
    <row r="345" customFormat="false" ht="15" hidden="false" customHeight="false" outlineLevel="0" collapsed="false">
      <c r="A345" s="0" t="s">
        <v>1541</v>
      </c>
      <c r="B345" s="0" t="s">
        <v>746</v>
      </c>
      <c r="C345" s="0" t="s">
        <v>449</v>
      </c>
      <c r="D345" s="0" t="n">
        <v>171.0980763</v>
      </c>
      <c r="E345" s="0" t="n">
        <v>172.3451463</v>
      </c>
      <c r="F345" s="0" t="n">
        <v>181.2223348</v>
      </c>
      <c r="G345" s="0" t="n">
        <v>196.50263</v>
      </c>
      <c r="H345" s="0" t="n">
        <v>210.5891966</v>
      </c>
    </row>
    <row r="346" customFormat="false" ht="15" hidden="false" customHeight="false" outlineLevel="0" collapsed="false">
      <c r="A346" s="0" t="s">
        <v>1542</v>
      </c>
      <c r="B346" s="0" t="s">
        <v>1010</v>
      </c>
      <c r="C346" s="0" t="s">
        <v>449</v>
      </c>
      <c r="D346" s="0" t="n">
        <v>2.00020584</v>
      </c>
      <c r="E346" s="0" t="n">
        <v>2.047575988</v>
      </c>
      <c r="F346" s="0" t="n">
        <v>2.339228994</v>
      </c>
      <c r="G346" s="0" t="n">
        <v>3.048429186</v>
      </c>
      <c r="H346" s="0" t="n">
        <v>3.969010134</v>
      </c>
    </row>
    <row r="347" customFormat="false" ht="15" hidden="false" customHeight="false" outlineLevel="0" collapsed="false">
      <c r="A347" s="0" t="s">
        <v>1543</v>
      </c>
      <c r="B347" s="0" t="s">
        <v>1036</v>
      </c>
      <c r="C347" s="0" t="s">
        <v>449</v>
      </c>
      <c r="D347" s="0" t="n">
        <v>0.5313502572</v>
      </c>
      <c r="E347" s="0" t="n">
        <v>0.5501366254</v>
      </c>
      <c r="F347" s="0" t="n">
        <v>0.5699181166</v>
      </c>
      <c r="G347" s="0" t="n">
        <v>0.6110985108</v>
      </c>
      <c r="H347" s="0" t="n">
        <v>0.6549059646</v>
      </c>
    </row>
    <row r="348" customFormat="false" ht="15" hidden="false" customHeight="false" outlineLevel="0" collapsed="false">
      <c r="A348" s="0" t="s">
        <v>1544</v>
      </c>
      <c r="B348" s="0" t="s">
        <v>858</v>
      </c>
      <c r="C348" s="0" t="s">
        <v>449</v>
      </c>
      <c r="D348" s="0" t="n">
        <v>45.83346788</v>
      </c>
      <c r="E348" s="0" t="n">
        <v>46.69672642</v>
      </c>
      <c r="F348" s="0" t="n">
        <v>51.69082947</v>
      </c>
      <c r="G348" s="0" t="n">
        <v>67.3908446</v>
      </c>
      <c r="H348" s="0" t="n">
        <v>91.17391533</v>
      </c>
    </row>
    <row r="349" customFormat="false" ht="15" hidden="false" customHeight="false" outlineLevel="0" collapsed="false">
      <c r="A349" s="0" t="s">
        <v>1545</v>
      </c>
      <c r="B349" s="0" t="s">
        <v>942</v>
      </c>
      <c r="C349" s="0" t="s">
        <v>449</v>
      </c>
      <c r="D349" s="0" t="n">
        <v>0.3555149443</v>
      </c>
      <c r="E349" s="0" t="n">
        <v>0.3695240203</v>
      </c>
      <c r="F349" s="0" t="n">
        <v>0.4401977077</v>
      </c>
      <c r="G349" s="0" t="n">
        <v>0.6063263686</v>
      </c>
      <c r="H349" s="0" t="n">
        <v>0.8203065168</v>
      </c>
    </row>
    <row r="350" customFormat="false" ht="15" hidden="false" customHeight="false" outlineLevel="0" collapsed="false">
      <c r="A350" s="0" t="s">
        <v>1546</v>
      </c>
      <c r="B350" s="0" t="s">
        <v>986</v>
      </c>
      <c r="C350" s="0" t="s">
        <v>449</v>
      </c>
      <c r="D350" s="0" t="n">
        <v>4.498372842</v>
      </c>
      <c r="E350" s="0" t="n">
        <v>4.685652362</v>
      </c>
      <c r="F350" s="0" t="n">
        <v>5.540061613</v>
      </c>
      <c r="G350" s="0" t="n">
        <v>7.587904622</v>
      </c>
      <c r="H350" s="0" t="n">
        <v>10.26577093</v>
      </c>
    </row>
    <row r="351" customFormat="false" ht="15" hidden="false" customHeight="false" outlineLevel="0" collapsed="false">
      <c r="A351" s="0" t="s">
        <v>1547</v>
      </c>
      <c r="B351" s="0" t="s">
        <v>752</v>
      </c>
      <c r="C351" s="0" t="s">
        <v>449</v>
      </c>
      <c r="D351" s="0" t="n">
        <v>222.825365</v>
      </c>
      <c r="E351" s="0" t="n">
        <v>225.9865726</v>
      </c>
      <c r="F351" s="0" t="n">
        <v>235.9273087</v>
      </c>
      <c r="G351" s="0" t="n">
        <v>273.8407659</v>
      </c>
      <c r="H351" s="0" t="n">
        <v>330.0162164</v>
      </c>
    </row>
    <row r="352" customFormat="false" ht="15" hidden="false" customHeight="false" outlineLevel="0" collapsed="false">
      <c r="A352" s="0" t="s">
        <v>1548</v>
      </c>
      <c r="B352" s="0" t="s">
        <v>968</v>
      </c>
      <c r="C352" s="0" t="s">
        <v>449</v>
      </c>
      <c r="D352" s="0" t="n">
        <v>21.81128946</v>
      </c>
      <c r="E352" s="0" t="n">
        <v>23.1493449</v>
      </c>
      <c r="F352" s="0" t="n">
        <v>28.27578729</v>
      </c>
      <c r="G352" s="0" t="n">
        <v>39.68831181</v>
      </c>
      <c r="H352" s="0" t="n">
        <v>53.69481273</v>
      </c>
    </row>
    <row r="353" customFormat="false" ht="15" hidden="false" customHeight="false" outlineLevel="0" collapsed="false">
      <c r="A353" s="0" t="s">
        <v>1549</v>
      </c>
      <c r="B353" s="0" t="s">
        <v>872</v>
      </c>
      <c r="C353" s="0" t="s">
        <v>449</v>
      </c>
      <c r="D353" s="0" t="n">
        <v>7.539024804</v>
      </c>
      <c r="E353" s="0" t="n">
        <v>7.715363967</v>
      </c>
      <c r="F353" s="0" t="n">
        <v>8.357620876</v>
      </c>
      <c r="G353" s="0" t="n">
        <v>9.971927461</v>
      </c>
      <c r="H353" s="0" t="n">
        <v>12.01755977</v>
      </c>
    </row>
    <row r="354" customFormat="false" ht="15" hidden="false" customHeight="false" outlineLevel="0" collapsed="false">
      <c r="A354" s="0" t="s">
        <v>1550</v>
      </c>
      <c r="B354" s="0" t="s">
        <v>1040</v>
      </c>
      <c r="C354" s="0" t="s">
        <v>449</v>
      </c>
      <c r="D354" s="0" t="n">
        <v>0.5588655739</v>
      </c>
      <c r="E354" s="0" t="n">
        <v>0.5760157102</v>
      </c>
      <c r="F354" s="0" t="n">
        <v>0.6594297238</v>
      </c>
      <c r="G354" s="0" t="n">
        <v>0.8606928347</v>
      </c>
      <c r="H354" s="0" t="n">
        <v>1.12060946</v>
      </c>
    </row>
    <row r="355" customFormat="false" ht="15" hidden="false" customHeight="false" outlineLevel="0" collapsed="false">
      <c r="A355" s="0" t="s">
        <v>1551</v>
      </c>
      <c r="B355" s="0" t="s">
        <v>1060</v>
      </c>
      <c r="C355" s="0" t="s">
        <v>449</v>
      </c>
      <c r="D355" s="0" t="n">
        <v>0.1712259142</v>
      </c>
      <c r="E355" s="0" t="n">
        <v>0.1741798545</v>
      </c>
      <c r="F355" s="0" t="n">
        <v>0.1869396681</v>
      </c>
      <c r="G355" s="0" t="n">
        <v>0.2215070081</v>
      </c>
      <c r="H355" s="0" t="n">
        <v>0.2669467582</v>
      </c>
    </row>
    <row r="356" customFormat="false" ht="15" hidden="false" customHeight="false" outlineLevel="0" collapsed="false">
      <c r="A356" s="0" t="s">
        <v>1552</v>
      </c>
      <c r="B356" s="0" t="s">
        <v>944</v>
      </c>
      <c r="C356" s="0" t="s">
        <v>449</v>
      </c>
      <c r="D356" s="0" t="n">
        <v>8.997660591</v>
      </c>
      <c r="E356" s="0" t="n">
        <v>9.008861765</v>
      </c>
      <c r="F356" s="0" t="n">
        <v>9.097079496</v>
      </c>
      <c r="G356" s="0" t="n">
        <v>9.569309649</v>
      </c>
      <c r="H356" s="0" t="n">
        <v>10.25529903</v>
      </c>
    </row>
    <row r="357" customFormat="false" ht="15" hidden="false" customHeight="false" outlineLevel="0" collapsed="false">
      <c r="A357" s="0" t="s">
        <v>1553</v>
      </c>
      <c r="B357" s="0" t="s">
        <v>884</v>
      </c>
      <c r="C357" s="0" t="s">
        <v>449</v>
      </c>
      <c r="D357" s="0" t="n">
        <v>23.26400406</v>
      </c>
      <c r="E357" s="0" t="n">
        <v>23.60879208</v>
      </c>
      <c r="F357" s="0" t="n">
        <v>25.3014016</v>
      </c>
      <c r="G357" s="0" t="n">
        <v>31.43433682</v>
      </c>
      <c r="H357" s="0" t="n">
        <v>40.92704595</v>
      </c>
    </row>
    <row r="358" customFormat="false" ht="15" hidden="false" customHeight="false" outlineLevel="0" collapsed="false">
      <c r="A358" s="0" t="s">
        <v>1554</v>
      </c>
      <c r="B358" s="0" t="s">
        <v>726</v>
      </c>
      <c r="C358" s="0" t="s">
        <v>449</v>
      </c>
      <c r="D358" s="0" t="n">
        <v>342.5515658</v>
      </c>
      <c r="E358" s="0" t="n">
        <v>350.6424299</v>
      </c>
      <c r="F358" s="0" t="n">
        <v>389.6421659</v>
      </c>
      <c r="G358" s="0" t="n">
        <v>473.8798324</v>
      </c>
      <c r="H358" s="0" t="n">
        <v>571.0911186</v>
      </c>
    </row>
    <row r="359" customFormat="false" ht="15" hidden="false" customHeight="false" outlineLevel="0" collapsed="false">
      <c r="A359" s="0" t="s">
        <v>1555</v>
      </c>
      <c r="B359" s="0" t="s">
        <v>842</v>
      </c>
      <c r="C359" s="0" t="s">
        <v>449</v>
      </c>
      <c r="D359" s="0" t="n">
        <v>13.99252225</v>
      </c>
      <c r="E359" s="0" t="n">
        <v>14.57363756</v>
      </c>
      <c r="F359" s="0" t="n">
        <v>17.76639669</v>
      </c>
      <c r="G359" s="0" t="n">
        <v>24.90061801</v>
      </c>
      <c r="H359" s="0" t="n">
        <v>33.68835711</v>
      </c>
    </row>
    <row r="360" customFormat="false" ht="15" hidden="false" customHeight="false" outlineLevel="0" collapsed="false">
      <c r="A360" s="0" t="s">
        <v>1556</v>
      </c>
      <c r="B360" s="0" t="s">
        <v>866</v>
      </c>
      <c r="C360" s="0" t="s">
        <v>449</v>
      </c>
      <c r="D360" s="0" t="n">
        <v>3.226003337</v>
      </c>
      <c r="E360" s="0" t="n">
        <v>3.381517827</v>
      </c>
      <c r="F360" s="0" t="n">
        <v>4.335907583</v>
      </c>
      <c r="G360" s="0" t="n">
        <v>6.313758321</v>
      </c>
      <c r="H360" s="0" t="n">
        <v>8.541962488</v>
      </c>
    </row>
    <row r="361" customFormat="false" ht="15" hidden="false" customHeight="false" outlineLevel="0" collapsed="false">
      <c r="A361" s="0" t="s">
        <v>1557</v>
      </c>
      <c r="B361" s="0" t="s">
        <v>804</v>
      </c>
      <c r="C361" s="0" t="s">
        <v>449</v>
      </c>
      <c r="D361" s="0" t="n">
        <v>98.45941255</v>
      </c>
      <c r="E361" s="0" t="n">
        <v>99.37780519</v>
      </c>
      <c r="F361" s="0" t="n">
        <v>106.1000608</v>
      </c>
      <c r="G361" s="0" t="n">
        <v>131.4472786</v>
      </c>
      <c r="H361" s="0" t="n">
        <v>171.1424307</v>
      </c>
    </row>
    <row r="362" customFormat="false" ht="15" hidden="false" customHeight="false" outlineLevel="0" collapsed="false">
      <c r="A362" s="0" t="s">
        <v>1558</v>
      </c>
      <c r="B362" s="0" t="s">
        <v>860</v>
      </c>
      <c r="C362" s="0" t="s">
        <v>449</v>
      </c>
      <c r="D362" s="0" t="n">
        <v>15.80936593</v>
      </c>
      <c r="E362" s="0" t="n">
        <v>15.95494881</v>
      </c>
      <c r="F362" s="0" t="n">
        <v>16.68493989</v>
      </c>
      <c r="G362" s="0" t="n">
        <v>18.01735032</v>
      </c>
      <c r="H362" s="0" t="n">
        <v>19.30894934</v>
      </c>
    </row>
    <row r="363" customFormat="false" ht="15" hidden="false" customHeight="false" outlineLevel="0" collapsed="false">
      <c r="A363" s="0" t="s">
        <v>1559</v>
      </c>
      <c r="B363" s="0" t="s">
        <v>693</v>
      </c>
      <c r="C363" s="0" t="s">
        <v>449</v>
      </c>
      <c r="D363" s="0" t="n">
        <v>5900.711602</v>
      </c>
      <c r="E363" s="0" t="n">
        <v>5970.583346</v>
      </c>
      <c r="F363" s="0" t="n">
        <v>6354.718306</v>
      </c>
      <c r="G363" s="0" t="n">
        <v>6953.660935</v>
      </c>
      <c r="H363" s="0" t="n">
        <v>7452.143871</v>
      </c>
    </row>
    <row r="364" customFormat="false" ht="15" hidden="false" customHeight="false" outlineLevel="0" collapsed="false">
      <c r="A364" s="0" t="s">
        <v>1560</v>
      </c>
      <c r="B364" s="0" t="s">
        <v>810</v>
      </c>
      <c r="C364" s="0" t="s">
        <v>449</v>
      </c>
      <c r="D364" s="0" t="n">
        <v>71.72191487</v>
      </c>
      <c r="E364" s="0" t="n">
        <v>75.72832953</v>
      </c>
      <c r="F364" s="0" t="n">
        <v>93.67454029</v>
      </c>
      <c r="G364" s="0" t="n">
        <v>129.613966</v>
      </c>
      <c r="H364" s="0" t="n">
        <v>168.7554846</v>
      </c>
    </row>
    <row r="365" customFormat="false" ht="15" hidden="false" customHeight="false" outlineLevel="0" collapsed="false">
      <c r="A365" s="0" t="s">
        <v>1561</v>
      </c>
      <c r="B365" s="0" t="s">
        <v>1052</v>
      </c>
      <c r="C365" s="0" t="s">
        <v>449</v>
      </c>
      <c r="D365" s="0" t="n">
        <v>0.2877702034</v>
      </c>
      <c r="E365" s="0" t="n">
        <v>0.2940780367</v>
      </c>
      <c r="F365" s="0" t="n">
        <v>0.3228354221</v>
      </c>
      <c r="G365" s="0" t="n">
        <v>0.3890615928</v>
      </c>
      <c r="H365" s="0" t="n">
        <v>0.468873341</v>
      </c>
    </row>
    <row r="366" customFormat="false" ht="15" hidden="false" customHeight="false" outlineLevel="0" collapsed="false">
      <c r="A366" s="0" t="s">
        <v>1562</v>
      </c>
      <c r="B366" s="0" t="s">
        <v>820</v>
      </c>
      <c r="C366" s="0" t="s">
        <v>449</v>
      </c>
      <c r="D366" s="0" t="n">
        <v>80.06224559</v>
      </c>
      <c r="E366" s="0" t="n">
        <v>80.63943572</v>
      </c>
      <c r="F366" s="0" t="n">
        <v>91.638537</v>
      </c>
      <c r="G366" s="0" t="n">
        <v>113.3438698</v>
      </c>
      <c r="H366" s="0" t="n">
        <v>136.5951302</v>
      </c>
    </row>
    <row r="367" customFormat="false" ht="15" hidden="false" customHeight="false" outlineLevel="0" collapsed="false">
      <c r="A367" s="0" t="s">
        <v>1563</v>
      </c>
      <c r="B367" s="0" t="s">
        <v>744</v>
      </c>
      <c r="C367" s="0" t="s">
        <v>449</v>
      </c>
      <c r="D367" s="0" t="n">
        <v>281.254416</v>
      </c>
      <c r="E367" s="0" t="n">
        <v>297.6688641</v>
      </c>
      <c r="F367" s="0" t="n">
        <v>375.7122854</v>
      </c>
      <c r="G367" s="0" t="n">
        <v>527.8703287</v>
      </c>
      <c r="H367" s="0" t="n">
        <v>687.2794335</v>
      </c>
    </row>
    <row r="368" customFormat="false" ht="15" hidden="false" customHeight="false" outlineLevel="0" collapsed="false">
      <c r="A368" s="0" t="s">
        <v>1564</v>
      </c>
      <c r="B368" s="0" t="s">
        <v>1048</v>
      </c>
      <c r="C368" s="0" t="s">
        <v>449</v>
      </c>
      <c r="D368" s="0" t="n">
        <v>0.1084193395</v>
      </c>
      <c r="E368" s="0" t="n">
        <v>0.1105068518</v>
      </c>
      <c r="F368" s="0" t="n">
        <v>0.1241426694</v>
      </c>
      <c r="G368" s="0" t="n">
        <v>0.1597546859</v>
      </c>
      <c r="H368" s="0" t="n">
        <v>0.2079982602</v>
      </c>
    </row>
    <row r="369" customFormat="false" ht="15" hidden="false" customHeight="false" outlineLevel="0" collapsed="false">
      <c r="A369" s="0" t="s">
        <v>1565</v>
      </c>
      <c r="B369" s="0" t="s">
        <v>1050</v>
      </c>
      <c r="C369" s="0" t="s">
        <v>449</v>
      </c>
      <c r="D369" s="0" t="n">
        <v>0.1886621421</v>
      </c>
      <c r="E369" s="0" t="n">
        <v>0.1940109363</v>
      </c>
      <c r="F369" s="0" t="n">
        <v>0.2144613811</v>
      </c>
      <c r="G369" s="0" t="n">
        <v>0.2598007785</v>
      </c>
      <c r="H369" s="0" t="n">
        <v>0.3130960785</v>
      </c>
    </row>
    <row r="370" customFormat="false" ht="15" hidden="false" customHeight="false" outlineLevel="0" collapsed="false">
      <c r="A370" s="0" t="s">
        <v>1566</v>
      </c>
      <c r="B370" s="0" t="s">
        <v>990</v>
      </c>
      <c r="C370" s="0" t="s">
        <v>449</v>
      </c>
      <c r="D370" s="0" t="n">
        <v>13.26133907</v>
      </c>
      <c r="E370" s="0" t="n">
        <v>13.57309654</v>
      </c>
      <c r="F370" s="0" t="n">
        <v>15.13318629</v>
      </c>
      <c r="G370" s="0" t="n">
        <v>19.36459284</v>
      </c>
      <c r="H370" s="0" t="n">
        <v>25.21241615</v>
      </c>
    </row>
    <row r="371" customFormat="false" ht="15" hidden="false" customHeight="false" outlineLevel="0" collapsed="false">
      <c r="A371" s="0" t="s">
        <v>1567</v>
      </c>
      <c r="B371" s="0" t="s">
        <v>1004</v>
      </c>
      <c r="C371" s="0" t="s">
        <v>449</v>
      </c>
      <c r="D371" s="0" t="n">
        <v>9.411271518</v>
      </c>
      <c r="E371" s="0" t="n">
        <v>9.323897961</v>
      </c>
      <c r="F371" s="0" t="n">
        <v>9.493881394</v>
      </c>
      <c r="G371" s="0" t="n">
        <v>11.63382028</v>
      </c>
      <c r="H371" s="0" t="n">
        <v>15.73954075</v>
      </c>
    </row>
    <row r="372" customFormat="false" ht="15" hidden="false" customHeight="false" outlineLevel="0" collapsed="false">
      <c r="A372" s="0" t="s">
        <v>1568</v>
      </c>
      <c r="B372" s="0" t="s">
        <v>774</v>
      </c>
      <c r="C372" s="0" t="s">
        <v>449</v>
      </c>
      <c r="D372" s="0" t="n">
        <v>163.5915475</v>
      </c>
      <c r="E372" s="0" t="n">
        <v>164.2280242</v>
      </c>
      <c r="F372" s="0" t="n">
        <v>168.8599505</v>
      </c>
      <c r="G372" s="0" t="n">
        <v>193.7846123</v>
      </c>
      <c r="H372" s="0" t="n">
        <v>233.5374149</v>
      </c>
    </row>
    <row r="373" customFormat="false" ht="15" hidden="false" customHeight="false" outlineLevel="0" collapsed="false">
      <c r="A373" s="0" t="s">
        <v>1569</v>
      </c>
      <c r="B373" s="0" t="s">
        <v>930</v>
      </c>
      <c r="C373" s="0" t="s">
        <v>449</v>
      </c>
      <c r="D373" s="0" t="n">
        <v>20.77156704</v>
      </c>
      <c r="E373" s="0" t="n">
        <v>21.28729474</v>
      </c>
      <c r="F373" s="0" t="n">
        <v>24.52040824</v>
      </c>
      <c r="G373" s="0" t="n">
        <v>32.15242189</v>
      </c>
      <c r="H373" s="0" t="n">
        <v>41.8619822</v>
      </c>
    </row>
    <row r="374" customFormat="false" ht="15" hidden="false" customHeight="false" outlineLevel="0" collapsed="false">
      <c r="A374" s="0" t="s">
        <v>1570</v>
      </c>
      <c r="B374" s="0" t="s">
        <v>878</v>
      </c>
      <c r="C374" s="0" t="s">
        <v>449</v>
      </c>
      <c r="D374" s="0" t="n">
        <v>11.02098236</v>
      </c>
      <c r="E374" s="0" t="n">
        <v>11.62278679</v>
      </c>
      <c r="F374" s="0" t="n">
        <v>13.72958589</v>
      </c>
      <c r="G374" s="0" t="n">
        <v>18.79170163</v>
      </c>
      <c r="H374" s="0" t="n">
        <v>25.42352784</v>
      </c>
    </row>
    <row r="375" customFormat="false" ht="15" hidden="false" customHeight="false" outlineLevel="0" collapsed="false">
      <c r="A375" s="0" t="s">
        <v>1571</v>
      </c>
      <c r="B375" s="0" t="s">
        <v>1018</v>
      </c>
      <c r="C375" s="0" t="s">
        <v>570</v>
      </c>
      <c r="D375" s="0" t="n">
        <v>1.003104862</v>
      </c>
      <c r="E375" s="0" t="n">
        <v>1.101545708</v>
      </c>
      <c r="F375" s="0" t="n">
        <v>1.501304668</v>
      </c>
      <c r="G375" s="0" t="n">
        <v>2.421968985</v>
      </c>
      <c r="H375" s="0" t="n">
        <v>3.384810814</v>
      </c>
    </row>
    <row r="376" customFormat="false" ht="15" hidden="false" customHeight="false" outlineLevel="0" collapsed="false">
      <c r="A376" s="0" t="s">
        <v>1572</v>
      </c>
      <c r="B376" s="0" t="s">
        <v>962</v>
      </c>
      <c r="C376" s="0" t="s">
        <v>570</v>
      </c>
      <c r="D376" s="0" t="n">
        <v>5.021603809</v>
      </c>
      <c r="E376" s="0" t="n">
        <v>5.399115609</v>
      </c>
      <c r="F376" s="0" t="n">
        <v>7.726659606</v>
      </c>
      <c r="G376" s="0" t="n">
        <v>14.94702644</v>
      </c>
      <c r="H376" s="0" t="n">
        <v>24.75117802</v>
      </c>
    </row>
    <row r="377" customFormat="false" ht="15" hidden="false" customHeight="false" outlineLevel="0" collapsed="false">
      <c r="A377" s="0" t="s">
        <v>1573</v>
      </c>
      <c r="B377" s="0" t="s">
        <v>828</v>
      </c>
      <c r="C377" s="0" t="s">
        <v>570</v>
      </c>
      <c r="D377" s="0" t="n">
        <v>15.65847317</v>
      </c>
      <c r="E377" s="0" t="n">
        <v>16.61787255</v>
      </c>
      <c r="F377" s="0" t="n">
        <v>21.76184808</v>
      </c>
      <c r="G377" s="0" t="n">
        <v>37.55295318</v>
      </c>
      <c r="H377" s="0" t="n">
        <v>59.825288</v>
      </c>
    </row>
    <row r="378" customFormat="false" ht="15" hidden="false" customHeight="false" outlineLevel="0" collapsed="false">
      <c r="A378" s="0" t="s">
        <v>1574</v>
      </c>
      <c r="B378" s="0" t="s">
        <v>926</v>
      </c>
      <c r="C378" s="0" t="s">
        <v>570</v>
      </c>
      <c r="D378" s="0" t="n">
        <v>7.126737768</v>
      </c>
      <c r="E378" s="0" t="n">
        <v>7.428528996</v>
      </c>
      <c r="F378" s="0" t="n">
        <v>9.056917576</v>
      </c>
      <c r="G378" s="0" t="n">
        <v>13.15334031</v>
      </c>
      <c r="H378" s="0" t="n">
        <v>17.93104127</v>
      </c>
    </row>
    <row r="379" customFormat="false" ht="15" hidden="false" customHeight="false" outlineLevel="0" collapsed="false">
      <c r="A379" s="0" t="s">
        <v>1575</v>
      </c>
      <c r="B379" s="0" t="s">
        <v>748</v>
      </c>
      <c r="C379" s="0" t="s">
        <v>570</v>
      </c>
      <c r="D379" s="0" t="n">
        <v>177.6539416</v>
      </c>
      <c r="E379" s="0" t="n">
        <v>191.9351709</v>
      </c>
      <c r="F379" s="0" t="n">
        <v>250.7888703</v>
      </c>
      <c r="G379" s="0" t="n">
        <v>377.4820946</v>
      </c>
      <c r="H379" s="0" t="n">
        <v>498.6954284</v>
      </c>
    </row>
    <row r="380" customFormat="false" ht="15" hidden="false" customHeight="false" outlineLevel="0" collapsed="false">
      <c r="A380" s="0" t="s">
        <v>1576</v>
      </c>
      <c r="B380" s="0" t="s">
        <v>736</v>
      </c>
      <c r="C380" s="0" t="s">
        <v>570</v>
      </c>
      <c r="D380" s="0" t="n">
        <v>153.5674057</v>
      </c>
      <c r="E380" s="0" t="n">
        <v>164.4471862</v>
      </c>
      <c r="F380" s="0" t="n">
        <v>218.619634</v>
      </c>
      <c r="G380" s="0" t="n">
        <v>332.2025892</v>
      </c>
      <c r="H380" s="0" t="n">
        <v>435.1145311</v>
      </c>
    </row>
    <row r="381" customFormat="false" ht="15" hidden="false" customHeight="false" outlineLevel="0" collapsed="false">
      <c r="A381" s="0" t="s">
        <v>1577</v>
      </c>
      <c r="B381" s="0" t="s">
        <v>920</v>
      </c>
      <c r="C381" s="0" t="s">
        <v>570</v>
      </c>
      <c r="D381" s="0" t="n">
        <v>8.551724707</v>
      </c>
      <c r="E381" s="0" t="n">
        <v>9.356431267</v>
      </c>
      <c r="F381" s="0" t="n">
        <v>13.20600167</v>
      </c>
      <c r="G381" s="0" t="n">
        <v>22.07039419</v>
      </c>
      <c r="H381" s="0" t="n">
        <v>31.98962295</v>
      </c>
    </row>
    <row r="382" customFormat="false" ht="15" hidden="false" customHeight="false" outlineLevel="0" collapsed="false">
      <c r="A382" s="0" t="s">
        <v>1578</v>
      </c>
      <c r="B382" s="0" t="s">
        <v>1038</v>
      </c>
      <c r="C382" s="0" t="s">
        <v>570</v>
      </c>
      <c r="D382" s="0" t="n">
        <v>0.3728474821</v>
      </c>
      <c r="E382" s="0" t="n">
        <v>0.4231244359</v>
      </c>
      <c r="F382" s="0" t="n">
        <v>0.7035426188</v>
      </c>
      <c r="G382" s="0" t="n">
        <v>1.376880237</v>
      </c>
      <c r="H382" s="0" t="n">
        <v>2.076191307</v>
      </c>
    </row>
    <row r="383" customFormat="false" ht="15" hidden="false" customHeight="false" outlineLevel="0" collapsed="false">
      <c r="A383" s="0" t="s">
        <v>1579</v>
      </c>
      <c r="B383" s="0" t="s">
        <v>718</v>
      </c>
      <c r="C383" s="0" t="s">
        <v>570</v>
      </c>
      <c r="D383" s="0" t="n">
        <v>292.1348465</v>
      </c>
      <c r="E383" s="0" t="n">
        <v>308.7721024</v>
      </c>
      <c r="F383" s="0" t="n">
        <v>402.9703772</v>
      </c>
      <c r="G383" s="0" t="n">
        <v>614.3614828</v>
      </c>
      <c r="H383" s="0" t="n">
        <v>805.592851</v>
      </c>
    </row>
    <row r="384" customFormat="false" ht="15" hidden="false" customHeight="false" outlineLevel="0" collapsed="false">
      <c r="A384" s="0" t="s">
        <v>1580</v>
      </c>
      <c r="B384" s="0" t="s">
        <v>758</v>
      </c>
      <c r="C384" s="0" t="s">
        <v>570</v>
      </c>
      <c r="D384" s="0" t="n">
        <v>74.54655251</v>
      </c>
      <c r="E384" s="0" t="n">
        <v>76.93801413</v>
      </c>
      <c r="F384" s="0" t="n">
        <v>90.98353636</v>
      </c>
      <c r="G384" s="0" t="n">
        <v>125.2090324</v>
      </c>
      <c r="H384" s="0" t="n">
        <v>154.8558844</v>
      </c>
    </row>
    <row r="385" customFormat="false" ht="15" hidden="false" customHeight="false" outlineLevel="0" collapsed="false">
      <c r="A385" s="0" t="s">
        <v>1581</v>
      </c>
      <c r="B385" s="0" t="s">
        <v>868</v>
      </c>
      <c r="C385" s="0" t="s">
        <v>570</v>
      </c>
      <c r="D385" s="0" t="n">
        <v>27.42679633</v>
      </c>
      <c r="E385" s="0" t="n">
        <v>28.81186023</v>
      </c>
      <c r="F385" s="0" t="n">
        <v>37.47457912</v>
      </c>
      <c r="G385" s="0" t="n">
        <v>59.57917582</v>
      </c>
      <c r="H385" s="0" t="n">
        <v>85.69239039</v>
      </c>
    </row>
    <row r="386" customFormat="false" ht="15" hidden="false" customHeight="false" outlineLevel="0" collapsed="false">
      <c r="A386" s="0" t="s">
        <v>1582</v>
      </c>
      <c r="B386" s="0" t="s">
        <v>1012</v>
      </c>
      <c r="C386" s="0" t="s">
        <v>570</v>
      </c>
      <c r="D386" s="0" t="n">
        <v>0.4984135271</v>
      </c>
      <c r="E386" s="0" t="n">
        <v>0.5269367469</v>
      </c>
      <c r="F386" s="0" t="n">
        <v>0.7409542585</v>
      </c>
      <c r="G386" s="0" t="n">
        <v>1.535931946</v>
      </c>
      <c r="H386" s="0" t="n">
        <v>2.570709288</v>
      </c>
    </row>
    <row r="387" customFormat="false" ht="15" hidden="false" customHeight="false" outlineLevel="0" collapsed="false">
      <c r="A387" s="0" t="s">
        <v>1583</v>
      </c>
      <c r="B387" s="0" t="s">
        <v>742</v>
      </c>
      <c r="C387" s="0" t="s">
        <v>570</v>
      </c>
      <c r="D387" s="0" t="n">
        <v>74.29784511</v>
      </c>
      <c r="E387" s="0" t="n">
        <v>78.37801197</v>
      </c>
      <c r="F387" s="0" t="n">
        <v>99.33367988</v>
      </c>
      <c r="G387" s="0" t="n">
        <v>146.7005804</v>
      </c>
      <c r="H387" s="0" t="n">
        <v>186.6576308</v>
      </c>
    </row>
    <row r="388" customFormat="false" ht="15" hidden="false" customHeight="false" outlineLevel="0" collapsed="false">
      <c r="A388" s="0" t="s">
        <v>1584</v>
      </c>
      <c r="B388" s="0" t="s">
        <v>934</v>
      </c>
      <c r="C388" s="0" t="s">
        <v>570</v>
      </c>
      <c r="D388" s="0" t="n">
        <v>1.611096914</v>
      </c>
      <c r="E388" s="0" t="n">
        <v>1.761132108</v>
      </c>
      <c r="F388" s="0" t="n">
        <v>2.884502119</v>
      </c>
      <c r="G388" s="0" t="n">
        <v>7.009362919</v>
      </c>
      <c r="H388" s="0" t="n">
        <v>11.953629</v>
      </c>
    </row>
    <row r="389" customFormat="false" ht="15" hidden="false" customHeight="false" outlineLevel="0" collapsed="false">
      <c r="A389" s="0" t="s">
        <v>1585</v>
      </c>
      <c r="B389" s="0" t="s">
        <v>938</v>
      </c>
      <c r="C389" s="0" t="s">
        <v>570</v>
      </c>
      <c r="D389" s="0" t="n">
        <v>2.929372692</v>
      </c>
      <c r="E389" s="0" t="n">
        <v>3.160864691</v>
      </c>
      <c r="F389" s="0" t="n">
        <v>4.674942191</v>
      </c>
      <c r="G389" s="0" t="n">
        <v>9.608236938</v>
      </c>
      <c r="H389" s="0" t="n">
        <v>16.41212975</v>
      </c>
    </row>
    <row r="390" customFormat="false" ht="15" hidden="false" customHeight="false" outlineLevel="0" collapsed="false">
      <c r="A390" s="0" t="s">
        <v>1586</v>
      </c>
      <c r="B390" s="0" t="s">
        <v>756</v>
      </c>
      <c r="C390" s="0" t="s">
        <v>570</v>
      </c>
      <c r="D390" s="0" t="n">
        <v>140.7576513</v>
      </c>
      <c r="E390" s="0" t="n">
        <v>146.3110965</v>
      </c>
      <c r="F390" s="0" t="n">
        <v>184.7191606</v>
      </c>
      <c r="G390" s="0" t="n">
        <v>281.1910941</v>
      </c>
      <c r="H390" s="0" t="n">
        <v>407.9122829</v>
      </c>
    </row>
    <row r="391" customFormat="false" ht="15" hidden="false" customHeight="false" outlineLevel="0" collapsed="false">
      <c r="A391" s="0" t="s">
        <v>1587</v>
      </c>
      <c r="B391" s="0" t="s">
        <v>830</v>
      </c>
      <c r="C391" s="0" t="s">
        <v>570</v>
      </c>
      <c r="D391" s="0" t="n">
        <v>38.07379677</v>
      </c>
      <c r="E391" s="0" t="n">
        <v>39.65065384</v>
      </c>
      <c r="F391" s="0" t="n">
        <v>48.23425188</v>
      </c>
      <c r="G391" s="0" t="n">
        <v>71.2745685</v>
      </c>
      <c r="H391" s="0" t="n">
        <v>99.68366803</v>
      </c>
    </row>
    <row r="392" customFormat="false" ht="15" hidden="false" customHeight="false" outlineLevel="0" collapsed="false">
      <c r="A392" s="0" t="s">
        <v>1588</v>
      </c>
      <c r="B392" s="0" t="s">
        <v>898</v>
      </c>
      <c r="C392" s="0" t="s">
        <v>570</v>
      </c>
      <c r="D392" s="0" t="n">
        <v>37.98533441</v>
      </c>
      <c r="E392" s="0" t="n">
        <v>39.19894812</v>
      </c>
      <c r="F392" s="0" t="n">
        <v>40.30014069</v>
      </c>
      <c r="G392" s="0" t="n">
        <v>46.32062938</v>
      </c>
      <c r="H392" s="0" t="n">
        <v>54.68601517</v>
      </c>
    </row>
    <row r="393" customFormat="false" ht="15" hidden="false" customHeight="false" outlineLevel="0" collapsed="false">
      <c r="A393" s="0" t="s">
        <v>1589</v>
      </c>
      <c r="B393" s="0" t="s">
        <v>976</v>
      </c>
      <c r="C393" s="0" t="s">
        <v>570</v>
      </c>
      <c r="D393" s="0" t="n">
        <v>2.264115628</v>
      </c>
      <c r="E393" s="0" t="n">
        <v>2.430698482</v>
      </c>
      <c r="F393" s="0" t="n">
        <v>3.326126766</v>
      </c>
      <c r="G393" s="0" t="n">
        <v>5.524252372</v>
      </c>
      <c r="H393" s="0" t="n">
        <v>7.743958904</v>
      </c>
    </row>
    <row r="394" customFormat="false" ht="15" hidden="false" customHeight="false" outlineLevel="0" collapsed="false">
      <c r="A394" s="0" t="s">
        <v>1590</v>
      </c>
      <c r="B394" s="0" t="s">
        <v>924</v>
      </c>
      <c r="C394" s="0" t="s">
        <v>570</v>
      </c>
      <c r="D394" s="0" t="n">
        <v>14.56530769</v>
      </c>
      <c r="E394" s="0" t="n">
        <v>14.98118572</v>
      </c>
      <c r="F394" s="0" t="n">
        <v>17.62619741</v>
      </c>
      <c r="G394" s="0" t="n">
        <v>25.25659291</v>
      </c>
      <c r="H394" s="0" t="n">
        <v>34.53350099</v>
      </c>
    </row>
    <row r="395" customFormat="false" ht="15" hidden="false" customHeight="false" outlineLevel="0" collapsed="false">
      <c r="A395" s="0" t="s">
        <v>1591</v>
      </c>
      <c r="B395" s="0" t="s">
        <v>864</v>
      </c>
      <c r="C395" s="0" t="s">
        <v>570</v>
      </c>
      <c r="D395" s="0" t="n">
        <v>42.75763791</v>
      </c>
      <c r="E395" s="0" t="n">
        <v>44.91228629</v>
      </c>
      <c r="F395" s="0" t="n">
        <v>57.00537158</v>
      </c>
      <c r="G395" s="0" t="n">
        <v>91.05567509</v>
      </c>
      <c r="H395" s="0" t="n">
        <v>136.0906308</v>
      </c>
    </row>
    <row r="396" customFormat="false" ht="15" hidden="false" customHeight="false" outlineLevel="0" collapsed="false">
      <c r="A396" s="0" t="s">
        <v>1592</v>
      </c>
      <c r="B396" s="0" t="s">
        <v>1022</v>
      </c>
      <c r="C396" s="0" t="s">
        <v>570</v>
      </c>
      <c r="D396" s="0" t="n">
        <v>0.7135254219</v>
      </c>
      <c r="E396" s="0" t="n">
        <v>0.7459383485</v>
      </c>
      <c r="F396" s="0" t="n">
        <v>0.9316382463</v>
      </c>
      <c r="G396" s="0" t="n">
        <v>1.49247703</v>
      </c>
      <c r="H396" s="0" t="n">
        <v>2.165363397</v>
      </c>
    </row>
    <row r="397" customFormat="false" ht="15" hidden="false" customHeight="false" outlineLevel="0" collapsed="false">
      <c r="A397" s="0" t="s">
        <v>1593</v>
      </c>
      <c r="B397" s="0" t="s">
        <v>896</v>
      </c>
      <c r="C397" s="0" t="s">
        <v>570</v>
      </c>
      <c r="D397" s="0" t="n">
        <v>13.75750547</v>
      </c>
      <c r="E397" s="0" t="n">
        <v>14.37077122</v>
      </c>
      <c r="F397" s="0" t="n">
        <v>17.01296922</v>
      </c>
      <c r="G397" s="0" t="n">
        <v>29.26831686</v>
      </c>
      <c r="H397" s="0" t="n">
        <v>49.65901266</v>
      </c>
    </row>
    <row r="398" customFormat="false" ht="15" hidden="false" customHeight="false" outlineLevel="0" collapsed="false">
      <c r="A398" s="0" t="s">
        <v>1594</v>
      </c>
      <c r="B398" s="0" t="s">
        <v>710</v>
      </c>
      <c r="C398" s="0" t="s">
        <v>570</v>
      </c>
      <c r="D398" s="0" t="n">
        <v>739.8863151</v>
      </c>
      <c r="E398" s="0" t="n">
        <v>765.8007415</v>
      </c>
      <c r="F398" s="0" t="n">
        <v>909.5683681</v>
      </c>
      <c r="G398" s="0" t="n">
        <v>1336.896997</v>
      </c>
      <c r="H398" s="0" t="n">
        <v>1880.00896</v>
      </c>
    </row>
    <row r="399" customFormat="false" ht="15" hidden="false" customHeight="false" outlineLevel="0" collapsed="false">
      <c r="A399" s="0" t="s">
        <v>1595</v>
      </c>
      <c r="B399" s="0" t="s">
        <v>1000</v>
      </c>
      <c r="C399" s="0" t="s">
        <v>570</v>
      </c>
      <c r="D399" s="0" t="n">
        <v>1.113824965</v>
      </c>
      <c r="E399" s="0" t="n">
        <v>1.175587811</v>
      </c>
      <c r="F399" s="0" t="n">
        <v>1.509848163</v>
      </c>
      <c r="G399" s="0" t="n">
        <v>2.279971569</v>
      </c>
      <c r="H399" s="0" t="n">
        <v>3.04701683</v>
      </c>
    </row>
    <row r="400" customFormat="false" ht="15" hidden="false" customHeight="false" outlineLevel="0" collapsed="false">
      <c r="A400" s="0" t="s">
        <v>1596</v>
      </c>
      <c r="B400" s="0" t="s">
        <v>980</v>
      </c>
      <c r="C400" s="0" t="s">
        <v>570</v>
      </c>
      <c r="D400" s="0" t="n">
        <v>5.573249604</v>
      </c>
      <c r="E400" s="0" t="n">
        <v>5.847009396</v>
      </c>
      <c r="F400" s="0" t="n">
        <v>7.827282835</v>
      </c>
      <c r="G400" s="0" t="n">
        <v>12.20338299</v>
      </c>
      <c r="H400" s="0" t="n">
        <v>16.5941988</v>
      </c>
    </row>
    <row r="401" customFormat="false" ht="15" hidden="false" customHeight="false" outlineLevel="0" collapsed="false">
      <c r="A401" s="0" t="s">
        <v>1597</v>
      </c>
      <c r="B401" s="0" t="s">
        <v>1020</v>
      </c>
      <c r="C401" s="0" t="s">
        <v>570</v>
      </c>
      <c r="D401" s="0" t="n">
        <v>4.491857817</v>
      </c>
      <c r="E401" s="0" t="n">
        <v>4.811720128</v>
      </c>
      <c r="F401" s="0" t="n">
        <v>6.683818587</v>
      </c>
      <c r="G401" s="0" t="n">
        <v>10.84120274</v>
      </c>
      <c r="H401" s="0" t="n">
        <v>15.65392478</v>
      </c>
    </row>
    <row r="402" customFormat="false" ht="15" hidden="false" customHeight="false" outlineLevel="0" collapsed="false">
      <c r="A402" s="0" t="s">
        <v>1598</v>
      </c>
      <c r="B402" s="0" t="s">
        <v>952</v>
      </c>
      <c r="C402" s="0" t="s">
        <v>570</v>
      </c>
      <c r="D402" s="0" t="n">
        <v>4.088641823</v>
      </c>
      <c r="E402" s="0" t="n">
        <v>4.098142488</v>
      </c>
      <c r="F402" s="0" t="n">
        <v>5.252633162</v>
      </c>
      <c r="G402" s="0" t="n">
        <v>8.306795574</v>
      </c>
      <c r="H402" s="0" t="n">
        <v>11.50824129</v>
      </c>
    </row>
    <row r="403" customFormat="false" ht="15" hidden="false" customHeight="false" outlineLevel="0" collapsed="false">
      <c r="A403" s="0" t="s">
        <v>1599</v>
      </c>
      <c r="B403" s="0" t="s">
        <v>1026</v>
      </c>
      <c r="C403" s="0" t="s">
        <v>570</v>
      </c>
      <c r="D403" s="0" t="n">
        <v>0.1254339639</v>
      </c>
      <c r="E403" s="0" t="n">
        <v>0.1392299655</v>
      </c>
      <c r="F403" s="0" t="n">
        <v>0.2265385386</v>
      </c>
      <c r="G403" s="0" t="n">
        <v>0.5499870137</v>
      </c>
      <c r="H403" s="0" t="n">
        <v>0.9808763733</v>
      </c>
    </row>
    <row r="404" customFormat="false" ht="15" hidden="false" customHeight="false" outlineLevel="0" collapsed="false">
      <c r="A404" s="0" t="s">
        <v>1600</v>
      </c>
      <c r="B404" s="0" t="s">
        <v>708</v>
      </c>
      <c r="C404" s="0" t="s">
        <v>570</v>
      </c>
      <c r="D404" s="0" t="n">
        <v>661.4541583</v>
      </c>
      <c r="E404" s="0" t="n">
        <v>698.837864</v>
      </c>
      <c r="F404" s="0" t="n">
        <v>895.1485629</v>
      </c>
      <c r="G404" s="0" t="n">
        <v>1329.194229</v>
      </c>
      <c r="H404" s="0" t="n">
        <v>1715.332531</v>
      </c>
    </row>
    <row r="405" customFormat="false" ht="15" hidden="false" customHeight="false" outlineLevel="0" collapsed="false">
      <c r="A405" s="0" t="s">
        <v>1601</v>
      </c>
      <c r="B405" s="0" t="s">
        <v>734</v>
      </c>
      <c r="C405" s="0" t="s">
        <v>570</v>
      </c>
      <c r="D405" s="0" t="n">
        <v>65.94845995</v>
      </c>
      <c r="E405" s="0" t="n">
        <v>68.07106995</v>
      </c>
      <c r="F405" s="0" t="n">
        <v>80.31334599</v>
      </c>
      <c r="G405" s="0" t="n">
        <v>108.5033325</v>
      </c>
      <c r="H405" s="0" t="n">
        <v>131.9280681</v>
      </c>
    </row>
    <row r="406" customFormat="false" ht="15" hidden="false" customHeight="false" outlineLevel="0" collapsed="false">
      <c r="A406" s="0" t="s">
        <v>1602</v>
      </c>
      <c r="B406" s="0" t="s">
        <v>782</v>
      </c>
      <c r="C406" s="0" t="s">
        <v>570</v>
      </c>
      <c r="D406" s="0" t="n">
        <v>88.7899473</v>
      </c>
      <c r="E406" s="0" t="n">
        <v>92.18636223</v>
      </c>
      <c r="F406" s="0" t="n">
        <v>111.8464261</v>
      </c>
      <c r="G406" s="0" t="n">
        <v>156.9155214</v>
      </c>
      <c r="H406" s="0" t="n">
        <v>199.8424922</v>
      </c>
    </row>
    <row r="407" customFormat="false" ht="15" hidden="false" customHeight="false" outlineLevel="0" collapsed="false">
      <c r="A407" s="0" t="s">
        <v>1603</v>
      </c>
      <c r="B407" s="0" t="s">
        <v>696</v>
      </c>
      <c r="C407" s="0" t="s">
        <v>570</v>
      </c>
      <c r="D407" s="0" t="n">
        <v>10730.95903</v>
      </c>
      <c r="E407" s="0" t="n">
        <v>11385.97052</v>
      </c>
      <c r="F407" s="0" t="n">
        <v>14711.36588</v>
      </c>
      <c r="G407" s="0" t="n">
        <v>22072.81154</v>
      </c>
      <c r="H407" s="0" t="n">
        <v>30289.48614</v>
      </c>
    </row>
    <row r="408" customFormat="false" ht="15" hidden="false" customHeight="false" outlineLevel="0" collapsed="false">
      <c r="A408" s="0" t="s">
        <v>1604</v>
      </c>
      <c r="B408" s="0" t="s">
        <v>836</v>
      </c>
      <c r="C408" s="0" t="s">
        <v>570</v>
      </c>
      <c r="D408" s="0" t="n">
        <v>10.85169249</v>
      </c>
      <c r="E408" s="0" t="n">
        <v>11.6396487</v>
      </c>
      <c r="F408" s="0" t="n">
        <v>16.3724874</v>
      </c>
      <c r="G408" s="0" t="n">
        <v>29.41885622</v>
      </c>
      <c r="H408" s="0" t="n">
        <v>45.1380918</v>
      </c>
    </row>
    <row r="409" customFormat="false" ht="15" hidden="false" customHeight="false" outlineLevel="0" collapsed="false">
      <c r="A409" s="0" t="s">
        <v>1605</v>
      </c>
      <c r="B409" s="0" t="s">
        <v>880</v>
      </c>
      <c r="C409" s="0" t="s">
        <v>570</v>
      </c>
      <c r="D409" s="0" t="n">
        <v>7.293849268</v>
      </c>
      <c r="E409" s="0" t="n">
        <v>7.52151776</v>
      </c>
      <c r="F409" s="0" t="n">
        <v>9.081089206</v>
      </c>
      <c r="G409" s="0" t="n">
        <v>14.00160698</v>
      </c>
      <c r="H409" s="0" t="n">
        <v>20.32926881</v>
      </c>
    </row>
    <row r="410" customFormat="false" ht="15" hidden="false" customHeight="false" outlineLevel="0" collapsed="false">
      <c r="A410" s="0" t="s">
        <v>1606</v>
      </c>
      <c r="B410" s="0" t="s">
        <v>850</v>
      </c>
      <c r="C410" s="0" t="s">
        <v>570</v>
      </c>
      <c r="D410" s="0" t="n">
        <v>15.95673754</v>
      </c>
      <c r="E410" s="0" t="n">
        <v>16.63257816</v>
      </c>
      <c r="F410" s="0" t="n">
        <v>20.67598716</v>
      </c>
      <c r="G410" s="0" t="n">
        <v>30.96511319</v>
      </c>
      <c r="H410" s="0" t="n">
        <v>43.42199867</v>
      </c>
    </row>
    <row r="411" customFormat="false" ht="15" hidden="false" customHeight="false" outlineLevel="0" collapsed="false">
      <c r="A411" s="0" t="s">
        <v>1607</v>
      </c>
      <c r="B411" s="0" t="s">
        <v>978</v>
      </c>
      <c r="C411" s="0" t="s">
        <v>570</v>
      </c>
      <c r="D411" s="0" t="n">
        <v>2.813989025</v>
      </c>
      <c r="E411" s="0" t="n">
        <v>2.886556709</v>
      </c>
      <c r="F411" s="0" t="n">
        <v>3.454056309</v>
      </c>
      <c r="G411" s="0" t="n">
        <v>5.40251204</v>
      </c>
      <c r="H411" s="0" t="n">
        <v>7.944705519</v>
      </c>
    </row>
    <row r="412" customFormat="false" ht="15" hidden="false" customHeight="false" outlineLevel="0" collapsed="false">
      <c r="A412" s="0" t="s">
        <v>1608</v>
      </c>
      <c r="B412" s="0" t="s">
        <v>766</v>
      </c>
      <c r="C412" s="0" t="s">
        <v>570</v>
      </c>
      <c r="D412" s="0" t="n">
        <v>90.69649596</v>
      </c>
      <c r="E412" s="0" t="n">
        <v>94.64049732</v>
      </c>
      <c r="F412" s="0" t="n">
        <v>116.9991952</v>
      </c>
      <c r="G412" s="0" t="n">
        <v>180.4130732</v>
      </c>
      <c r="H412" s="0" t="n">
        <v>257.410504</v>
      </c>
    </row>
    <row r="413" customFormat="false" ht="15" hidden="false" customHeight="false" outlineLevel="0" collapsed="false">
      <c r="A413" s="0" t="s">
        <v>1609</v>
      </c>
      <c r="B413" s="0" t="s">
        <v>1044</v>
      </c>
      <c r="C413" s="0" t="s">
        <v>570</v>
      </c>
      <c r="D413" s="0" t="n">
        <v>0.1438836479</v>
      </c>
      <c r="E413" s="0" t="n">
        <v>0.1656394279</v>
      </c>
      <c r="F413" s="0" t="n">
        <v>0.3181385002</v>
      </c>
      <c r="G413" s="0" t="n">
        <v>0.8449742224</v>
      </c>
      <c r="H413" s="0" t="n">
        <v>1.585452287</v>
      </c>
    </row>
    <row r="414" customFormat="false" ht="15" hidden="false" customHeight="false" outlineLevel="0" collapsed="false">
      <c r="A414" s="0" t="s">
        <v>1610</v>
      </c>
      <c r="B414" s="0" t="s">
        <v>1024</v>
      </c>
      <c r="C414" s="0" t="s">
        <v>570</v>
      </c>
      <c r="D414" s="0" t="n">
        <v>0.5228315235</v>
      </c>
      <c r="E414" s="0" t="n">
        <v>0.5715430806</v>
      </c>
      <c r="F414" s="0" t="n">
        <v>0.8534859755</v>
      </c>
      <c r="G414" s="0" t="n">
        <v>1.675880677</v>
      </c>
      <c r="H414" s="0" t="n">
        <v>2.800593224</v>
      </c>
    </row>
    <row r="415" customFormat="false" ht="15" hidden="false" customHeight="false" outlineLevel="0" collapsed="false">
      <c r="A415" s="0" t="s">
        <v>1611</v>
      </c>
      <c r="B415" s="0" t="s">
        <v>838</v>
      </c>
      <c r="C415" s="0" t="s">
        <v>570</v>
      </c>
      <c r="D415" s="0" t="n">
        <v>11.71494867</v>
      </c>
      <c r="E415" s="0" t="n">
        <v>12.22325995</v>
      </c>
      <c r="F415" s="0" t="n">
        <v>14.81678647</v>
      </c>
      <c r="G415" s="0" t="n">
        <v>21.99730353</v>
      </c>
      <c r="H415" s="0" t="n">
        <v>29.96469344</v>
      </c>
    </row>
    <row r="416" customFormat="false" ht="15" hidden="false" customHeight="false" outlineLevel="0" collapsed="false">
      <c r="A416" s="0" t="s">
        <v>1612</v>
      </c>
      <c r="B416" s="0" t="s">
        <v>906</v>
      </c>
      <c r="C416" s="0" t="s">
        <v>570</v>
      </c>
      <c r="D416" s="0" t="n">
        <v>6.050683686</v>
      </c>
      <c r="E416" s="0" t="n">
        <v>6.542764245</v>
      </c>
      <c r="F416" s="0" t="n">
        <v>9.158761622</v>
      </c>
      <c r="G416" s="0" t="n">
        <v>15.03250233</v>
      </c>
      <c r="H416" s="0" t="n">
        <v>20.352093</v>
      </c>
    </row>
    <row r="417" customFormat="false" ht="15" hidden="false" customHeight="false" outlineLevel="0" collapsed="false">
      <c r="A417" s="0" t="s">
        <v>1613</v>
      </c>
      <c r="B417" s="0" t="s">
        <v>778</v>
      </c>
      <c r="C417" s="0" t="s">
        <v>570</v>
      </c>
      <c r="D417" s="0" t="n">
        <v>76.77641295</v>
      </c>
      <c r="E417" s="0" t="n">
        <v>81.21762076</v>
      </c>
      <c r="F417" s="0" t="n">
        <v>104.7578717</v>
      </c>
      <c r="G417" s="0" t="n">
        <v>155.0265028</v>
      </c>
      <c r="H417" s="0" t="n">
        <v>192.9034684</v>
      </c>
    </row>
    <row r="418" customFormat="false" ht="15" hidden="false" customHeight="false" outlineLevel="0" collapsed="false">
      <c r="A418" s="0" t="s">
        <v>1614</v>
      </c>
      <c r="B418" s="0" t="s">
        <v>700</v>
      </c>
      <c r="C418" s="0" t="s">
        <v>570</v>
      </c>
      <c r="D418" s="0" t="n">
        <v>507.3862185</v>
      </c>
      <c r="E418" s="0" t="n">
        <v>528.3955291</v>
      </c>
      <c r="F418" s="0" t="n">
        <v>655.0867109</v>
      </c>
      <c r="G418" s="0" t="n">
        <v>944.4056574</v>
      </c>
      <c r="H418" s="0" t="n">
        <v>1188.554841</v>
      </c>
    </row>
    <row r="419" customFormat="false" ht="15" hidden="false" customHeight="false" outlineLevel="0" collapsed="false">
      <c r="A419" s="0" t="s">
        <v>1615</v>
      </c>
      <c r="B419" s="0" t="s">
        <v>1014</v>
      </c>
      <c r="C419" s="0" t="s">
        <v>570</v>
      </c>
      <c r="D419" s="0" t="n">
        <v>0.6068555047</v>
      </c>
      <c r="E419" s="0" t="n">
        <v>0.645826156</v>
      </c>
      <c r="F419" s="0" t="n">
        <v>0.8749376719</v>
      </c>
      <c r="G419" s="0" t="n">
        <v>1.462473028</v>
      </c>
      <c r="H419" s="0" t="n">
        <v>2.200835456</v>
      </c>
    </row>
    <row r="420" customFormat="false" ht="15" hidden="false" customHeight="false" outlineLevel="0" collapsed="false">
      <c r="A420" s="0" t="s">
        <v>1616</v>
      </c>
      <c r="B420" s="0" t="s">
        <v>1058</v>
      </c>
      <c r="C420" s="0" t="s">
        <v>570</v>
      </c>
      <c r="D420" s="0" t="n">
        <v>0.150463581</v>
      </c>
      <c r="E420" s="0" t="n">
        <v>0.1616370722</v>
      </c>
      <c r="F420" s="0" t="n">
        <v>0.2169488469</v>
      </c>
      <c r="G420" s="0" t="n">
        <v>0.3646267341</v>
      </c>
      <c r="H420" s="0" t="n">
        <v>0.5519127474</v>
      </c>
    </row>
    <row r="421" customFormat="false" ht="15" hidden="false" customHeight="false" outlineLevel="0" collapsed="false">
      <c r="A421" s="0" t="s">
        <v>1617</v>
      </c>
      <c r="B421" s="0" t="s">
        <v>768</v>
      </c>
      <c r="C421" s="0" t="s">
        <v>570</v>
      </c>
      <c r="D421" s="0" t="n">
        <v>35.15014265</v>
      </c>
      <c r="E421" s="0" t="n">
        <v>36.84868059</v>
      </c>
      <c r="F421" s="0" t="n">
        <v>45.14272037</v>
      </c>
      <c r="G421" s="0" t="n">
        <v>63.49951539</v>
      </c>
      <c r="H421" s="0" t="n">
        <v>77.99269949</v>
      </c>
    </row>
    <row r="422" customFormat="false" ht="15" hidden="false" customHeight="false" outlineLevel="0" collapsed="false">
      <c r="A422" s="0" t="s">
        <v>1618</v>
      </c>
      <c r="B422" s="0" t="s">
        <v>818</v>
      </c>
      <c r="C422" s="0" t="s">
        <v>570</v>
      </c>
      <c r="D422" s="0" t="n">
        <v>22.76240534</v>
      </c>
      <c r="E422" s="0" t="n">
        <v>23.82660974</v>
      </c>
      <c r="F422" s="0" t="n">
        <v>31.67286948</v>
      </c>
      <c r="G422" s="0" t="n">
        <v>52.1108914</v>
      </c>
      <c r="H422" s="0" t="n">
        <v>76.95422107</v>
      </c>
    </row>
    <row r="423" customFormat="false" ht="15" hidden="false" customHeight="false" outlineLevel="0" collapsed="false">
      <c r="A423" s="0" t="s">
        <v>1619</v>
      </c>
      <c r="B423" s="0" t="s">
        <v>788</v>
      </c>
      <c r="C423" s="0" t="s">
        <v>570</v>
      </c>
      <c r="D423" s="0" t="n">
        <v>91.35431167</v>
      </c>
      <c r="E423" s="0" t="n">
        <v>99.66841602</v>
      </c>
      <c r="F423" s="0" t="n">
        <v>147.6894116</v>
      </c>
      <c r="G423" s="0" t="n">
        <v>271.2242772</v>
      </c>
      <c r="H423" s="0" t="n">
        <v>416.2917863</v>
      </c>
    </row>
    <row r="424" customFormat="false" ht="15" hidden="false" customHeight="false" outlineLevel="0" collapsed="false">
      <c r="A424" s="0" t="s">
        <v>1620</v>
      </c>
      <c r="B424" s="0" t="s">
        <v>824</v>
      </c>
      <c r="C424" s="0" t="s">
        <v>570</v>
      </c>
      <c r="D424" s="0" t="n">
        <v>36.8243337</v>
      </c>
      <c r="E424" s="0" t="n">
        <v>38.94803362</v>
      </c>
      <c r="F424" s="0" t="n">
        <v>49.9910243</v>
      </c>
      <c r="G424" s="0" t="n">
        <v>82.44465652</v>
      </c>
      <c r="H424" s="0" t="n">
        <v>121.9302723</v>
      </c>
    </row>
    <row r="425" customFormat="false" ht="15" hidden="false" customHeight="false" outlineLevel="0" collapsed="false">
      <c r="A425" s="0" t="s">
        <v>1621</v>
      </c>
      <c r="B425" s="0" t="s">
        <v>764</v>
      </c>
      <c r="C425" s="0" t="s">
        <v>570</v>
      </c>
      <c r="D425" s="0" t="n">
        <v>246.3310389</v>
      </c>
      <c r="E425" s="0" t="n">
        <v>260.530757</v>
      </c>
      <c r="F425" s="0" t="n">
        <v>342.5781653</v>
      </c>
      <c r="G425" s="0" t="n">
        <v>571.9094107</v>
      </c>
      <c r="H425" s="0" t="n">
        <v>885.4691815</v>
      </c>
    </row>
    <row r="426" customFormat="false" ht="15" hidden="false" customHeight="false" outlineLevel="0" collapsed="false">
      <c r="A426" s="0" t="s">
        <v>1622</v>
      </c>
      <c r="B426" s="0" t="s">
        <v>722</v>
      </c>
      <c r="C426" s="0" t="s">
        <v>570</v>
      </c>
      <c r="D426" s="0" t="n">
        <v>292.6431743</v>
      </c>
      <c r="E426" s="0" t="n">
        <v>308.0600622</v>
      </c>
      <c r="F426" s="0" t="n">
        <v>385.9205959</v>
      </c>
      <c r="G426" s="0" t="n">
        <v>557.0405217</v>
      </c>
      <c r="H426" s="0" t="n">
        <v>701.1897677</v>
      </c>
    </row>
    <row r="427" customFormat="false" ht="15" hidden="false" customHeight="false" outlineLevel="0" collapsed="false">
      <c r="A427" s="0" t="s">
        <v>1623</v>
      </c>
      <c r="B427" s="0" t="s">
        <v>902</v>
      </c>
      <c r="C427" s="0" t="s">
        <v>570</v>
      </c>
      <c r="D427" s="0" t="n">
        <v>6.301303308</v>
      </c>
      <c r="E427" s="0" t="n">
        <v>6.451877534</v>
      </c>
      <c r="F427" s="0" t="n">
        <v>7.58069056</v>
      </c>
      <c r="G427" s="0" t="n">
        <v>10.21859193</v>
      </c>
      <c r="H427" s="0" t="n">
        <v>12.3070121</v>
      </c>
    </row>
    <row r="428" customFormat="false" ht="15" hidden="false" customHeight="false" outlineLevel="0" collapsed="false">
      <c r="A428" s="0" t="s">
        <v>1624</v>
      </c>
      <c r="B428" s="0" t="s">
        <v>802</v>
      </c>
      <c r="C428" s="0" t="s">
        <v>570</v>
      </c>
      <c r="D428" s="0" t="n">
        <v>20.42914543</v>
      </c>
      <c r="E428" s="0" t="n">
        <v>22.71557178</v>
      </c>
      <c r="F428" s="0" t="n">
        <v>37.64516653</v>
      </c>
      <c r="G428" s="0" t="n">
        <v>80.45917786</v>
      </c>
      <c r="H428" s="0" t="n">
        <v>135.0548913</v>
      </c>
    </row>
    <row r="429" customFormat="false" ht="15" hidden="false" customHeight="false" outlineLevel="0" collapsed="false">
      <c r="A429" s="0" t="s">
        <v>1625</v>
      </c>
      <c r="B429" s="0" t="s">
        <v>794</v>
      </c>
      <c r="C429" s="0" t="s">
        <v>570</v>
      </c>
      <c r="D429" s="0" t="n">
        <v>82.840022</v>
      </c>
      <c r="E429" s="0" t="n">
        <v>83.77697719</v>
      </c>
      <c r="F429" s="0" t="n">
        <v>92.36265059</v>
      </c>
      <c r="G429" s="0" t="n">
        <v>113.4569351</v>
      </c>
      <c r="H429" s="0" t="n">
        <v>134.8741779</v>
      </c>
    </row>
    <row r="430" customFormat="false" ht="15" hidden="false" customHeight="false" outlineLevel="0" collapsed="false">
      <c r="A430" s="0" t="s">
        <v>1626</v>
      </c>
      <c r="B430" s="0" t="s">
        <v>1006</v>
      </c>
      <c r="C430" s="0" t="s">
        <v>570</v>
      </c>
      <c r="D430" s="0" t="n">
        <v>1.155755001</v>
      </c>
      <c r="E430" s="0" t="n">
        <v>1.22075098</v>
      </c>
      <c r="F430" s="0" t="n">
        <v>1.572130777</v>
      </c>
      <c r="G430" s="0" t="n">
        <v>2.579332698</v>
      </c>
      <c r="H430" s="0" t="n">
        <v>3.83175082</v>
      </c>
    </row>
    <row r="431" customFormat="false" ht="15" hidden="false" customHeight="false" outlineLevel="0" collapsed="false">
      <c r="A431" s="0" t="s">
        <v>1627</v>
      </c>
      <c r="B431" s="0" t="s">
        <v>706</v>
      </c>
      <c r="C431" s="0" t="s">
        <v>570</v>
      </c>
      <c r="D431" s="0" t="n">
        <v>577.992213</v>
      </c>
      <c r="E431" s="0" t="n">
        <v>594.8158347</v>
      </c>
      <c r="F431" s="0" t="n">
        <v>689.1299987</v>
      </c>
      <c r="G431" s="0" t="n">
        <v>914.7395567</v>
      </c>
      <c r="H431" s="0" t="n">
        <v>1098.497384</v>
      </c>
    </row>
    <row r="432" customFormat="false" ht="15" hidden="false" customHeight="false" outlineLevel="0" collapsed="false">
      <c r="A432" s="0" t="s">
        <v>1628</v>
      </c>
      <c r="B432" s="0" t="s">
        <v>950</v>
      </c>
      <c r="C432" s="0" t="s">
        <v>570</v>
      </c>
      <c r="D432" s="0" t="n">
        <v>2.601707908</v>
      </c>
      <c r="E432" s="0" t="n">
        <v>2.721481779</v>
      </c>
      <c r="F432" s="0" t="n">
        <v>3.402636129</v>
      </c>
      <c r="G432" s="0" t="n">
        <v>5.166532343</v>
      </c>
      <c r="H432" s="0" t="n">
        <v>7.512022793</v>
      </c>
    </row>
    <row r="433" customFormat="false" ht="15" hidden="false" customHeight="false" outlineLevel="0" collapsed="false">
      <c r="A433" s="0" t="s">
        <v>1629</v>
      </c>
      <c r="B433" s="0" t="s">
        <v>704</v>
      </c>
      <c r="C433" s="0" t="s">
        <v>570</v>
      </c>
      <c r="D433" s="0" t="n">
        <v>298.6605376</v>
      </c>
      <c r="E433" s="0" t="n">
        <v>317.1553403</v>
      </c>
      <c r="F433" s="0" t="n">
        <v>411.4498445</v>
      </c>
      <c r="G433" s="0" t="n">
        <v>623.1925072</v>
      </c>
      <c r="H433" s="0" t="n">
        <v>783.2160593</v>
      </c>
    </row>
    <row r="434" customFormat="false" ht="15" hidden="false" customHeight="false" outlineLevel="0" collapsed="false">
      <c r="A434" s="0" t="s">
        <v>1630</v>
      </c>
      <c r="B434" s="0" t="s">
        <v>900</v>
      </c>
      <c r="C434" s="0" t="s">
        <v>570</v>
      </c>
      <c r="D434" s="0" t="n">
        <v>13.53055937</v>
      </c>
      <c r="E434" s="0" t="n">
        <v>14.6257313</v>
      </c>
      <c r="F434" s="0" t="n">
        <v>19.605872</v>
      </c>
      <c r="G434" s="0" t="n">
        <v>32.02796914</v>
      </c>
      <c r="H434" s="0" t="n">
        <v>47.17332653</v>
      </c>
    </row>
    <row r="435" customFormat="false" ht="15" hidden="false" customHeight="false" outlineLevel="0" collapsed="false">
      <c r="A435" s="0" t="s">
        <v>1631</v>
      </c>
      <c r="B435" s="0" t="s">
        <v>844</v>
      </c>
      <c r="C435" s="0" t="s">
        <v>570</v>
      </c>
      <c r="D435" s="0" t="n">
        <v>19.16835241</v>
      </c>
      <c r="E435" s="0" t="n">
        <v>20.39854474</v>
      </c>
      <c r="F435" s="0" t="n">
        <v>27.23995987</v>
      </c>
      <c r="G435" s="0" t="n">
        <v>48.09535617</v>
      </c>
      <c r="H435" s="0" t="n">
        <v>74.14616879</v>
      </c>
    </row>
    <row r="436" customFormat="false" ht="15" hidden="false" customHeight="false" outlineLevel="0" collapsed="false">
      <c r="A436" s="0" t="s">
        <v>1632</v>
      </c>
      <c r="B436" s="0" t="s">
        <v>914</v>
      </c>
      <c r="C436" s="0" t="s">
        <v>570</v>
      </c>
      <c r="D436" s="0" t="n">
        <v>3.644107875</v>
      </c>
      <c r="E436" s="0" t="n">
        <v>3.997206673</v>
      </c>
      <c r="F436" s="0" t="n">
        <v>6.762162061</v>
      </c>
      <c r="G436" s="0" t="n">
        <v>15.38484131</v>
      </c>
      <c r="H436" s="0" t="n">
        <v>26.68056737</v>
      </c>
    </row>
    <row r="437" customFormat="false" ht="15" hidden="false" customHeight="false" outlineLevel="0" collapsed="false">
      <c r="A437" s="0" t="s">
        <v>1633</v>
      </c>
      <c r="B437" s="0" t="s">
        <v>1028</v>
      </c>
      <c r="C437" s="0" t="s">
        <v>570</v>
      </c>
      <c r="D437" s="0" t="n">
        <v>0.5111209915</v>
      </c>
      <c r="E437" s="0" t="n">
        <v>0.5872743075</v>
      </c>
      <c r="F437" s="0" t="n">
        <v>1.027448802</v>
      </c>
      <c r="G437" s="0" t="n">
        <v>2.346595443</v>
      </c>
      <c r="H437" s="0" t="n">
        <v>4.407280675</v>
      </c>
    </row>
    <row r="438" customFormat="false" ht="15" hidden="false" customHeight="false" outlineLevel="0" collapsed="false">
      <c r="A438" s="0" t="s">
        <v>1634</v>
      </c>
      <c r="B438" s="0" t="s">
        <v>1030</v>
      </c>
      <c r="C438" s="0" t="s">
        <v>570</v>
      </c>
      <c r="D438" s="0" t="n">
        <v>0.1841117423</v>
      </c>
      <c r="E438" s="0" t="n">
        <v>0.2060267629</v>
      </c>
      <c r="F438" s="0" t="n">
        <v>0.3351474103</v>
      </c>
      <c r="G438" s="0" t="n">
        <v>0.7275469853</v>
      </c>
      <c r="H438" s="0" t="n">
        <v>1.326310143</v>
      </c>
    </row>
    <row r="439" customFormat="false" ht="15" hidden="false" customHeight="false" outlineLevel="0" collapsed="false">
      <c r="A439" s="0" t="s">
        <v>1635</v>
      </c>
      <c r="B439" s="0" t="s">
        <v>994</v>
      </c>
      <c r="C439" s="0" t="s">
        <v>570</v>
      </c>
      <c r="D439" s="0" t="n">
        <v>1.439816899</v>
      </c>
      <c r="E439" s="0" t="n">
        <v>1.526064209</v>
      </c>
      <c r="F439" s="0" t="n">
        <v>2.126845219</v>
      </c>
      <c r="G439" s="0" t="n">
        <v>3.809206351</v>
      </c>
      <c r="H439" s="0" t="n">
        <v>6.480126274</v>
      </c>
    </row>
    <row r="440" customFormat="false" ht="15" hidden="false" customHeight="false" outlineLevel="0" collapsed="false">
      <c r="A440" s="0" t="s">
        <v>1636</v>
      </c>
      <c r="B440" s="0" t="s">
        <v>798</v>
      </c>
      <c r="C440" s="0" t="s">
        <v>570</v>
      </c>
      <c r="D440" s="0" t="n">
        <v>58.78496203</v>
      </c>
      <c r="E440" s="0" t="n">
        <v>61.18102017</v>
      </c>
      <c r="F440" s="0" t="n">
        <v>74.04858237</v>
      </c>
      <c r="G440" s="0" t="n">
        <v>103.0818626</v>
      </c>
      <c r="H440" s="0" t="n">
        <v>128.5219858</v>
      </c>
    </row>
    <row r="441" customFormat="false" ht="15" hidden="false" customHeight="false" outlineLevel="0" collapsed="false">
      <c r="A441" s="0" t="s">
        <v>1637</v>
      </c>
      <c r="B441" s="0" t="s">
        <v>1046</v>
      </c>
      <c r="C441" s="0" t="s">
        <v>570</v>
      </c>
      <c r="D441" s="0" t="n">
        <v>0.2411598062</v>
      </c>
      <c r="E441" s="0" t="n">
        <v>0.2623488182</v>
      </c>
      <c r="F441" s="0" t="n">
        <v>0.373148271</v>
      </c>
      <c r="G441" s="0" t="n">
        <v>0.6765996413</v>
      </c>
      <c r="H441" s="0" t="n">
        <v>1.061329819</v>
      </c>
    </row>
    <row r="442" customFormat="false" ht="15" hidden="false" customHeight="false" outlineLevel="0" collapsed="false">
      <c r="A442" s="0" t="s">
        <v>1638</v>
      </c>
      <c r="B442" s="0" t="s">
        <v>826</v>
      </c>
      <c r="C442" s="0" t="s">
        <v>570</v>
      </c>
      <c r="D442" s="0" t="n">
        <v>16.52062896</v>
      </c>
      <c r="E442" s="0" t="n">
        <v>17.2733527</v>
      </c>
      <c r="F442" s="0" t="n">
        <v>21.84334304</v>
      </c>
      <c r="G442" s="0" t="n">
        <v>34.48968093</v>
      </c>
      <c r="H442" s="0" t="n">
        <v>48.35242817</v>
      </c>
    </row>
    <row r="443" customFormat="false" ht="15" hidden="false" customHeight="false" outlineLevel="0" collapsed="false">
      <c r="A443" s="0" t="s">
        <v>1639</v>
      </c>
      <c r="B443" s="0" t="s">
        <v>890</v>
      </c>
      <c r="C443" s="0" t="s">
        <v>570</v>
      </c>
      <c r="D443" s="0" t="n">
        <v>1.390062567</v>
      </c>
      <c r="E443" s="0" t="n">
        <v>1.722947536</v>
      </c>
      <c r="F443" s="0" t="n">
        <v>4.030819514</v>
      </c>
      <c r="G443" s="0" t="n">
        <v>10.8929629</v>
      </c>
      <c r="H443" s="0" t="n">
        <v>17.77981404</v>
      </c>
    </row>
    <row r="444" customFormat="false" ht="15" hidden="false" customHeight="false" outlineLevel="0" collapsed="false">
      <c r="A444" s="0" t="s">
        <v>1640</v>
      </c>
      <c r="B444" s="0" t="s">
        <v>770</v>
      </c>
      <c r="C444" s="0" t="s">
        <v>570</v>
      </c>
      <c r="D444" s="0" t="n">
        <v>42.97415973</v>
      </c>
      <c r="E444" s="0" t="n">
        <v>44.44709665</v>
      </c>
      <c r="F444" s="0" t="n">
        <v>50.54261766</v>
      </c>
      <c r="G444" s="0" t="n">
        <v>62.74871833</v>
      </c>
      <c r="H444" s="0" t="n">
        <v>72.29513943</v>
      </c>
    </row>
    <row r="445" customFormat="false" ht="15" hidden="false" customHeight="false" outlineLevel="0" collapsed="false">
      <c r="A445" s="0" t="s">
        <v>1641</v>
      </c>
      <c r="B445" s="0" t="s">
        <v>904</v>
      </c>
      <c r="C445" s="0" t="s">
        <v>570</v>
      </c>
      <c r="D445" s="0" t="n">
        <v>12.54817333</v>
      </c>
      <c r="E445" s="0" t="n">
        <v>13.10806262</v>
      </c>
      <c r="F445" s="0" t="n">
        <v>16.45597185</v>
      </c>
      <c r="G445" s="0" t="n">
        <v>27.12667759</v>
      </c>
      <c r="H445" s="0" t="n">
        <v>41.39884659</v>
      </c>
    </row>
    <row r="446" customFormat="false" ht="15" hidden="false" customHeight="false" outlineLevel="0" collapsed="false">
      <c r="A446" s="0" t="s">
        <v>1642</v>
      </c>
      <c r="B446" s="0" t="s">
        <v>846</v>
      </c>
      <c r="C446" s="0" t="s">
        <v>570</v>
      </c>
      <c r="D446" s="0" t="n">
        <v>18.57850753</v>
      </c>
      <c r="E446" s="0" t="n">
        <v>19.52231011</v>
      </c>
      <c r="F446" s="0" t="n">
        <v>24.3570261</v>
      </c>
      <c r="G446" s="0" t="n">
        <v>34.45524474</v>
      </c>
      <c r="H446" s="0" t="n">
        <v>42.01956433</v>
      </c>
    </row>
    <row r="447" customFormat="false" ht="15" hidden="false" customHeight="false" outlineLevel="0" collapsed="false">
      <c r="A447" s="0" t="s">
        <v>1643</v>
      </c>
      <c r="B447" s="0" t="s">
        <v>956</v>
      </c>
      <c r="C447" s="0" t="s">
        <v>570</v>
      </c>
      <c r="D447" s="0" t="n">
        <v>0.875654862</v>
      </c>
      <c r="E447" s="0" t="n">
        <v>0.9462414308</v>
      </c>
      <c r="F447" s="0" t="n">
        <v>1.422082974</v>
      </c>
      <c r="G447" s="0" t="n">
        <v>3.111080212</v>
      </c>
      <c r="H447" s="0" t="n">
        <v>5.793242718</v>
      </c>
    </row>
    <row r="448" customFormat="false" ht="15" hidden="false" customHeight="false" outlineLevel="0" collapsed="false">
      <c r="A448" s="0" t="s">
        <v>1644</v>
      </c>
      <c r="B448" s="0" t="s">
        <v>800</v>
      </c>
      <c r="C448" s="0" t="s">
        <v>570</v>
      </c>
      <c r="D448" s="0" t="n">
        <v>40.36695659</v>
      </c>
      <c r="E448" s="0" t="n">
        <v>41.9157684</v>
      </c>
      <c r="F448" s="0" t="n">
        <v>52.44635482</v>
      </c>
      <c r="G448" s="0" t="n">
        <v>75.93011577</v>
      </c>
      <c r="H448" s="0" t="n">
        <v>98.34890541</v>
      </c>
    </row>
    <row r="449" customFormat="false" ht="15" hidden="false" customHeight="false" outlineLevel="0" collapsed="false">
      <c r="A449" s="0" t="s">
        <v>1645</v>
      </c>
      <c r="B449" s="0" t="s">
        <v>724</v>
      </c>
      <c r="C449" s="0" t="s">
        <v>570</v>
      </c>
      <c r="D449" s="0" t="n">
        <v>373.0598311</v>
      </c>
      <c r="E449" s="0" t="n">
        <v>401.8577138</v>
      </c>
      <c r="F449" s="0" t="n">
        <v>572.4453942</v>
      </c>
      <c r="G449" s="0" t="n">
        <v>1049.604995</v>
      </c>
      <c r="H449" s="0" t="n">
        <v>1681.129435</v>
      </c>
    </row>
    <row r="450" customFormat="false" ht="15" hidden="false" customHeight="false" outlineLevel="0" collapsed="false">
      <c r="A450" s="0" t="s">
        <v>1646</v>
      </c>
      <c r="B450" s="0" t="s">
        <v>36</v>
      </c>
      <c r="C450" s="0" t="s">
        <v>570</v>
      </c>
      <c r="D450" s="0" t="n">
        <v>2085.905863</v>
      </c>
      <c r="E450" s="0" t="n">
        <v>2272.155495</v>
      </c>
      <c r="F450" s="0" t="n">
        <v>3255.265988</v>
      </c>
      <c r="G450" s="0" t="n">
        <v>5716.355411</v>
      </c>
      <c r="H450" s="0" t="n">
        <v>8752.02541</v>
      </c>
    </row>
    <row r="451" customFormat="false" ht="15" hidden="false" customHeight="false" outlineLevel="0" collapsed="false">
      <c r="A451" s="0" t="s">
        <v>1647</v>
      </c>
      <c r="B451" s="0" t="s">
        <v>738</v>
      </c>
      <c r="C451" s="0" t="s">
        <v>570</v>
      </c>
      <c r="D451" s="0" t="n">
        <v>32.00595226</v>
      </c>
      <c r="E451" s="0" t="n">
        <v>36.16461375</v>
      </c>
      <c r="F451" s="0" t="n">
        <v>45.84765109</v>
      </c>
      <c r="G451" s="0" t="n">
        <v>66.3796444</v>
      </c>
      <c r="H451" s="0" t="n">
        <v>81.20684877</v>
      </c>
    </row>
    <row r="452" customFormat="false" ht="15" hidden="false" customHeight="false" outlineLevel="0" collapsed="false">
      <c r="A452" s="0" t="s">
        <v>1648</v>
      </c>
      <c r="B452" s="0" t="s">
        <v>790</v>
      </c>
      <c r="C452" s="0" t="s">
        <v>570</v>
      </c>
      <c r="D452" s="0" t="n">
        <v>399.7704371</v>
      </c>
      <c r="E452" s="0" t="n">
        <v>422.5868871</v>
      </c>
      <c r="F452" s="0" t="n">
        <v>465.2307389</v>
      </c>
      <c r="G452" s="0" t="n">
        <v>689.8417477</v>
      </c>
      <c r="H452" s="0" t="n">
        <v>1067.888842</v>
      </c>
    </row>
    <row r="453" customFormat="false" ht="15" hidden="false" customHeight="false" outlineLevel="0" collapsed="false">
      <c r="A453" s="0" t="s">
        <v>1649</v>
      </c>
      <c r="B453" s="0" t="s">
        <v>806</v>
      </c>
      <c r="C453" s="0" t="s">
        <v>570</v>
      </c>
      <c r="D453" s="0" t="n">
        <v>84.83806957</v>
      </c>
      <c r="E453" s="0" t="n">
        <v>88.03231539</v>
      </c>
      <c r="F453" s="0" t="n">
        <v>86.97625875</v>
      </c>
      <c r="G453" s="0" t="n">
        <v>122.8338642</v>
      </c>
      <c r="H453" s="0" t="n">
        <v>188.5355919</v>
      </c>
    </row>
    <row r="454" customFormat="false" ht="15" hidden="false" customHeight="false" outlineLevel="0" collapsed="false">
      <c r="A454" s="0" t="s">
        <v>1650</v>
      </c>
      <c r="B454" s="0" t="s">
        <v>916</v>
      </c>
      <c r="C454" s="0" t="s">
        <v>570</v>
      </c>
      <c r="D454" s="0" t="n">
        <v>19.09208053</v>
      </c>
      <c r="E454" s="0" t="n">
        <v>19.24763945</v>
      </c>
      <c r="F454" s="0" t="n">
        <v>20.55001807</v>
      </c>
      <c r="G454" s="0" t="n">
        <v>23.10230687</v>
      </c>
      <c r="H454" s="0" t="n">
        <v>25.4325257</v>
      </c>
    </row>
    <row r="455" customFormat="false" ht="15" hidden="false" customHeight="false" outlineLevel="0" collapsed="false">
      <c r="A455" s="0" t="s">
        <v>1651</v>
      </c>
      <c r="B455" s="0" t="s">
        <v>750</v>
      </c>
      <c r="C455" s="0" t="s">
        <v>570</v>
      </c>
      <c r="D455" s="0" t="n">
        <v>83.16635793</v>
      </c>
      <c r="E455" s="0" t="n">
        <v>85.70556126</v>
      </c>
      <c r="F455" s="0" t="n">
        <v>102.11039</v>
      </c>
      <c r="G455" s="0" t="n">
        <v>133.7135373</v>
      </c>
      <c r="H455" s="0" t="n">
        <v>156.112938</v>
      </c>
    </row>
    <row r="456" customFormat="false" ht="15" hidden="false" customHeight="false" outlineLevel="0" collapsed="false">
      <c r="A456" s="0" t="s">
        <v>1652</v>
      </c>
      <c r="B456" s="0" t="s">
        <v>712</v>
      </c>
      <c r="C456" s="0" t="s">
        <v>570</v>
      </c>
      <c r="D456" s="0" t="n">
        <v>269.5696217</v>
      </c>
      <c r="E456" s="0" t="n">
        <v>281.4474787</v>
      </c>
      <c r="F456" s="0" t="n">
        <v>346.7738116</v>
      </c>
      <c r="G456" s="0" t="n">
        <v>498.8558233</v>
      </c>
      <c r="H456" s="0" t="n">
        <v>621.9428555</v>
      </c>
    </row>
    <row r="457" customFormat="false" ht="15" hidden="false" customHeight="false" outlineLevel="0" collapsed="false">
      <c r="A457" s="0" t="s">
        <v>1653</v>
      </c>
      <c r="B457" s="0" t="s">
        <v>964</v>
      </c>
      <c r="C457" s="0" t="s">
        <v>570</v>
      </c>
      <c r="D457" s="0" t="n">
        <v>4.951835761</v>
      </c>
      <c r="E457" s="0" t="n">
        <v>5.207583534</v>
      </c>
      <c r="F457" s="0" t="n">
        <v>6.490168055</v>
      </c>
      <c r="G457" s="0" t="n">
        <v>10.84600112</v>
      </c>
      <c r="H457" s="0" t="n">
        <v>17.05504297</v>
      </c>
    </row>
    <row r="458" customFormat="false" ht="15" hidden="false" customHeight="false" outlineLevel="0" collapsed="false">
      <c r="A458" s="0" t="s">
        <v>1654</v>
      </c>
      <c r="B458" s="0" t="s">
        <v>876</v>
      </c>
      <c r="C458" s="0" t="s">
        <v>570</v>
      </c>
      <c r="D458" s="0" t="n">
        <v>23.75742439</v>
      </c>
      <c r="E458" s="0" t="n">
        <v>24.48583869</v>
      </c>
      <c r="F458" s="0" t="n">
        <v>29.02219166</v>
      </c>
      <c r="G458" s="0" t="n">
        <v>41.96368847</v>
      </c>
      <c r="H458" s="0" t="n">
        <v>57.20192103</v>
      </c>
    </row>
    <row r="459" customFormat="false" ht="15" hidden="false" customHeight="false" outlineLevel="0" collapsed="false">
      <c r="A459" s="0" t="s">
        <v>1655</v>
      </c>
      <c r="B459" s="0" t="s">
        <v>702</v>
      </c>
      <c r="C459" s="0" t="s">
        <v>570</v>
      </c>
      <c r="D459" s="0" t="n">
        <v>1038.51757</v>
      </c>
      <c r="E459" s="0" t="n">
        <v>1073.861368</v>
      </c>
      <c r="F459" s="0" t="n">
        <v>1246.896562</v>
      </c>
      <c r="G459" s="0" t="n">
        <v>1663.048976</v>
      </c>
      <c r="H459" s="0" t="n">
        <v>2072.251139</v>
      </c>
    </row>
    <row r="460" customFormat="false" ht="15" hidden="false" customHeight="false" outlineLevel="0" collapsed="false">
      <c r="A460" s="0" t="s">
        <v>1656</v>
      </c>
      <c r="B460" s="0" t="s">
        <v>780</v>
      </c>
      <c r="C460" s="0" t="s">
        <v>570</v>
      </c>
      <c r="D460" s="0" t="n">
        <v>121.3484896</v>
      </c>
      <c r="E460" s="0" t="n">
        <v>135.7174439</v>
      </c>
      <c r="F460" s="0" t="n">
        <v>206.9895225</v>
      </c>
      <c r="G460" s="0" t="n">
        <v>378.8065779</v>
      </c>
      <c r="H460" s="0" t="n">
        <v>578.8663294</v>
      </c>
    </row>
    <row r="461" customFormat="false" ht="15" hidden="false" customHeight="false" outlineLevel="0" collapsed="false">
      <c r="A461" s="0" t="s">
        <v>1657</v>
      </c>
      <c r="B461" s="0" t="s">
        <v>814</v>
      </c>
      <c r="C461" s="0" t="s">
        <v>570</v>
      </c>
      <c r="D461" s="0" t="n">
        <v>14.14181389</v>
      </c>
      <c r="E461" s="0" t="n">
        <v>15.1137215</v>
      </c>
      <c r="F461" s="0" t="n">
        <v>20.97953499</v>
      </c>
      <c r="G461" s="0" t="n">
        <v>38.5382637</v>
      </c>
      <c r="H461" s="0" t="n">
        <v>60.99871008</v>
      </c>
    </row>
    <row r="462" customFormat="false" ht="15" hidden="false" customHeight="false" outlineLevel="0" collapsed="false">
      <c r="A462" s="0" t="s">
        <v>1658</v>
      </c>
      <c r="B462" s="0" t="s">
        <v>946</v>
      </c>
      <c r="C462" s="0" t="s">
        <v>570</v>
      </c>
      <c r="D462" s="0" t="n">
        <v>15.78728786</v>
      </c>
      <c r="E462" s="0" t="n">
        <v>17.40732461</v>
      </c>
      <c r="F462" s="0" t="n">
        <v>23.21546884</v>
      </c>
      <c r="G462" s="0" t="n">
        <v>37.08174889</v>
      </c>
      <c r="H462" s="0" t="n">
        <v>54.06643339</v>
      </c>
    </row>
    <row r="463" customFormat="false" ht="15" hidden="false" customHeight="false" outlineLevel="0" collapsed="false">
      <c r="A463" s="0" t="s">
        <v>1659</v>
      </c>
      <c r="B463" s="0" t="s">
        <v>886</v>
      </c>
      <c r="C463" s="0" t="s">
        <v>570</v>
      </c>
      <c r="D463" s="0" t="n">
        <v>17.84071197</v>
      </c>
      <c r="E463" s="0" t="n">
        <v>18.82727323</v>
      </c>
      <c r="F463" s="0" t="n">
        <v>24.05213915</v>
      </c>
      <c r="G463" s="0" t="n">
        <v>39.30330009</v>
      </c>
      <c r="H463" s="0" t="n">
        <v>58.82131933</v>
      </c>
    </row>
    <row r="464" customFormat="false" ht="15" hidden="false" customHeight="false" outlineLevel="0" collapsed="false">
      <c r="A464" s="0" t="s">
        <v>1660</v>
      </c>
      <c r="B464" s="0" t="s">
        <v>1054</v>
      </c>
      <c r="C464" s="0" t="s">
        <v>570</v>
      </c>
      <c r="D464" s="0" t="n">
        <v>0.2321059985</v>
      </c>
      <c r="E464" s="0" t="n">
        <v>0.2554693361</v>
      </c>
      <c r="F464" s="0" t="n">
        <v>0.3965527231</v>
      </c>
      <c r="G464" s="0" t="n">
        <v>0.7443904647</v>
      </c>
      <c r="H464" s="0" t="n">
        <v>1.101737326</v>
      </c>
    </row>
    <row r="465" customFormat="false" ht="15" hidden="false" customHeight="false" outlineLevel="0" collapsed="false">
      <c r="A465" s="0" t="s">
        <v>1661</v>
      </c>
      <c r="B465" s="0" t="s">
        <v>716</v>
      </c>
      <c r="C465" s="0" t="s">
        <v>570</v>
      </c>
      <c r="D465" s="0" t="n">
        <v>630.5385647</v>
      </c>
      <c r="E465" s="0" t="n">
        <v>650.279615</v>
      </c>
      <c r="F465" s="0" t="n">
        <v>780.6986296</v>
      </c>
      <c r="G465" s="0" t="n">
        <v>1062.221428</v>
      </c>
      <c r="H465" s="0" t="n">
        <v>1308.663349</v>
      </c>
    </row>
    <row r="466" customFormat="false" ht="15" hidden="false" customHeight="false" outlineLevel="0" collapsed="false">
      <c r="A466" s="0" t="s">
        <v>1662</v>
      </c>
      <c r="B466" s="0" t="s">
        <v>812</v>
      </c>
      <c r="C466" s="0" t="s">
        <v>570</v>
      </c>
      <c r="D466" s="0" t="n">
        <v>89.43463303</v>
      </c>
      <c r="E466" s="0" t="n">
        <v>95.02820302</v>
      </c>
      <c r="F466" s="0" t="n">
        <v>109.8004993</v>
      </c>
      <c r="G466" s="0" t="n">
        <v>150.8165236</v>
      </c>
      <c r="H466" s="0" t="n">
        <v>199.8578027</v>
      </c>
    </row>
    <row r="467" customFormat="false" ht="15" hidden="false" customHeight="false" outlineLevel="0" collapsed="false">
      <c r="A467" s="0" t="s">
        <v>1663</v>
      </c>
      <c r="B467" s="0" t="s">
        <v>972</v>
      </c>
      <c r="C467" s="0" t="s">
        <v>570</v>
      </c>
      <c r="D467" s="0" t="n">
        <v>14.8278232</v>
      </c>
      <c r="E467" s="0" t="n">
        <v>15.38707332</v>
      </c>
      <c r="F467" s="0" t="n">
        <v>18.13994008</v>
      </c>
      <c r="G467" s="0" t="n">
        <v>25.59914058</v>
      </c>
      <c r="H467" s="0" t="n">
        <v>35.02049563</v>
      </c>
    </row>
    <row r="468" customFormat="false" ht="15" hidden="false" customHeight="false" outlineLevel="0" collapsed="false">
      <c r="A468" s="0" t="s">
        <v>1664</v>
      </c>
      <c r="B468" s="0" t="s">
        <v>922</v>
      </c>
      <c r="C468" s="0" t="s">
        <v>570</v>
      </c>
      <c r="D468" s="0" t="n">
        <v>20.0085266</v>
      </c>
      <c r="E468" s="0" t="n">
        <v>21.45266115</v>
      </c>
      <c r="F468" s="0" t="n">
        <v>29.00949502</v>
      </c>
      <c r="G468" s="0" t="n">
        <v>49.58751817</v>
      </c>
      <c r="H468" s="0" t="n">
        <v>75.66789242</v>
      </c>
    </row>
    <row r="469" customFormat="false" ht="15" hidden="false" customHeight="false" outlineLevel="0" collapsed="false">
      <c r="A469" s="0" t="s">
        <v>1665</v>
      </c>
      <c r="B469" s="0" t="s">
        <v>1008</v>
      </c>
      <c r="C469" s="0" t="s">
        <v>570</v>
      </c>
      <c r="D469" s="0" t="n">
        <v>0.5341592108</v>
      </c>
      <c r="E469" s="0" t="n">
        <v>0.5803449985</v>
      </c>
      <c r="F469" s="0" t="n">
        <v>0.8836844181</v>
      </c>
      <c r="G469" s="0" t="n">
        <v>1.867035443</v>
      </c>
      <c r="H469" s="0" t="n">
        <v>3.25542764</v>
      </c>
    </row>
    <row r="470" customFormat="false" ht="15" hidden="false" customHeight="false" outlineLevel="0" collapsed="false">
      <c r="A470" s="0" t="s">
        <v>1666</v>
      </c>
      <c r="B470" s="0" t="s">
        <v>874</v>
      </c>
      <c r="C470" s="0" t="s">
        <v>570</v>
      </c>
      <c r="D470" s="0" t="n">
        <v>36.53801226</v>
      </c>
      <c r="E470" s="0" t="n">
        <v>42.3178207</v>
      </c>
      <c r="F470" s="0" t="n">
        <v>62.40405887</v>
      </c>
      <c r="G470" s="0" t="n">
        <v>112.6001058</v>
      </c>
      <c r="H470" s="0" t="n">
        <v>167.9395233</v>
      </c>
    </row>
    <row r="471" customFormat="false" ht="15" hidden="false" customHeight="false" outlineLevel="0" collapsed="false">
      <c r="A471" s="0" t="s">
        <v>1667</v>
      </c>
      <c r="B471" s="0" t="s">
        <v>1032</v>
      </c>
      <c r="C471" s="0" t="s">
        <v>570</v>
      </c>
      <c r="D471" s="0" t="n">
        <v>0.402204747</v>
      </c>
      <c r="E471" s="0" t="n">
        <v>0.4224800189</v>
      </c>
      <c r="F471" s="0" t="n">
        <v>0.5511069161</v>
      </c>
      <c r="G471" s="0" t="n">
        <v>0.928839708</v>
      </c>
      <c r="H471" s="0" t="n">
        <v>1.411908373</v>
      </c>
    </row>
    <row r="472" customFormat="false" ht="15" hidden="false" customHeight="false" outlineLevel="0" collapsed="false">
      <c r="A472" s="0" t="s">
        <v>1668</v>
      </c>
      <c r="B472" s="0" t="s">
        <v>840</v>
      </c>
      <c r="C472" s="0" t="s">
        <v>570</v>
      </c>
      <c r="D472" s="0" t="n">
        <v>17.29008668</v>
      </c>
      <c r="E472" s="0" t="n">
        <v>17.92014961</v>
      </c>
      <c r="F472" s="0" t="n">
        <v>22.18189688</v>
      </c>
      <c r="G472" s="0" t="n">
        <v>36.49354769</v>
      </c>
      <c r="H472" s="0" t="n">
        <v>55.05002163</v>
      </c>
    </row>
    <row r="473" customFormat="false" ht="15" hidden="false" customHeight="false" outlineLevel="0" collapsed="false">
      <c r="A473" s="0" t="s">
        <v>1669</v>
      </c>
      <c r="B473" s="0" t="s">
        <v>1034</v>
      </c>
      <c r="C473" s="0" t="s">
        <v>570</v>
      </c>
      <c r="D473" s="0" t="n">
        <v>0.8808352021</v>
      </c>
      <c r="E473" s="0" t="n">
        <v>1.055609841</v>
      </c>
      <c r="F473" s="0" t="n">
        <v>1.982127775</v>
      </c>
      <c r="G473" s="0" t="n">
        <v>4.400049158</v>
      </c>
      <c r="H473" s="0" t="n">
        <v>7.683915661</v>
      </c>
    </row>
    <row r="474" customFormat="false" ht="15" hidden="false" customHeight="false" outlineLevel="0" collapsed="false">
      <c r="A474" s="0" t="s">
        <v>1670</v>
      </c>
      <c r="B474" s="0" t="s">
        <v>856</v>
      </c>
      <c r="C474" s="0" t="s">
        <v>570</v>
      </c>
      <c r="D474" s="0" t="n">
        <v>9.144148889</v>
      </c>
      <c r="E474" s="0" t="n">
        <v>9.762927261</v>
      </c>
      <c r="F474" s="0" t="n">
        <v>13.36558338</v>
      </c>
      <c r="G474" s="0" t="n">
        <v>21.26229622</v>
      </c>
      <c r="H474" s="0" t="n">
        <v>27.15281899</v>
      </c>
    </row>
    <row r="475" customFormat="false" ht="15" hidden="false" customHeight="false" outlineLevel="0" collapsed="false">
      <c r="A475" s="0" t="s">
        <v>1671</v>
      </c>
      <c r="B475" s="0" t="s">
        <v>854</v>
      </c>
      <c r="C475" s="0" t="s">
        <v>570</v>
      </c>
      <c r="D475" s="0" t="n">
        <v>5.452434087</v>
      </c>
      <c r="E475" s="0" t="n">
        <v>5.673001742</v>
      </c>
      <c r="F475" s="0" t="n">
        <v>7.26246433</v>
      </c>
      <c r="G475" s="0" t="n">
        <v>11.02342696</v>
      </c>
      <c r="H475" s="0" t="n">
        <v>13.75531167</v>
      </c>
    </row>
    <row r="476" customFormat="false" ht="15" hidden="false" customHeight="false" outlineLevel="0" collapsed="false">
      <c r="A476" s="0" t="s">
        <v>1672</v>
      </c>
      <c r="B476" s="0" t="s">
        <v>894</v>
      </c>
      <c r="C476" s="0" t="s">
        <v>570</v>
      </c>
      <c r="D476" s="0" t="n">
        <v>6.45704537</v>
      </c>
      <c r="E476" s="0" t="n">
        <v>6.78020414</v>
      </c>
      <c r="F476" s="0" t="n">
        <v>8.675750257</v>
      </c>
      <c r="G476" s="0" t="n">
        <v>12.90742919</v>
      </c>
      <c r="H476" s="0" t="n">
        <v>16.15999486</v>
      </c>
    </row>
    <row r="477" customFormat="false" ht="15" hidden="false" customHeight="false" outlineLevel="0" collapsed="false">
      <c r="A477" s="0" t="s">
        <v>1673</v>
      </c>
      <c r="B477" s="0" t="s">
        <v>882</v>
      </c>
      <c r="C477" s="0" t="s">
        <v>570</v>
      </c>
      <c r="D477" s="0" t="n">
        <v>6.27108561</v>
      </c>
      <c r="E477" s="0" t="n">
        <v>6.504408852</v>
      </c>
      <c r="F477" s="0" t="n">
        <v>7.279002271</v>
      </c>
      <c r="G477" s="0" t="n">
        <v>8.578087668</v>
      </c>
      <c r="H477" s="0" t="n">
        <v>9.563750431</v>
      </c>
    </row>
    <row r="478" customFormat="false" ht="15" hidden="false" customHeight="false" outlineLevel="0" collapsed="false">
      <c r="A478" s="0" t="s">
        <v>1674</v>
      </c>
      <c r="B478" s="0" t="s">
        <v>808</v>
      </c>
      <c r="C478" s="0" t="s">
        <v>570</v>
      </c>
      <c r="D478" s="0" t="n">
        <v>44.34730592</v>
      </c>
      <c r="E478" s="0" t="n">
        <v>47.11059358</v>
      </c>
      <c r="F478" s="0" t="n">
        <v>63.78072102</v>
      </c>
      <c r="G478" s="0" t="n">
        <v>110.2311249</v>
      </c>
      <c r="H478" s="0" t="n">
        <v>169.2687716</v>
      </c>
    </row>
    <row r="479" customFormat="false" ht="15" hidden="false" customHeight="false" outlineLevel="0" collapsed="false">
      <c r="A479" s="0" t="s">
        <v>1675</v>
      </c>
      <c r="B479" s="0" t="s">
        <v>966</v>
      </c>
      <c r="C479" s="0" t="s">
        <v>570</v>
      </c>
      <c r="D479" s="0" t="n">
        <v>4.256685918</v>
      </c>
      <c r="E479" s="0" t="n">
        <v>4.566229167</v>
      </c>
      <c r="F479" s="0" t="n">
        <v>6.244717213</v>
      </c>
      <c r="G479" s="0" t="n">
        <v>11.15803664</v>
      </c>
      <c r="H479" s="0" t="n">
        <v>18.09622445</v>
      </c>
    </row>
    <row r="480" customFormat="false" ht="15" hidden="false" customHeight="false" outlineLevel="0" collapsed="false">
      <c r="A480" s="0" t="s">
        <v>1676</v>
      </c>
      <c r="B480" s="0" t="s">
        <v>960</v>
      </c>
      <c r="C480" s="0" t="s">
        <v>570</v>
      </c>
      <c r="D480" s="0" t="n">
        <v>2.805997252</v>
      </c>
      <c r="E480" s="0" t="n">
        <v>2.926536661</v>
      </c>
      <c r="F480" s="0" t="n">
        <v>3.792611625</v>
      </c>
      <c r="G480" s="0" t="n">
        <v>6.533447537</v>
      </c>
      <c r="H480" s="0" t="n">
        <v>10.36714459</v>
      </c>
    </row>
    <row r="481" customFormat="false" ht="15" hidden="false" customHeight="false" outlineLevel="0" collapsed="false">
      <c r="A481" s="0" t="s">
        <v>1677</v>
      </c>
      <c r="B481" s="0" t="s">
        <v>1002</v>
      </c>
      <c r="C481" s="0" t="s">
        <v>570</v>
      </c>
      <c r="D481" s="0" t="n">
        <v>1.544189958</v>
      </c>
      <c r="E481" s="0" t="n">
        <v>1.664404014</v>
      </c>
      <c r="F481" s="0" t="n">
        <v>2.24999341</v>
      </c>
      <c r="G481" s="0" t="n">
        <v>3.902750393</v>
      </c>
      <c r="H481" s="0" t="n">
        <v>5.931653646</v>
      </c>
    </row>
    <row r="482" customFormat="false" ht="15" hidden="false" customHeight="false" outlineLevel="0" collapsed="false">
      <c r="A482" s="0" t="s">
        <v>1678</v>
      </c>
      <c r="B482" s="0" t="s">
        <v>720</v>
      </c>
      <c r="C482" s="0" t="s">
        <v>570</v>
      </c>
      <c r="D482" s="0" t="n">
        <v>358.2669979</v>
      </c>
      <c r="E482" s="0" t="n">
        <v>370.8432473</v>
      </c>
      <c r="F482" s="0" t="n">
        <v>462.9513847</v>
      </c>
      <c r="G482" s="0" t="n">
        <v>733.1738283</v>
      </c>
      <c r="H482" s="0" t="n">
        <v>1090.138168</v>
      </c>
    </row>
    <row r="483" customFormat="false" ht="15" hidden="false" customHeight="false" outlineLevel="0" collapsed="false">
      <c r="A483" s="0" t="s">
        <v>1679</v>
      </c>
      <c r="B483" s="0" t="s">
        <v>970</v>
      </c>
      <c r="C483" s="0" t="s">
        <v>570</v>
      </c>
      <c r="D483" s="0" t="n">
        <v>7.307765039</v>
      </c>
      <c r="E483" s="0" t="n">
        <v>7.59686174</v>
      </c>
      <c r="F483" s="0" t="n">
        <v>9.184986414</v>
      </c>
      <c r="G483" s="0" t="n">
        <v>13.47985082</v>
      </c>
      <c r="H483" s="0" t="n">
        <v>18.55618495</v>
      </c>
    </row>
    <row r="484" customFormat="false" ht="15" hidden="false" customHeight="false" outlineLevel="0" collapsed="false">
      <c r="A484" s="0" t="s">
        <v>1680</v>
      </c>
      <c r="B484" s="0" t="s">
        <v>918</v>
      </c>
      <c r="C484" s="0" t="s">
        <v>570</v>
      </c>
      <c r="D484" s="0" t="n">
        <v>5.633294516</v>
      </c>
      <c r="E484" s="0" t="n">
        <v>6.086096989</v>
      </c>
      <c r="F484" s="0" t="n">
        <v>9.291603861</v>
      </c>
      <c r="G484" s="0" t="n">
        <v>19.70203252</v>
      </c>
      <c r="H484" s="0" t="n">
        <v>33.86816894</v>
      </c>
    </row>
    <row r="485" customFormat="false" ht="15" hidden="false" customHeight="false" outlineLevel="0" collapsed="false">
      <c r="A485" s="0" t="s">
        <v>1681</v>
      </c>
      <c r="B485" s="0" t="s">
        <v>936</v>
      </c>
      <c r="C485" s="0" t="s">
        <v>570</v>
      </c>
      <c r="D485" s="0" t="n">
        <v>3.00338918</v>
      </c>
      <c r="E485" s="0" t="n">
        <v>3.110061557</v>
      </c>
      <c r="F485" s="0" t="n">
        <v>3.661884878</v>
      </c>
      <c r="G485" s="0" t="n">
        <v>4.664468545</v>
      </c>
      <c r="H485" s="0" t="n">
        <v>5.336878417</v>
      </c>
    </row>
    <row r="486" customFormat="false" ht="15" hidden="false" customHeight="false" outlineLevel="0" collapsed="false">
      <c r="A486" s="0" t="s">
        <v>1682</v>
      </c>
      <c r="B486" s="0" t="s">
        <v>862</v>
      </c>
      <c r="C486" s="0" t="s">
        <v>570</v>
      </c>
      <c r="D486" s="0" t="n">
        <v>21.75639235</v>
      </c>
      <c r="E486" s="0" t="n">
        <v>22.28071666</v>
      </c>
      <c r="F486" s="0" t="n">
        <v>30.23727043</v>
      </c>
      <c r="G486" s="0" t="n">
        <v>53.65282997</v>
      </c>
      <c r="H486" s="0" t="n">
        <v>88.62716486</v>
      </c>
    </row>
    <row r="487" customFormat="false" ht="15" hidden="false" customHeight="false" outlineLevel="0" collapsed="false">
      <c r="A487" s="0" t="s">
        <v>1683</v>
      </c>
      <c r="B487" s="0" t="s">
        <v>996</v>
      </c>
      <c r="C487" s="0" t="s">
        <v>570</v>
      </c>
      <c r="D487" s="0" t="n">
        <v>3.259417687</v>
      </c>
      <c r="E487" s="0" t="n">
        <v>3.334811774</v>
      </c>
      <c r="F487" s="0" t="n">
        <v>3.802172361</v>
      </c>
      <c r="G487" s="0" t="n">
        <v>5.098803956</v>
      </c>
      <c r="H487" s="0" t="n">
        <v>6.62559348</v>
      </c>
    </row>
    <row r="488" customFormat="false" ht="15" hidden="false" customHeight="false" outlineLevel="0" collapsed="false">
      <c r="A488" s="0" t="s">
        <v>1684</v>
      </c>
      <c r="B488" s="0" t="s">
        <v>928</v>
      </c>
      <c r="C488" s="0" t="s">
        <v>570</v>
      </c>
      <c r="D488" s="0" t="n">
        <v>9.946427559</v>
      </c>
      <c r="E488" s="0" t="n">
        <v>10.70105207</v>
      </c>
      <c r="F488" s="0" t="n">
        <v>14.39417626</v>
      </c>
      <c r="G488" s="0" t="n">
        <v>23.98121849</v>
      </c>
      <c r="H488" s="0" t="n">
        <v>36.05485452</v>
      </c>
    </row>
    <row r="489" customFormat="false" ht="15" hidden="false" customHeight="false" outlineLevel="0" collapsed="false">
      <c r="A489" s="0" t="s">
        <v>1685</v>
      </c>
      <c r="B489" s="0" t="s">
        <v>954</v>
      </c>
      <c r="C489" s="0" t="s">
        <v>570</v>
      </c>
      <c r="D489" s="0" t="n">
        <v>18.48422247</v>
      </c>
      <c r="E489" s="0" t="n">
        <v>18.49196423</v>
      </c>
      <c r="F489" s="0" t="n">
        <v>20.0840379</v>
      </c>
      <c r="G489" s="0" t="n">
        <v>28.77434665</v>
      </c>
      <c r="H489" s="0" t="n">
        <v>43.06485328</v>
      </c>
    </row>
    <row r="490" customFormat="false" ht="15" hidden="false" customHeight="false" outlineLevel="0" collapsed="false">
      <c r="A490" s="0" t="s">
        <v>1686</v>
      </c>
      <c r="B490" s="0" t="s">
        <v>988</v>
      </c>
      <c r="C490" s="0" t="s">
        <v>570</v>
      </c>
      <c r="D490" s="0" t="n">
        <v>2.090964058</v>
      </c>
      <c r="E490" s="0" t="n">
        <v>2.315497954</v>
      </c>
      <c r="F490" s="0" t="n">
        <v>3.762200198</v>
      </c>
      <c r="G490" s="0" t="n">
        <v>8.195506794</v>
      </c>
      <c r="H490" s="0" t="n">
        <v>14.26933586</v>
      </c>
    </row>
    <row r="491" customFormat="false" ht="15" hidden="false" customHeight="false" outlineLevel="0" collapsed="false">
      <c r="A491" s="0" t="s">
        <v>1687</v>
      </c>
      <c r="B491" s="0" t="s">
        <v>974</v>
      </c>
      <c r="C491" s="0" t="s">
        <v>570</v>
      </c>
      <c r="D491" s="0" t="n">
        <v>3.419969101</v>
      </c>
      <c r="E491" s="0" t="n">
        <v>3.531728744</v>
      </c>
      <c r="F491" s="0" t="n">
        <v>4.235579971</v>
      </c>
      <c r="G491" s="0" t="n">
        <v>6.078161457</v>
      </c>
      <c r="H491" s="0" t="n">
        <v>8.191782952</v>
      </c>
    </row>
    <row r="492" customFormat="false" ht="15" hidden="false" customHeight="false" outlineLevel="0" collapsed="false">
      <c r="A492" s="0" t="s">
        <v>1688</v>
      </c>
      <c r="B492" s="0" t="s">
        <v>992</v>
      </c>
      <c r="C492" s="0" t="s">
        <v>570</v>
      </c>
      <c r="D492" s="0" t="n">
        <v>1.936805928</v>
      </c>
      <c r="E492" s="0" t="n">
        <v>1.985701589</v>
      </c>
      <c r="F492" s="0" t="n">
        <v>2.350262773</v>
      </c>
      <c r="G492" s="0" t="n">
        <v>3.743653161</v>
      </c>
      <c r="H492" s="0" t="n">
        <v>5.752376863</v>
      </c>
    </row>
    <row r="493" customFormat="false" ht="15" hidden="false" customHeight="false" outlineLevel="0" collapsed="false">
      <c r="A493" s="0" t="s">
        <v>1689</v>
      </c>
      <c r="B493" s="0" t="s">
        <v>760</v>
      </c>
      <c r="C493" s="0" t="s">
        <v>570</v>
      </c>
      <c r="D493" s="0" t="n">
        <v>201.5810081</v>
      </c>
      <c r="E493" s="0" t="n">
        <v>213.9489719</v>
      </c>
      <c r="F493" s="0" t="n">
        <v>281.7386633</v>
      </c>
      <c r="G493" s="0" t="n">
        <v>449.5226164</v>
      </c>
      <c r="H493" s="0" t="n">
        <v>645.6067544</v>
      </c>
    </row>
    <row r="494" customFormat="false" ht="15" hidden="false" customHeight="false" outlineLevel="0" collapsed="false">
      <c r="A494" s="0" t="s">
        <v>1690</v>
      </c>
      <c r="B494" s="0" t="s">
        <v>982</v>
      </c>
      <c r="C494" s="0" t="s">
        <v>570</v>
      </c>
      <c r="D494" s="0" t="n">
        <v>3.918149055</v>
      </c>
      <c r="E494" s="0" t="n">
        <v>4.058836412</v>
      </c>
      <c r="F494" s="0" t="n">
        <v>4.932206765</v>
      </c>
      <c r="G494" s="0" t="n">
        <v>7.544413576</v>
      </c>
      <c r="H494" s="0" t="n">
        <v>10.74873723</v>
      </c>
    </row>
    <row r="495" customFormat="false" ht="15" hidden="false" customHeight="false" outlineLevel="0" collapsed="false">
      <c r="A495" s="0" t="s">
        <v>1691</v>
      </c>
      <c r="B495" s="0" t="s">
        <v>940</v>
      </c>
      <c r="C495" s="0" t="s">
        <v>570</v>
      </c>
      <c r="D495" s="0" t="n">
        <v>1.556345039</v>
      </c>
      <c r="E495" s="0" t="n">
        <v>1.678332855</v>
      </c>
      <c r="F495" s="0" t="n">
        <v>2.452217612</v>
      </c>
      <c r="G495" s="0" t="n">
        <v>4.765167791</v>
      </c>
      <c r="H495" s="0" t="n">
        <v>7.757378336</v>
      </c>
    </row>
    <row r="496" customFormat="false" ht="15" hidden="false" customHeight="false" outlineLevel="0" collapsed="false">
      <c r="A496" s="0" t="s">
        <v>1692</v>
      </c>
      <c r="B496" s="0" t="s">
        <v>792</v>
      </c>
      <c r="C496" s="0" t="s">
        <v>570</v>
      </c>
      <c r="D496" s="0" t="n">
        <v>42.1400309</v>
      </c>
      <c r="E496" s="0" t="n">
        <v>45.42785094</v>
      </c>
      <c r="F496" s="0" t="n">
        <v>68.15558808</v>
      </c>
      <c r="G496" s="0" t="n">
        <v>144.3734253</v>
      </c>
      <c r="H496" s="0" t="n">
        <v>244.8700049</v>
      </c>
    </row>
    <row r="497" customFormat="false" ht="15" hidden="false" customHeight="false" outlineLevel="0" collapsed="false">
      <c r="A497" s="0" t="s">
        <v>1693</v>
      </c>
      <c r="B497" s="0" t="s">
        <v>948</v>
      </c>
      <c r="C497" s="0" t="s">
        <v>570</v>
      </c>
      <c r="D497" s="0" t="n">
        <v>4.694511732</v>
      </c>
      <c r="E497" s="0" t="n">
        <v>4.996513601</v>
      </c>
      <c r="F497" s="0" t="n">
        <v>6.616969786</v>
      </c>
      <c r="G497" s="0" t="n">
        <v>11.47437844</v>
      </c>
      <c r="H497" s="0" t="n">
        <v>18.08687051</v>
      </c>
    </row>
    <row r="498" customFormat="false" ht="15" hidden="false" customHeight="false" outlineLevel="0" collapsed="false">
      <c r="A498" s="0" t="s">
        <v>1694</v>
      </c>
      <c r="B498" s="0" t="s">
        <v>730</v>
      </c>
      <c r="C498" s="0" t="s">
        <v>570</v>
      </c>
      <c r="D498" s="0" t="n">
        <v>120.4037018</v>
      </c>
      <c r="E498" s="0" t="n">
        <v>129.5012809</v>
      </c>
      <c r="F498" s="0" t="n">
        <v>174.4655479</v>
      </c>
      <c r="G498" s="0" t="n">
        <v>271.0180445</v>
      </c>
      <c r="H498" s="0" t="n">
        <v>347.5570866</v>
      </c>
    </row>
    <row r="499" customFormat="false" ht="15" hidden="false" customHeight="false" outlineLevel="0" collapsed="false">
      <c r="A499" s="0" t="s">
        <v>1695</v>
      </c>
      <c r="B499" s="0" t="s">
        <v>762</v>
      </c>
      <c r="C499" s="0" t="s">
        <v>570</v>
      </c>
      <c r="D499" s="0" t="n">
        <v>152.3795761</v>
      </c>
      <c r="E499" s="0" t="n">
        <v>155.424638</v>
      </c>
      <c r="F499" s="0" t="n">
        <v>174.613339</v>
      </c>
      <c r="G499" s="0" t="n">
        <v>217.8298239</v>
      </c>
      <c r="H499" s="0" t="n">
        <v>260.992639</v>
      </c>
    </row>
    <row r="500" customFormat="false" ht="15" hidden="false" customHeight="false" outlineLevel="0" collapsed="false">
      <c r="A500" s="0" t="s">
        <v>1696</v>
      </c>
      <c r="B500" s="0" t="s">
        <v>892</v>
      </c>
      <c r="C500" s="0" t="s">
        <v>570</v>
      </c>
      <c r="D500" s="0" t="n">
        <v>11.17497453</v>
      </c>
      <c r="E500" s="0" t="n">
        <v>12.10120401</v>
      </c>
      <c r="F500" s="0" t="n">
        <v>16.73238297</v>
      </c>
      <c r="G500" s="0" t="n">
        <v>30.6815422</v>
      </c>
      <c r="H500" s="0" t="n">
        <v>50.92592422</v>
      </c>
    </row>
    <row r="501" customFormat="false" ht="15" hidden="false" customHeight="false" outlineLevel="0" collapsed="false">
      <c r="A501" s="0" t="s">
        <v>1697</v>
      </c>
      <c r="B501" s="0" t="s">
        <v>1064</v>
      </c>
      <c r="C501" s="0" t="s">
        <v>570</v>
      </c>
      <c r="D501" s="0" t="n">
        <v>0.05041766441</v>
      </c>
      <c r="E501" s="0" t="n">
        <v>0.05607041887</v>
      </c>
      <c r="F501" s="0" t="n">
        <v>0.08907290151</v>
      </c>
      <c r="G501" s="0" t="n">
        <v>0.1818609046</v>
      </c>
      <c r="H501" s="0" t="n">
        <v>0.3032348598</v>
      </c>
    </row>
    <row r="502" customFormat="false" ht="15" hidden="false" customHeight="false" outlineLevel="0" collapsed="false">
      <c r="A502" s="0" t="s">
        <v>1698</v>
      </c>
      <c r="B502" s="0" t="s">
        <v>796</v>
      </c>
      <c r="C502" s="0" t="s">
        <v>570</v>
      </c>
      <c r="D502" s="0" t="n">
        <v>44.12527403</v>
      </c>
      <c r="E502" s="0" t="n">
        <v>44.96875889</v>
      </c>
      <c r="F502" s="0" t="n">
        <v>53.79611457</v>
      </c>
      <c r="G502" s="0" t="n">
        <v>73.45887436</v>
      </c>
      <c r="H502" s="0" t="n">
        <v>88.61216879</v>
      </c>
    </row>
    <row r="503" customFormat="false" ht="15" hidden="false" customHeight="false" outlineLevel="0" collapsed="false">
      <c r="A503" s="0" t="s">
        <v>1699</v>
      </c>
      <c r="B503" s="0" t="s">
        <v>832</v>
      </c>
      <c r="C503" s="0" t="s">
        <v>570</v>
      </c>
      <c r="D503" s="0" t="n">
        <v>52.97645906</v>
      </c>
      <c r="E503" s="0" t="n">
        <v>57.6707954</v>
      </c>
      <c r="F503" s="0" t="n">
        <v>85.60802745</v>
      </c>
      <c r="G503" s="0" t="n">
        <v>144.6541158</v>
      </c>
      <c r="H503" s="0" t="n">
        <v>200.3296636</v>
      </c>
    </row>
    <row r="504" customFormat="false" ht="15" hidden="false" customHeight="false" outlineLevel="0" collapsed="false">
      <c r="A504" s="0" t="s">
        <v>1700</v>
      </c>
      <c r="B504" s="0" t="s">
        <v>772</v>
      </c>
      <c r="C504" s="0" t="s">
        <v>570</v>
      </c>
      <c r="D504" s="0" t="n">
        <v>169.8081513</v>
      </c>
      <c r="E504" s="0" t="n">
        <v>178.3585462</v>
      </c>
      <c r="F504" s="0" t="n">
        <v>233.8725618</v>
      </c>
      <c r="G504" s="0" t="n">
        <v>395.213133</v>
      </c>
      <c r="H504" s="0" t="n">
        <v>607.0329716</v>
      </c>
    </row>
    <row r="505" customFormat="false" ht="15" hidden="false" customHeight="false" outlineLevel="0" collapsed="false">
      <c r="A505" s="0" t="s">
        <v>1701</v>
      </c>
      <c r="B505" s="0" t="s">
        <v>848</v>
      </c>
      <c r="C505" s="0" t="s">
        <v>570</v>
      </c>
      <c r="D505" s="0" t="n">
        <v>13.48589301</v>
      </c>
      <c r="E505" s="0" t="n">
        <v>14.1337589</v>
      </c>
      <c r="F505" s="0" t="n">
        <v>17.56863557</v>
      </c>
      <c r="G505" s="0" t="n">
        <v>25.00840631</v>
      </c>
      <c r="H505" s="0" t="n">
        <v>31.25165826</v>
      </c>
    </row>
    <row r="506" customFormat="false" ht="15" hidden="false" customHeight="false" outlineLevel="0" collapsed="false">
      <c r="A506" s="0" t="s">
        <v>1702</v>
      </c>
      <c r="B506" s="0" t="s">
        <v>784</v>
      </c>
      <c r="C506" s="0" t="s">
        <v>570</v>
      </c>
      <c r="D506" s="0" t="n">
        <v>60.70698191</v>
      </c>
      <c r="E506" s="0" t="n">
        <v>63.77770679</v>
      </c>
      <c r="F506" s="0" t="n">
        <v>80.45674867</v>
      </c>
      <c r="G506" s="0" t="n">
        <v>126.9814997</v>
      </c>
      <c r="H506" s="0" t="n">
        <v>183.5372634</v>
      </c>
    </row>
    <row r="507" customFormat="false" ht="15" hidden="false" customHeight="false" outlineLevel="0" collapsed="false">
      <c r="A507" s="0" t="s">
        <v>1703</v>
      </c>
      <c r="B507" s="0" t="s">
        <v>754</v>
      </c>
      <c r="C507" s="0" t="s">
        <v>570</v>
      </c>
      <c r="D507" s="0" t="n">
        <v>123.5236468</v>
      </c>
      <c r="E507" s="0" t="n">
        <v>129.3959931</v>
      </c>
      <c r="F507" s="0" t="n">
        <v>162.6593343</v>
      </c>
      <c r="G507" s="0" t="n">
        <v>257.0457866</v>
      </c>
      <c r="H507" s="0" t="n">
        <v>380.0944703</v>
      </c>
    </row>
    <row r="508" customFormat="false" ht="15" hidden="false" customHeight="false" outlineLevel="0" collapsed="false">
      <c r="A508" s="0" t="s">
        <v>1704</v>
      </c>
      <c r="B508" s="0" t="s">
        <v>1062</v>
      </c>
      <c r="C508" s="0" t="s">
        <v>570</v>
      </c>
      <c r="D508" s="0" t="n">
        <v>0.1017983345</v>
      </c>
      <c r="E508" s="0" t="n">
        <v>0.112928384</v>
      </c>
      <c r="F508" s="0" t="n">
        <v>0.168054951</v>
      </c>
      <c r="G508" s="0" t="n">
        <v>0.310686778</v>
      </c>
      <c r="H508" s="0" t="n">
        <v>0.4432820107</v>
      </c>
    </row>
    <row r="509" customFormat="false" ht="15" hidden="false" customHeight="false" outlineLevel="0" collapsed="false">
      <c r="A509" s="0" t="s">
        <v>1705</v>
      </c>
      <c r="B509" s="0" t="s">
        <v>912</v>
      </c>
      <c r="C509" s="0" t="s">
        <v>570</v>
      </c>
      <c r="D509" s="0" t="n">
        <v>4.743313174</v>
      </c>
      <c r="E509" s="0" t="n">
        <v>5.223383248</v>
      </c>
      <c r="F509" s="0" t="n">
        <v>7.654323471</v>
      </c>
      <c r="G509" s="0" t="n">
        <v>14.72671289</v>
      </c>
      <c r="H509" s="0" t="n">
        <v>25.17924462</v>
      </c>
    </row>
    <row r="510" customFormat="false" ht="15" hidden="false" customHeight="false" outlineLevel="0" collapsed="false">
      <c r="A510" s="0" t="s">
        <v>1706</v>
      </c>
      <c r="B510" s="0" t="s">
        <v>732</v>
      </c>
      <c r="C510" s="0" t="s">
        <v>570</v>
      </c>
      <c r="D510" s="0" t="n">
        <v>182.6547807</v>
      </c>
      <c r="E510" s="0" t="n">
        <v>192.9952911</v>
      </c>
      <c r="F510" s="0" t="n">
        <v>247.8076393</v>
      </c>
      <c r="G510" s="0" t="n">
        <v>362.5293806</v>
      </c>
      <c r="H510" s="0" t="n">
        <v>464.7061112</v>
      </c>
    </row>
    <row r="511" customFormat="false" ht="15" hidden="false" customHeight="false" outlineLevel="0" collapsed="false">
      <c r="A511" s="0" t="s">
        <v>1707</v>
      </c>
      <c r="B511" s="0" t="s">
        <v>834</v>
      </c>
      <c r="C511" s="0" t="s">
        <v>570</v>
      </c>
      <c r="D511" s="0" t="n">
        <v>0.5260342778</v>
      </c>
      <c r="E511" s="0" t="n">
        <v>0.8202479092</v>
      </c>
      <c r="F511" s="0" t="n">
        <v>2.948585082</v>
      </c>
      <c r="G511" s="0" t="n">
        <v>8.508414124</v>
      </c>
      <c r="H511" s="0" t="n">
        <v>12.05184122</v>
      </c>
    </row>
    <row r="512" customFormat="false" ht="15" hidden="false" customHeight="false" outlineLevel="0" collapsed="false">
      <c r="A512" s="0" t="s">
        <v>1708</v>
      </c>
      <c r="B512" s="0" t="s">
        <v>786</v>
      </c>
      <c r="C512" s="0" t="s">
        <v>570</v>
      </c>
      <c r="D512" s="0" t="n">
        <v>53.1139216</v>
      </c>
      <c r="E512" s="0" t="n">
        <v>54.71845917</v>
      </c>
      <c r="F512" s="0" t="n">
        <v>64.08767906</v>
      </c>
      <c r="G512" s="0" t="n">
        <v>84.95443163</v>
      </c>
      <c r="H512" s="0" t="n">
        <v>101.7896648</v>
      </c>
    </row>
    <row r="513" customFormat="false" ht="15" hidden="false" customHeight="false" outlineLevel="0" collapsed="false">
      <c r="A513" s="0" t="s">
        <v>1709</v>
      </c>
      <c r="B513" s="0" t="s">
        <v>888</v>
      </c>
      <c r="C513" s="0" t="s">
        <v>570</v>
      </c>
      <c r="D513" s="0" t="n">
        <v>27.89033246</v>
      </c>
      <c r="E513" s="0" t="n">
        <v>29.78747178</v>
      </c>
      <c r="F513" s="0" t="n">
        <v>38.71996176</v>
      </c>
      <c r="G513" s="0" t="n">
        <v>61.7225065</v>
      </c>
      <c r="H513" s="0" t="n">
        <v>88.56869784</v>
      </c>
    </row>
    <row r="514" customFormat="false" ht="15" hidden="false" customHeight="false" outlineLevel="0" collapsed="false">
      <c r="A514" s="0" t="s">
        <v>1710</v>
      </c>
      <c r="B514" s="0" t="s">
        <v>816</v>
      </c>
      <c r="C514" s="0" t="s">
        <v>570</v>
      </c>
      <c r="D514" s="0" t="n">
        <v>57.31523429</v>
      </c>
      <c r="E514" s="0" t="n">
        <v>62.54669093</v>
      </c>
      <c r="F514" s="0" t="n">
        <v>59.64767831</v>
      </c>
      <c r="G514" s="0" t="n">
        <v>72.14809997</v>
      </c>
      <c r="H514" s="0" t="n">
        <v>100.716846</v>
      </c>
    </row>
    <row r="515" customFormat="false" ht="15" hidden="false" customHeight="false" outlineLevel="0" collapsed="false">
      <c r="A515" s="0" t="s">
        <v>1711</v>
      </c>
      <c r="B515" s="0" t="s">
        <v>776</v>
      </c>
      <c r="C515" s="0" t="s">
        <v>570</v>
      </c>
      <c r="D515" s="0" t="n">
        <v>49.97251685</v>
      </c>
      <c r="E515" s="0" t="n">
        <v>52.43689234</v>
      </c>
      <c r="F515" s="0" t="n">
        <v>66.53470009</v>
      </c>
      <c r="G515" s="0" t="n">
        <v>107.0624868</v>
      </c>
      <c r="H515" s="0" t="n">
        <v>159.9192293</v>
      </c>
    </row>
    <row r="516" customFormat="false" ht="15" hidden="false" customHeight="false" outlineLevel="0" collapsed="false">
      <c r="A516" s="0" t="s">
        <v>1712</v>
      </c>
      <c r="B516" s="0" t="s">
        <v>714</v>
      </c>
      <c r="C516" s="0" t="s">
        <v>570</v>
      </c>
      <c r="D516" s="0" t="n">
        <v>1195.071636</v>
      </c>
      <c r="E516" s="0" t="n">
        <v>1268.333651</v>
      </c>
      <c r="F516" s="0" t="n">
        <v>1670.135175</v>
      </c>
      <c r="G516" s="0" t="n">
        <v>2739.492352</v>
      </c>
      <c r="H516" s="0" t="n">
        <v>4164.224947</v>
      </c>
    </row>
    <row r="517" customFormat="false" ht="15" hidden="false" customHeight="false" outlineLevel="0" collapsed="false">
      <c r="A517" s="0" t="s">
        <v>1713</v>
      </c>
      <c r="B517" s="0" t="s">
        <v>958</v>
      </c>
      <c r="C517" s="0" t="s">
        <v>570</v>
      </c>
      <c r="D517" s="0" t="n">
        <v>1.136903487</v>
      </c>
      <c r="E517" s="0" t="n">
        <v>1.227052275</v>
      </c>
      <c r="F517" s="0" t="n">
        <v>1.813441696</v>
      </c>
      <c r="G517" s="0" t="n">
        <v>3.50423303</v>
      </c>
      <c r="H517" s="0" t="n">
        <v>5.669178936</v>
      </c>
    </row>
    <row r="518" customFormat="false" ht="15" hidden="false" customHeight="false" outlineLevel="0" collapsed="false">
      <c r="A518" s="0" t="s">
        <v>1714</v>
      </c>
      <c r="B518" s="0" t="s">
        <v>728</v>
      </c>
      <c r="C518" s="0" t="s">
        <v>570</v>
      </c>
      <c r="D518" s="0" t="n">
        <v>456.3023394</v>
      </c>
      <c r="E518" s="0" t="n">
        <v>483.4192666</v>
      </c>
      <c r="F518" s="0" t="n">
        <v>610.401108</v>
      </c>
      <c r="G518" s="0" t="n">
        <v>894.8008429</v>
      </c>
      <c r="H518" s="0" t="n">
        <v>1157.086304</v>
      </c>
    </row>
    <row r="519" customFormat="false" ht="15" hidden="false" customHeight="false" outlineLevel="0" collapsed="false">
      <c r="A519" s="0" t="s">
        <v>1715</v>
      </c>
      <c r="B519" s="0" t="s">
        <v>932</v>
      </c>
      <c r="C519" s="0" t="s">
        <v>570</v>
      </c>
      <c r="D519" s="0" t="n">
        <v>14.93029785</v>
      </c>
      <c r="E519" s="0" t="n">
        <v>15.7522813</v>
      </c>
      <c r="F519" s="0" t="n">
        <v>19.68196399</v>
      </c>
      <c r="G519" s="0" t="n">
        <v>35.04402065</v>
      </c>
      <c r="H519" s="0" t="n">
        <v>56.63271998</v>
      </c>
    </row>
    <row r="520" customFormat="false" ht="15" hidden="false" customHeight="false" outlineLevel="0" collapsed="false">
      <c r="A520" s="0" t="s">
        <v>1716</v>
      </c>
      <c r="B520" s="0" t="s">
        <v>910</v>
      </c>
      <c r="C520" s="0" t="s">
        <v>570</v>
      </c>
      <c r="D520" s="0" t="n">
        <v>7.681577075</v>
      </c>
      <c r="E520" s="0" t="n">
        <v>8.329191293</v>
      </c>
      <c r="F520" s="0" t="n">
        <v>10.38716136</v>
      </c>
      <c r="G520" s="0" t="n">
        <v>17.66681692</v>
      </c>
      <c r="H520" s="0" t="n">
        <v>27.93431118</v>
      </c>
    </row>
    <row r="521" customFormat="false" ht="15" hidden="false" customHeight="false" outlineLevel="0" collapsed="false">
      <c r="A521" s="0" t="s">
        <v>1717</v>
      </c>
      <c r="B521" s="0" t="s">
        <v>740</v>
      </c>
      <c r="C521" s="0" t="s">
        <v>570</v>
      </c>
      <c r="D521" s="0" t="n">
        <v>60.51094092</v>
      </c>
      <c r="E521" s="0" t="n">
        <v>64.30566927</v>
      </c>
      <c r="F521" s="0" t="n">
        <v>81.04300561</v>
      </c>
      <c r="G521" s="0" t="n">
        <v>114.221433</v>
      </c>
      <c r="H521" s="0" t="n">
        <v>144.1529937</v>
      </c>
    </row>
    <row r="522" customFormat="false" ht="15" hidden="false" customHeight="false" outlineLevel="0" collapsed="false">
      <c r="A522" s="0" t="s">
        <v>1718</v>
      </c>
      <c r="B522" s="0" t="s">
        <v>1042</v>
      </c>
      <c r="C522" s="0" t="s">
        <v>570</v>
      </c>
      <c r="D522" s="0" t="n">
        <v>0.112144787</v>
      </c>
      <c r="E522" s="0" t="n">
        <v>0.1221558401</v>
      </c>
      <c r="F522" s="0" t="n">
        <v>0.1920036417</v>
      </c>
      <c r="G522" s="0" t="n">
        <v>0.4315806606</v>
      </c>
      <c r="H522" s="0" t="n">
        <v>0.7537337764</v>
      </c>
    </row>
    <row r="523" customFormat="false" ht="15" hidden="false" customHeight="false" outlineLevel="0" collapsed="false">
      <c r="A523" s="0" t="s">
        <v>1719</v>
      </c>
      <c r="B523" s="0" t="s">
        <v>998</v>
      </c>
      <c r="C523" s="0" t="s">
        <v>570</v>
      </c>
      <c r="D523" s="0" t="n">
        <v>0.3397884629</v>
      </c>
      <c r="E523" s="0" t="n">
        <v>0.3911041626</v>
      </c>
      <c r="F523" s="0" t="n">
        <v>0.7383398493</v>
      </c>
      <c r="G523" s="0" t="n">
        <v>1.910860809</v>
      </c>
      <c r="H523" s="0" t="n">
        <v>3.623801487</v>
      </c>
    </row>
    <row r="524" customFormat="false" ht="15" hidden="false" customHeight="false" outlineLevel="0" collapsed="false">
      <c r="A524" s="0" t="s">
        <v>1720</v>
      </c>
      <c r="B524" s="0" t="s">
        <v>908</v>
      </c>
      <c r="C524" s="0" t="s">
        <v>570</v>
      </c>
      <c r="D524" s="0" t="n">
        <v>9.26372949</v>
      </c>
      <c r="E524" s="0" t="n">
        <v>9.725957419</v>
      </c>
      <c r="F524" s="0" t="n">
        <v>12.40023307</v>
      </c>
      <c r="G524" s="0" t="n">
        <v>20.59549975</v>
      </c>
      <c r="H524" s="0" t="n">
        <v>31.85588926</v>
      </c>
    </row>
    <row r="525" customFormat="false" ht="15" hidden="false" customHeight="false" outlineLevel="0" collapsed="false">
      <c r="A525" s="0" t="s">
        <v>1721</v>
      </c>
      <c r="B525" s="0" t="s">
        <v>984</v>
      </c>
      <c r="C525" s="0" t="s">
        <v>570</v>
      </c>
      <c r="D525" s="0" t="n">
        <v>0.4906431416</v>
      </c>
      <c r="E525" s="0" t="n">
        <v>0.5368753973</v>
      </c>
      <c r="F525" s="0" t="n">
        <v>0.8150624876</v>
      </c>
      <c r="G525" s="0" t="n">
        <v>1.716609007</v>
      </c>
      <c r="H525" s="0" t="n">
        <v>3.057061987</v>
      </c>
    </row>
    <row r="526" customFormat="false" ht="15" hidden="false" customHeight="false" outlineLevel="0" collapsed="false">
      <c r="A526" s="0" t="s">
        <v>1722</v>
      </c>
      <c r="B526" s="0" t="s">
        <v>852</v>
      </c>
      <c r="C526" s="0" t="s">
        <v>570</v>
      </c>
      <c r="D526" s="0" t="n">
        <v>36.75766714</v>
      </c>
      <c r="E526" s="0" t="n">
        <v>37.91678003</v>
      </c>
      <c r="F526" s="0" t="n">
        <v>45.91575775</v>
      </c>
      <c r="G526" s="0" t="n">
        <v>67.04003841</v>
      </c>
      <c r="H526" s="0" t="n">
        <v>92.58957452</v>
      </c>
    </row>
    <row r="527" customFormat="false" ht="15" hidden="false" customHeight="false" outlineLevel="0" collapsed="false">
      <c r="A527" s="0" t="s">
        <v>1723</v>
      </c>
      <c r="B527" s="0" t="s">
        <v>1056</v>
      </c>
      <c r="C527" s="0" t="s">
        <v>570</v>
      </c>
      <c r="D527" s="0" t="n">
        <v>0.08371873742</v>
      </c>
      <c r="E527" s="0" t="n">
        <v>0.09270457168</v>
      </c>
      <c r="F527" s="0" t="n">
        <v>0.1511075893</v>
      </c>
      <c r="G527" s="0" t="n">
        <v>0.3230296193</v>
      </c>
      <c r="H527" s="0" t="n">
        <v>0.5734650467</v>
      </c>
    </row>
    <row r="528" customFormat="false" ht="15" hidden="false" customHeight="false" outlineLevel="0" collapsed="false">
      <c r="A528" s="0" t="s">
        <v>1724</v>
      </c>
      <c r="B528" s="0" t="s">
        <v>1016</v>
      </c>
      <c r="C528" s="0" t="s">
        <v>570</v>
      </c>
      <c r="D528" s="0" t="n">
        <v>2.109846776</v>
      </c>
      <c r="E528" s="0" t="n">
        <v>2.246933659</v>
      </c>
      <c r="F528" s="0" t="n">
        <v>3.263377881</v>
      </c>
      <c r="G528" s="0" t="n">
        <v>5.890690717</v>
      </c>
      <c r="H528" s="0" t="n">
        <v>9.245953376</v>
      </c>
    </row>
    <row r="529" customFormat="false" ht="15" hidden="false" customHeight="false" outlineLevel="0" collapsed="false">
      <c r="A529" s="0" t="s">
        <v>1725</v>
      </c>
      <c r="B529" s="0" t="s">
        <v>822</v>
      </c>
      <c r="C529" s="0" t="s">
        <v>570</v>
      </c>
      <c r="D529" s="0" t="n">
        <v>29.48360868</v>
      </c>
      <c r="E529" s="0" t="n">
        <v>30.89607894</v>
      </c>
      <c r="F529" s="0" t="n">
        <v>38.26096383</v>
      </c>
      <c r="G529" s="0" t="n">
        <v>55.09311134</v>
      </c>
      <c r="H529" s="0" t="n">
        <v>69.6701321</v>
      </c>
    </row>
    <row r="530" customFormat="false" ht="15" hidden="false" customHeight="false" outlineLevel="0" collapsed="false">
      <c r="A530" s="0" t="s">
        <v>1726</v>
      </c>
      <c r="B530" s="0" t="s">
        <v>870</v>
      </c>
      <c r="C530" s="0" t="s">
        <v>570</v>
      </c>
      <c r="D530" s="0" t="n">
        <v>15.14600839</v>
      </c>
      <c r="E530" s="0" t="n">
        <v>15.54344376</v>
      </c>
      <c r="F530" s="0" t="n">
        <v>18.5398173</v>
      </c>
      <c r="G530" s="0" t="n">
        <v>25.33460611</v>
      </c>
      <c r="H530" s="0" t="n">
        <v>30.73944399</v>
      </c>
    </row>
    <row r="531" customFormat="false" ht="15" hidden="false" customHeight="false" outlineLevel="0" collapsed="false">
      <c r="A531" s="0" t="s">
        <v>1727</v>
      </c>
      <c r="B531" s="0" t="s">
        <v>746</v>
      </c>
      <c r="C531" s="0" t="s">
        <v>570</v>
      </c>
      <c r="D531" s="0" t="n">
        <v>171.3968903</v>
      </c>
      <c r="E531" s="0" t="n">
        <v>174.2540028</v>
      </c>
      <c r="F531" s="0" t="n">
        <v>193.1251788</v>
      </c>
      <c r="G531" s="0" t="n">
        <v>232.9930975</v>
      </c>
      <c r="H531" s="0" t="n">
        <v>267.9577928</v>
      </c>
    </row>
    <row r="532" customFormat="false" ht="15" hidden="false" customHeight="false" outlineLevel="0" collapsed="false">
      <c r="A532" s="0" t="s">
        <v>1728</v>
      </c>
      <c r="B532" s="0" t="s">
        <v>1010</v>
      </c>
      <c r="C532" s="0" t="s">
        <v>570</v>
      </c>
      <c r="D532" s="0" t="n">
        <v>1.664299932</v>
      </c>
      <c r="E532" s="0" t="n">
        <v>1.719503427</v>
      </c>
      <c r="F532" s="0" t="n">
        <v>2.097653577</v>
      </c>
      <c r="G532" s="0" t="n">
        <v>3.214723004</v>
      </c>
      <c r="H532" s="0" t="n">
        <v>4.594786333</v>
      </c>
    </row>
    <row r="533" customFormat="false" ht="15" hidden="false" customHeight="false" outlineLevel="0" collapsed="false">
      <c r="A533" s="0" t="s">
        <v>1729</v>
      </c>
      <c r="B533" s="0" t="s">
        <v>1036</v>
      </c>
      <c r="C533" s="0" t="s">
        <v>570</v>
      </c>
      <c r="D533" s="0" t="n">
        <v>0.6320150213</v>
      </c>
      <c r="E533" s="0" t="n">
        <v>0.6867783508</v>
      </c>
      <c r="F533" s="0" t="n">
        <v>0.8914549034</v>
      </c>
      <c r="G533" s="0" t="n">
        <v>1.377075383</v>
      </c>
      <c r="H533" s="0" t="n">
        <v>1.895434072</v>
      </c>
    </row>
    <row r="534" customFormat="false" ht="15" hidden="false" customHeight="false" outlineLevel="0" collapsed="false">
      <c r="A534" s="0" t="s">
        <v>1730</v>
      </c>
      <c r="B534" s="0" t="s">
        <v>858</v>
      </c>
      <c r="C534" s="0" t="s">
        <v>570</v>
      </c>
      <c r="D534" s="0" t="n">
        <v>25.14217548</v>
      </c>
      <c r="E534" s="0" t="n">
        <v>26.11059761</v>
      </c>
      <c r="F534" s="0" t="n">
        <v>31.92684008</v>
      </c>
      <c r="G534" s="0" t="n">
        <v>50.35589609</v>
      </c>
      <c r="H534" s="0" t="n">
        <v>78.33195315</v>
      </c>
    </row>
    <row r="535" customFormat="false" ht="15" hidden="false" customHeight="false" outlineLevel="0" collapsed="false">
      <c r="A535" s="0" t="s">
        <v>1731</v>
      </c>
      <c r="B535" s="0" t="s">
        <v>942</v>
      </c>
      <c r="C535" s="0" t="s">
        <v>570</v>
      </c>
      <c r="D535" s="0" t="n">
        <v>0.3746348632</v>
      </c>
      <c r="E535" s="0" t="n">
        <v>0.5062186539</v>
      </c>
      <c r="F535" s="0" t="n">
        <v>1.321939626</v>
      </c>
      <c r="G535" s="0" t="n">
        <v>3.859338335</v>
      </c>
      <c r="H535" s="0" t="n">
        <v>7.772036645</v>
      </c>
    </row>
    <row r="536" customFormat="false" ht="15" hidden="false" customHeight="false" outlineLevel="0" collapsed="false">
      <c r="A536" s="0" t="s">
        <v>1732</v>
      </c>
      <c r="B536" s="0" t="s">
        <v>986</v>
      </c>
      <c r="C536" s="0" t="s">
        <v>570</v>
      </c>
      <c r="D536" s="0" t="n">
        <v>1.610410293</v>
      </c>
      <c r="E536" s="0" t="n">
        <v>1.703209847</v>
      </c>
      <c r="F536" s="0" t="n">
        <v>2.242573284</v>
      </c>
      <c r="G536" s="0" t="n">
        <v>3.953331695</v>
      </c>
      <c r="H536" s="0" t="n">
        <v>6.160031729</v>
      </c>
    </row>
    <row r="537" customFormat="false" ht="15" hidden="false" customHeight="false" outlineLevel="0" collapsed="false">
      <c r="A537" s="0" t="s">
        <v>1733</v>
      </c>
      <c r="B537" s="0" t="s">
        <v>752</v>
      </c>
      <c r="C537" s="0" t="s">
        <v>570</v>
      </c>
      <c r="D537" s="0" t="n">
        <v>197.4642811</v>
      </c>
      <c r="E537" s="0" t="n">
        <v>205.7206196</v>
      </c>
      <c r="F537" s="0" t="n">
        <v>246.3941112</v>
      </c>
      <c r="G537" s="0" t="n">
        <v>367.9300909</v>
      </c>
      <c r="H537" s="0" t="n">
        <v>527.4235952</v>
      </c>
    </row>
    <row r="538" customFormat="false" ht="15" hidden="false" customHeight="false" outlineLevel="0" collapsed="false">
      <c r="A538" s="0" t="s">
        <v>1734</v>
      </c>
      <c r="B538" s="0" t="s">
        <v>968</v>
      </c>
      <c r="C538" s="0" t="s">
        <v>570</v>
      </c>
      <c r="D538" s="0" t="n">
        <v>21.81283317</v>
      </c>
      <c r="E538" s="0" t="n">
        <v>23.43445512</v>
      </c>
      <c r="F538" s="0" t="n">
        <v>30.4410493</v>
      </c>
      <c r="G538" s="0" t="n">
        <v>47.97577406</v>
      </c>
      <c r="H538" s="0" t="n">
        <v>70.66004985</v>
      </c>
    </row>
    <row r="539" customFormat="false" ht="15" hidden="false" customHeight="false" outlineLevel="0" collapsed="false">
      <c r="A539" s="0" t="s">
        <v>1735</v>
      </c>
      <c r="B539" s="0" t="s">
        <v>872</v>
      </c>
      <c r="C539" s="0" t="s">
        <v>570</v>
      </c>
      <c r="D539" s="0" t="n">
        <v>14.09662923</v>
      </c>
      <c r="E539" s="0" t="n">
        <v>20.8386483</v>
      </c>
      <c r="F539" s="0" t="n">
        <v>56.6809271</v>
      </c>
      <c r="G539" s="0" t="n">
        <v>144.4112977</v>
      </c>
      <c r="H539" s="0" t="n">
        <v>256.2205702</v>
      </c>
    </row>
    <row r="540" customFormat="false" ht="15" hidden="false" customHeight="false" outlineLevel="0" collapsed="false">
      <c r="A540" s="0" t="s">
        <v>1736</v>
      </c>
      <c r="B540" s="0" t="s">
        <v>1040</v>
      </c>
      <c r="C540" s="0" t="s">
        <v>570</v>
      </c>
      <c r="D540" s="0" t="n">
        <v>0.4577609659</v>
      </c>
      <c r="E540" s="0" t="n">
        <v>0.5209396124</v>
      </c>
      <c r="F540" s="0" t="n">
        <v>0.9090509267</v>
      </c>
      <c r="G540" s="0" t="n">
        <v>2.103783323</v>
      </c>
      <c r="H540" s="0" t="n">
        <v>3.800037461</v>
      </c>
    </row>
    <row r="541" customFormat="false" ht="15" hidden="false" customHeight="false" outlineLevel="0" collapsed="false">
      <c r="A541" s="0" t="s">
        <v>1737</v>
      </c>
      <c r="B541" s="0" t="s">
        <v>1060</v>
      </c>
      <c r="C541" s="0" t="s">
        <v>570</v>
      </c>
      <c r="D541" s="0" t="n">
        <v>0.07101924941</v>
      </c>
      <c r="E541" s="0" t="n">
        <v>0.07565700953</v>
      </c>
      <c r="F541" s="0" t="n">
        <v>0.1056564212</v>
      </c>
      <c r="G541" s="0" t="n">
        <v>0.2020429068</v>
      </c>
      <c r="H541" s="0" t="n">
        <v>0.314247769</v>
      </c>
    </row>
    <row r="542" customFormat="false" ht="15" hidden="false" customHeight="false" outlineLevel="0" collapsed="false">
      <c r="A542" s="0" t="s">
        <v>1738</v>
      </c>
      <c r="B542" s="0" t="s">
        <v>944</v>
      </c>
      <c r="C542" s="0" t="s">
        <v>570</v>
      </c>
      <c r="D542" s="0" t="n">
        <v>9.571968153</v>
      </c>
      <c r="E542" s="0" t="n">
        <v>10.052579</v>
      </c>
      <c r="F542" s="0" t="n">
        <v>12.60219161</v>
      </c>
      <c r="G542" s="0" t="n">
        <v>18.61121065</v>
      </c>
      <c r="H542" s="0" t="n">
        <v>25.17736494</v>
      </c>
    </row>
    <row r="543" customFormat="false" ht="15" hidden="false" customHeight="false" outlineLevel="0" collapsed="false">
      <c r="A543" s="0" t="s">
        <v>1739</v>
      </c>
      <c r="B543" s="0" t="s">
        <v>884</v>
      </c>
      <c r="C543" s="0" t="s">
        <v>570</v>
      </c>
      <c r="D543" s="0" t="n">
        <v>22.38891162</v>
      </c>
      <c r="E543" s="0" t="n">
        <v>23.47751054</v>
      </c>
      <c r="F543" s="0" t="n">
        <v>29.62449663</v>
      </c>
      <c r="G543" s="0" t="n">
        <v>48.95801973</v>
      </c>
      <c r="H543" s="0" t="n">
        <v>77.02106699</v>
      </c>
    </row>
    <row r="544" customFormat="false" ht="15" hidden="false" customHeight="false" outlineLevel="0" collapsed="false">
      <c r="A544" s="0" t="s">
        <v>1740</v>
      </c>
      <c r="B544" s="0" t="s">
        <v>726</v>
      </c>
      <c r="C544" s="0" t="s">
        <v>570</v>
      </c>
      <c r="D544" s="0" t="n">
        <v>399.0196774</v>
      </c>
      <c r="E544" s="0" t="n">
        <v>419.9469628</v>
      </c>
      <c r="F544" s="0" t="n">
        <v>532.1954183</v>
      </c>
      <c r="G544" s="0" t="n">
        <v>805.5531304</v>
      </c>
      <c r="H544" s="0" t="n">
        <v>1125.005642</v>
      </c>
    </row>
    <row r="545" customFormat="false" ht="15" hidden="false" customHeight="false" outlineLevel="0" collapsed="false">
      <c r="A545" s="0" t="s">
        <v>1741</v>
      </c>
      <c r="B545" s="0" t="s">
        <v>842</v>
      </c>
      <c r="C545" s="0" t="s">
        <v>570</v>
      </c>
      <c r="D545" s="0" t="n">
        <v>8.937389723</v>
      </c>
      <c r="E545" s="0" t="n">
        <v>9.608870061</v>
      </c>
      <c r="F545" s="0" t="n">
        <v>14.14197492</v>
      </c>
      <c r="G545" s="0" t="n">
        <v>28.53448948</v>
      </c>
      <c r="H545" s="0" t="n">
        <v>46.84062789</v>
      </c>
    </row>
    <row r="546" customFormat="false" ht="15" hidden="false" customHeight="false" outlineLevel="0" collapsed="false">
      <c r="A546" s="0" t="s">
        <v>1742</v>
      </c>
      <c r="B546" s="0" t="s">
        <v>866</v>
      </c>
      <c r="C546" s="0" t="s">
        <v>570</v>
      </c>
      <c r="D546" s="0" t="n">
        <v>5.861375912</v>
      </c>
      <c r="E546" s="0" t="n">
        <v>6.367569326</v>
      </c>
      <c r="F546" s="0" t="n">
        <v>9.941293057</v>
      </c>
      <c r="G546" s="0" t="n">
        <v>20.83515383</v>
      </c>
      <c r="H546" s="0" t="n">
        <v>34.91292332</v>
      </c>
    </row>
    <row r="547" customFormat="false" ht="15" hidden="false" customHeight="false" outlineLevel="0" collapsed="false">
      <c r="A547" s="0" t="s">
        <v>1743</v>
      </c>
      <c r="B547" s="0" t="s">
        <v>804</v>
      </c>
      <c r="C547" s="0" t="s">
        <v>570</v>
      </c>
      <c r="D547" s="0" t="n">
        <v>111.7428009</v>
      </c>
      <c r="E547" s="0" t="n">
        <v>118.9950853</v>
      </c>
      <c r="F547" s="0" t="n">
        <v>160.5242065</v>
      </c>
      <c r="G547" s="0" t="n">
        <v>279.1452402</v>
      </c>
      <c r="H547" s="0" t="n">
        <v>452.0635168</v>
      </c>
    </row>
    <row r="548" customFormat="false" ht="15" hidden="false" customHeight="false" outlineLevel="0" collapsed="false">
      <c r="A548" s="0" t="s">
        <v>1744</v>
      </c>
      <c r="B548" s="0" t="s">
        <v>860</v>
      </c>
      <c r="C548" s="0" t="s">
        <v>570</v>
      </c>
      <c r="D548" s="0" t="n">
        <v>11.98078042</v>
      </c>
      <c r="E548" s="0" t="n">
        <v>12.32126334</v>
      </c>
      <c r="F548" s="0" t="n">
        <v>14.32659378</v>
      </c>
      <c r="G548" s="0" t="n">
        <v>19.28004735</v>
      </c>
      <c r="H548" s="0" t="n">
        <v>24.10478169</v>
      </c>
    </row>
    <row r="549" customFormat="false" ht="15" hidden="false" customHeight="false" outlineLevel="0" collapsed="false">
      <c r="A549" s="0" t="s">
        <v>1745</v>
      </c>
      <c r="B549" s="0" t="s">
        <v>693</v>
      </c>
      <c r="C549" s="0" t="s">
        <v>570</v>
      </c>
      <c r="D549" s="0" t="n">
        <v>4610.503288</v>
      </c>
      <c r="E549" s="0" t="n">
        <v>4827.472166</v>
      </c>
      <c r="F549" s="0" t="n">
        <v>6100.1099</v>
      </c>
      <c r="G549" s="0" t="n">
        <v>8865.594224</v>
      </c>
      <c r="H549" s="0" t="n">
        <v>10907.51218</v>
      </c>
    </row>
    <row r="550" customFormat="false" ht="15" hidden="false" customHeight="false" outlineLevel="0" collapsed="false">
      <c r="A550" s="0" t="s">
        <v>1746</v>
      </c>
      <c r="B550" s="0" t="s">
        <v>810</v>
      </c>
      <c r="C550" s="0" t="s">
        <v>570</v>
      </c>
      <c r="D550" s="0" t="n">
        <v>86.7840569</v>
      </c>
      <c r="E550" s="0" t="n">
        <v>97.43865732</v>
      </c>
      <c r="F550" s="0" t="n">
        <v>154.6743116</v>
      </c>
      <c r="G550" s="0" t="n">
        <v>300.2508913</v>
      </c>
      <c r="H550" s="0" t="n">
        <v>490.2369455</v>
      </c>
    </row>
    <row r="551" customFormat="false" ht="15" hidden="false" customHeight="false" outlineLevel="0" collapsed="false">
      <c r="A551" s="0" t="s">
        <v>1747</v>
      </c>
      <c r="B551" s="0" t="s">
        <v>1052</v>
      </c>
      <c r="C551" s="0" t="s">
        <v>570</v>
      </c>
      <c r="D551" s="0" t="n">
        <v>0.1511876095</v>
      </c>
      <c r="E551" s="0" t="n">
        <v>0.1622566573</v>
      </c>
      <c r="F551" s="0" t="n">
        <v>0.2280226327</v>
      </c>
      <c r="G551" s="0" t="n">
        <v>0.4185208964</v>
      </c>
      <c r="H551" s="0" t="n">
        <v>0.6518389793</v>
      </c>
    </row>
    <row r="552" customFormat="false" ht="15" hidden="false" customHeight="false" outlineLevel="0" collapsed="false">
      <c r="A552" s="0" t="s">
        <v>1748</v>
      </c>
      <c r="B552" s="0" t="s">
        <v>820</v>
      </c>
      <c r="C552" s="0" t="s">
        <v>570</v>
      </c>
      <c r="D552" s="0" t="n">
        <v>80.25577811</v>
      </c>
      <c r="E552" s="0" t="n">
        <v>82.96459472</v>
      </c>
      <c r="F552" s="0" t="n">
        <v>107.2013174</v>
      </c>
      <c r="G552" s="0" t="n">
        <v>167.1253169</v>
      </c>
      <c r="H552" s="0" t="n">
        <v>240.0947975</v>
      </c>
    </row>
    <row r="553" customFormat="false" ht="15" hidden="false" customHeight="false" outlineLevel="0" collapsed="false">
      <c r="A553" s="0" t="s">
        <v>1749</v>
      </c>
      <c r="B553" s="0" t="s">
        <v>744</v>
      </c>
      <c r="C553" s="0" t="s">
        <v>570</v>
      </c>
      <c r="D553" s="0" t="n">
        <v>310.9158778</v>
      </c>
      <c r="E553" s="0" t="n">
        <v>335.3655369</v>
      </c>
      <c r="F553" s="0" t="n">
        <v>462.2271449</v>
      </c>
      <c r="G553" s="0" t="n">
        <v>752.2411226</v>
      </c>
      <c r="H553" s="0" t="n">
        <v>1085.11318</v>
      </c>
    </row>
    <row r="554" customFormat="false" ht="15" hidden="false" customHeight="false" outlineLevel="0" collapsed="false">
      <c r="A554" s="0" t="s">
        <v>1750</v>
      </c>
      <c r="B554" s="0" t="s">
        <v>1048</v>
      </c>
      <c r="C554" s="0" t="s">
        <v>570</v>
      </c>
      <c r="D554" s="0" t="n">
        <v>0.0821573574</v>
      </c>
      <c r="E554" s="0" t="n">
        <v>0.08790366572</v>
      </c>
      <c r="F554" s="0" t="n">
        <v>0.1355151816</v>
      </c>
      <c r="G554" s="0" t="n">
        <v>0.3108335129</v>
      </c>
      <c r="H554" s="0" t="n">
        <v>0.5237080153</v>
      </c>
    </row>
    <row r="555" customFormat="false" ht="15" hidden="false" customHeight="false" outlineLevel="0" collapsed="false">
      <c r="A555" s="0" t="s">
        <v>1751</v>
      </c>
      <c r="B555" s="0" t="s">
        <v>1050</v>
      </c>
      <c r="C555" s="0" t="s">
        <v>570</v>
      </c>
      <c r="D555" s="0" t="n">
        <v>0.1617524956</v>
      </c>
      <c r="E555" s="0" t="n">
        <v>0.1741568548</v>
      </c>
      <c r="F555" s="0" t="n">
        <v>0.2467084768</v>
      </c>
      <c r="G555" s="0" t="n">
        <v>0.4649774322</v>
      </c>
      <c r="H555" s="0" t="n">
        <v>0.7223971151</v>
      </c>
    </row>
    <row r="556" customFormat="false" ht="15" hidden="false" customHeight="false" outlineLevel="0" collapsed="false">
      <c r="A556" s="0" t="s">
        <v>1752</v>
      </c>
      <c r="B556" s="0" t="s">
        <v>990</v>
      </c>
      <c r="C556" s="0" t="s">
        <v>570</v>
      </c>
      <c r="D556" s="0" t="n">
        <v>5.883390582</v>
      </c>
      <c r="E556" s="0" t="n">
        <v>6.089830376</v>
      </c>
      <c r="F556" s="0" t="n">
        <v>7.250919648</v>
      </c>
      <c r="G556" s="0" t="n">
        <v>10.7049677</v>
      </c>
      <c r="H556" s="0" t="n">
        <v>15.41673073</v>
      </c>
    </row>
    <row r="557" customFormat="false" ht="15" hidden="false" customHeight="false" outlineLevel="0" collapsed="false">
      <c r="A557" s="0" t="s">
        <v>1753</v>
      </c>
      <c r="B557" s="0" t="s">
        <v>1004</v>
      </c>
      <c r="C557" s="0" t="s">
        <v>570</v>
      </c>
      <c r="D557" s="0" t="n">
        <v>4.32406799</v>
      </c>
      <c r="E557" s="0" t="n">
        <v>4.653062269</v>
      </c>
      <c r="F557" s="0" t="n">
        <v>6.821915032</v>
      </c>
      <c r="G557" s="0" t="n">
        <v>13.87993508</v>
      </c>
      <c r="H557" s="0" t="n">
        <v>24.67582098</v>
      </c>
    </row>
    <row r="558" customFormat="false" ht="15" hidden="false" customHeight="false" outlineLevel="0" collapsed="false">
      <c r="A558" s="0" t="s">
        <v>1754</v>
      </c>
      <c r="B558" s="0" t="s">
        <v>774</v>
      </c>
      <c r="C558" s="0" t="s">
        <v>570</v>
      </c>
      <c r="D558" s="0" t="n">
        <v>243.3590125</v>
      </c>
      <c r="E558" s="0" t="n">
        <v>252.3017512</v>
      </c>
      <c r="F558" s="0" t="n">
        <v>303.2264598</v>
      </c>
      <c r="G558" s="0" t="n">
        <v>451.2759641</v>
      </c>
      <c r="H558" s="0" t="n">
        <v>642.0745423</v>
      </c>
    </row>
    <row r="559" customFormat="false" ht="15" hidden="false" customHeight="false" outlineLevel="0" collapsed="false">
      <c r="A559" s="0" t="s">
        <v>1755</v>
      </c>
      <c r="B559" s="0" t="s">
        <v>930</v>
      </c>
      <c r="C559" s="0" t="s">
        <v>570</v>
      </c>
      <c r="D559" s="0" t="n">
        <v>19.75187129</v>
      </c>
      <c r="E559" s="0" t="n">
        <v>20.51792863</v>
      </c>
      <c r="F559" s="0" t="n">
        <v>25.39405086</v>
      </c>
      <c r="G559" s="0" t="n">
        <v>38.39772964</v>
      </c>
      <c r="H559" s="0" t="n">
        <v>55.49773786</v>
      </c>
    </row>
    <row r="560" customFormat="false" ht="15" hidden="false" customHeight="false" outlineLevel="0" collapsed="false">
      <c r="A560" s="0" t="s">
        <v>1756</v>
      </c>
      <c r="B560" s="0" t="s">
        <v>878</v>
      </c>
      <c r="C560" s="0" t="s">
        <v>570</v>
      </c>
      <c r="D560" s="0" t="n">
        <v>10.27459868</v>
      </c>
      <c r="E560" s="0" t="n">
        <v>11.04213733</v>
      </c>
      <c r="F560" s="0" t="n">
        <v>14.31514757</v>
      </c>
      <c r="G560" s="0" t="n">
        <v>23.13854819</v>
      </c>
      <c r="H560" s="0" t="n">
        <v>35.27584805</v>
      </c>
    </row>
    <row r="561" customFormat="false" ht="15" hidden="false" customHeight="false" outlineLevel="0" collapsed="false">
      <c r="A561" s="0" t="s">
        <v>1757</v>
      </c>
      <c r="B561" s="0" t="s">
        <v>1018</v>
      </c>
      <c r="C561" s="0" t="s">
        <v>535</v>
      </c>
      <c r="D561" s="0" t="n">
        <v>0.8325770354</v>
      </c>
      <c r="E561" s="0" t="n">
        <v>0.8660588574</v>
      </c>
      <c r="F561" s="0" t="n">
        <v>0.925449429</v>
      </c>
      <c r="G561" s="0" t="n">
        <v>1.027485699</v>
      </c>
      <c r="H561" s="0" t="n">
        <v>1.107837444</v>
      </c>
    </row>
    <row r="562" customFormat="false" ht="15" hidden="false" customHeight="false" outlineLevel="0" collapsed="false">
      <c r="A562" s="0" t="s">
        <v>1758</v>
      </c>
      <c r="B562" s="0" t="s">
        <v>962</v>
      </c>
      <c r="C562" s="0" t="s">
        <v>535</v>
      </c>
      <c r="D562" s="0" t="n">
        <v>0.6594025203</v>
      </c>
      <c r="E562" s="0" t="n">
        <v>0.6732112301</v>
      </c>
      <c r="F562" s="0" t="n">
        <v>0.7577592662</v>
      </c>
      <c r="G562" s="0" t="n">
        <v>1.027939462</v>
      </c>
      <c r="H562" s="0" t="n">
        <v>1.406926669</v>
      </c>
    </row>
    <row r="563" customFormat="false" ht="15" hidden="false" customHeight="false" outlineLevel="0" collapsed="false">
      <c r="A563" s="0" t="s">
        <v>1759</v>
      </c>
      <c r="B563" s="0" t="s">
        <v>828</v>
      </c>
      <c r="C563" s="0" t="s">
        <v>535</v>
      </c>
      <c r="D563" s="0" t="n">
        <v>4.118007697</v>
      </c>
      <c r="E563" s="0" t="n">
        <v>4.204373503</v>
      </c>
      <c r="F563" s="0" t="n">
        <v>4.574252169</v>
      </c>
      <c r="G563" s="0" t="n">
        <v>5.834045491</v>
      </c>
      <c r="H563" s="0" t="n">
        <v>7.644146898</v>
      </c>
    </row>
    <row r="564" customFormat="false" ht="15" hidden="false" customHeight="false" outlineLevel="0" collapsed="false">
      <c r="A564" s="0" t="s">
        <v>1760</v>
      </c>
      <c r="B564" s="0" t="s">
        <v>926</v>
      </c>
      <c r="C564" s="0" t="s">
        <v>535</v>
      </c>
      <c r="D564" s="0" t="n">
        <v>0</v>
      </c>
      <c r="E564" s="0" t="n">
        <v>0</v>
      </c>
      <c r="F564" s="0" t="n">
        <v>0</v>
      </c>
      <c r="G564" s="0" t="n">
        <v>0</v>
      </c>
      <c r="H564" s="0" t="n">
        <v>0</v>
      </c>
    </row>
    <row r="565" customFormat="false" ht="15" hidden="false" customHeight="false" outlineLevel="0" collapsed="false">
      <c r="A565" s="0" t="s">
        <v>1761</v>
      </c>
      <c r="B565" s="0" t="s">
        <v>748</v>
      </c>
      <c r="C565" s="0" t="s">
        <v>535</v>
      </c>
      <c r="D565" s="0" t="n">
        <v>121.2789319</v>
      </c>
      <c r="E565" s="0" t="n">
        <v>122.6151249</v>
      </c>
      <c r="F565" s="0" t="n">
        <v>114.4089257</v>
      </c>
      <c r="G565" s="0" t="n">
        <v>83.33734483</v>
      </c>
      <c r="H565" s="0" t="n">
        <v>40.23136896</v>
      </c>
    </row>
    <row r="566" customFormat="false" ht="15" hidden="false" customHeight="false" outlineLevel="0" collapsed="false">
      <c r="A566" s="0" t="s">
        <v>1762</v>
      </c>
      <c r="B566" s="0" t="s">
        <v>736</v>
      </c>
      <c r="C566" s="0" t="s">
        <v>535</v>
      </c>
      <c r="D566" s="0" t="n">
        <v>89.66539376</v>
      </c>
      <c r="E566" s="0" t="n">
        <v>89.22309319</v>
      </c>
      <c r="F566" s="0" t="n">
        <v>81.72466631</v>
      </c>
      <c r="G566" s="0" t="n">
        <v>53.17137219</v>
      </c>
      <c r="H566" s="0" t="n">
        <v>13.8681182</v>
      </c>
    </row>
    <row r="567" customFormat="false" ht="15" hidden="false" customHeight="false" outlineLevel="0" collapsed="false">
      <c r="A567" s="0" t="s">
        <v>1763</v>
      </c>
      <c r="B567" s="0" t="s">
        <v>920</v>
      </c>
      <c r="C567" s="0" t="s">
        <v>535</v>
      </c>
      <c r="D567" s="0" t="n">
        <v>3.283782921</v>
      </c>
      <c r="E567" s="0" t="n">
        <v>3.428588609</v>
      </c>
      <c r="F567" s="0" t="n">
        <v>3.91855605</v>
      </c>
      <c r="G567" s="0" t="n">
        <v>4.641409718</v>
      </c>
      <c r="H567" s="0" t="n">
        <v>5.12557421</v>
      </c>
    </row>
    <row r="568" customFormat="false" ht="15" hidden="false" customHeight="false" outlineLevel="0" collapsed="false">
      <c r="A568" s="0" t="s">
        <v>1764</v>
      </c>
      <c r="B568" s="0" t="s">
        <v>1038</v>
      </c>
      <c r="C568" s="0" t="s">
        <v>535</v>
      </c>
      <c r="D568" s="0" t="n">
        <v>0.3426166052</v>
      </c>
      <c r="E568" s="0" t="n">
        <v>0.3468039596</v>
      </c>
      <c r="F568" s="0" t="n">
        <v>0.3618160372</v>
      </c>
      <c r="G568" s="0" t="n">
        <v>0.3766103539</v>
      </c>
      <c r="H568" s="0" t="n">
        <v>0.3680964545</v>
      </c>
    </row>
    <row r="569" customFormat="false" ht="15" hidden="false" customHeight="false" outlineLevel="0" collapsed="false">
      <c r="A569" s="0" t="s">
        <v>1765</v>
      </c>
      <c r="B569" s="0" t="s">
        <v>718</v>
      </c>
      <c r="C569" s="0" t="s">
        <v>535</v>
      </c>
      <c r="D569" s="0" t="n">
        <v>179.0635385</v>
      </c>
      <c r="E569" s="0" t="n">
        <v>175.7678395</v>
      </c>
      <c r="F569" s="0" t="n">
        <v>158.0765791</v>
      </c>
      <c r="G569" s="0" t="n">
        <v>108.1062833</v>
      </c>
      <c r="H569" s="0" t="n">
        <v>37.49291686</v>
      </c>
    </row>
    <row r="570" customFormat="false" ht="15" hidden="false" customHeight="false" outlineLevel="0" collapsed="false">
      <c r="A570" s="0" t="s">
        <v>1766</v>
      </c>
      <c r="B570" s="0" t="s">
        <v>758</v>
      </c>
      <c r="C570" s="0" t="s">
        <v>535</v>
      </c>
      <c r="D570" s="0" t="n">
        <v>12.28196681</v>
      </c>
      <c r="E570" s="0" t="n">
        <v>10.99667431</v>
      </c>
      <c r="F570" s="0" t="n">
        <v>4.48848654</v>
      </c>
      <c r="G570" s="0" t="n">
        <v>0</v>
      </c>
      <c r="H570" s="0" t="n">
        <v>0</v>
      </c>
    </row>
    <row r="571" customFormat="false" ht="15" hidden="false" customHeight="false" outlineLevel="0" collapsed="false">
      <c r="A571" s="0" t="s">
        <v>1767</v>
      </c>
      <c r="B571" s="0" t="s">
        <v>868</v>
      </c>
      <c r="C571" s="0" t="s">
        <v>535</v>
      </c>
      <c r="D571" s="0" t="n">
        <v>24.79679633</v>
      </c>
      <c r="E571" s="0" t="n">
        <v>24.70105066</v>
      </c>
      <c r="F571" s="0" t="n">
        <v>25.02954898</v>
      </c>
      <c r="G571" s="0" t="n">
        <v>26.31341361</v>
      </c>
      <c r="H571" s="0" t="n">
        <v>27.33554453</v>
      </c>
    </row>
    <row r="572" customFormat="false" ht="15" hidden="false" customHeight="false" outlineLevel="0" collapsed="false">
      <c r="A572" s="0" t="s">
        <v>1768</v>
      </c>
      <c r="B572" s="0" t="s">
        <v>1012</v>
      </c>
      <c r="C572" s="0" t="s">
        <v>535</v>
      </c>
      <c r="D572" s="0" t="n">
        <v>0.1220604556</v>
      </c>
      <c r="E572" s="0" t="n">
        <v>0.1154856805</v>
      </c>
      <c r="F572" s="0" t="n">
        <v>0.07545379264</v>
      </c>
      <c r="G572" s="0" t="n">
        <v>0</v>
      </c>
      <c r="H572" s="0" t="n">
        <v>0</v>
      </c>
    </row>
    <row r="573" customFormat="false" ht="15" hidden="false" customHeight="false" outlineLevel="0" collapsed="false">
      <c r="A573" s="0" t="s">
        <v>1769</v>
      </c>
      <c r="B573" s="0" t="s">
        <v>742</v>
      </c>
      <c r="C573" s="0" t="s">
        <v>535</v>
      </c>
      <c r="D573" s="0" t="n">
        <v>19.70110893</v>
      </c>
      <c r="E573" s="0" t="n">
        <v>19.55206504</v>
      </c>
      <c r="F573" s="0" t="n">
        <v>18.73658601</v>
      </c>
      <c r="G573" s="0" t="n">
        <v>17.60426106</v>
      </c>
      <c r="H573" s="0" t="n">
        <v>15.89212748</v>
      </c>
    </row>
    <row r="574" customFormat="false" ht="15" hidden="false" customHeight="false" outlineLevel="0" collapsed="false">
      <c r="A574" s="0" t="s">
        <v>1770</v>
      </c>
      <c r="B574" s="0" t="s">
        <v>934</v>
      </c>
      <c r="C574" s="0" t="s">
        <v>535</v>
      </c>
      <c r="D574" s="0" t="n">
        <v>1.547291096</v>
      </c>
      <c r="E574" s="0" t="n">
        <v>1.628625145</v>
      </c>
      <c r="F574" s="0" t="n">
        <v>2.070838035</v>
      </c>
      <c r="G574" s="0" t="n">
        <v>3.050082434</v>
      </c>
      <c r="H574" s="0" t="n">
        <v>3.88823096</v>
      </c>
    </row>
    <row r="575" customFormat="false" ht="15" hidden="false" customHeight="false" outlineLevel="0" collapsed="false">
      <c r="A575" s="0" t="s">
        <v>1771</v>
      </c>
      <c r="B575" s="0" t="s">
        <v>938</v>
      </c>
      <c r="C575" s="0" t="s">
        <v>535</v>
      </c>
      <c r="D575" s="0" t="n">
        <v>2.426699271</v>
      </c>
      <c r="E575" s="0" t="n">
        <v>2.516871059</v>
      </c>
      <c r="F575" s="0" t="n">
        <v>3.022243854</v>
      </c>
      <c r="G575" s="0" t="n">
        <v>4.323048895</v>
      </c>
      <c r="H575" s="0" t="n">
        <v>5.926474642</v>
      </c>
    </row>
    <row r="576" customFormat="false" ht="15" hidden="false" customHeight="false" outlineLevel="0" collapsed="false">
      <c r="A576" s="0" t="s">
        <v>1772</v>
      </c>
      <c r="B576" s="0" t="s">
        <v>756</v>
      </c>
      <c r="C576" s="0" t="s">
        <v>535</v>
      </c>
      <c r="D576" s="0" t="n">
        <v>137.8425117</v>
      </c>
      <c r="E576" s="0" t="n">
        <v>140.7509331</v>
      </c>
      <c r="F576" s="0" t="n">
        <v>163.0982306</v>
      </c>
      <c r="G576" s="0" t="n">
        <v>212.9264281</v>
      </c>
      <c r="H576" s="0" t="n">
        <v>272.4843129</v>
      </c>
    </row>
    <row r="577" customFormat="false" ht="15" hidden="false" customHeight="false" outlineLevel="0" collapsed="false">
      <c r="A577" s="0" t="s">
        <v>1773</v>
      </c>
      <c r="B577" s="0" t="s">
        <v>830</v>
      </c>
      <c r="C577" s="0" t="s">
        <v>535</v>
      </c>
      <c r="D577" s="0" t="n">
        <v>10.68632632</v>
      </c>
      <c r="E577" s="0" t="n">
        <v>10.12549972</v>
      </c>
      <c r="F577" s="0" t="n">
        <v>6.834223205</v>
      </c>
      <c r="G577" s="0" t="n">
        <v>0</v>
      </c>
      <c r="H577" s="0" t="n">
        <v>0</v>
      </c>
    </row>
    <row r="578" customFormat="false" ht="15" hidden="false" customHeight="false" outlineLevel="0" collapsed="false">
      <c r="A578" s="0" t="s">
        <v>1774</v>
      </c>
      <c r="B578" s="0" t="s">
        <v>898</v>
      </c>
      <c r="C578" s="0" t="s">
        <v>535</v>
      </c>
      <c r="D578" s="0" t="n">
        <v>37.8852413</v>
      </c>
      <c r="E578" s="0" t="n">
        <v>38.62165915</v>
      </c>
      <c r="F578" s="0" t="n">
        <v>37.33303875</v>
      </c>
      <c r="G578" s="0" t="n">
        <v>38.03435345</v>
      </c>
      <c r="H578" s="0" t="n">
        <v>40.63788964</v>
      </c>
    </row>
    <row r="579" customFormat="false" ht="15" hidden="false" customHeight="false" outlineLevel="0" collapsed="false">
      <c r="A579" s="0" t="s">
        <v>1775</v>
      </c>
      <c r="B579" s="0" t="s">
        <v>976</v>
      </c>
      <c r="C579" s="0" t="s">
        <v>535</v>
      </c>
      <c r="D579" s="0" t="n">
        <v>2.243990155</v>
      </c>
      <c r="E579" s="0" t="n">
        <v>2.283206431</v>
      </c>
      <c r="F579" s="0" t="n">
        <v>2.427085367</v>
      </c>
      <c r="G579" s="0" t="n">
        <v>2.691725347</v>
      </c>
      <c r="H579" s="0" t="n">
        <v>2.879424879</v>
      </c>
    </row>
    <row r="580" customFormat="false" ht="15" hidden="false" customHeight="false" outlineLevel="0" collapsed="false">
      <c r="A580" s="0" t="s">
        <v>1776</v>
      </c>
      <c r="B580" s="0" t="s">
        <v>924</v>
      </c>
      <c r="C580" s="0" t="s">
        <v>535</v>
      </c>
      <c r="D580" s="0" t="n">
        <v>8.255680601</v>
      </c>
      <c r="E580" s="0" t="n">
        <v>8.057560009</v>
      </c>
      <c r="F580" s="0" t="n">
        <v>7.082538431</v>
      </c>
      <c r="G580" s="0" t="n">
        <v>4.693974872</v>
      </c>
      <c r="H580" s="0" t="n">
        <v>1.077863734</v>
      </c>
    </row>
    <row r="581" customFormat="false" ht="15" hidden="false" customHeight="false" outlineLevel="0" collapsed="false">
      <c r="A581" s="0" t="s">
        <v>1777</v>
      </c>
      <c r="B581" s="0" t="s">
        <v>864</v>
      </c>
      <c r="C581" s="0" t="s">
        <v>535</v>
      </c>
      <c r="D581" s="0" t="n">
        <v>24.51763791</v>
      </c>
      <c r="E581" s="0" t="n">
        <v>24.65830017</v>
      </c>
      <c r="F581" s="0" t="n">
        <v>21.18535243</v>
      </c>
      <c r="G581" s="0" t="n">
        <v>14.31955328</v>
      </c>
      <c r="H581" s="0" t="n">
        <v>4.653667738</v>
      </c>
    </row>
    <row r="582" customFormat="false" ht="15" hidden="false" customHeight="false" outlineLevel="0" collapsed="false">
      <c r="A582" s="0" t="s">
        <v>1778</v>
      </c>
      <c r="B582" s="0" t="s">
        <v>1022</v>
      </c>
      <c r="C582" s="0" t="s">
        <v>535</v>
      </c>
      <c r="D582" s="0" t="n">
        <v>0.09108835173</v>
      </c>
      <c r="E582" s="0" t="n">
        <v>0.0900453437</v>
      </c>
      <c r="F582" s="0" t="n">
        <v>0.08274368817</v>
      </c>
      <c r="G582" s="0" t="n">
        <v>0.06496552352</v>
      </c>
      <c r="H582" s="0" t="n">
        <v>0.03541035096</v>
      </c>
    </row>
    <row r="583" customFormat="false" ht="15" hidden="false" customHeight="false" outlineLevel="0" collapsed="false">
      <c r="A583" s="0" t="s">
        <v>1779</v>
      </c>
      <c r="B583" s="0" t="s">
        <v>896</v>
      </c>
      <c r="C583" s="0" t="s">
        <v>535</v>
      </c>
      <c r="D583" s="0" t="n">
        <v>8.791480018</v>
      </c>
      <c r="E583" s="0" t="n">
        <v>8.667802491</v>
      </c>
      <c r="F583" s="0" t="n">
        <v>7.802571291</v>
      </c>
      <c r="G583" s="0" t="n">
        <v>8.713876606</v>
      </c>
      <c r="H583" s="0" t="n">
        <v>11.28009757</v>
      </c>
    </row>
    <row r="584" customFormat="false" ht="15" hidden="false" customHeight="false" outlineLevel="0" collapsed="false">
      <c r="A584" s="0" t="s">
        <v>1780</v>
      </c>
      <c r="B584" s="0" t="s">
        <v>710</v>
      </c>
      <c r="C584" s="0" t="s">
        <v>535</v>
      </c>
      <c r="D584" s="0" t="n">
        <v>83.30692799</v>
      </c>
      <c r="E584" s="0" t="n">
        <v>84.47293516</v>
      </c>
      <c r="F584" s="0" t="n">
        <v>90.01690766</v>
      </c>
      <c r="G584" s="0" t="n">
        <v>107.3118338</v>
      </c>
      <c r="H584" s="0" t="n">
        <v>129.9952305</v>
      </c>
    </row>
    <row r="585" customFormat="false" ht="15" hidden="false" customHeight="false" outlineLevel="0" collapsed="false">
      <c r="A585" s="0" t="s">
        <v>1781</v>
      </c>
      <c r="B585" s="0" t="s">
        <v>1000</v>
      </c>
      <c r="C585" s="0" t="s">
        <v>535</v>
      </c>
      <c r="D585" s="0" t="n">
        <v>1.013480374</v>
      </c>
      <c r="E585" s="0" t="n">
        <v>1.025869521</v>
      </c>
      <c r="F585" s="0" t="n">
        <v>1.075168647</v>
      </c>
      <c r="G585" s="0" t="n">
        <v>1.135676251</v>
      </c>
      <c r="H585" s="0" t="n">
        <v>1.153386274</v>
      </c>
    </row>
    <row r="586" customFormat="false" ht="15" hidden="false" customHeight="false" outlineLevel="0" collapsed="false">
      <c r="A586" s="0" t="s">
        <v>1782</v>
      </c>
      <c r="B586" s="0" t="s">
        <v>980</v>
      </c>
      <c r="C586" s="0" t="s">
        <v>535</v>
      </c>
      <c r="D586" s="0" t="n">
        <v>5.563225774</v>
      </c>
      <c r="E586" s="0" t="n">
        <v>5.562116185</v>
      </c>
      <c r="F586" s="0" t="n">
        <v>5.986668022</v>
      </c>
      <c r="G586" s="0" t="n">
        <v>6.639993922</v>
      </c>
      <c r="H586" s="0" t="n">
        <v>7.105684094</v>
      </c>
    </row>
    <row r="587" customFormat="false" ht="15" hidden="false" customHeight="false" outlineLevel="0" collapsed="false">
      <c r="A587" s="0" t="s">
        <v>1783</v>
      </c>
      <c r="B587" s="0" t="s">
        <v>1020</v>
      </c>
      <c r="C587" s="0" t="s">
        <v>535</v>
      </c>
      <c r="D587" s="0" t="n">
        <v>0</v>
      </c>
      <c r="E587" s="0" t="n">
        <v>0</v>
      </c>
      <c r="F587" s="0" t="n">
        <v>0</v>
      </c>
      <c r="G587" s="0" t="n">
        <v>0</v>
      </c>
      <c r="H587" s="0" t="n">
        <v>0</v>
      </c>
    </row>
    <row r="588" customFormat="false" ht="15" hidden="false" customHeight="false" outlineLevel="0" collapsed="false">
      <c r="A588" s="0" t="s">
        <v>1784</v>
      </c>
      <c r="B588" s="0" t="s">
        <v>952</v>
      </c>
      <c r="C588" s="0" t="s">
        <v>535</v>
      </c>
      <c r="D588" s="0" t="n">
        <v>4.076721585</v>
      </c>
      <c r="E588" s="0" t="n">
        <v>4.033612773</v>
      </c>
      <c r="F588" s="0" t="n">
        <v>4.747225666</v>
      </c>
      <c r="G588" s="0" t="n">
        <v>6.149485158</v>
      </c>
      <c r="H588" s="0" t="n">
        <v>7.48139815</v>
      </c>
    </row>
    <row r="589" customFormat="false" ht="15" hidden="false" customHeight="false" outlineLevel="0" collapsed="false">
      <c r="A589" s="0" t="s">
        <v>1785</v>
      </c>
      <c r="B589" s="0" t="s">
        <v>1026</v>
      </c>
      <c r="C589" s="0" t="s">
        <v>535</v>
      </c>
      <c r="D589" s="0" t="n">
        <v>0</v>
      </c>
      <c r="E589" s="0" t="n">
        <v>0</v>
      </c>
      <c r="F589" s="0" t="n">
        <v>0</v>
      </c>
      <c r="G589" s="0" t="n">
        <v>0</v>
      </c>
      <c r="H589" s="0" t="n">
        <v>0</v>
      </c>
    </row>
    <row r="590" customFormat="false" ht="15" hidden="false" customHeight="false" outlineLevel="0" collapsed="false">
      <c r="A590" s="0" t="s">
        <v>1786</v>
      </c>
      <c r="B590" s="0" t="s">
        <v>708</v>
      </c>
      <c r="C590" s="0" t="s">
        <v>535</v>
      </c>
      <c r="D590" s="0" t="n">
        <v>152.3484763</v>
      </c>
      <c r="E590" s="0" t="n">
        <v>154.1490625</v>
      </c>
      <c r="F590" s="0" t="n">
        <v>162.7844626</v>
      </c>
      <c r="G590" s="0" t="n">
        <v>182.289312</v>
      </c>
      <c r="H590" s="0" t="n">
        <v>198.3531995</v>
      </c>
    </row>
    <row r="591" customFormat="false" ht="15" hidden="false" customHeight="false" outlineLevel="0" collapsed="false">
      <c r="A591" s="0" t="s">
        <v>1787</v>
      </c>
      <c r="B591" s="0" t="s">
        <v>734</v>
      </c>
      <c r="C591" s="0" t="s">
        <v>535</v>
      </c>
      <c r="D591" s="0" t="n">
        <v>1.521419408</v>
      </c>
      <c r="E591" s="0" t="n">
        <v>1.477786675</v>
      </c>
      <c r="F591" s="0" t="n">
        <v>1.258599185</v>
      </c>
      <c r="G591" s="0" t="n">
        <v>0.7474374393</v>
      </c>
      <c r="H591" s="0" t="n">
        <v>0.0973352614</v>
      </c>
    </row>
    <row r="592" customFormat="false" ht="15" hidden="false" customHeight="false" outlineLevel="0" collapsed="false">
      <c r="A592" s="0" t="s">
        <v>1788</v>
      </c>
      <c r="B592" s="0" t="s">
        <v>782</v>
      </c>
      <c r="C592" s="0" t="s">
        <v>535</v>
      </c>
      <c r="D592" s="0" t="n">
        <v>29.85750092</v>
      </c>
      <c r="E592" s="0" t="n">
        <v>28.47643023</v>
      </c>
      <c r="F592" s="0" t="n">
        <v>20.91675131</v>
      </c>
      <c r="G592" s="0" t="n">
        <v>1.754750363</v>
      </c>
      <c r="H592" s="0" t="n">
        <v>0</v>
      </c>
    </row>
    <row r="593" customFormat="false" ht="15" hidden="false" customHeight="false" outlineLevel="0" collapsed="false">
      <c r="A593" s="0" t="s">
        <v>1789</v>
      </c>
      <c r="B593" s="0" t="s">
        <v>696</v>
      </c>
      <c r="C593" s="0" t="s">
        <v>535</v>
      </c>
      <c r="D593" s="0" t="n">
        <v>6268.288946</v>
      </c>
      <c r="E593" s="0" t="n">
        <v>6277.246716</v>
      </c>
      <c r="F593" s="0" t="n">
        <v>6019.01513</v>
      </c>
      <c r="G593" s="0" t="n">
        <v>4371.083834</v>
      </c>
      <c r="H593" s="0" t="n">
        <v>1286.911003</v>
      </c>
    </row>
    <row r="594" customFormat="false" ht="15" hidden="false" customHeight="false" outlineLevel="0" collapsed="false">
      <c r="A594" s="0" t="s">
        <v>1790</v>
      </c>
      <c r="B594" s="0" t="s">
        <v>836</v>
      </c>
      <c r="C594" s="0" t="s">
        <v>535</v>
      </c>
      <c r="D594" s="0" t="n">
        <v>7.713853695</v>
      </c>
      <c r="E594" s="0" t="n">
        <v>7.892211419</v>
      </c>
      <c r="F594" s="0" t="n">
        <v>8.601374418</v>
      </c>
      <c r="G594" s="0" t="n">
        <v>8.797261738</v>
      </c>
      <c r="H594" s="0" t="n">
        <v>7.158372559</v>
      </c>
    </row>
    <row r="595" customFormat="false" ht="15" hidden="false" customHeight="false" outlineLevel="0" collapsed="false">
      <c r="A595" s="0" t="s">
        <v>1791</v>
      </c>
      <c r="B595" s="0" t="s">
        <v>880</v>
      </c>
      <c r="C595" s="0" t="s">
        <v>535</v>
      </c>
      <c r="D595" s="0" t="n">
        <v>1.959091746</v>
      </c>
      <c r="E595" s="0" t="n">
        <v>1.850549455</v>
      </c>
      <c r="F595" s="0" t="n">
        <v>1.246846566</v>
      </c>
      <c r="G595" s="0" t="n">
        <v>0</v>
      </c>
      <c r="H595" s="0" t="n">
        <v>0</v>
      </c>
    </row>
    <row r="596" customFormat="false" ht="15" hidden="false" customHeight="false" outlineLevel="0" collapsed="false">
      <c r="A596" s="0" t="s">
        <v>1792</v>
      </c>
      <c r="B596" s="0" t="s">
        <v>850</v>
      </c>
      <c r="C596" s="0" t="s">
        <v>535</v>
      </c>
      <c r="D596" s="0" t="n">
        <v>0</v>
      </c>
      <c r="E596" s="0" t="n">
        <v>0</v>
      </c>
      <c r="F596" s="0" t="n">
        <v>0</v>
      </c>
      <c r="G596" s="0" t="n">
        <v>0</v>
      </c>
      <c r="H596" s="0" t="n">
        <v>0</v>
      </c>
    </row>
    <row r="597" customFormat="false" ht="15" hidden="false" customHeight="false" outlineLevel="0" collapsed="false">
      <c r="A597" s="0" t="s">
        <v>1793</v>
      </c>
      <c r="B597" s="0" t="s">
        <v>978</v>
      </c>
      <c r="C597" s="0" t="s">
        <v>535</v>
      </c>
      <c r="D597" s="0" t="n">
        <v>1.683989025</v>
      </c>
      <c r="E597" s="0" t="n">
        <v>1.727052481</v>
      </c>
      <c r="F597" s="0" t="n">
        <v>2.044546082</v>
      </c>
      <c r="G597" s="0" t="n">
        <v>3.001960368</v>
      </c>
      <c r="H597" s="0" t="n">
        <v>4.291652435</v>
      </c>
    </row>
    <row r="598" customFormat="false" ht="15" hidden="false" customHeight="false" outlineLevel="0" collapsed="false">
      <c r="A598" s="0" t="s">
        <v>1794</v>
      </c>
      <c r="B598" s="0" t="s">
        <v>766</v>
      </c>
      <c r="C598" s="0" t="s">
        <v>535</v>
      </c>
      <c r="D598" s="0" t="n">
        <v>20.84653738</v>
      </c>
      <c r="E598" s="0" t="n">
        <v>20.38395909</v>
      </c>
      <c r="F598" s="0" t="n">
        <v>17.64917012</v>
      </c>
      <c r="G598" s="0" t="n">
        <v>10.63924959</v>
      </c>
      <c r="H598" s="0" t="n">
        <v>0</v>
      </c>
    </row>
    <row r="599" customFormat="false" ht="15" hidden="false" customHeight="false" outlineLevel="0" collapsed="false">
      <c r="A599" s="0" t="s">
        <v>1795</v>
      </c>
      <c r="B599" s="0" t="s">
        <v>1044</v>
      </c>
      <c r="C599" s="0" t="s">
        <v>535</v>
      </c>
      <c r="D599" s="0" t="n">
        <v>0.1438836479</v>
      </c>
      <c r="E599" s="0" t="n">
        <v>0.1484626328</v>
      </c>
      <c r="F599" s="0" t="n">
        <v>0.1796276911</v>
      </c>
      <c r="G599" s="0" t="n">
        <v>0.2705766403</v>
      </c>
      <c r="H599" s="0" t="n">
        <v>0.3777519983</v>
      </c>
    </row>
    <row r="600" customFormat="false" ht="15" hidden="false" customHeight="false" outlineLevel="0" collapsed="false">
      <c r="A600" s="0" t="s">
        <v>1796</v>
      </c>
      <c r="B600" s="0" t="s">
        <v>1024</v>
      </c>
      <c r="C600" s="0" t="s">
        <v>535</v>
      </c>
      <c r="D600" s="0" t="n">
        <v>0.3619602855</v>
      </c>
      <c r="E600" s="0" t="n">
        <v>0.3655770901</v>
      </c>
      <c r="F600" s="0" t="n">
        <v>0.3683247686</v>
      </c>
      <c r="G600" s="0" t="n">
        <v>0.3261854905</v>
      </c>
      <c r="H600" s="0" t="n">
        <v>0.1979220136</v>
      </c>
    </row>
    <row r="601" customFormat="false" ht="15" hidden="false" customHeight="false" outlineLevel="0" collapsed="false">
      <c r="A601" s="0" t="s">
        <v>1797</v>
      </c>
      <c r="B601" s="0" t="s">
        <v>838</v>
      </c>
      <c r="C601" s="0" t="s">
        <v>535</v>
      </c>
      <c r="D601" s="0" t="n">
        <v>0</v>
      </c>
      <c r="E601" s="0" t="n">
        <v>0</v>
      </c>
      <c r="F601" s="0" t="n">
        <v>0</v>
      </c>
      <c r="G601" s="0" t="n">
        <v>0</v>
      </c>
      <c r="H601" s="0" t="n">
        <v>0</v>
      </c>
    </row>
    <row r="602" customFormat="false" ht="15" hidden="false" customHeight="false" outlineLevel="0" collapsed="false">
      <c r="A602" s="0" t="s">
        <v>1798</v>
      </c>
      <c r="B602" s="0" t="s">
        <v>906</v>
      </c>
      <c r="C602" s="0" t="s">
        <v>535</v>
      </c>
      <c r="D602" s="0" t="n">
        <v>4.371644558</v>
      </c>
      <c r="E602" s="0" t="n">
        <v>4.377742125</v>
      </c>
      <c r="F602" s="0" t="n">
        <v>4.217595653</v>
      </c>
      <c r="G602" s="0" t="n">
        <v>3.361862819</v>
      </c>
      <c r="H602" s="0" t="n">
        <v>1.856583449</v>
      </c>
    </row>
    <row r="603" customFormat="false" ht="15" hidden="false" customHeight="false" outlineLevel="0" collapsed="false">
      <c r="A603" s="0" t="s">
        <v>1799</v>
      </c>
      <c r="B603" s="0" t="s">
        <v>778</v>
      </c>
      <c r="C603" s="0" t="s">
        <v>535</v>
      </c>
      <c r="D603" s="0" t="n">
        <v>31.40297845</v>
      </c>
      <c r="E603" s="0" t="n">
        <v>30.43802971</v>
      </c>
      <c r="F603" s="0" t="n">
        <v>24.61827805</v>
      </c>
      <c r="G603" s="0" t="n">
        <v>8.750431312</v>
      </c>
      <c r="H603" s="0" t="n">
        <v>0</v>
      </c>
    </row>
    <row r="604" customFormat="false" ht="15" hidden="false" customHeight="false" outlineLevel="0" collapsed="false">
      <c r="A604" s="0" t="s">
        <v>1800</v>
      </c>
      <c r="B604" s="0" t="s">
        <v>700</v>
      </c>
      <c r="C604" s="0" t="s">
        <v>535</v>
      </c>
      <c r="D604" s="0" t="n">
        <v>207.800077</v>
      </c>
      <c r="E604" s="0" t="n">
        <v>197.6759839</v>
      </c>
      <c r="F604" s="0" t="n">
        <v>151.7484827</v>
      </c>
      <c r="G604" s="0" t="n">
        <v>51.80528802</v>
      </c>
      <c r="H604" s="0" t="n">
        <v>0</v>
      </c>
    </row>
    <row r="605" customFormat="false" ht="15" hidden="false" customHeight="false" outlineLevel="0" collapsed="false">
      <c r="A605" s="0" t="s">
        <v>1801</v>
      </c>
      <c r="B605" s="0" t="s">
        <v>1014</v>
      </c>
      <c r="C605" s="0" t="s">
        <v>535</v>
      </c>
      <c r="D605" s="0" t="n">
        <v>0.394456078</v>
      </c>
      <c r="E605" s="0" t="n">
        <v>0.4114512634</v>
      </c>
      <c r="F605" s="0" t="n">
        <v>0.5034782534</v>
      </c>
      <c r="G605" s="0" t="n">
        <v>0.6960503671</v>
      </c>
      <c r="H605" s="0" t="n">
        <v>0.9091101679</v>
      </c>
    </row>
    <row r="606" customFormat="false" ht="15" hidden="false" customHeight="false" outlineLevel="0" collapsed="false">
      <c r="A606" s="0" t="s">
        <v>1802</v>
      </c>
      <c r="B606" s="0" t="s">
        <v>1058</v>
      </c>
      <c r="C606" s="0" t="s">
        <v>535</v>
      </c>
      <c r="D606" s="0" t="n">
        <v>0.1304017702</v>
      </c>
      <c r="E606" s="0" t="n">
        <v>0.1345490997</v>
      </c>
      <c r="F606" s="0" t="n">
        <v>0.1493256568</v>
      </c>
      <c r="G606" s="0" t="n">
        <v>0.1834262828</v>
      </c>
      <c r="H606" s="0" t="n">
        <v>0.2222039323</v>
      </c>
    </row>
    <row r="607" customFormat="false" ht="15" hidden="false" customHeight="false" outlineLevel="0" collapsed="false">
      <c r="A607" s="0" t="s">
        <v>1803</v>
      </c>
      <c r="B607" s="0" t="s">
        <v>768</v>
      </c>
      <c r="C607" s="0" t="s">
        <v>535</v>
      </c>
      <c r="D607" s="0" t="n">
        <v>2.025739469</v>
      </c>
      <c r="E607" s="0" t="n">
        <v>1.351393612</v>
      </c>
      <c r="F607" s="0" t="n">
        <v>0</v>
      </c>
      <c r="G607" s="0" t="n">
        <v>0</v>
      </c>
      <c r="H607" s="0" t="n">
        <v>0</v>
      </c>
    </row>
    <row r="608" customFormat="false" ht="15" hidden="false" customHeight="false" outlineLevel="0" collapsed="false">
      <c r="A608" s="0" t="s">
        <v>1804</v>
      </c>
      <c r="B608" s="0" t="s">
        <v>818</v>
      </c>
      <c r="C608" s="0" t="s">
        <v>535</v>
      </c>
      <c r="D608" s="0" t="n">
        <v>17.33514166</v>
      </c>
      <c r="E608" s="0" t="n">
        <v>17.13991386</v>
      </c>
      <c r="F608" s="0" t="n">
        <v>17.05162446</v>
      </c>
      <c r="G608" s="0" t="n">
        <v>15.41094248</v>
      </c>
      <c r="H608" s="0" t="n">
        <v>11.58473452</v>
      </c>
    </row>
    <row r="609" customFormat="false" ht="15" hidden="false" customHeight="false" outlineLevel="0" collapsed="false">
      <c r="A609" s="0" t="s">
        <v>1805</v>
      </c>
      <c r="B609" s="0" t="s">
        <v>788</v>
      </c>
      <c r="C609" s="0" t="s">
        <v>535</v>
      </c>
      <c r="D609" s="0" t="n">
        <v>90.37781788</v>
      </c>
      <c r="E609" s="0" t="n">
        <v>92.7497711</v>
      </c>
      <c r="F609" s="0" t="n">
        <v>105.3800556</v>
      </c>
      <c r="G609" s="0" t="n">
        <v>132.3011925</v>
      </c>
      <c r="H609" s="0" t="n">
        <v>160.0552286</v>
      </c>
    </row>
    <row r="610" customFormat="false" ht="15" hidden="false" customHeight="false" outlineLevel="0" collapsed="false">
      <c r="A610" s="0" t="s">
        <v>1806</v>
      </c>
      <c r="B610" s="0" t="s">
        <v>824</v>
      </c>
      <c r="C610" s="0" t="s">
        <v>535</v>
      </c>
      <c r="D610" s="0" t="n">
        <v>7.586215193</v>
      </c>
      <c r="E610" s="0" t="n">
        <v>7.357954986</v>
      </c>
      <c r="F610" s="0" t="n">
        <v>5.714986665</v>
      </c>
      <c r="G610" s="0" t="n">
        <v>1.290534711</v>
      </c>
      <c r="H610" s="0" t="n">
        <v>0</v>
      </c>
    </row>
    <row r="611" customFormat="false" ht="15" hidden="false" customHeight="false" outlineLevel="0" collapsed="false">
      <c r="A611" s="0" t="s">
        <v>1807</v>
      </c>
      <c r="B611" s="0" t="s">
        <v>764</v>
      </c>
      <c r="C611" s="0" t="s">
        <v>535</v>
      </c>
      <c r="D611" s="0" t="n">
        <v>214.2702086</v>
      </c>
      <c r="E611" s="0" t="n">
        <v>219.7862429</v>
      </c>
      <c r="F611" s="0" t="n">
        <v>248.2090483</v>
      </c>
      <c r="G611" s="0" t="n">
        <v>313.5637074</v>
      </c>
      <c r="H611" s="0" t="n">
        <v>389.4391483</v>
      </c>
    </row>
    <row r="612" customFormat="false" ht="15" hidden="false" customHeight="false" outlineLevel="0" collapsed="false">
      <c r="A612" s="0" t="s">
        <v>1808</v>
      </c>
      <c r="B612" s="0" t="s">
        <v>722</v>
      </c>
      <c r="C612" s="0" t="s">
        <v>535</v>
      </c>
      <c r="D612" s="0" t="n">
        <v>74.20769019</v>
      </c>
      <c r="E612" s="0" t="n">
        <v>69.75212223</v>
      </c>
      <c r="F612" s="0" t="n">
        <v>43.1078497</v>
      </c>
      <c r="G612" s="0" t="n">
        <v>0</v>
      </c>
      <c r="H612" s="0" t="n">
        <v>0</v>
      </c>
    </row>
    <row r="613" customFormat="false" ht="15" hidden="false" customHeight="false" outlineLevel="0" collapsed="false">
      <c r="A613" s="0" t="s">
        <v>1809</v>
      </c>
      <c r="B613" s="0" t="s">
        <v>902</v>
      </c>
      <c r="C613" s="0" t="s">
        <v>535</v>
      </c>
      <c r="D613" s="0" t="n">
        <v>2.504233625</v>
      </c>
      <c r="E613" s="0" t="n">
        <v>2.386473543</v>
      </c>
      <c r="F613" s="0" t="n">
        <v>1.858533162</v>
      </c>
      <c r="G613" s="0" t="n">
        <v>0.5865427791</v>
      </c>
      <c r="H613" s="0" t="n">
        <v>0</v>
      </c>
    </row>
    <row r="614" customFormat="false" ht="15" hidden="false" customHeight="false" outlineLevel="0" collapsed="false">
      <c r="A614" s="0" t="s">
        <v>1810</v>
      </c>
      <c r="B614" s="0" t="s">
        <v>802</v>
      </c>
      <c r="C614" s="0" t="s">
        <v>535</v>
      </c>
      <c r="D614" s="0" t="n">
        <v>0</v>
      </c>
      <c r="E614" s="0" t="n">
        <v>0</v>
      </c>
      <c r="F614" s="0" t="n">
        <v>0</v>
      </c>
      <c r="G614" s="0" t="n">
        <v>0</v>
      </c>
      <c r="H614" s="0" t="n">
        <v>0</v>
      </c>
    </row>
    <row r="615" customFormat="false" ht="15" hidden="false" customHeight="false" outlineLevel="0" collapsed="false">
      <c r="A615" s="0" t="s">
        <v>1811</v>
      </c>
      <c r="B615" s="0" t="s">
        <v>794</v>
      </c>
      <c r="C615" s="0" t="s">
        <v>535</v>
      </c>
      <c r="D615" s="0" t="n">
        <v>3.029750501</v>
      </c>
      <c r="E615" s="0" t="n">
        <v>1.369939335</v>
      </c>
      <c r="F615" s="0" t="n">
        <v>0</v>
      </c>
      <c r="G615" s="0" t="n">
        <v>0</v>
      </c>
      <c r="H615" s="0" t="n">
        <v>0</v>
      </c>
    </row>
    <row r="616" customFormat="false" ht="15" hidden="false" customHeight="false" outlineLevel="0" collapsed="false">
      <c r="A616" s="0" t="s">
        <v>1812</v>
      </c>
      <c r="B616" s="0" t="s">
        <v>1006</v>
      </c>
      <c r="C616" s="0" t="s">
        <v>535</v>
      </c>
      <c r="D616" s="0" t="n">
        <v>0.4221018266</v>
      </c>
      <c r="E616" s="0" t="n">
        <v>0.4264450225</v>
      </c>
      <c r="F616" s="0" t="n">
        <v>0.4380703844</v>
      </c>
      <c r="G616" s="0" t="n">
        <v>0.4703507862</v>
      </c>
      <c r="H616" s="0" t="n">
        <v>0.4944495</v>
      </c>
    </row>
    <row r="617" customFormat="false" ht="15" hidden="false" customHeight="false" outlineLevel="0" collapsed="false">
      <c r="A617" s="0" t="s">
        <v>1813</v>
      </c>
      <c r="B617" s="0" t="s">
        <v>706</v>
      </c>
      <c r="C617" s="0" t="s">
        <v>535</v>
      </c>
      <c r="D617" s="0" t="n">
        <v>29.75422081</v>
      </c>
      <c r="E617" s="0" t="n">
        <v>18.29133462</v>
      </c>
      <c r="F617" s="0" t="n">
        <v>0</v>
      </c>
      <c r="G617" s="0" t="n">
        <v>0</v>
      </c>
      <c r="H617" s="0" t="n">
        <v>0</v>
      </c>
    </row>
    <row r="618" customFormat="false" ht="15" hidden="false" customHeight="false" outlineLevel="0" collapsed="false">
      <c r="A618" s="0" t="s">
        <v>1814</v>
      </c>
      <c r="B618" s="0" t="s">
        <v>950</v>
      </c>
      <c r="C618" s="0" t="s">
        <v>535</v>
      </c>
      <c r="D618" s="0" t="n">
        <v>1.681103572</v>
      </c>
      <c r="E618" s="0" t="n">
        <v>1.706552779</v>
      </c>
      <c r="F618" s="0" t="n">
        <v>1.855169001</v>
      </c>
      <c r="G618" s="0" t="n">
        <v>2.224731683</v>
      </c>
      <c r="H618" s="0" t="n">
        <v>2.684245169</v>
      </c>
    </row>
    <row r="619" customFormat="false" ht="15" hidden="false" customHeight="false" outlineLevel="0" collapsed="false">
      <c r="A619" s="0" t="s">
        <v>1815</v>
      </c>
      <c r="B619" s="0" t="s">
        <v>704</v>
      </c>
      <c r="C619" s="0" t="s">
        <v>535</v>
      </c>
      <c r="D619" s="0" t="n">
        <v>106.2333112</v>
      </c>
      <c r="E619" s="0" t="n">
        <v>101.2673612</v>
      </c>
      <c r="F619" s="0" t="n">
        <v>74.0956927</v>
      </c>
      <c r="G619" s="0" t="n">
        <v>12.6195028</v>
      </c>
      <c r="H619" s="0" t="n">
        <v>0</v>
      </c>
    </row>
    <row r="620" customFormat="false" ht="15" hidden="false" customHeight="false" outlineLevel="0" collapsed="false">
      <c r="A620" s="0" t="s">
        <v>1816</v>
      </c>
      <c r="B620" s="0" t="s">
        <v>900</v>
      </c>
      <c r="C620" s="0" t="s">
        <v>535</v>
      </c>
      <c r="D620" s="0" t="n">
        <v>2.756225058</v>
      </c>
      <c r="E620" s="0" t="n">
        <v>2.744006299</v>
      </c>
      <c r="F620" s="0" t="n">
        <v>2.310056319</v>
      </c>
      <c r="G620" s="0" t="n">
        <v>0.4954657159</v>
      </c>
      <c r="H620" s="0" t="n">
        <v>0</v>
      </c>
    </row>
    <row r="621" customFormat="false" ht="15" hidden="false" customHeight="false" outlineLevel="0" collapsed="false">
      <c r="A621" s="0" t="s">
        <v>1817</v>
      </c>
      <c r="B621" s="0" t="s">
        <v>844</v>
      </c>
      <c r="C621" s="0" t="s">
        <v>535</v>
      </c>
      <c r="D621" s="0" t="n">
        <v>10.54835241</v>
      </c>
      <c r="E621" s="0" t="n">
        <v>11.39197835</v>
      </c>
      <c r="F621" s="0" t="n">
        <v>14.4672396</v>
      </c>
      <c r="G621" s="0" t="n">
        <v>18.30824741</v>
      </c>
      <c r="H621" s="0" t="n">
        <v>22.0323559</v>
      </c>
    </row>
    <row r="622" customFormat="false" ht="15" hidden="false" customHeight="false" outlineLevel="0" collapsed="false">
      <c r="A622" s="0" t="s">
        <v>1818</v>
      </c>
      <c r="B622" s="0" t="s">
        <v>914</v>
      </c>
      <c r="C622" s="0" t="s">
        <v>535</v>
      </c>
      <c r="D622" s="0" t="n">
        <v>0.6441078752</v>
      </c>
      <c r="E622" s="0" t="n">
        <v>0.8275774683</v>
      </c>
      <c r="F622" s="0" t="n">
        <v>1.068734556</v>
      </c>
      <c r="G622" s="0" t="n">
        <v>1.100849498</v>
      </c>
      <c r="H622" s="0" t="n">
        <v>0.7266756337</v>
      </c>
    </row>
    <row r="623" customFormat="false" ht="15" hidden="false" customHeight="false" outlineLevel="0" collapsed="false">
      <c r="A623" s="0" t="s">
        <v>1819</v>
      </c>
      <c r="B623" s="0" t="s">
        <v>1028</v>
      </c>
      <c r="C623" s="0" t="s">
        <v>535</v>
      </c>
      <c r="D623" s="0" t="n">
        <v>0.5111209915</v>
      </c>
      <c r="E623" s="0" t="n">
        <v>0.5331520947</v>
      </c>
      <c r="F623" s="0" t="n">
        <v>0.6355306002</v>
      </c>
      <c r="G623" s="0" t="n">
        <v>0.8825541954</v>
      </c>
      <c r="H623" s="0" t="n">
        <v>1.198312397</v>
      </c>
    </row>
    <row r="624" customFormat="false" ht="15" hidden="false" customHeight="false" outlineLevel="0" collapsed="false">
      <c r="A624" s="0" t="s">
        <v>1820</v>
      </c>
      <c r="B624" s="0" t="s">
        <v>1030</v>
      </c>
      <c r="C624" s="0" t="s">
        <v>535</v>
      </c>
      <c r="D624" s="0" t="n">
        <v>0.1841117423</v>
      </c>
      <c r="E624" s="0" t="n">
        <v>0.191406019</v>
      </c>
      <c r="F624" s="0" t="n">
        <v>0.2274467418</v>
      </c>
      <c r="G624" s="0" t="n">
        <v>0.3169847699</v>
      </c>
      <c r="H624" s="0" t="n">
        <v>0.4313809688</v>
      </c>
    </row>
    <row r="625" customFormat="false" ht="15" hidden="false" customHeight="false" outlineLevel="0" collapsed="false">
      <c r="A625" s="0" t="s">
        <v>1821</v>
      </c>
      <c r="B625" s="0" t="s">
        <v>994</v>
      </c>
      <c r="C625" s="0" t="s">
        <v>535</v>
      </c>
      <c r="D625" s="0" t="n">
        <v>1.039816899</v>
      </c>
      <c r="E625" s="0" t="n">
        <v>0.9606246755</v>
      </c>
      <c r="F625" s="0" t="n">
        <v>0.8402217327</v>
      </c>
      <c r="G625" s="0" t="n">
        <v>0.9207390207</v>
      </c>
      <c r="H625" s="0" t="n">
        <v>1.171807088</v>
      </c>
    </row>
    <row r="626" customFormat="false" ht="15" hidden="false" customHeight="false" outlineLevel="0" collapsed="false">
      <c r="A626" s="0" t="s">
        <v>1822</v>
      </c>
      <c r="B626" s="0" t="s">
        <v>798</v>
      </c>
      <c r="C626" s="0" t="s">
        <v>535</v>
      </c>
      <c r="D626" s="0" t="n">
        <v>30.70174554</v>
      </c>
      <c r="E626" s="0" t="n">
        <v>30.29211652</v>
      </c>
      <c r="F626" s="0" t="n">
        <v>27.76932543</v>
      </c>
      <c r="G626" s="0" t="n">
        <v>21.02869669</v>
      </c>
      <c r="H626" s="0" t="n">
        <v>11.58190628</v>
      </c>
    </row>
    <row r="627" customFormat="false" ht="15" hidden="false" customHeight="false" outlineLevel="0" collapsed="false">
      <c r="A627" s="0" t="s">
        <v>1823</v>
      </c>
      <c r="B627" s="0" t="s">
        <v>1046</v>
      </c>
      <c r="C627" s="0" t="s">
        <v>535</v>
      </c>
      <c r="D627" s="0" t="n">
        <v>0.2411598062</v>
      </c>
      <c r="E627" s="0" t="n">
        <v>0.2486852672</v>
      </c>
      <c r="F627" s="0" t="n">
        <v>0.2767520659</v>
      </c>
      <c r="G627" s="0" t="n">
        <v>0.3427209147</v>
      </c>
      <c r="H627" s="0" t="n">
        <v>0.4163994233</v>
      </c>
    </row>
    <row r="628" customFormat="false" ht="15" hidden="false" customHeight="false" outlineLevel="0" collapsed="false">
      <c r="A628" s="0" t="s">
        <v>1824</v>
      </c>
      <c r="B628" s="0" t="s">
        <v>826</v>
      </c>
      <c r="C628" s="0" t="s">
        <v>535</v>
      </c>
      <c r="D628" s="0" t="n">
        <v>5.231358126</v>
      </c>
      <c r="E628" s="0" t="n">
        <v>5.384025642</v>
      </c>
      <c r="F628" s="0" t="n">
        <v>6.171723098</v>
      </c>
      <c r="G628" s="0" t="n">
        <v>7.841039197</v>
      </c>
      <c r="H628" s="0" t="n">
        <v>9.540429909</v>
      </c>
    </row>
    <row r="629" customFormat="false" ht="15" hidden="false" customHeight="false" outlineLevel="0" collapsed="false">
      <c r="A629" s="0" t="s">
        <v>1825</v>
      </c>
      <c r="B629" s="0" t="s">
        <v>890</v>
      </c>
      <c r="C629" s="0" t="s">
        <v>535</v>
      </c>
      <c r="D629" s="0" t="n">
        <v>1.349770898</v>
      </c>
      <c r="E629" s="0" t="n">
        <v>1.549321067</v>
      </c>
      <c r="F629" s="0" t="n">
        <v>2.611271324</v>
      </c>
      <c r="G629" s="0" t="n">
        <v>4.466842987</v>
      </c>
      <c r="H629" s="0" t="n">
        <v>5.439765248</v>
      </c>
    </row>
    <row r="630" customFormat="false" ht="15" hidden="false" customHeight="false" outlineLevel="0" collapsed="false">
      <c r="A630" s="0" t="s">
        <v>1826</v>
      </c>
      <c r="B630" s="0" t="s">
        <v>770</v>
      </c>
      <c r="C630" s="0" t="s">
        <v>535</v>
      </c>
      <c r="D630" s="0" t="n">
        <v>42.52651223</v>
      </c>
      <c r="E630" s="0" t="n">
        <v>43.51738289</v>
      </c>
      <c r="F630" s="0" t="n">
        <v>46.74934751</v>
      </c>
      <c r="G630" s="0" t="n">
        <v>52.0286205</v>
      </c>
      <c r="H630" s="0" t="n">
        <v>55.62227508</v>
      </c>
    </row>
    <row r="631" customFormat="false" ht="15" hidden="false" customHeight="false" outlineLevel="0" collapsed="false">
      <c r="A631" s="0" t="s">
        <v>1827</v>
      </c>
      <c r="B631" s="0" t="s">
        <v>904</v>
      </c>
      <c r="C631" s="0" t="s">
        <v>535</v>
      </c>
      <c r="D631" s="0" t="n">
        <v>5.590372091</v>
      </c>
      <c r="E631" s="0" t="n">
        <v>5.73432864</v>
      </c>
      <c r="F631" s="0" t="n">
        <v>6.464750001</v>
      </c>
      <c r="G631" s="0" t="n">
        <v>8.49554936</v>
      </c>
      <c r="H631" s="0" t="n">
        <v>11.14908308</v>
      </c>
    </row>
    <row r="632" customFormat="false" ht="15" hidden="false" customHeight="false" outlineLevel="0" collapsed="false">
      <c r="A632" s="0" t="s">
        <v>1828</v>
      </c>
      <c r="B632" s="0" t="s">
        <v>846</v>
      </c>
      <c r="C632" s="0" t="s">
        <v>535</v>
      </c>
      <c r="D632" s="0" t="n">
        <v>4.41682502</v>
      </c>
      <c r="E632" s="0" t="n">
        <v>4.139589799</v>
      </c>
      <c r="F632" s="0" t="n">
        <v>2.46036636</v>
      </c>
      <c r="G632" s="0" t="n">
        <v>0</v>
      </c>
      <c r="H632" s="0" t="n">
        <v>0</v>
      </c>
    </row>
    <row r="633" customFormat="false" ht="15" hidden="false" customHeight="false" outlineLevel="0" collapsed="false">
      <c r="A633" s="0" t="s">
        <v>1829</v>
      </c>
      <c r="B633" s="0" t="s">
        <v>956</v>
      </c>
      <c r="C633" s="0" t="s">
        <v>535</v>
      </c>
      <c r="D633" s="0" t="n">
        <v>0.7127423295</v>
      </c>
      <c r="E633" s="0" t="n">
        <v>0.6799082146</v>
      </c>
      <c r="F633" s="0" t="n">
        <v>0.5829416257</v>
      </c>
      <c r="G633" s="0" t="n">
        <v>0.525991046</v>
      </c>
      <c r="H633" s="0" t="n">
        <v>0.4349391092</v>
      </c>
    </row>
    <row r="634" customFormat="false" ht="15" hidden="false" customHeight="false" outlineLevel="0" collapsed="false">
      <c r="A634" s="0" t="s">
        <v>1830</v>
      </c>
      <c r="B634" s="0" t="s">
        <v>800</v>
      </c>
      <c r="C634" s="0" t="s">
        <v>535</v>
      </c>
      <c r="D634" s="0" t="n">
        <v>9.961328998</v>
      </c>
      <c r="E634" s="0" t="n">
        <v>9.145535906</v>
      </c>
      <c r="F634" s="0" t="n">
        <v>5.35682533</v>
      </c>
      <c r="G634" s="0" t="n">
        <v>0</v>
      </c>
      <c r="H634" s="0" t="n">
        <v>0</v>
      </c>
    </row>
    <row r="635" customFormat="false" ht="15" hidden="false" customHeight="false" outlineLevel="0" collapsed="false">
      <c r="A635" s="0" t="s">
        <v>1831</v>
      </c>
      <c r="B635" s="0" t="s">
        <v>724</v>
      </c>
      <c r="C635" s="0" t="s">
        <v>535</v>
      </c>
      <c r="D635" s="0" t="n">
        <v>305.5749001</v>
      </c>
      <c r="E635" s="0" t="n">
        <v>316.7346885</v>
      </c>
      <c r="F635" s="0" t="n">
        <v>375.9378015</v>
      </c>
      <c r="G635" s="0" t="n">
        <v>511.0985952</v>
      </c>
      <c r="H635" s="0" t="n">
        <v>669.5059675</v>
      </c>
    </row>
    <row r="636" customFormat="false" ht="15" hidden="false" customHeight="false" outlineLevel="0" collapsed="false">
      <c r="A636" s="0" t="s">
        <v>1832</v>
      </c>
      <c r="B636" s="0" t="s">
        <v>36</v>
      </c>
      <c r="C636" s="0" t="s">
        <v>535</v>
      </c>
      <c r="D636" s="0" t="n">
        <v>1529.948219</v>
      </c>
      <c r="E636" s="0" t="n">
        <v>1586.572864</v>
      </c>
      <c r="F636" s="0" t="n">
        <v>1792.810476</v>
      </c>
      <c r="G636" s="0" t="n">
        <v>2007.588333</v>
      </c>
      <c r="H636" s="0" t="n">
        <v>1971.942647</v>
      </c>
    </row>
    <row r="637" customFormat="false" ht="15" hidden="false" customHeight="false" outlineLevel="0" collapsed="false">
      <c r="A637" s="0" t="s">
        <v>1833</v>
      </c>
      <c r="B637" s="0" t="s">
        <v>738</v>
      </c>
      <c r="C637" s="0" t="s">
        <v>535</v>
      </c>
      <c r="D637" s="0" t="n">
        <v>16.59632924</v>
      </c>
      <c r="E637" s="0" t="n">
        <v>17.48204176</v>
      </c>
      <c r="F637" s="0" t="n">
        <v>15.33023076</v>
      </c>
      <c r="G637" s="0" t="n">
        <v>8.840597049</v>
      </c>
      <c r="H637" s="0" t="n">
        <v>0</v>
      </c>
    </row>
    <row r="638" customFormat="false" ht="15" hidden="false" customHeight="false" outlineLevel="0" collapsed="false">
      <c r="A638" s="0" t="s">
        <v>1834</v>
      </c>
      <c r="B638" s="0" t="s">
        <v>790</v>
      </c>
      <c r="C638" s="0" t="s">
        <v>535</v>
      </c>
      <c r="D638" s="0" t="n">
        <v>376.3139758</v>
      </c>
      <c r="E638" s="0" t="n">
        <v>370.205414</v>
      </c>
      <c r="F638" s="0" t="n">
        <v>296.687756</v>
      </c>
      <c r="G638" s="0" t="n">
        <v>289.1393676</v>
      </c>
      <c r="H638" s="0" t="n">
        <v>354.3862832</v>
      </c>
    </row>
    <row r="639" customFormat="false" ht="15" hidden="false" customHeight="false" outlineLevel="0" collapsed="false">
      <c r="A639" s="0" t="s">
        <v>1835</v>
      </c>
      <c r="B639" s="0" t="s">
        <v>806</v>
      </c>
      <c r="C639" s="0" t="s">
        <v>535</v>
      </c>
      <c r="D639" s="0" t="n">
        <v>82.83806957</v>
      </c>
      <c r="E639" s="0" t="n">
        <v>82.28275253</v>
      </c>
      <c r="F639" s="0" t="n">
        <v>64.91635382</v>
      </c>
      <c r="G639" s="0" t="n">
        <v>63.33287967</v>
      </c>
      <c r="H639" s="0" t="n">
        <v>77.70207839</v>
      </c>
    </row>
    <row r="640" customFormat="false" ht="15" hidden="false" customHeight="false" outlineLevel="0" collapsed="false">
      <c r="A640" s="0" t="s">
        <v>1836</v>
      </c>
      <c r="B640" s="0" t="s">
        <v>916</v>
      </c>
      <c r="C640" s="0" t="s">
        <v>535</v>
      </c>
      <c r="D640" s="0" t="n">
        <v>0</v>
      </c>
      <c r="E640" s="0" t="n">
        <v>0</v>
      </c>
      <c r="F640" s="0" t="n">
        <v>0</v>
      </c>
      <c r="G640" s="0" t="n">
        <v>0</v>
      </c>
      <c r="H640" s="0" t="n">
        <v>0</v>
      </c>
    </row>
    <row r="641" customFormat="false" ht="15" hidden="false" customHeight="false" outlineLevel="0" collapsed="false">
      <c r="A641" s="0" t="s">
        <v>1837</v>
      </c>
      <c r="B641" s="0" t="s">
        <v>750</v>
      </c>
      <c r="C641" s="0" t="s">
        <v>535</v>
      </c>
      <c r="D641" s="0" t="n">
        <v>69.08581743</v>
      </c>
      <c r="E641" s="0" t="n">
        <v>68.84187121</v>
      </c>
      <c r="F641" s="0" t="n">
        <v>68.10211659</v>
      </c>
      <c r="G641" s="0" t="n">
        <v>57.4583288</v>
      </c>
      <c r="H641" s="0" t="n">
        <v>37.98828213</v>
      </c>
    </row>
    <row r="642" customFormat="false" ht="15" hidden="false" customHeight="false" outlineLevel="0" collapsed="false">
      <c r="A642" s="0" t="s">
        <v>1838</v>
      </c>
      <c r="B642" s="0" t="s">
        <v>712</v>
      </c>
      <c r="C642" s="0" t="s">
        <v>535</v>
      </c>
      <c r="D642" s="0" t="n">
        <v>138.2035243</v>
      </c>
      <c r="E642" s="0" t="n">
        <v>133.2133121</v>
      </c>
      <c r="F642" s="0" t="n">
        <v>109.0365802</v>
      </c>
      <c r="G642" s="0" t="n">
        <v>59.08967103</v>
      </c>
      <c r="H642" s="0" t="n">
        <v>0</v>
      </c>
    </row>
    <row r="643" customFormat="false" ht="15" hidden="false" customHeight="false" outlineLevel="0" collapsed="false">
      <c r="A643" s="0" t="s">
        <v>1839</v>
      </c>
      <c r="B643" s="0" t="s">
        <v>964</v>
      </c>
      <c r="C643" s="0" t="s">
        <v>535</v>
      </c>
      <c r="D643" s="0" t="n">
        <v>4.327823937</v>
      </c>
      <c r="E643" s="0" t="n">
        <v>4.311278472</v>
      </c>
      <c r="F643" s="0" t="n">
        <v>4.168825998</v>
      </c>
      <c r="G643" s="0" t="n">
        <v>4.681870664</v>
      </c>
      <c r="H643" s="0" t="n">
        <v>5.704323649</v>
      </c>
    </row>
    <row r="644" customFormat="false" ht="15" hidden="false" customHeight="false" outlineLevel="0" collapsed="false">
      <c r="A644" s="0" t="s">
        <v>1840</v>
      </c>
      <c r="B644" s="0" t="s">
        <v>876</v>
      </c>
      <c r="C644" s="0" t="s">
        <v>535</v>
      </c>
      <c r="D644" s="0" t="n">
        <v>18.03637162</v>
      </c>
      <c r="E644" s="0" t="n">
        <v>18.25954089</v>
      </c>
      <c r="F644" s="0" t="n">
        <v>19.54575138</v>
      </c>
      <c r="G644" s="0" t="n">
        <v>22.6697693</v>
      </c>
      <c r="H644" s="0" t="n">
        <v>26.05697234</v>
      </c>
    </row>
    <row r="645" customFormat="false" ht="15" hidden="false" customHeight="false" outlineLevel="0" collapsed="false">
      <c r="A645" s="0" t="s">
        <v>1841</v>
      </c>
      <c r="B645" s="0" t="s">
        <v>702</v>
      </c>
      <c r="C645" s="0" t="s">
        <v>535</v>
      </c>
      <c r="D645" s="0" t="n">
        <v>698.9023501</v>
      </c>
      <c r="E645" s="0" t="n">
        <v>682.39416</v>
      </c>
      <c r="F645" s="0" t="n">
        <v>589.7473061</v>
      </c>
      <c r="G645" s="0" t="n">
        <v>406.4435053</v>
      </c>
      <c r="H645" s="0" t="n">
        <v>190.5799106</v>
      </c>
    </row>
    <row r="646" customFormat="false" ht="15" hidden="false" customHeight="false" outlineLevel="0" collapsed="false">
      <c r="A646" s="0" t="s">
        <v>1842</v>
      </c>
      <c r="B646" s="0" t="s">
        <v>780</v>
      </c>
      <c r="C646" s="0" t="s">
        <v>535</v>
      </c>
      <c r="D646" s="0" t="n">
        <v>103.3164317</v>
      </c>
      <c r="E646" s="0" t="n">
        <v>106.8334234</v>
      </c>
      <c r="F646" s="0" t="n">
        <v>116.5547116</v>
      </c>
      <c r="G646" s="0" t="n">
        <v>128.3248591</v>
      </c>
      <c r="H646" s="0" t="n">
        <v>131.4197107</v>
      </c>
    </row>
    <row r="647" customFormat="false" ht="15" hidden="false" customHeight="false" outlineLevel="0" collapsed="false">
      <c r="A647" s="0" t="s">
        <v>1843</v>
      </c>
      <c r="B647" s="0" t="s">
        <v>814</v>
      </c>
      <c r="C647" s="0" t="s">
        <v>535</v>
      </c>
      <c r="D647" s="0" t="n">
        <v>1.400079866</v>
      </c>
      <c r="E647" s="0" t="n">
        <v>1.337965468</v>
      </c>
      <c r="F647" s="0" t="n">
        <v>0.9157350816</v>
      </c>
      <c r="G647" s="0" t="n">
        <v>0</v>
      </c>
      <c r="H647" s="0" t="n">
        <v>0</v>
      </c>
    </row>
    <row r="648" customFormat="false" ht="15" hidden="false" customHeight="false" outlineLevel="0" collapsed="false">
      <c r="A648" s="0" t="s">
        <v>1844</v>
      </c>
      <c r="B648" s="0" t="s">
        <v>946</v>
      </c>
      <c r="C648" s="0" t="s">
        <v>535</v>
      </c>
      <c r="D648" s="0" t="n">
        <v>1.771940362</v>
      </c>
      <c r="E648" s="0" t="n">
        <v>1.737556058</v>
      </c>
      <c r="F648" s="0" t="n">
        <v>1.019421285</v>
      </c>
      <c r="G648" s="0" t="n">
        <v>0</v>
      </c>
      <c r="H648" s="0" t="n">
        <v>0</v>
      </c>
    </row>
    <row r="649" customFormat="false" ht="15" hidden="false" customHeight="false" outlineLevel="0" collapsed="false">
      <c r="A649" s="0" t="s">
        <v>1845</v>
      </c>
      <c r="B649" s="0" t="s">
        <v>886</v>
      </c>
      <c r="C649" s="0" t="s">
        <v>535</v>
      </c>
      <c r="D649" s="0" t="n">
        <v>10.54771823</v>
      </c>
      <c r="E649" s="0" t="n">
        <v>10.92615794</v>
      </c>
      <c r="F649" s="0" t="n">
        <v>12.59047076</v>
      </c>
      <c r="G649" s="0" t="n">
        <v>16.76104871</v>
      </c>
      <c r="H649" s="0" t="n">
        <v>21.95924922</v>
      </c>
    </row>
    <row r="650" customFormat="false" ht="15" hidden="false" customHeight="false" outlineLevel="0" collapsed="false">
      <c r="A650" s="0" t="s">
        <v>1846</v>
      </c>
      <c r="B650" s="0" t="s">
        <v>1054</v>
      </c>
      <c r="C650" s="0" t="s">
        <v>535</v>
      </c>
      <c r="D650" s="0" t="n">
        <v>0.2119228682</v>
      </c>
      <c r="E650" s="0" t="n">
        <v>0.210633623</v>
      </c>
      <c r="F650" s="0" t="n">
        <v>0.2088488826</v>
      </c>
      <c r="G650" s="0" t="n">
        <v>0.1980135115</v>
      </c>
      <c r="H650" s="0" t="n">
        <v>0.1725387127</v>
      </c>
    </row>
    <row r="651" customFormat="false" ht="15" hidden="false" customHeight="false" outlineLevel="0" collapsed="false">
      <c r="A651" s="0" t="s">
        <v>1847</v>
      </c>
      <c r="B651" s="0" t="s">
        <v>716</v>
      </c>
      <c r="C651" s="0" t="s">
        <v>535</v>
      </c>
      <c r="D651" s="0" t="n">
        <v>378.5896233</v>
      </c>
      <c r="E651" s="0" t="n">
        <v>374.6511001</v>
      </c>
      <c r="F651" s="0" t="n">
        <v>366.9139505</v>
      </c>
      <c r="G651" s="0" t="n">
        <v>339.717569</v>
      </c>
      <c r="H651" s="0" t="n">
        <v>292.892537</v>
      </c>
    </row>
    <row r="652" customFormat="false" ht="15" hidden="false" customHeight="false" outlineLevel="0" collapsed="false">
      <c r="A652" s="0" t="s">
        <v>1848</v>
      </c>
      <c r="B652" s="0" t="s">
        <v>812</v>
      </c>
      <c r="C652" s="0" t="s">
        <v>535</v>
      </c>
      <c r="D652" s="0" t="n">
        <v>87.35965331</v>
      </c>
      <c r="E652" s="0" t="n">
        <v>89.35362082</v>
      </c>
      <c r="F652" s="0" t="n">
        <v>86.53368506</v>
      </c>
      <c r="G652" s="0" t="n">
        <v>88.88009823</v>
      </c>
      <c r="H652" s="0" t="n">
        <v>95.40424106</v>
      </c>
    </row>
    <row r="653" customFormat="false" ht="15" hidden="false" customHeight="false" outlineLevel="0" collapsed="false">
      <c r="A653" s="0" t="s">
        <v>1849</v>
      </c>
      <c r="B653" s="0" t="s">
        <v>972</v>
      </c>
      <c r="C653" s="0" t="s">
        <v>535</v>
      </c>
      <c r="D653" s="0" t="n">
        <v>0</v>
      </c>
      <c r="E653" s="0" t="n">
        <v>0</v>
      </c>
      <c r="F653" s="0" t="n">
        <v>0</v>
      </c>
      <c r="G653" s="0" t="n">
        <v>0</v>
      </c>
      <c r="H653" s="0" t="n">
        <v>0</v>
      </c>
    </row>
    <row r="654" customFormat="false" ht="15" hidden="false" customHeight="false" outlineLevel="0" collapsed="false">
      <c r="A654" s="0" t="s">
        <v>1850</v>
      </c>
      <c r="B654" s="0" t="s">
        <v>922</v>
      </c>
      <c r="C654" s="0" t="s">
        <v>535</v>
      </c>
      <c r="D654" s="0" t="n">
        <v>11.24074528</v>
      </c>
      <c r="E654" s="0" t="n">
        <v>11.14106788</v>
      </c>
      <c r="F654" s="0" t="n">
        <v>10.05254951</v>
      </c>
      <c r="G654" s="0" t="n">
        <v>6.762123524</v>
      </c>
      <c r="H654" s="0" t="n">
        <v>1.418110434</v>
      </c>
    </row>
    <row r="655" customFormat="false" ht="15" hidden="false" customHeight="false" outlineLevel="0" collapsed="false">
      <c r="A655" s="0" t="s">
        <v>1851</v>
      </c>
      <c r="B655" s="0" t="s">
        <v>1008</v>
      </c>
      <c r="C655" s="0" t="s">
        <v>535</v>
      </c>
      <c r="D655" s="0" t="n">
        <v>0.2341592108</v>
      </c>
      <c r="E655" s="0" t="n">
        <v>0.2418611849</v>
      </c>
      <c r="F655" s="0" t="n">
        <v>0.2254664295</v>
      </c>
      <c r="G655" s="0" t="n">
        <v>0.131174515</v>
      </c>
      <c r="H655" s="0" t="n">
        <v>0</v>
      </c>
    </row>
    <row r="656" customFormat="false" ht="15" hidden="false" customHeight="false" outlineLevel="0" collapsed="false">
      <c r="A656" s="0" t="s">
        <v>1852</v>
      </c>
      <c r="B656" s="0" t="s">
        <v>874</v>
      </c>
      <c r="C656" s="0" t="s">
        <v>535</v>
      </c>
      <c r="D656" s="0" t="n">
        <v>36.52744908</v>
      </c>
      <c r="E656" s="0" t="n">
        <v>40.93083463</v>
      </c>
      <c r="F656" s="0" t="n">
        <v>51.17762276</v>
      </c>
      <c r="G656" s="0" t="n">
        <v>69.00123396</v>
      </c>
      <c r="H656" s="0" t="n">
        <v>83.72957603</v>
      </c>
    </row>
    <row r="657" customFormat="false" ht="15" hidden="false" customHeight="false" outlineLevel="0" collapsed="false">
      <c r="A657" s="0" t="s">
        <v>1853</v>
      </c>
      <c r="B657" s="0" t="s">
        <v>1032</v>
      </c>
      <c r="C657" s="0" t="s">
        <v>535</v>
      </c>
      <c r="D657" s="0" t="n">
        <v>0.3921496283</v>
      </c>
      <c r="E657" s="0" t="n">
        <v>0.395899245</v>
      </c>
      <c r="F657" s="0" t="n">
        <v>0.4246208008</v>
      </c>
      <c r="G657" s="0" t="n">
        <v>0.5127849444</v>
      </c>
      <c r="H657" s="0" t="n">
        <v>0.6236408913</v>
      </c>
    </row>
    <row r="658" customFormat="false" ht="15" hidden="false" customHeight="false" outlineLevel="0" collapsed="false">
      <c r="A658" s="0" t="s">
        <v>1854</v>
      </c>
      <c r="B658" s="0" t="s">
        <v>840</v>
      </c>
      <c r="C658" s="0" t="s">
        <v>535</v>
      </c>
      <c r="D658" s="0" t="n">
        <v>7.55906358</v>
      </c>
      <c r="E658" s="0" t="n">
        <v>7.364515693</v>
      </c>
      <c r="F658" s="0" t="n">
        <v>6.284846287</v>
      </c>
      <c r="G658" s="0" t="n">
        <v>3.106208819</v>
      </c>
      <c r="H658" s="0" t="n">
        <v>0</v>
      </c>
    </row>
    <row r="659" customFormat="false" ht="15" hidden="false" customHeight="false" outlineLevel="0" collapsed="false">
      <c r="A659" s="0" t="s">
        <v>1855</v>
      </c>
      <c r="B659" s="0" t="s">
        <v>1034</v>
      </c>
      <c r="C659" s="0" t="s">
        <v>535</v>
      </c>
      <c r="D659" s="0" t="n">
        <v>0.7046681617</v>
      </c>
      <c r="E659" s="0" t="n">
        <v>0.7100146853</v>
      </c>
      <c r="F659" s="0" t="n">
        <v>0.7451790739</v>
      </c>
      <c r="G659" s="0" t="n">
        <v>0.9313735317</v>
      </c>
      <c r="H659" s="0" t="n">
        <v>1.224034809</v>
      </c>
    </row>
    <row r="660" customFormat="false" ht="15" hidden="false" customHeight="false" outlineLevel="0" collapsed="false">
      <c r="A660" s="0" t="s">
        <v>1856</v>
      </c>
      <c r="B660" s="0" t="s">
        <v>856</v>
      </c>
      <c r="C660" s="0" t="s">
        <v>535</v>
      </c>
      <c r="D660" s="0" t="n">
        <v>2.049195528</v>
      </c>
      <c r="E660" s="0" t="n">
        <v>2.009599803</v>
      </c>
      <c r="F660" s="0" t="n">
        <v>1.770718512</v>
      </c>
      <c r="G660" s="0" t="n">
        <v>0.9308233333</v>
      </c>
      <c r="H660" s="0" t="n">
        <v>0</v>
      </c>
    </row>
    <row r="661" customFormat="false" ht="15" hidden="false" customHeight="false" outlineLevel="0" collapsed="false">
      <c r="A661" s="0" t="s">
        <v>1857</v>
      </c>
      <c r="B661" s="0" t="s">
        <v>854</v>
      </c>
      <c r="C661" s="0" t="s">
        <v>535</v>
      </c>
      <c r="D661" s="0" t="n">
        <v>0.4602704099</v>
      </c>
      <c r="E661" s="0" t="n">
        <v>0.361119682</v>
      </c>
      <c r="F661" s="0" t="n">
        <v>0</v>
      </c>
      <c r="G661" s="0" t="n">
        <v>0</v>
      </c>
      <c r="H661" s="0" t="n">
        <v>0</v>
      </c>
    </row>
    <row r="662" customFormat="false" ht="15" hidden="false" customHeight="false" outlineLevel="0" collapsed="false">
      <c r="A662" s="0" t="s">
        <v>1858</v>
      </c>
      <c r="B662" s="0" t="s">
        <v>894</v>
      </c>
      <c r="C662" s="0" t="s">
        <v>535</v>
      </c>
      <c r="D662" s="0" t="n">
        <v>1.69113093</v>
      </c>
      <c r="E662" s="0" t="n">
        <v>1.720262195</v>
      </c>
      <c r="F662" s="0" t="n">
        <v>1.888470306</v>
      </c>
      <c r="G662" s="0" t="n">
        <v>2.218304801</v>
      </c>
      <c r="H662" s="0" t="n">
        <v>2.435486911</v>
      </c>
    </row>
    <row r="663" customFormat="false" ht="15" hidden="false" customHeight="false" outlineLevel="0" collapsed="false">
      <c r="A663" s="0" t="s">
        <v>1859</v>
      </c>
      <c r="B663" s="0" t="s">
        <v>882</v>
      </c>
      <c r="C663" s="0" t="s">
        <v>535</v>
      </c>
      <c r="D663" s="0" t="n">
        <v>4.341520807</v>
      </c>
      <c r="E663" s="0" t="n">
        <v>4.483220005</v>
      </c>
      <c r="F663" s="0" t="n">
        <v>4.899328048</v>
      </c>
      <c r="G663" s="0" t="n">
        <v>5.502066861</v>
      </c>
      <c r="H663" s="0" t="n">
        <v>5.915695972</v>
      </c>
    </row>
    <row r="664" customFormat="false" ht="15" hidden="false" customHeight="false" outlineLevel="0" collapsed="false">
      <c r="A664" s="0" t="s">
        <v>1860</v>
      </c>
      <c r="B664" s="0" t="s">
        <v>808</v>
      </c>
      <c r="C664" s="0" t="s">
        <v>535</v>
      </c>
      <c r="D664" s="0" t="n">
        <v>34.0213647</v>
      </c>
      <c r="E664" s="0" t="n">
        <v>34.4305516</v>
      </c>
      <c r="F664" s="0" t="n">
        <v>36.16394914</v>
      </c>
      <c r="G664" s="0" t="n">
        <v>36.55857013</v>
      </c>
      <c r="H664" s="0" t="n">
        <v>31.43209762</v>
      </c>
    </row>
    <row r="665" customFormat="false" ht="15" hidden="false" customHeight="false" outlineLevel="0" collapsed="false">
      <c r="A665" s="0" t="s">
        <v>1861</v>
      </c>
      <c r="B665" s="0" t="s">
        <v>966</v>
      </c>
      <c r="C665" s="0" t="s">
        <v>535</v>
      </c>
      <c r="D665" s="0" t="n">
        <v>3.048906523</v>
      </c>
      <c r="E665" s="0" t="n">
        <v>3.009116191</v>
      </c>
      <c r="F665" s="0" t="n">
        <v>2.766508306</v>
      </c>
      <c r="G665" s="0" t="n">
        <v>2.320945764</v>
      </c>
      <c r="H665" s="0" t="n">
        <v>1.505606529</v>
      </c>
    </row>
    <row r="666" customFormat="false" ht="15" hidden="false" customHeight="false" outlineLevel="0" collapsed="false">
      <c r="A666" s="0" t="s">
        <v>1862</v>
      </c>
      <c r="B666" s="0" t="s">
        <v>960</v>
      </c>
      <c r="C666" s="0" t="s">
        <v>535</v>
      </c>
      <c r="D666" s="0" t="n">
        <v>1.616623931</v>
      </c>
      <c r="E666" s="0" t="n">
        <v>1.58986769</v>
      </c>
      <c r="F666" s="0" t="n">
        <v>1.489429358</v>
      </c>
      <c r="G666" s="0" t="n">
        <v>1.134780612</v>
      </c>
      <c r="H666" s="0" t="n">
        <v>0.3386419583</v>
      </c>
    </row>
    <row r="667" customFormat="false" ht="15" hidden="false" customHeight="false" outlineLevel="0" collapsed="false">
      <c r="A667" s="0" t="s">
        <v>1863</v>
      </c>
      <c r="B667" s="0" t="s">
        <v>1002</v>
      </c>
      <c r="C667" s="0" t="s">
        <v>535</v>
      </c>
      <c r="D667" s="0" t="n">
        <v>1.435188314</v>
      </c>
      <c r="E667" s="0" t="n">
        <v>1.481492204</v>
      </c>
      <c r="F667" s="0" t="n">
        <v>1.614485859</v>
      </c>
      <c r="G667" s="0" t="n">
        <v>1.922539727</v>
      </c>
      <c r="H667" s="0" t="n">
        <v>2.238471844</v>
      </c>
    </row>
    <row r="668" customFormat="false" ht="15" hidden="false" customHeight="false" outlineLevel="0" collapsed="false">
      <c r="A668" s="0" t="s">
        <v>1864</v>
      </c>
      <c r="B668" s="0" t="s">
        <v>720</v>
      </c>
      <c r="C668" s="0" t="s">
        <v>535</v>
      </c>
      <c r="D668" s="0" t="n">
        <v>265.3405858</v>
      </c>
      <c r="E668" s="0" t="n">
        <v>265.4506532</v>
      </c>
      <c r="F668" s="0" t="n">
        <v>280.5545916</v>
      </c>
      <c r="G668" s="0" t="n">
        <v>333.0275574</v>
      </c>
      <c r="H668" s="0" t="n">
        <v>403.910537</v>
      </c>
    </row>
    <row r="669" customFormat="false" ht="15" hidden="false" customHeight="false" outlineLevel="0" collapsed="false">
      <c r="A669" s="0" t="s">
        <v>1865</v>
      </c>
      <c r="B669" s="0" t="s">
        <v>970</v>
      </c>
      <c r="C669" s="0" t="s">
        <v>535</v>
      </c>
      <c r="D669" s="0" t="n">
        <v>3.42744473</v>
      </c>
      <c r="E669" s="0" t="n">
        <v>3.358386706</v>
      </c>
      <c r="F669" s="0" t="n">
        <v>2.894072034</v>
      </c>
      <c r="G669" s="0" t="n">
        <v>1.516573802</v>
      </c>
      <c r="H669" s="0" t="n">
        <v>0</v>
      </c>
    </row>
    <row r="670" customFormat="false" ht="15" hidden="false" customHeight="false" outlineLevel="0" collapsed="false">
      <c r="A670" s="0" t="s">
        <v>1866</v>
      </c>
      <c r="B670" s="0" t="s">
        <v>918</v>
      </c>
      <c r="C670" s="0" t="s">
        <v>535</v>
      </c>
      <c r="D670" s="0" t="n">
        <v>4.536881489</v>
      </c>
      <c r="E670" s="0" t="n">
        <v>4.703040673</v>
      </c>
      <c r="F670" s="0" t="n">
        <v>5.775503172</v>
      </c>
      <c r="G670" s="0" t="n">
        <v>8.417412049</v>
      </c>
      <c r="H670" s="0" t="n">
        <v>11.54545636</v>
      </c>
    </row>
    <row r="671" customFormat="false" ht="15" hidden="false" customHeight="false" outlineLevel="0" collapsed="false">
      <c r="A671" s="0" t="s">
        <v>1867</v>
      </c>
      <c r="B671" s="0" t="s">
        <v>936</v>
      </c>
      <c r="C671" s="0" t="s">
        <v>535</v>
      </c>
      <c r="D671" s="0" t="n">
        <v>2.523395476</v>
      </c>
      <c r="E671" s="0" t="n">
        <v>2.565588513</v>
      </c>
      <c r="F671" s="0" t="n">
        <v>2.730824011</v>
      </c>
      <c r="G671" s="0" t="n">
        <v>2.796215539</v>
      </c>
      <c r="H671" s="0" t="n">
        <v>2.596573252</v>
      </c>
    </row>
    <row r="672" customFormat="false" ht="15" hidden="false" customHeight="false" outlineLevel="0" collapsed="false">
      <c r="A672" s="0" t="s">
        <v>1868</v>
      </c>
      <c r="B672" s="0" t="s">
        <v>862</v>
      </c>
      <c r="C672" s="0" t="s">
        <v>535</v>
      </c>
      <c r="D672" s="0" t="n">
        <v>11.34418984</v>
      </c>
      <c r="E672" s="0" t="n">
        <v>11.04906958</v>
      </c>
      <c r="F672" s="0" t="n">
        <v>12.32351059</v>
      </c>
      <c r="G672" s="0" t="n">
        <v>15.82114513</v>
      </c>
      <c r="H672" s="0" t="n">
        <v>20.66826421</v>
      </c>
    </row>
    <row r="673" customFormat="false" ht="15" hidden="false" customHeight="false" outlineLevel="0" collapsed="false">
      <c r="A673" s="0" t="s">
        <v>1869</v>
      </c>
      <c r="B673" s="0" t="s">
        <v>996</v>
      </c>
      <c r="C673" s="0" t="s">
        <v>535</v>
      </c>
      <c r="D673" s="0" t="n">
        <v>0.7949799236</v>
      </c>
      <c r="E673" s="0" t="n">
        <v>0.7422421114</v>
      </c>
      <c r="F673" s="0" t="n">
        <v>0.4500941206</v>
      </c>
      <c r="G673" s="0" t="n">
        <v>0</v>
      </c>
      <c r="H673" s="0" t="n">
        <v>0</v>
      </c>
    </row>
    <row r="674" customFormat="false" ht="15" hidden="false" customHeight="false" outlineLevel="0" collapsed="false">
      <c r="A674" s="0" t="s">
        <v>1870</v>
      </c>
      <c r="B674" s="0" t="s">
        <v>928</v>
      </c>
      <c r="C674" s="0" t="s">
        <v>535</v>
      </c>
      <c r="D674" s="0" t="n">
        <v>9.114992438</v>
      </c>
      <c r="E674" s="0" t="n">
        <v>9.568772758</v>
      </c>
      <c r="F674" s="0" t="n">
        <v>11.43716469</v>
      </c>
      <c r="G674" s="0" t="n">
        <v>15.55136747</v>
      </c>
      <c r="H674" s="0" t="n">
        <v>20.32573648</v>
      </c>
    </row>
    <row r="675" customFormat="false" ht="15" hidden="false" customHeight="false" outlineLevel="0" collapsed="false">
      <c r="A675" s="0" t="s">
        <v>1871</v>
      </c>
      <c r="B675" s="0" t="s">
        <v>954</v>
      </c>
      <c r="C675" s="0" t="s">
        <v>535</v>
      </c>
      <c r="D675" s="0" t="n">
        <v>2.054222473</v>
      </c>
      <c r="E675" s="0" t="n">
        <v>1.900808246</v>
      </c>
      <c r="F675" s="0" t="n">
        <v>2.371826676</v>
      </c>
      <c r="G675" s="0" t="n">
        <v>3.326857679</v>
      </c>
      <c r="H675" s="0" t="n">
        <v>4.047606093</v>
      </c>
    </row>
    <row r="676" customFormat="false" ht="15" hidden="false" customHeight="false" outlineLevel="0" collapsed="false">
      <c r="A676" s="0" t="s">
        <v>1872</v>
      </c>
      <c r="B676" s="0" t="s">
        <v>988</v>
      </c>
      <c r="C676" s="0" t="s">
        <v>535</v>
      </c>
      <c r="D676" s="0" t="n">
        <v>1.616204103</v>
      </c>
      <c r="E676" s="0" t="n">
        <v>1.666249604</v>
      </c>
      <c r="F676" s="0" t="n">
        <v>1.966100198</v>
      </c>
      <c r="G676" s="0" t="n">
        <v>2.70711144</v>
      </c>
      <c r="H676" s="0" t="n">
        <v>3.567855936</v>
      </c>
    </row>
    <row r="677" customFormat="false" ht="15" hidden="false" customHeight="false" outlineLevel="0" collapsed="false">
      <c r="A677" s="0" t="s">
        <v>1873</v>
      </c>
      <c r="B677" s="0" t="s">
        <v>974</v>
      </c>
      <c r="C677" s="0" t="s">
        <v>535</v>
      </c>
      <c r="D677" s="0" t="n">
        <v>2.808185772</v>
      </c>
      <c r="E677" s="0" t="n">
        <v>2.865378676</v>
      </c>
      <c r="F677" s="0" t="n">
        <v>3.206794023</v>
      </c>
      <c r="G677" s="0" t="n">
        <v>3.961181232</v>
      </c>
      <c r="H677" s="0" t="n">
        <v>4.796683179</v>
      </c>
    </row>
    <row r="678" customFormat="false" ht="15" hidden="false" customHeight="false" outlineLevel="0" collapsed="false">
      <c r="A678" s="0" t="s">
        <v>1874</v>
      </c>
      <c r="B678" s="0" t="s">
        <v>992</v>
      </c>
      <c r="C678" s="0" t="s">
        <v>535</v>
      </c>
      <c r="D678" s="0" t="n">
        <v>0.0846691116</v>
      </c>
      <c r="E678" s="0" t="n">
        <v>0.08577288113</v>
      </c>
      <c r="F678" s="0" t="n">
        <v>0.09361696118</v>
      </c>
      <c r="G678" s="0" t="n">
        <v>0.123128967</v>
      </c>
      <c r="H678" s="0" t="n">
        <v>0.1679339568</v>
      </c>
    </row>
    <row r="679" customFormat="false" ht="15" hidden="false" customHeight="false" outlineLevel="0" collapsed="false">
      <c r="A679" s="0" t="s">
        <v>1875</v>
      </c>
      <c r="B679" s="0" t="s">
        <v>760</v>
      </c>
      <c r="C679" s="0" t="s">
        <v>535</v>
      </c>
      <c r="D679" s="0" t="n">
        <v>159.9496029</v>
      </c>
      <c r="E679" s="0" t="n">
        <v>164.98293</v>
      </c>
      <c r="F679" s="0" t="n">
        <v>187.7450124</v>
      </c>
      <c r="G679" s="0" t="n">
        <v>226.7374911</v>
      </c>
      <c r="H679" s="0" t="n">
        <v>259.6153338</v>
      </c>
    </row>
    <row r="680" customFormat="false" ht="15" hidden="false" customHeight="false" outlineLevel="0" collapsed="false">
      <c r="A680" s="0" t="s">
        <v>1876</v>
      </c>
      <c r="B680" s="0" t="s">
        <v>982</v>
      </c>
      <c r="C680" s="0" t="s">
        <v>535</v>
      </c>
      <c r="D680" s="0" t="n">
        <v>0.09556461109</v>
      </c>
      <c r="E680" s="0" t="n">
        <v>0.09426925389</v>
      </c>
      <c r="F680" s="0" t="n">
        <v>0.08728086468</v>
      </c>
      <c r="G680" s="0" t="n">
        <v>0.06931253559</v>
      </c>
      <c r="H680" s="0" t="n">
        <v>0.0395054624</v>
      </c>
    </row>
    <row r="681" customFormat="false" ht="15" hidden="false" customHeight="false" outlineLevel="0" collapsed="false">
      <c r="A681" s="0" t="s">
        <v>1877</v>
      </c>
      <c r="B681" s="0" t="s">
        <v>940</v>
      </c>
      <c r="C681" s="0" t="s">
        <v>535</v>
      </c>
      <c r="D681" s="0" t="n">
        <v>1.507197301</v>
      </c>
      <c r="E681" s="0" t="n">
        <v>1.582814926</v>
      </c>
      <c r="F681" s="0" t="n">
        <v>1.995638123</v>
      </c>
      <c r="G681" s="0" t="n">
        <v>2.912887355</v>
      </c>
      <c r="H681" s="0" t="n">
        <v>3.932345617</v>
      </c>
    </row>
    <row r="682" customFormat="false" ht="15" hidden="false" customHeight="false" outlineLevel="0" collapsed="false">
      <c r="A682" s="0" t="s">
        <v>1878</v>
      </c>
      <c r="B682" s="0" t="s">
        <v>792</v>
      </c>
      <c r="C682" s="0" t="s">
        <v>535</v>
      </c>
      <c r="D682" s="0" t="n">
        <v>28.94210596</v>
      </c>
      <c r="E682" s="0" t="n">
        <v>28.95582443</v>
      </c>
      <c r="F682" s="0" t="n">
        <v>28.96127737</v>
      </c>
      <c r="G682" s="0" t="n">
        <v>26.15441837</v>
      </c>
      <c r="H682" s="0" t="n">
        <v>15.81332786</v>
      </c>
    </row>
    <row r="683" customFormat="false" ht="15" hidden="false" customHeight="false" outlineLevel="0" collapsed="false">
      <c r="A683" s="0" t="s">
        <v>1879</v>
      </c>
      <c r="B683" s="0" t="s">
        <v>948</v>
      </c>
      <c r="C683" s="0" t="s">
        <v>535</v>
      </c>
      <c r="D683" s="0" t="n">
        <v>1.765634943</v>
      </c>
      <c r="E683" s="0" t="n">
        <v>1.827825438</v>
      </c>
      <c r="F683" s="0" t="n">
        <v>2.094455042</v>
      </c>
      <c r="G683" s="0" t="n">
        <v>2.778605536</v>
      </c>
      <c r="H683" s="0" t="n">
        <v>3.641936818</v>
      </c>
    </row>
    <row r="684" customFormat="false" ht="15" hidden="false" customHeight="false" outlineLevel="0" collapsed="false">
      <c r="A684" s="0" t="s">
        <v>1880</v>
      </c>
      <c r="B684" s="0" t="s">
        <v>730</v>
      </c>
      <c r="C684" s="0" t="s">
        <v>535</v>
      </c>
      <c r="D684" s="0" t="n">
        <v>55.19651628</v>
      </c>
      <c r="E684" s="0" t="n">
        <v>53.468711</v>
      </c>
      <c r="F684" s="0" t="n">
        <v>43.24480341</v>
      </c>
      <c r="G684" s="0" t="n">
        <v>19.72162478</v>
      </c>
      <c r="H684" s="0" t="n">
        <v>0</v>
      </c>
    </row>
    <row r="685" customFormat="false" ht="15" hidden="false" customHeight="false" outlineLevel="0" collapsed="false">
      <c r="A685" s="0" t="s">
        <v>1881</v>
      </c>
      <c r="B685" s="0" t="s">
        <v>762</v>
      </c>
      <c r="C685" s="0" t="s">
        <v>535</v>
      </c>
      <c r="D685" s="0" t="n">
        <v>1.525311598</v>
      </c>
      <c r="E685" s="0" t="n">
        <v>1.352128379</v>
      </c>
      <c r="F685" s="0" t="n">
        <v>0.4686374025</v>
      </c>
      <c r="G685" s="0" t="n">
        <v>0</v>
      </c>
      <c r="H685" s="0" t="n">
        <v>0</v>
      </c>
    </row>
    <row r="686" customFormat="false" ht="15" hidden="false" customHeight="false" outlineLevel="0" collapsed="false">
      <c r="A686" s="0" t="s">
        <v>1882</v>
      </c>
      <c r="B686" s="0" t="s">
        <v>892</v>
      </c>
      <c r="C686" s="0" t="s">
        <v>535</v>
      </c>
      <c r="D686" s="0" t="n">
        <v>0</v>
      </c>
      <c r="E686" s="0" t="n">
        <v>0</v>
      </c>
      <c r="F686" s="0" t="n">
        <v>0</v>
      </c>
      <c r="G686" s="0" t="n">
        <v>0</v>
      </c>
      <c r="H686" s="0" t="n">
        <v>0</v>
      </c>
    </row>
    <row r="687" customFormat="false" ht="15" hidden="false" customHeight="false" outlineLevel="0" collapsed="false">
      <c r="A687" s="0" t="s">
        <v>1883</v>
      </c>
      <c r="B687" s="0" t="s">
        <v>1064</v>
      </c>
      <c r="C687" s="0" t="s">
        <v>535</v>
      </c>
      <c r="D687" s="0" t="n">
        <v>0.04033413153</v>
      </c>
      <c r="E687" s="0" t="n">
        <v>0.03990390547</v>
      </c>
      <c r="F687" s="0" t="n">
        <v>0.03773354499</v>
      </c>
      <c r="G687" s="0" t="n">
        <v>0.03272280374</v>
      </c>
      <c r="H687" s="0" t="n">
        <v>0.02329689723</v>
      </c>
    </row>
    <row r="688" customFormat="false" ht="15" hidden="false" customHeight="false" outlineLevel="0" collapsed="false">
      <c r="A688" s="0" t="s">
        <v>1884</v>
      </c>
      <c r="B688" s="0" t="s">
        <v>796</v>
      </c>
      <c r="C688" s="0" t="s">
        <v>535</v>
      </c>
      <c r="D688" s="0" t="n">
        <v>5.060051037</v>
      </c>
      <c r="E688" s="0" t="n">
        <v>4.826555032</v>
      </c>
      <c r="F688" s="0" t="n">
        <v>3.962717324</v>
      </c>
      <c r="G688" s="0" t="n">
        <v>1.629398741</v>
      </c>
      <c r="H688" s="0" t="n">
        <v>0</v>
      </c>
    </row>
    <row r="689" customFormat="false" ht="15" hidden="false" customHeight="false" outlineLevel="0" collapsed="false">
      <c r="A689" s="0" t="s">
        <v>1885</v>
      </c>
      <c r="B689" s="0" t="s">
        <v>832</v>
      </c>
      <c r="C689" s="0" t="s">
        <v>535</v>
      </c>
      <c r="D689" s="0" t="n">
        <v>50.57026107</v>
      </c>
      <c r="E689" s="0" t="n">
        <v>51.30313841</v>
      </c>
      <c r="F689" s="0" t="n">
        <v>56.94182931</v>
      </c>
      <c r="G689" s="0" t="n">
        <v>64.83587039</v>
      </c>
      <c r="H689" s="0" t="n">
        <v>69.68203503</v>
      </c>
    </row>
    <row r="690" customFormat="false" ht="15" hidden="false" customHeight="false" outlineLevel="0" collapsed="false">
      <c r="A690" s="0" t="s">
        <v>1886</v>
      </c>
      <c r="B690" s="0" t="s">
        <v>772</v>
      </c>
      <c r="C690" s="0" t="s">
        <v>535</v>
      </c>
      <c r="D690" s="0" t="n">
        <v>66.19202345</v>
      </c>
      <c r="E690" s="0" t="n">
        <v>64.09585277</v>
      </c>
      <c r="F690" s="0" t="n">
        <v>53.14508965</v>
      </c>
      <c r="G690" s="0" t="n">
        <v>18.11902529</v>
      </c>
      <c r="H690" s="0" t="n">
        <v>0</v>
      </c>
    </row>
    <row r="691" customFormat="false" ht="15" hidden="false" customHeight="false" outlineLevel="0" collapsed="false">
      <c r="A691" s="0" t="s">
        <v>1887</v>
      </c>
      <c r="B691" s="0" t="s">
        <v>848</v>
      </c>
      <c r="C691" s="0" t="s">
        <v>535</v>
      </c>
      <c r="D691" s="0" t="n">
        <v>4.31789575</v>
      </c>
      <c r="E691" s="0" t="n">
        <v>4.44984258</v>
      </c>
      <c r="F691" s="0" t="n">
        <v>5.023948929</v>
      </c>
      <c r="G691" s="0" t="n">
        <v>5.833421131</v>
      </c>
      <c r="H691" s="0" t="n">
        <v>6.299960577</v>
      </c>
    </row>
    <row r="692" customFormat="false" ht="15" hidden="false" customHeight="false" outlineLevel="0" collapsed="false">
      <c r="A692" s="0" t="s">
        <v>1888</v>
      </c>
      <c r="B692" s="0" t="s">
        <v>784</v>
      </c>
      <c r="C692" s="0" t="s">
        <v>535</v>
      </c>
      <c r="D692" s="0" t="n">
        <v>22.07280113</v>
      </c>
      <c r="E692" s="0" t="n">
        <v>21.34639765</v>
      </c>
      <c r="F692" s="0" t="n">
        <v>16.65863055</v>
      </c>
      <c r="G692" s="0" t="n">
        <v>3.653252145</v>
      </c>
      <c r="H692" s="0" t="n">
        <v>0</v>
      </c>
    </row>
    <row r="693" customFormat="false" ht="15" hidden="false" customHeight="false" outlineLevel="0" collapsed="false">
      <c r="A693" s="0" t="s">
        <v>1889</v>
      </c>
      <c r="B693" s="0" t="s">
        <v>754</v>
      </c>
      <c r="C693" s="0" t="s">
        <v>535</v>
      </c>
      <c r="D693" s="0" t="n">
        <v>94.72186092</v>
      </c>
      <c r="E693" s="0" t="n">
        <v>97.14201314</v>
      </c>
      <c r="F693" s="0" t="n">
        <v>108.9803606</v>
      </c>
      <c r="G693" s="0" t="n">
        <v>136.8654827</v>
      </c>
      <c r="H693" s="0" t="n">
        <v>169.2345274</v>
      </c>
    </row>
    <row r="694" customFormat="false" ht="15" hidden="false" customHeight="false" outlineLevel="0" collapsed="false">
      <c r="A694" s="0" t="s">
        <v>1890</v>
      </c>
      <c r="B694" s="0" t="s">
        <v>1062</v>
      </c>
      <c r="C694" s="0" t="s">
        <v>535</v>
      </c>
      <c r="D694" s="0" t="n">
        <v>0.08143866764</v>
      </c>
      <c r="E694" s="0" t="n">
        <v>0.08536115886</v>
      </c>
      <c r="F694" s="0" t="n">
        <v>0.09621739822</v>
      </c>
      <c r="G694" s="0" t="n">
        <v>0.1145854882</v>
      </c>
      <c r="H694" s="0" t="n">
        <v>0.1254019971</v>
      </c>
    </row>
    <row r="695" customFormat="false" ht="15" hidden="false" customHeight="false" outlineLevel="0" collapsed="false">
      <c r="A695" s="0" t="s">
        <v>1891</v>
      </c>
      <c r="B695" s="0" t="s">
        <v>912</v>
      </c>
      <c r="C695" s="0" t="s">
        <v>535</v>
      </c>
      <c r="D695" s="0" t="n">
        <v>3.620160795</v>
      </c>
      <c r="E695" s="0" t="n">
        <v>3.766260917</v>
      </c>
      <c r="F695" s="0" t="n">
        <v>4.286747349</v>
      </c>
      <c r="G695" s="0" t="n">
        <v>5.62245807</v>
      </c>
      <c r="H695" s="0" t="n">
        <v>7.348073396</v>
      </c>
    </row>
    <row r="696" customFormat="false" ht="15" hidden="false" customHeight="false" outlineLevel="0" collapsed="false">
      <c r="A696" s="0" t="s">
        <v>1892</v>
      </c>
      <c r="B696" s="0" t="s">
        <v>732</v>
      </c>
      <c r="C696" s="0" t="s">
        <v>535</v>
      </c>
      <c r="D696" s="0" t="n">
        <v>125.5659009</v>
      </c>
      <c r="E696" s="0" t="n">
        <v>124.8555433</v>
      </c>
      <c r="F696" s="0" t="n">
        <v>117.545538</v>
      </c>
      <c r="G696" s="0" t="n">
        <v>86.75230818</v>
      </c>
      <c r="H696" s="0" t="n">
        <v>42.6033058</v>
      </c>
    </row>
    <row r="697" customFormat="false" ht="15" hidden="false" customHeight="false" outlineLevel="0" collapsed="false">
      <c r="A697" s="0" t="s">
        <v>1893</v>
      </c>
      <c r="B697" s="0" t="s">
        <v>834</v>
      </c>
      <c r="C697" s="0" t="s">
        <v>535</v>
      </c>
      <c r="D697" s="0" t="n">
        <v>0.4937952005</v>
      </c>
      <c r="E697" s="0" t="n">
        <v>0.5929935581</v>
      </c>
      <c r="F697" s="0" t="n">
        <v>1.283336243</v>
      </c>
      <c r="G697" s="0" t="n">
        <v>2.915956962</v>
      </c>
      <c r="H697" s="0" t="n">
        <v>3.64629392</v>
      </c>
    </row>
    <row r="698" customFormat="false" ht="15" hidden="false" customHeight="false" outlineLevel="0" collapsed="false">
      <c r="A698" s="0" t="s">
        <v>1894</v>
      </c>
      <c r="B698" s="0" t="s">
        <v>786</v>
      </c>
      <c r="C698" s="0" t="s">
        <v>535</v>
      </c>
      <c r="D698" s="0" t="n">
        <v>10.14710626</v>
      </c>
      <c r="E698" s="0" t="n">
        <v>9.20197136</v>
      </c>
      <c r="F698" s="0" t="n">
        <v>4.097624786</v>
      </c>
      <c r="G698" s="0" t="n">
        <v>0</v>
      </c>
      <c r="H698" s="0" t="n">
        <v>0</v>
      </c>
    </row>
    <row r="699" customFormat="false" ht="15" hidden="false" customHeight="false" outlineLevel="0" collapsed="false">
      <c r="A699" s="0" t="s">
        <v>1895</v>
      </c>
      <c r="B699" s="0" t="s">
        <v>888</v>
      </c>
      <c r="C699" s="0" t="s">
        <v>535</v>
      </c>
      <c r="D699" s="0" t="n">
        <v>0</v>
      </c>
      <c r="E699" s="0" t="n">
        <v>0</v>
      </c>
      <c r="F699" s="0" t="n">
        <v>0</v>
      </c>
      <c r="G699" s="0" t="n">
        <v>0</v>
      </c>
      <c r="H699" s="0" t="n">
        <v>0</v>
      </c>
    </row>
    <row r="700" customFormat="false" ht="15" hidden="false" customHeight="false" outlineLevel="0" collapsed="false">
      <c r="A700" s="0" t="s">
        <v>1896</v>
      </c>
      <c r="B700" s="0" t="s">
        <v>816</v>
      </c>
      <c r="C700" s="0" t="s">
        <v>535</v>
      </c>
      <c r="D700" s="0" t="n">
        <v>55.02972203</v>
      </c>
      <c r="E700" s="0" t="n">
        <v>55.49219227</v>
      </c>
      <c r="F700" s="0" t="n">
        <v>38.47380575</v>
      </c>
      <c r="G700" s="0" t="n">
        <v>29.00759328</v>
      </c>
      <c r="H700" s="0" t="n">
        <v>27.84377795</v>
      </c>
    </row>
    <row r="701" customFormat="false" ht="15" hidden="false" customHeight="false" outlineLevel="0" collapsed="false">
      <c r="A701" s="0" t="s">
        <v>1897</v>
      </c>
      <c r="B701" s="0" t="s">
        <v>776</v>
      </c>
      <c r="C701" s="0" t="s">
        <v>535</v>
      </c>
      <c r="D701" s="0" t="n">
        <v>16.2325351</v>
      </c>
      <c r="E701" s="0" t="n">
        <v>15.56827863</v>
      </c>
      <c r="F701" s="0" t="n">
        <v>12.4358304</v>
      </c>
      <c r="G701" s="0" t="n">
        <v>6.285923715</v>
      </c>
      <c r="H701" s="0" t="n">
        <v>0</v>
      </c>
    </row>
    <row r="702" customFormat="false" ht="15" hidden="false" customHeight="false" outlineLevel="0" collapsed="false">
      <c r="A702" s="0" t="s">
        <v>1898</v>
      </c>
      <c r="B702" s="0" t="s">
        <v>714</v>
      </c>
      <c r="C702" s="0" t="s">
        <v>535</v>
      </c>
      <c r="D702" s="0" t="n">
        <v>768.6339108</v>
      </c>
      <c r="E702" s="0" t="n">
        <v>771.1803688</v>
      </c>
      <c r="F702" s="0" t="n">
        <v>797.2793407</v>
      </c>
      <c r="G702" s="0" t="n">
        <v>925.2363483</v>
      </c>
      <c r="H702" s="0" t="n">
        <v>1118.771668</v>
      </c>
    </row>
    <row r="703" customFormat="false" ht="15" hidden="false" customHeight="false" outlineLevel="0" collapsed="false">
      <c r="A703" s="0" t="s">
        <v>1899</v>
      </c>
      <c r="B703" s="0" t="s">
        <v>958</v>
      </c>
      <c r="C703" s="0" t="s">
        <v>535</v>
      </c>
      <c r="D703" s="0" t="n">
        <v>0.5734822901</v>
      </c>
      <c r="E703" s="0" t="n">
        <v>0.6031546287</v>
      </c>
      <c r="F703" s="0" t="n">
        <v>0.7757639987</v>
      </c>
      <c r="G703" s="0" t="n">
        <v>1.153859198</v>
      </c>
      <c r="H703" s="0" t="n">
        <v>1.573785471</v>
      </c>
    </row>
    <row r="704" customFormat="false" ht="15" hidden="false" customHeight="false" outlineLevel="0" collapsed="false">
      <c r="A704" s="0" t="s">
        <v>1900</v>
      </c>
      <c r="B704" s="0" t="s">
        <v>728</v>
      </c>
      <c r="C704" s="0" t="s">
        <v>535</v>
      </c>
      <c r="D704" s="0" t="n">
        <v>446.4464337</v>
      </c>
      <c r="E704" s="0" t="n">
        <v>457.577779</v>
      </c>
      <c r="F704" s="0" t="n">
        <v>487.3717427</v>
      </c>
      <c r="G704" s="0" t="n">
        <v>516.942653</v>
      </c>
      <c r="H704" s="0" t="n">
        <v>517.4024623</v>
      </c>
    </row>
    <row r="705" customFormat="false" ht="15" hidden="false" customHeight="false" outlineLevel="0" collapsed="false">
      <c r="A705" s="0" t="s">
        <v>1901</v>
      </c>
      <c r="B705" s="0" t="s">
        <v>932</v>
      </c>
      <c r="C705" s="0" t="s">
        <v>535</v>
      </c>
      <c r="D705" s="0" t="n">
        <v>3.032558805</v>
      </c>
      <c r="E705" s="0" t="n">
        <v>2.797747407</v>
      </c>
      <c r="F705" s="0" t="n">
        <v>1.327482173</v>
      </c>
      <c r="G705" s="0" t="n">
        <v>0</v>
      </c>
      <c r="H705" s="0" t="n">
        <v>0</v>
      </c>
    </row>
    <row r="706" customFormat="false" ht="15" hidden="false" customHeight="false" outlineLevel="0" collapsed="false">
      <c r="A706" s="0" t="s">
        <v>1902</v>
      </c>
      <c r="B706" s="0" t="s">
        <v>910</v>
      </c>
      <c r="C706" s="0" t="s">
        <v>535</v>
      </c>
      <c r="D706" s="0" t="n">
        <v>6.161369817</v>
      </c>
      <c r="E706" s="0" t="n">
        <v>6.524734129</v>
      </c>
      <c r="F706" s="0" t="n">
        <v>7.122801674</v>
      </c>
      <c r="G706" s="0" t="n">
        <v>9.395040124</v>
      </c>
      <c r="H706" s="0" t="n">
        <v>12.81999483</v>
      </c>
    </row>
    <row r="707" customFormat="false" ht="15" hidden="false" customHeight="false" outlineLevel="0" collapsed="false">
      <c r="A707" s="0" t="s">
        <v>1903</v>
      </c>
      <c r="B707" s="0" t="s">
        <v>740</v>
      </c>
      <c r="C707" s="0" t="s">
        <v>535</v>
      </c>
      <c r="D707" s="0" t="n">
        <v>57.19113867</v>
      </c>
      <c r="E707" s="0" t="n">
        <v>58.96418388</v>
      </c>
      <c r="F707" s="0" t="n">
        <v>64.21597522</v>
      </c>
      <c r="G707" s="0" t="n">
        <v>70.03683717</v>
      </c>
      <c r="H707" s="0" t="n">
        <v>71.52535514</v>
      </c>
    </row>
    <row r="708" customFormat="false" ht="15" hidden="false" customHeight="false" outlineLevel="0" collapsed="false">
      <c r="A708" s="0" t="s">
        <v>1904</v>
      </c>
      <c r="B708" s="0" t="s">
        <v>1042</v>
      </c>
      <c r="C708" s="0" t="s">
        <v>535</v>
      </c>
      <c r="D708" s="0" t="n">
        <v>0.1019498064</v>
      </c>
      <c r="E708" s="0" t="n">
        <v>0.1018148547</v>
      </c>
      <c r="F708" s="0" t="n">
        <v>0.1029262793</v>
      </c>
      <c r="G708" s="0" t="n">
        <v>0.1059903049</v>
      </c>
      <c r="H708" s="0" t="n">
        <v>0.09338572044</v>
      </c>
    </row>
    <row r="709" customFormat="false" ht="15" hidden="false" customHeight="false" outlineLevel="0" collapsed="false">
      <c r="A709" s="0" t="s">
        <v>1905</v>
      </c>
      <c r="B709" s="0" t="s">
        <v>998</v>
      </c>
      <c r="C709" s="0" t="s">
        <v>535</v>
      </c>
      <c r="D709" s="0" t="n">
        <v>0.01618040299</v>
      </c>
      <c r="E709" s="0" t="n">
        <v>0.01646124499</v>
      </c>
      <c r="F709" s="0" t="n">
        <v>0.01823550884</v>
      </c>
      <c r="G709" s="0" t="n">
        <v>0.02196467922</v>
      </c>
      <c r="H709" s="0" t="n">
        <v>0.02354656242</v>
      </c>
    </row>
    <row r="710" customFormat="false" ht="15" hidden="false" customHeight="false" outlineLevel="0" collapsed="false">
      <c r="A710" s="0" t="s">
        <v>1906</v>
      </c>
      <c r="B710" s="0" t="s">
        <v>908</v>
      </c>
      <c r="C710" s="0" t="s">
        <v>535</v>
      </c>
      <c r="D710" s="0" t="n">
        <v>0.8309201395</v>
      </c>
      <c r="E710" s="0" t="n">
        <v>0.8447514439</v>
      </c>
      <c r="F710" s="0" t="n">
        <v>0.9089351282</v>
      </c>
      <c r="G710" s="0" t="n">
        <v>1.080323153</v>
      </c>
      <c r="H710" s="0" t="n">
        <v>1.274780282</v>
      </c>
    </row>
    <row r="711" customFormat="false" ht="15" hidden="false" customHeight="false" outlineLevel="0" collapsed="false">
      <c r="A711" s="0" t="s">
        <v>1907</v>
      </c>
      <c r="B711" s="0" t="s">
        <v>984</v>
      </c>
      <c r="C711" s="0" t="s">
        <v>535</v>
      </c>
      <c r="D711" s="0" t="n">
        <v>0.3879503911</v>
      </c>
      <c r="E711" s="0" t="n">
        <v>0.3861768266</v>
      </c>
      <c r="F711" s="0" t="n">
        <v>0.3743342037</v>
      </c>
      <c r="G711" s="0" t="n">
        <v>0.3551060693</v>
      </c>
      <c r="H711" s="0" t="n">
        <v>0.2799141809</v>
      </c>
    </row>
    <row r="712" customFormat="false" ht="15" hidden="false" customHeight="false" outlineLevel="0" collapsed="false">
      <c r="A712" s="0" t="s">
        <v>1908</v>
      </c>
      <c r="B712" s="0" t="s">
        <v>852</v>
      </c>
      <c r="C712" s="0" t="s">
        <v>535</v>
      </c>
      <c r="D712" s="0" t="n">
        <v>26.53328195</v>
      </c>
      <c r="E712" s="0" t="n">
        <v>26.84518117</v>
      </c>
      <c r="F712" s="0" t="n">
        <v>29.45250017</v>
      </c>
      <c r="G712" s="0" t="n">
        <v>35.77187233</v>
      </c>
      <c r="H712" s="0" t="n">
        <v>43.26857131</v>
      </c>
    </row>
    <row r="713" customFormat="false" ht="15" hidden="false" customHeight="false" outlineLevel="0" collapsed="false">
      <c r="A713" s="0" t="s">
        <v>1909</v>
      </c>
      <c r="B713" s="0" t="s">
        <v>1056</v>
      </c>
      <c r="C713" s="0" t="s">
        <v>535</v>
      </c>
      <c r="D713" s="0" t="n">
        <v>0.07371873742</v>
      </c>
      <c r="E713" s="0" t="n">
        <v>0.07481833101</v>
      </c>
      <c r="F713" s="0" t="n">
        <v>0.08143734146</v>
      </c>
      <c r="G713" s="0" t="n">
        <v>0.09887517485</v>
      </c>
      <c r="H713" s="0" t="n">
        <v>0.1186230341</v>
      </c>
    </row>
    <row r="714" customFormat="false" ht="15" hidden="false" customHeight="false" outlineLevel="0" collapsed="false">
      <c r="A714" s="0" t="s">
        <v>1910</v>
      </c>
      <c r="B714" s="0" t="s">
        <v>1016</v>
      </c>
      <c r="C714" s="0" t="s">
        <v>535</v>
      </c>
      <c r="D714" s="0" t="n">
        <v>0.9942956072</v>
      </c>
      <c r="E714" s="0" t="n">
        <v>0.9696030409</v>
      </c>
      <c r="F714" s="0" t="n">
        <v>0.9192985272</v>
      </c>
      <c r="G714" s="0" t="n">
        <v>0.689435555</v>
      </c>
      <c r="H714" s="0" t="n">
        <v>0.2811584195</v>
      </c>
    </row>
    <row r="715" customFormat="false" ht="15" hidden="false" customHeight="false" outlineLevel="0" collapsed="false">
      <c r="A715" s="0" t="s">
        <v>1911</v>
      </c>
      <c r="B715" s="0" t="s">
        <v>822</v>
      </c>
      <c r="C715" s="0" t="s">
        <v>535</v>
      </c>
      <c r="D715" s="0" t="n">
        <v>4.378452716</v>
      </c>
      <c r="E715" s="0" t="n">
        <v>4.078009208</v>
      </c>
      <c r="F715" s="0" t="n">
        <v>2.540899236</v>
      </c>
      <c r="G715" s="0" t="n">
        <v>0</v>
      </c>
      <c r="H715" s="0" t="n">
        <v>0</v>
      </c>
    </row>
    <row r="716" customFormat="false" ht="15" hidden="false" customHeight="false" outlineLevel="0" collapsed="false">
      <c r="A716" s="0" t="s">
        <v>1912</v>
      </c>
      <c r="B716" s="0" t="s">
        <v>870</v>
      </c>
      <c r="C716" s="0" t="s">
        <v>535</v>
      </c>
      <c r="D716" s="0" t="n">
        <v>3.21062762</v>
      </c>
      <c r="E716" s="0" t="n">
        <v>2.929564899</v>
      </c>
      <c r="F716" s="0" t="n">
        <v>1.5182714</v>
      </c>
      <c r="G716" s="0" t="n">
        <v>0</v>
      </c>
      <c r="H716" s="0" t="n">
        <v>0</v>
      </c>
    </row>
    <row r="717" customFormat="false" ht="15" hidden="false" customHeight="false" outlineLevel="0" collapsed="false">
      <c r="A717" s="0" t="s">
        <v>1913</v>
      </c>
      <c r="B717" s="0" t="s">
        <v>746</v>
      </c>
      <c r="C717" s="0" t="s">
        <v>535</v>
      </c>
      <c r="D717" s="0" t="n">
        <v>2.093643011</v>
      </c>
      <c r="E717" s="0" t="n">
        <v>1.856692439</v>
      </c>
      <c r="F717" s="0" t="n">
        <v>0.6166974982</v>
      </c>
      <c r="G717" s="0" t="n">
        <v>0</v>
      </c>
      <c r="H717" s="0" t="n">
        <v>0</v>
      </c>
    </row>
    <row r="718" customFormat="false" ht="15" hidden="false" customHeight="false" outlineLevel="0" collapsed="false">
      <c r="A718" s="0" t="s">
        <v>1914</v>
      </c>
      <c r="B718" s="0" t="s">
        <v>1010</v>
      </c>
      <c r="C718" s="0" t="s">
        <v>535</v>
      </c>
      <c r="D718" s="0" t="n">
        <v>0.0545672109</v>
      </c>
      <c r="E718" s="0" t="n">
        <v>0.05226480625</v>
      </c>
      <c r="F718" s="0" t="n">
        <v>0.03917559321</v>
      </c>
      <c r="G718" s="0" t="n">
        <v>0</v>
      </c>
      <c r="H718" s="0" t="n">
        <v>0</v>
      </c>
    </row>
    <row r="719" customFormat="false" ht="15" hidden="false" customHeight="false" outlineLevel="0" collapsed="false">
      <c r="A719" s="0" t="s">
        <v>1915</v>
      </c>
      <c r="B719" s="0" t="s">
        <v>1036</v>
      </c>
      <c r="C719" s="0" t="s">
        <v>535</v>
      </c>
      <c r="D719" s="0" t="n">
        <v>0.5316951767</v>
      </c>
      <c r="E719" s="0" t="n">
        <v>0.5453833993</v>
      </c>
      <c r="F719" s="0" t="n">
        <v>0.5398739394</v>
      </c>
      <c r="G719" s="0" t="n">
        <v>0.5257351235</v>
      </c>
      <c r="H719" s="0" t="n">
        <v>0.4989466939</v>
      </c>
    </row>
    <row r="720" customFormat="false" ht="15" hidden="false" customHeight="false" outlineLevel="0" collapsed="false">
      <c r="A720" s="0" t="s">
        <v>1916</v>
      </c>
      <c r="B720" s="0" t="s">
        <v>858</v>
      </c>
      <c r="C720" s="0" t="s">
        <v>535</v>
      </c>
      <c r="D720" s="0" t="n">
        <v>24.2529024</v>
      </c>
      <c r="E720" s="0" t="n">
        <v>24.72170737</v>
      </c>
      <c r="F720" s="0" t="n">
        <v>27.47559471</v>
      </c>
      <c r="G720" s="0" t="n">
        <v>36.16893827</v>
      </c>
      <c r="H720" s="0" t="n">
        <v>49.0697512</v>
      </c>
    </row>
    <row r="721" customFormat="false" ht="15" hidden="false" customHeight="false" outlineLevel="0" collapsed="false">
      <c r="A721" s="0" t="s">
        <v>1917</v>
      </c>
      <c r="B721" s="0" t="s">
        <v>942</v>
      </c>
      <c r="C721" s="0" t="s">
        <v>535</v>
      </c>
      <c r="D721" s="0" t="n">
        <v>0.35438433</v>
      </c>
      <c r="E721" s="0" t="n">
        <v>0.3684742497</v>
      </c>
      <c r="F721" s="0" t="n">
        <v>0.4437141291</v>
      </c>
      <c r="G721" s="0" t="n">
        <v>0.6284034264</v>
      </c>
      <c r="H721" s="0" t="n">
        <v>0.8386532513</v>
      </c>
    </row>
    <row r="722" customFormat="false" ht="15" hidden="false" customHeight="false" outlineLevel="0" collapsed="false">
      <c r="A722" s="0" t="s">
        <v>1918</v>
      </c>
      <c r="B722" s="0" t="s">
        <v>986</v>
      </c>
      <c r="C722" s="0" t="s">
        <v>535</v>
      </c>
      <c r="D722" s="0" t="n">
        <v>1.134091756</v>
      </c>
      <c r="E722" s="0" t="n">
        <v>1.149818195</v>
      </c>
      <c r="F722" s="0" t="n">
        <v>1.177971133</v>
      </c>
      <c r="G722" s="0" t="n">
        <v>1.098595672</v>
      </c>
      <c r="H722" s="0" t="n">
        <v>0.7199096644</v>
      </c>
    </row>
    <row r="723" customFormat="false" ht="15" hidden="false" customHeight="false" outlineLevel="0" collapsed="false">
      <c r="A723" s="0" t="s">
        <v>1919</v>
      </c>
      <c r="B723" s="0" t="s">
        <v>752</v>
      </c>
      <c r="C723" s="0" t="s">
        <v>535</v>
      </c>
      <c r="D723" s="0" t="n">
        <v>164.7353947</v>
      </c>
      <c r="E723" s="0" t="n">
        <v>166.671924</v>
      </c>
      <c r="F723" s="0" t="n">
        <v>172.3290543</v>
      </c>
      <c r="G723" s="0" t="n">
        <v>196.5937209</v>
      </c>
      <c r="H723" s="0" t="n">
        <v>230.193833</v>
      </c>
    </row>
    <row r="724" customFormat="false" ht="15" hidden="false" customHeight="false" outlineLevel="0" collapsed="false">
      <c r="A724" s="0" t="s">
        <v>1920</v>
      </c>
      <c r="B724" s="0" t="s">
        <v>968</v>
      </c>
      <c r="C724" s="0" t="s">
        <v>535</v>
      </c>
      <c r="D724" s="0" t="n">
        <v>0</v>
      </c>
      <c r="E724" s="0" t="n">
        <v>0.6072853276</v>
      </c>
      <c r="F724" s="0" t="n">
        <v>0.7957897798</v>
      </c>
      <c r="G724" s="0" t="n">
        <v>0</v>
      </c>
      <c r="H724" s="0" t="n">
        <v>0</v>
      </c>
    </row>
    <row r="725" customFormat="false" ht="15" hidden="false" customHeight="false" outlineLevel="0" collapsed="false">
      <c r="A725" s="0" t="s">
        <v>1921</v>
      </c>
      <c r="B725" s="0" t="s">
        <v>872</v>
      </c>
      <c r="C725" s="0" t="s">
        <v>535</v>
      </c>
      <c r="D725" s="0" t="n">
        <v>14.08662923</v>
      </c>
      <c r="E725" s="0" t="n">
        <v>14.44265198</v>
      </c>
      <c r="F725" s="0" t="n">
        <v>15.88383741</v>
      </c>
      <c r="G725" s="0" t="n">
        <v>19.66311267</v>
      </c>
      <c r="H725" s="0" t="n">
        <v>23.98227898</v>
      </c>
    </row>
    <row r="726" customFormat="false" ht="15" hidden="false" customHeight="false" outlineLevel="0" collapsed="false">
      <c r="A726" s="0" t="s">
        <v>1922</v>
      </c>
      <c r="B726" s="0" t="s">
        <v>1040</v>
      </c>
      <c r="C726" s="0" t="s">
        <v>535</v>
      </c>
      <c r="D726" s="0" t="n">
        <v>0.3662087727</v>
      </c>
      <c r="E726" s="0" t="n">
        <v>0.3784377688</v>
      </c>
      <c r="F726" s="0" t="n">
        <v>0.442581037</v>
      </c>
      <c r="G726" s="0" t="n">
        <v>0.6070175318</v>
      </c>
      <c r="H726" s="0" t="n">
        <v>0.8013138119</v>
      </c>
    </row>
    <row r="727" customFormat="false" ht="15" hidden="false" customHeight="false" outlineLevel="0" collapsed="false">
      <c r="A727" s="0" t="s">
        <v>1923</v>
      </c>
      <c r="B727" s="0" t="s">
        <v>1060</v>
      </c>
      <c r="C727" s="0" t="s">
        <v>535</v>
      </c>
      <c r="D727" s="0" t="n">
        <v>0.06087364235</v>
      </c>
      <c r="E727" s="0" t="n">
        <v>0.06214610851</v>
      </c>
      <c r="F727" s="0" t="n">
        <v>0.06869016108</v>
      </c>
      <c r="G727" s="0" t="n">
        <v>0.08730180056</v>
      </c>
      <c r="H727" s="0" t="n">
        <v>0.1075907549</v>
      </c>
    </row>
    <row r="728" customFormat="false" ht="15" hidden="false" customHeight="false" outlineLevel="0" collapsed="false">
      <c r="A728" s="0" t="s">
        <v>1924</v>
      </c>
      <c r="B728" s="0" t="s">
        <v>944</v>
      </c>
      <c r="C728" s="0" t="s">
        <v>535</v>
      </c>
      <c r="D728" s="0" t="n">
        <v>9.56194515</v>
      </c>
      <c r="E728" s="0" t="n">
        <v>9.579416988</v>
      </c>
      <c r="F728" s="0" t="n">
        <v>9.72041603</v>
      </c>
      <c r="G728" s="0" t="n">
        <v>10.35254368</v>
      </c>
      <c r="H728" s="0" t="n">
        <v>11.1448381</v>
      </c>
    </row>
    <row r="729" customFormat="false" ht="15" hidden="false" customHeight="false" outlineLevel="0" collapsed="false">
      <c r="A729" s="0" t="s">
        <v>1925</v>
      </c>
      <c r="B729" s="0" t="s">
        <v>884</v>
      </c>
      <c r="C729" s="0" t="s">
        <v>535</v>
      </c>
      <c r="D729" s="0" t="n">
        <v>21.48572828</v>
      </c>
      <c r="E729" s="0" t="n">
        <v>21.74768663</v>
      </c>
      <c r="F729" s="0" t="n">
        <v>23.0688011</v>
      </c>
      <c r="G729" s="0" t="n">
        <v>28.13388119</v>
      </c>
      <c r="H729" s="0" t="n">
        <v>35.46162371</v>
      </c>
    </row>
    <row r="730" customFormat="false" ht="15" hidden="false" customHeight="false" outlineLevel="0" collapsed="false">
      <c r="A730" s="0" t="s">
        <v>1926</v>
      </c>
      <c r="B730" s="0" t="s">
        <v>726</v>
      </c>
      <c r="C730" s="0" t="s">
        <v>535</v>
      </c>
      <c r="D730" s="0" t="n">
        <v>226.4148562</v>
      </c>
      <c r="E730" s="0" t="n">
        <v>230.0392269</v>
      </c>
      <c r="F730" s="0" t="n">
        <v>246.3999555</v>
      </c>
      <c r="G730" s="0" t="n">
        <v>277.412764</v>
      </c>
      <c r="H730" s="0" t="n">
        <v>304.934293</v>
      </c>
    </row>
    <row r="731" customFormat="false" ht="15" hidden="false" customHeight="false" outlineLevel="0" collapsed="false">
      <c r="A731" s="0" t="s">
        <v>1927</v>
      </c>
      <c r="B731" s="0" t="s">
        <v>842</v>
      </c>
      <c r="C731" s="0" t="s">
        <v>535</v>
      </c>
      <c r="D731" s="0" t="n">
        <v>5.995330437</v>
      </c>
      <c r="E731" s="0" t="n">
        <v>6.26087957</v>
      </c>
      <c r="F731" s="0" t="n">
        <v>7.797047442</v>
      </c>
      <c r="G731" s="0" t="n">
        <v>11.47798333</v>
      </c>
      <c r="H731" s="0" t="n">
        <v>15.73962915</v>
      </c>
    </row>
    <row r="732" customFormat="false" ht="15" hidden="false" customHeight="false" outlineLevel="0" collapsed="false">
      <c r="A732" s="0" t="s">
        <v>1928</v>
      </c>
      <c r="B732" s="0" t="s">
        <v>866</v>
      </c>
      <c r="C732" s="0" t="s">
        <v>535</v>
      </c>
      <c r="D732" s="0" t="n">
        <v>0.1715032539</v>
      </c>
      <c r="E732" s="0" t="n">
        <v>0.1801535307</v>
      </c>
      <c r="F732" s="0" t="n">
        <v>0.2349702279</v>
      </c>
      <c r="G732" s="0" t="n">
        <v>0.3559811173</v>
      </c>
      <c r="H732" s="0" t="n">
        <v>0.4871370584</v>
      </c>
    </row>
    <row r="733" customFormat="false" ht="15" hidden="false" customHeight="false" outlineLevel="0" collapsed="false">
      <c r="A733" s="0" t="s">
        <v>1929</v>
      </c>
      <c r="B733" s="0" t="s">
        <v>804</v>
      </c>
      <c r="C733" s="0" t="s">
        <v>535</v>
      </c>
      <c r="D733" s="0" t="n">
        <v>31.09478173</v>
      </c>
      <c r="E733" s="0" t="n">
        <v>29.14435685</v>
      </c>
      <c r="F733" s="0" t="n">
        <v>19.1506628</v>
      </c>
      <c r="G733" s="0" t="n">
        <v>0</v>
      </c>
      <c r="H733" s="0" t="n">
        <v>0</v>
      </c>
    </row>
    <row r="734" customFormat="false" ht="15" hidden="false" customHeight="false" outlineLevel="0" collapsed="false">
      <c r="A734" s="0" t="s">
        <v>1930</v>
      </c>
      <c r="B734" s="0" t="s">
        <v>860</v>
      </c>
      <c r="C734" s="0" t="s">
        <v>535</v>
      </c>
      <c r="D734" s="0" t="n">
        <v>0.2608880159</v>
      </c>
      <c r="E734" s="0" t="n">
        <v>0.02148666524</v>
      </c>
      <c r="F734" s="0" t="n">
        <v>0</v>
      </c>
      <c r="G734" s="0" t="n">
        <v>0</v>
      </c>
      <c r="H734" s="0" t="n">
        <v>0</v>
      </c>
    </row>
    <row r="735" customFormat="false" ht="15" hidden="false" customHeight="false" outlineLevel="0" collapsed="false">
      <c r="A735" s="0" t="s">
        <v>1931</v>
      </c>
      <c r="B735" s="0" t="s">
        <v>693</v>
      </c>
      <c r="C735" s="0" t="s">
        <v>535</v>
      </c>
      <c r="D735" s="0" t="n">
        <v>2627.915163</v>
      </c>
      <c r="E735" s="0" t="n">
        <v>2628.763369</v>
      </c>
      <c r="F735" s="0" t="n">
        <v>2651.402388</v>
      </c>
      <c r="G735" s="0" t="n">
        <v>2557.832564</v>
      </c>
      <c r="H735" s="0" t="n">
        <v>2222.130828</v>
      </c>
    </row>
    <row r="736" customFormat="false" ht="15" hidden="false" customHeight="false" outlineLevel="0" collapsed="false">
      <c r="A736" s="0" t="s">
        <v>1932</v>
      </c>
      <c r="B736" s="0" t="s">
        <v>810</v>
      </c>
      <c r="C736" s="0" t="s">
        <v>535</v>
      </c>
      <c r="D736" s="0" t="n">
        <v>69.96776906</v>
      </c>
      <c r="E736" s="0" t="n">
        <v>72.06040793</v>
      </c>
      <c r="F736" s="0" t="n">
        <v>77.94970665</v>
      </c>
      <c r="G736" s="0" t="n">
        <v>76.77704779</v>
      </c>
      <c r="H736" s="0" t="n">
        <v>58.92911028</v>
      </c>
    </row>
    <row r="737" customFormat="false" ht="15" hidden="false" customHeight="false" outlineLevel="0" collapsed="false">
      <c r="A737" s="0" t="s">
        <v>1933</v>
      </c>
      <c r="B737" s="0" t="s">
        <v>1052</v>
      </c>
      <c r="C737" s="0" t="s">
        <v>535</v>
      </c>
      <c r="D737" s="0" t="n">
        <v>0.1310292616</v>
      </c>
      <c r="E737" s="0" t="n">
        <v>0.1341649693</v>
      </c>
      <c r="F737" s="0" t="n">
        <v>0.1497013603</v>
      </c>
      <c r="G737" s="0" t="n">
        <v>0.1877855754</v>
      </c>
      <c r="H737" s="0" t="n">
        <v>0.2294360194</v>
      </c>
    </row>
    <row r="738" customFormat="false" ht="15" hidden="false" customHeight="false" outlineLevel="0" collapsed="false">
      <c r="A738" s="0" t="s">
        <v>1934</v>
      </c>
      <c r="B738" s="0" t="s">
        <v>820</v>
      </c>
      <c r="C738" s="0" t="s">
        <v>535</v>
      </c>
      <c r="D738" s="0" t="n">
        <v>7.111144697</v>
      </c>
      <c r="E738" s="0" t="n">
        <v>5.547918274</v>
      </c>
      <c r="F738" s="0" t="n">
        <v>0</v>
      </c>
      <c r="G738" s="0" t="n">
        <v>0</v>
      </c>
      <c r="H738" s="0" t="n">
        <v>0</v>
      </c>
    </row>
    <row r="739" customFormat="false" ht="15" hidden="false" customHeight="false" outlineLevel="0" collapsed="false">
      <c r="A739" s="0" t="s">
        <v>1935</v>
      </c>
      <c r="B739" s="0" t="s">
        <v>744</v>
      </c>
      <c r="C739" s="0" t="s">
        <v>535</v>
      </c>
      <c r="D739" s="0" t="n">
        <v>170.1413874</v>
      </c>
      <c r="E739" s="0" t="n">
        <v>180.1211692</v>
      </c>
      <c r="F739" s="0" t="n">
        <v>227.8633901</v>
      </c>
      <c r="G739" s="0" t="n">
        <v>321.9020697</v>
      </c>
      <c r="H739" s="0" t="n">
        <v>419.8184427</v>
      </c>
    </row>
    <row r="740" customFormat="false" ht="15" hidden="false" customHeight="false" outlineLevel="0" collapsed="false">
      <c r="A740" s="0" t="s">
        <v>1936</v>
      </c>
      <c r="B740" s="0" t="s">
        <v>1048</v>
      </c>
      <c r="C740" s="0" t="s">
        <v>535</v>
      </c>
      <c r="D740" s="0" t="n">
        <v>0.06161801805</v>
      </c>
      <c r="E740" s="0" t="n">
        <v>0.06321335362</v>
      </c>
      <c r="F740" s="0" t="n">
        <v>0.07477761521</v>
      </c>
      <c r="G740" s="0" t="n">
        <v>0.1078579589</v>
      </c>
      <c r="H740" s="0" t="n">
        <v>0.1446594091</v>
      </c>
    </row>
    <row r="741" customFormat="false" ht="15" hidden="false" customHeight="false" outlineLevel="0" collapsed="false">
      <c r="A741" s="0" t="s">
        <v>1937</v>
      </c>
      <c r="B741" s="0" t="s">
        <v>1050</v>
      </c>
      <c r="C741" s="0" t="s">
        <v>535</v>
      </c>
      <c r="D741" s="0" t="n">
        <v>0.09098577877</v>
      </c>
      <c r="E741" s="0" t="n">
        <v>0.09381676528</v>
      </c>
      <c r="F741" s="0" t="n">
        <v>0.1060251554</v>
      </c>
      <c r="G741" s="0" t="n">
        <v>0.1354652182</v>
      </c>
      <c r="H741" s="0" t="n">
        <v>0.1661057725</v>
      </c>
    </row>
    <row r="742" customFormat="false" ht="15" hidden="false" customHeight="false" outlineLevel="0" collapsed="false">
      <c r="A742" s="0" t="s">
        <v>1938</v>
      </c>
      <c r="B742" s="0" t="s">
        <v>990</v>
      </c>
      <c r="C742" s="0" t="s">
        <v>535</v>
      </c>
      <c r="D742" s="0" t="n">
        <v>5.24193062</v>
      </c>
      <c r="E742" s="0" t="n">
        <v>5.279992972</v>
      </c>
      <c r="F742" s="0" t="n">
        <v>5.420234005</v>
      </c>
      <c r="G742" s="0" t="n">
        <v>5.73442175</v>
      </c>
      <c r="H742" s="0" t="n">
        <v>5.819832396</v>
      </c>
    </row>
    <row r="743" customFormat="false" ht="15" hidden="false" customHeight="false" outlineLevel="0" collapsed="false">
      <c r="A743" s="0" t="s">
        <v>1939</v>
      </c>
      <c r="B743" s="0" t="s">
        <v>1004</v>
      </c>
      <c r="C743" s="0" t="s">
        <v>535</v>
      </c>
      <c r="D743" s="0" t="n">
        <v>3.838125111</v>
      </c>
      <c r="E743" s="0" t="n">
        <v>3.811081127</v>
      </c>
      <c r="F743" s="0" t="n">
        <v>3.95340174</v>
      </c>
      <c r="G743" s="0" t="n">
        <v>5.066140496</v>
      </c>
      <c r="H743" s="0" t="n">
        <v>6.946133564</v>
      </c>
    </row>
    <row r="744" customFormat="false" ht="15" hidden="false" customHeight="false" outlineLevel="0" collapsed="false">
      <c r="A744" s="0" t="s">
        <v>1940</v>
      </c>
      <c r="B744" s="0" t="s">
        <v>774</v>
      </c>
      <c r="C744" s="0" t="s">
        <v>535</v>
      </c>
      <c r="D744" s="0" t="n">
        <v>199.9421447</v>
      </c>
      <c r="E744" s="0" t="n">
        <v>197.7957204</v>
      </c>
      <c r="F744" s="0" t="n">
        <v>188.6735622</v>
      </c>
      <c r="G744" s="0" t="n">
        <v>182.6834216</v>
      </c>
      <c r="H744" s="0" t="n">
        <v>176.7318774</v>
      </c>
    </row>
    <row r="745" customFormat="false" ht="15" hidden="false" customHeight="false" outlineLevel="0" collapsed="false">
      <c r="A745" s="0" t="s">
        <v>1941</v>
      </c>
      <c r="B745" s="0" t="s">
        <v>930</v>
      </c>
      <c r="C745" s="0" t="s">
        <v>535</v>
      </c>
      <c r="D745" s="0" t="n">
        <v>2.473991993</v>
      </c>
      <c r="E745" s="0" t="n">
        <v>2.536430696</v>
      </c>
      <c r="F745" s="0" t="n">
        <v>2.931232842</v>
      </c>
      <c r="G745" s="0" t="n">
        <v>3.874037685</v>
      </c>
      <c r="H745" s="0" t="n">
        <v>5.055791118</v>
      </c>
    </row>
    <row r="746" customFormat="false" ht="15" hidden="false" customHeight="false" outlineLevel="0" collapsed="false">
      <c r="A746" s="0" t="s">
        <v>1942</v>
      </c>
      <c r="B746" s="0" t="s">
        <v>878</v>
      </c>
      <c r="C746" s="0" t="s">
        <v>535</v>
      </c>
      <c r="D746" s="0" t="n">
        <v>4.406260644</v>
      </c>
      <c r="E746" s="0" t="n">
        <v>4.648454252</v>
      </c>
      <c r="F746" s="0" t="n">
        <v>5.506666504</v>
      </c>
      <c r="G746" s="0" t="n">
        <v>7.588233031</v>
      </c>
      <c r="H746" s="0" t="n">
        <v>10.28596224</v>
      </c>
    </row>
    <row r="747" customFormat="false" ht="15" hidden="false" customHeight="false" outlineLevel="0" collapsed="false">
      <c r="A747" s="0" t="s">
        <v>1943</v>
      </c>
      <c r="B747" s="0" t="s">
        <v>1018</v>
      </c>
      <c r="C747" s="0" t="s">
        <v>583</v>
      </c>
      <c r="D747" s="0" t="n">
        <v>0</v>
      </c>
      <c r="E747" s="0" t="n">
        <v>0.04769646833</v>
      </c>
      <c r="F747" s="0" t="n">
        <v>0.04598858199</v>
      </c>
      <c r="G747" s="0" t="n">
        <v>0.06452162821</v>
      </c>
      <c r="H747" s="0" t="n">
        <v>0.04843341342</v>
      </c>
    </row>
    <row r="748" customFormat="false" ht="15" hidden="false" customHeight="false" outlineLevel="0" collapsed="false">
      <c r="A748" s="0" t="s">
        <v>1944</v>
      </c>
      <c r="B748" s="0" t="s">
        <v>962</v>
      </c>
      <c r="C748" s="0" t="s">
        <v>583</v>
      </c>
      <c r="D748" s="0" t="n">
        <v>0</v>
      </c>
      <c r="E748" s="0" t="n">
        <v>0.07394639566</v>
      </c>
      <c r="F748" s="0" t="n">
        <v>0.1005490617</v>
      </c>
      <c r="G748" s="0" t="n">
        <v>0.1565363214</v>
      </c>
      <c r="H748" s="0" t="n">
        <v>0.1708314914</v>
      </c>
    </row>
    <row r="749" customFormat="false" ht="15" hidden="false" customHeight="false" outlineLevel="0" collapsed="false">
      <c r="A749" s="0" t="s">
        <v>1945</v>
      </c>
      <c r="B749" s="0" t="s">
        <v>828</v>
      </c>
      <c r="C749" s="0" t="s">
        <v>583</v>
      </c>
      <c r="D749" s="0" t="n">
        <v>0</v>
      </c>
      <c r="E749" s="0" t="n">
        <v>0.3440892791</v>
      </c>
      <c r="F749" s="0" t="n">
        <v>0.3968466988</v>
      </c>
      <c r="G749" s="0" t="n">
        <v>0.6210671533</v>
      </c>
      <c r="H749" s="0" t="n">
        <v>0.6573992034</v>
      </c>
    </row>
    <row r="750" customFormat="false" ht="15" hidden="false" customHeight="false" outlineLevel="0" collapsed="false">
      <c r="A750" s="0" t="s">
        <v>1946</v>
      </c>
      <c r="B750" s="0" t="s">
        <v>926</v>
      </c>
      <c r="C750" s="0" t="s">
        <v>583</v>
      </c>
      <c r="D750" s="0" t="n">
        <v>0</v>
      </c>
      <c r="E750" s="0" t="n">
        <v>0.09631982458</v>
      </c>
      <c r="F750" s="0" t="n">
        <v>0.1144441158</v>
      </c>
      <c r="G750" s="0" t="n">
        <v>0.1437943307</v>
      </c>
      <c r="H750" s="0" t="n">
        <v>0.1516432927</v>
      </c>
    </row>
    <row r="751" customFormat="false" ht="15" hidden="false" customHeight="false" outlineLevel="0" collapsed="false">
      <c r="A751" s="0" t="s">
        <v>1947</v>
      </c>
      <c r="B751" s="0" t="s">
        <v>748</v>
      </c>
      <c r="C751" s="0" t="s">
        <v>583</v>
      </c>
      <c r="D751" s="0" t="n">
        <v>0</v>
      </c>
      <c r="E751" s="0" t="n">
        <v>6.633993073</v>
      </c>
      <c r="F751" s="0" t="n">
        <v>6.142378362</v>
      </c>
      <c r="G751" s="0" t="n">
        <v>8.175889531</v>
      </c>
      <c r="H751" s="0" t="n">
        <v>6.155512427</v>
      </c>
    </row>
    <row r="752" customFormat="false" ht="15" hidden="false" customHeight="false" outlineLevel="0" collapsed="false">
      <c r="A752" s="0" t="s">
        <v>1948</v>
      </c>
      <c r="B752" s="0" t="s">
        <v>736</v>
      </c>
      <c r="C752" s="0" t="s">
        <v>583</v>
      </c>
      <c r="D752" s="0" t="n">
        <v>0</v>
      </c>
      <c r="E752" s="0" t="n">
        <v>3.561887539</v>
      </c>
      <c r="F752" s="0" t="n">
        <v>3.585522119</v>
      </c>
      <c r="G752" s="0" t="n">
        <v>4.238981033</v>
      </c>
      <c r="H752" s="0" t="n">
        <v>3.096297714</v>
      </c>
    </row>
    <row r="753" customFormat="false" ht="15" hidden="false" customHeight="false" outlineLevel="0" collapsed="false">
      <c r="A753" s="0" t="s">
        <v>1949</v>
      </c>
      <c r="B753" s="0" t="s">
        <v>920</v>
      </c>
      <c r="C753" s="0" t="s">
        <v>583</v>
      </c>
      <c r="D753" s="0" t="n">
        <v>0</v>
      </c>
      <c r="E753" s="0" t="n">
        <v>0.3582947026</v>
      </c>
      <c r="F753" s="0" t="n">
        <v>0.3607254429</v>
      </c>
      <c r="G753" s="0" t="n">
        <v>0.4280452159</v>
      </c>
      <c r="H753" s="0" t="n">
        <v>0.3954540341</v>
      </c>
    </row>
    <row r="754" customFormat="false" ht="15" hidden="false" customHeight="false" outlineLevel="0" collapsed="false">
      <c r="A754" s="0" t="s">
        <v>1950</v>
      </c>
      <c r="B754" s="0" t="s">
        <v>1038</v>
      </c>
      <c r="C754" s="0" t="s">
        <v>583</v>
      </c>
      <c r="D754" s="0" t="n">
        <v>0</v>
      </c>
      <c r="E754" s="0" t="n">
        <v>0.01855442566</v>
      </c>
      <c r="F754" s="0" t="n">
        <v>0.02504748822</v>
      </c>
      <c r="G754" s="0" t="n">
        <v>0.03855423158</v>
      </c>
      <c r="H754" s="0" t="n">
        <v>0.03013959969</v>
      </c>
    </row>
    <row r="755" customFormat="false" ht="15" hidden="false" customHeight="false" outlineLevel="0" collapsed="false">
      <c r="A755" s="0" t="s">
        <v>1951</v>
      </c>
      <c r="B755" s="0" t="s">
        <v>718</v>
      </c>
      <c r="C755" s="0" t="s">
        <v>583</v>
      </c>
      <c r="D755" s="0" t="n">
        <v>0</v>
      </c>
      <c r="E755" s="0" t="n">
        <v>13.66430781</v>
      </c>
      <c r="F755" s="0" t="n">
        <v>19.91807952</v>
      </c>
      <c r="G755" s="0" t="n">
        <v>14.93904785</v>
      </c>
      <c r="H755" s="0" t="n">
        <v>13.43384213</v>
      </c>
    </row>
    <row r="756" customFormat="false" ht="15" hidden="false" customHeight="false" outlineLevel="0" collapsed="false">
      <c r="A756" s="0" t="s">
        <v>1952</v>
      </c>
      <c r="B756" s="0" t="s">
        <v>758</v>
      </c>
      <c r="C756" s="0" t="s">
        <v>583</v>
      </c>
      <c r="D756" s="0" t="n">
        <v>0</v>
      </c>
      <c r="E756" s="0" t="n">
        <v>2.481361399</v>
      </c>
      <c r="F756" s="0" t="n">
        <v>3.172345296</v>
      </c>
      <c r="G756" s="0" t="n">
        <v>2.734336223</v>
      </c>
      <c r="H756" s="0" t="n">
        <v>2.288978598</v>
      </c>
    </row>
    <row r="757" customFormat="false" ht="15" hidden="false" customHeight="false" outlineLevel="0" collapsed="false">
      <c r="A757" s="0" t="s">
        <v>1953</v>
      </c>
      <c r="B757" s="0" t="s">
        <v>868</v>
      </c>
      <c r="C757" s="0" t="s">
        <v>583</v>
      </c>
      <c r="D757" s="0" t="n">
        <v>0</v>
      </c>
      <c r="E757" s="0" t="n">
        <v>0.7651604084</v>
      </c>
      <c r="F757" s="0" t="n">
        <v>1.074057628</v>
      </c>
      <c r="G757" s="0" t="n">
        <v>1.828226284</v>
      </c>
      <c r="H757" s="0" t="n">
        <v>1.421605846</v>
      </c>
    </row>
    <row r="758" customFormat="false" ht="15" hidden="false" customHeight="false" outlineLevel="0" collapsed="false">
      <c r="A758" s="0" t="s">
        <v>1954</v>
      </c>
      <c r="B758" s="0" t="s">
        <v>1012</v>
      </c>
      <c r="C758" s="0" t="s">
        <v>583</v>
      </c>
      <c r="D758" s="0" t="n">
        <v>0</v>
      </c>
      <c r="E758" s="0" t="n">
        <v>0.008669629449</v>
      </c>
      <c r="F758" s="0" t="n">
        <v>0.01607073309</v>
      </c>
      <c r="G758" s="0" t="n">
        <v>0.02670800974</v>
      </c>
      <c r="H758" s="0" t="n">
        <v>0.0275192824</v>
      </c>
    </row>
    <row r="759" customFormat="false" ht="15" hidden="false" customHeight="false" outlineLevel="0" collapsed="false">
      <c r="A759" s="0" t="s">
        <v>1955</v>
      </c>
      <c r="B759" s="0" t="s">
        <v>742</v>
      </c>
      <c r="C759" s="0" t="s">
        <v>583</v>
      </c>
      <c r="D759" s="0" t="n">
        <v>0</v>
      </c>
      <c r="E759" s="0" t="n">
        <v>3.245331518</v>
      </c>
      <c r="F759" s="0" t="n">
        <v>4.011971115</v>
      </c>
      <c r="G759" s="0" t="n">
        <v>3.538598585</v>
      </c>
      <c r="H759" s="0" t="n">
        <v>2.826794147</v>
      </c>
    </row>
    <row r="760" customFormat="false" ht="15" hidden="false" customHeight="false" outlineLevel="0" collapsed="false">
      <c r="A760" s="0" t="s">
        <v>1956</v>
      </c>
      <c r="B760" s="0" t="s">
        <v>934</v>
      </c>
      <c r="C760" s="0" t="s">
        <v>583</v>
      </c>
      <c r="D760" s="0" t="n">
        <v>0</v>
      </c>
      <c r="E760" s="0" t="n">
        <v>0.04962728608</v>
      </c>
      <c r="F760" s="0" t="n">
        <v>0.08456638606</v>
      </c>
      <c r="G760" s="0" t="n">
        <v>0.1559494678</v>
      </c>
      <c r="H760" s="0" t="n">
        <v>0.1328906859</v>
      </c>
    </row>
    <row r="761" customFormat="false" ht="15" hidden="false" customHeight="false" outlineLevel="0" collapsed="false">
      <c r="A761" s="0" t="s">
        <v>1957</v>
      </c>
      <c r="B761" s="0" t="s">
        <v>938</v>
      </c>
      <c r="C761" s="0" t="s">
        <v>583</v>
      </c>
      <c r="D761" s="0" t="n">
        <v>0</v>
      </c>
      <c r="E761" s="0" t="n">
        <v>0.0968142096</v>
      </c>
      <c r="F761" s="0" t="n">
        <v>0.1489326717</v>
      </c>
      <c r="G761" s="0" t="n">
        <v>0.282440711</v>
      </c>
      <c r="H761" s="0" t="n">
        <v>0.2687200136</v>
      </c>
    </row>
    <row r="762" customFormat="false" ht="15" hidden="false" customHeight="false" outlineLevel="0" collapsed="false">
      <c r="A762" s="0" t="s">
        <v>1958</v>
      </c>
      <c r="B762" s="0" t="s">
        <v>756</v>
      </c>
      <c r="C762" s="0" t="s">
        <v>583</v>
      </c>
      <c r="D762" s="0" t="n">
        <v>0</v>
      </c>
      <c r="E762" s="0" t="n">
        <v>3.046457447</v>
      </c>
      <c r="F762" s="0" t="n">
        <v>4.237008882</v>
      </c>
      <c r="G762" s="0" t="n">
        <v>7.176243977</v>
      </c>
      <c r="H762" s="0" t="n">
        <v>6.08827115</v>
      </c>
    </row>
    <row r="763" customFormat="false" ht="15" hidden="false" customHeight="false" outlineLevel="0" collapsed="false">
      <c r="A763" s="0" t="s">
        <v>1959</v>
      </c>
      <c r="B763" s="0" t="s">
        <v>830</v>
      </c>
      <c r="C763" s="0" t="s">
        <v>583</v>
      </c>
      <c r="D763" s="0" t="n">
        <v>0</v>
      </c>
      <c r="E763" s="0" t="n">
        <v>0.9464948813</v>
      </c>
      <c r="F763" s="0" t="n">
        <v>1.202396891</v>
      </c>
      <c r="G763" s="0" t="n">
        <v>1.34936607</v>
      </c>
      <c r="H763" s="0" t="n">
        <v>1.410616345</v>
      </c>
    </row>
    <row r="764" customFormat="false" ht="15" hidden="false" customHeight="false" outlineLevel="0" collapsed="false">
      <c r="A764" s="0" t="s">
        <v>1960</v>
      </c>
      <c r="B764" s="0" t="s">
        <v>898</v>
      </c>
      <c r="C764" s="0" t="s">
        <v>583</v>
      </c>
      <c r="D764" s="0" t="n">
        <v>0</v>
      </c>
      <c r="E764" s="0" t="n">
        <v>0.700078882</v>
      </c>
      <c r="F764" s="0" t="n">
        <v>0.6380019582</v>
      </c>
      <c r="G764" s="0" t="n">
        <v>0.8610257584</v>
      </c>
      <c r="H764" s="0" t="n">
        <v>0.4899139437</v>
      </c>
    </row>
    <row r="765" customFormat="false" ht="15" hidden="false" customHeight="false" outlineLevel="0" collapsed="false">
      <c r="A765" s="0" t="s">
        <v>1961</v>
      </c>
      <c r="B765" s="0" t="s">
        <v>976</v>
      </c>
      <c r="C765" s="0" t="s">
        <v>583</v>
      </c>
      <c r="D765" s="0" t="n">
        <v>0</v>
      </c>
      <c r="E765" s="0" t="n">
        <v>0.1269578913</v>
      </c>
      <c r="F765" s="0" t="n">
        <v>0.131571793</v>
      </c>
      <c r="G765" s="0" t="n">
        <v>0.174359587</v>
      </c>
      <c r="H765" s="0" t="n">
        <v>0.121934775</v>
      </c>
    </row>
    <row r="766" customFormat="false" ht="15" hidden="false" customHeight="false" outlineLevel="0" collapsed="false">
      <c r="A766" s="0" t="s">
        <v>1962</v>
      </c>
      <c r="B766" s="0" t="s">
        <v>924</v>
      </c>
      <c r="C766" s="0" t="s">
        <v>583</v>
      </c>
      <c r="D766" s="0" t="n">
        <v>0</v>
      </c>
      <c r="E766" s="0" t="n">
        <v>0.3351756366</v>
      </c>
      <c r="F766" s="0" t="n">
        <v>0.4427094528</v>
      </c>
      <c r="G766" s="0" t="n">
        <v>0.7136148806</v>
      </c>
      <c r="H766" s="0" t="n">
        <v>0.5752452809</v>
      </c>
    </row>
    <row r="767" customFormat="false" ht="15" hidden="false" customHeight="false" outlineLevel="0" collapsed="false">
      <c r="A767" s="0" t="s">
        <v>1963</v>
      </c>
      <c r="B767" s="0" t="s">
        <v>864</v>
      </c>
      <c r="C767" s="0" t="s">
        <v>583</v>
      </c>
      <c r="D767" s="0" t="n">
        <v>0</v>
      </c>
      <c r="E767" s="0" t="n">
        <v>0.8334695431</v>
      </c>
      <c r="F767" s="0" t="n">
        <v>1.110962792</v>
      </c>
      <c r="G767" s="0" t="n">
        <v>1.799798558</v>
      </c>
      <c r="H767" s="0" t="n">
        <v>1.584504224</v>
      </c>
    </row>
    <row r="768" customFormat="false" ht="15" hidden="false" customHeight="false" outlineLevel="0" collapsed="false">
      <c r="A768" s="0" t="s">
        <v>1964</v>
      </c>
      <c r="B768" s="0" t="s">
        <v>1022</v>
      </c>
      <c r="C768" s="0" t="s">
        <v>583</v>
      </c>
      <c r="D768" s="0" t="n">
        <v>0</v>
      </c>
      <c r="E768" s="0" t="n">
        <v>0.01228376021</v>
      </c>
      <c r="F768" s="0" t="n">
        <v>0.01554353394</v>
      </c>
      <c r="G768" s="0" t="n">
        <v>0.0234995961</v>
      </c>
      <c r="H768" s="0" t="n">
        <v>0.02253987026</v>
      </c>
    </row>
    <row r="769" customFormat="false" ht="15" hidden="false" customHeight="false" outlineLevel="0" collapsed="false">
      <c r="A769" s="0" t="s">
        <v>1965</v>
      </c>
      <c r="B769" s="0" t="s">
        <v>896</v>
      </c>
      <c r="C769" s="0" t="s">
        <v>583</v>
      </c>
      <c r="D769" s="0" t="n">
        <v>0</v>
      </c>
      <c r="E769" s="0" t="n">
        <v>0.2288972387</v>
      </c>
      <c r="F769" s="0" t="n">
        <v>0.252114683</v>
      </c>
      <c r="G769" s="0" t="n">
        <v>0.5794518162</v>
      </c>
      <c r="H769" s="0" t="n">
        <v>0.5948643352</v>
      </c>
    </row>
    <row r="770" customFormat="false" ht="15" hidden="false" customHeight="false" outlineLevel="0" collapsed="false">
      <c r="A770" s="0" t="s">
        <v>1966</v>
      </c>
      <c r="B770" s="0" t="s">
        <v>710</v>
      </c>
      <c r="C770" s="0" t="s">
        <v>583</v>
      </c>
      <c r="D770" s="0" t="n">
        <v>0</v>
      </c>
      <c r="E770" s="0" t="n">
        <v>11.20841538</v>
      </c>
      <c r="F770" s="0" t="n">
        <v>13.11656702</v>
      </c>
      <c r="G770" s="0" t="n">
        <v>18.65697825</v>
      </c>
      <c r="H770" s="0" t="n">
        <v>18.33885989</v>
      </c>
    </row>
    <row r="771" customFormat="false" ht="15" hidden="false" customHeight="false" outlineLevel="0" collapsed="false">
      <c r="A771" s="0" t="s">
        <v>1967</v>
      </c>
      <c r="B771" s="0" t="s">
        <v>1000</v>
      </c>
      <c r="C771" s="0" t="s">
        <v>583</v>
      </c>
      <c r="D771" s="0" t="n">
        <v>0</v>
      </c>
      <c r="E771" s="0" t="n">
        <v>0.04512682033</v>
      </c>
      <c r="F771" s="0" t="n">
        <v>0.05137226974</v>
      </c>
      <c r="G771" s="0" t="n">
        <v>0.07348387896</v>
      </c>
      <c r="H771" s="0" t="n">
        <v>0.05028957971</v>
      </c>
    </row>
    <row r="772" customFormat="false" ht="15" hidden="false" customHeight="false" outlineLevel="0" collapsed="false">
      <c r="A772" s="0" t="s">
        <v>1968</v>
      </c>
      <c r="B772" s="0" t="s">
        <v>980</v>
      </c>
      <c r="C772" s="0" t="s">
        <v>583</v>
      </c>
      <c r="D772" s="0" t="n">
        <v>0</v>
      </c>
      <c r="E772" s="0" t="n">
        <v>0.1107895359</v>
      </c>
      <c r="F772" s="0" t="n">
        <v>0.1549744336</v>
      </c>
      <c r="G772" s="0" t="n">
        <v>0.2294760278</v>
      </c>
      <c r="H772" s="0" t="n">
        <v>0.1590318343</v>
      </c>
    </row>
    <row r="773" customFormat="false" ht="15" hidden="false" customHeight="false" outlineLevel="0" collapsed="false">
      <c r="A773" s="0" t="s">
        <v>1969</v>
      </c>
      <c r="B773" s="0" t="s">
        <v>1020</v>
      </c>
      <c r="C773" s="0" t="s">
        <v>583</v>
      </c>
      <c r="D773" s="0" t="n">
        <v>0</v>
      </c>
      <c r="E773" s="0" t="n">
        <v>0</v>
      </c>
      <c r="F773" s="0" t="n">
        <v>0</v>
      </c>
      <c r="G773" s="0" t="n">
        <v>0</v>
      </c>
      <c r="H773" s="0" t="n">
        <v>0.08387503877</v>
      </c>
    </row>
    <row r="774" customFormat="false" ht="15" hidden="false" customHeight="false" outlineLevel="0" collapsed="false">
      <c r="A774" s="0" t="s">
        <v>1970</v>
      </c>
      <c r="B774" s="0" t="s">
        <v>952</v>
      </c>
      <c r="C774" s="0" t="s">
        <v>583</v>
      </c>
      <c r="D774" s="0" t="n">
        <v>0</v>
      </c>
      <c r="E774" s="0" t="n">
        <v>0.07796470945</v>
      </c>
      <c r="F774" s="0" t="n">
        <v>0.1387976493</v>
      </c>
      <c r="G774" s="0" t="n">
        <v>0.2305978932</v>
      </c>
      <c r="H774" s="0" t="n">
        <v>0.1582292094</v>
      </c>
    </row>
    <row r="775" customFormat="false" ht="15" hidden="false" customHeight="false" outlineLevel="0" collapsed="false">
      <c r="A775" s="0" t="s">
        <v>1971</v>
      </c>
      <c r="B775" s="0" t="s">
        <v>1026</v>
      </c>
      <c r="C775" s="0" t="s">
        <v>583</v>
      </c>
      <c r="D775" s="0" t="n">
        <v>0</v>
      </c>
      <c r="E775" s="0" t="n">
        <v>0</v>
      </c>
      <c r="F775" s="0" t="n">
        <v>0.00586626553</v>
      </c>
      <c r="G775" s="0" t="n">
        <v>0.01095375942</v>
      </c>
      <c r="H775" s="0" t="n">
        <v>0.01154901613</v>
      </c>
    </row>
    <row r="776" customFormat="false" ht="15" hidden="false" customHeight="false" outlineLevel="0" collapsed="false">
      <c r="A776" s="0" t="s">
        <v>1972</v>
      </c>
      <c r="B776" s="0" t="s">
        <v>708</v>
      </c>
      <c r="C776" s="0" t="s">
        <v>583</v>
      </c>
      <c r="D776" s="0" t="n">
        <v>0</v>
      </c>
      <c r="E776" s="0" t="n">
        <v>17.5529467</v>
      </c>
      <c r="F776" s="0" t="n">
        <v>22.61511954</v>
      </c>
      <c r="G776" s="0" t="n">
        <v>20.363063</v>
      </c>
      <c r="H776" s="0" t="n">
        <v>17.91489729</v>
      </c>
    </row>
    <row r="777" customFormat="false" ht="15" hidden="false" customHeight="false" outlineLevel="0" collapsed="false">
      <c r="A777" s="0" t="s">
        <v>1973</v>
      </c>
      <c r="B777" s="0" t="s">
        <v>734</v>
      </c>
      <c r="C777" s="0" t="s">
        <v>583</v>
      </c>
      <c r="D777" s="0" t="n">
        <v>0</v>
      </c>
      <c r="E777" s="0" t="n">
        <v>2.262357808</v>
      </c>
      <c r="F777" s="0" t="n">
        <v>2.816537709</v>
      </c>
      <c r="G777" s="0" t="n">
        <v>2.915957442</v>
      </c>
      <c r="H777" s="0" t="n">
        <v>2.450970085</v>
      </c>
    </row>
    <row r="778" customFormat="false" ht="15" hidden="false" customHeight="false" outlineLevel="0" collapsed="false">
      <c r="A778" s="0" t="s">
        <v>1974</v>
      </c>
      <c r="B778" s="0" t="s">
        <v>782</v>
      </c>
      <c r="C778" s="0" t="s">
        <v>583</v>
      </c>
      <c r="D778" s="0" t="n">
        <v>0</v>
      </c>
      <c r="E778" s="0" t="n">
        <v>1.882829406</v>
      </c>
      <c r="F778" s="0" t="n">
        <v>2.262658206</v>
      </c>
      <c r="G778" s="0" t="n">
        <v>2.927830015</v>
      </c>
      <c r="H778" s="0" t="n">
        <v>2.067535986</v>
      </c>
    </row>
    <row r="779" customFormat="false" ht="15" hidden="false" customHeight="false" outlineLevel="0" collapsed="false">
      <c r="A779" s="0" t="s">
        <v>1975</v>
      </c>
      <c r="B779" s="0" t="s">
        <v>696</v>
      </c>
      <c r="C779" s="0" t="s">
        <v>583</v>
      </c>
      <c r="D779" s="0" t="n">
        <v>0</v>
      </c>
      <c r="E779" s="0" t="n">
        <v>426.9151807</v>
      </c>
      <c r="F779" s="0" t="n">
        <v>530.8162683</v>
      </c>
      <c r="G779" s="0" t="n">
        <v>782.0547945</v>
      </c>
      <c r="H779" s="0" t="n">
        <v>542.9185807</v>
      </c>
    </row>
    <row r="780" customFormat="false" ht="15" hidden="false" customHeight="false" outlineLevel="0" collapsed="false">
      <c r="A780" s="0" t="s">
        <v>1976</v>
      </c>
      <c r="B780" s="0" t="s">
        <v>836</v>
      </c>
      <c r="C780" s="0" t="s">
        <v>583</v>
      </c>
      <c r="D780" s="0" t="n">
        <v>0</v>
      </c>
      <c r="E780" s="0" t="n">
        <v>0.2371963481</v>
      </c>
      <c r="F780" s="0" t="n">
        <v>0.3299285133</v>
      </c>
      <c r="G780" s="0" t="n">
        <v>0.535823273</v>
      </c>
      <c r="H780" s="0" t="n">
        <v>0.4751780232</v>
      </c>
    </row>
    <row r="781" customFormat="false" ht="15" hidden="false" customHeight="false" outlineLevel="0" collapsed="false">
      <c r="A781" s="0" t="s">
        <v>1977</v>
      </c>
      <c r="B781" s="0" t="s">
        <v>880</v>
      </c>
      <c r="C781" s="0" t="s">
        <v>583</v>
      </c>
      <c r="D781" s="0" t="n">
        <v>0</v>
      </c>
      <c r="E781" s="0" t="n">
        <v>0.1193078229</v>
      </c>
      <c r="F781" s="0" t="n">
        <v>0.1826968264</v>
      </c>
      <c r="G781" s="0" t="n">
        <v>0.2337356396</v>
      </c>
      <c r="H781" s="0" t="n">
        <v>0.2401608719</v>
      </c>
    </row>
    <row r="782" customFormat="false" ht="15" hidden="false" customHeight="false" outlineLevel="0" collapsed="false">
      <c r="A782" s="0" t="s">
        <v>1978</v>
      </c>
      <c r="B782" s="0" t="s">
        <v>850</v>
      </c>
      <c r="C782" s="0" t="s">
        <v>583</v>
      </c>
      <c r="D782" s="0" t="n">
        <v>0</v>
      </c>
      <c r="E782" s="0" t="n">
        <v>0.2179768176</v>
      </c>
      <c r="F782" s="0" t="n">
        <v>0.2775225529</v>
      </c>
      <c r="G782" s="0" t="n">
        <v>0.341670725</v>
      </c>
      <c r="H782" s="0" t="n">
        <v>0.3737315393</v>
      </c>
    </row>
    <row r="783" customFormat="false" ht="15" hidden="false" customHeight="false" outlineLevel="0" collapsed="false">
      <c r="A783" s="0" t="s">
        <v>1979</v>
      </c>
      <c r="B783" s="0" t="s">
        <v>978</v>
      </c>
      <c r="C783" s="0" t="s">
        <v>583</v>
      </c>
      <c r="D783" s="0" t="n">
        <v>0</v>
      </c>
      <c r="E783" s="0" t="n">
        <v>0.0146398255</v>
      </c>
      <c r="F783" s="0" t="n">
        <v>0.04767972773</v>
      </c>
      <c r="G783" s="0" t="n">
        <v>0.09496282867</v>
      </c>
      <c r="H783" s="0" t="n">
        <v>0.07711932311</v>
      </c>
    </row>
    <row r="784" customFormat="false" ht="15" hidden="false" customHeight="false" outlineLevel="0" collapsed="false">
      <c r="A784" s="0" t="s">
        <v>1980</v>
      </c>
      <c r="B784" s="0" t="s">
        <v>766</v>
      </c>
      <c r="C784" s="0" t="s">
        <v>583</v>
      </c>
      <c r="D784" s="0" t="n">
        <v>0</v>
      </c>
      <c r="E784" s="0" t="n">
        <v>0.9790520507</v>
      </c>
      <c r="F784" s="0" t="n">
        <v>1.179167335</v>
      </c>
      <c r="G784" s="0" t="n">
        <v>1.75978806</v>
      </c>
      <c r="H784" s="0" t="n">
        <v>1.688782157</v>
      </c>
    </row>
    <row r="785" customFormat="false" ht="15" hidden="false" customHeight="false" outlineLevel="0" collapsed="false">
      <c r="A785" s="0" t="s">
        <v>1981</v>
      </c>
      <c r="B785" s="0" t="s">
        <v>1044</v>
      </c>
      <c r="C785" s="0" t="s">
        <v>583</v>
      </c>
      <c r="D785" s="0" t="n">
        <v>0</v>
      </c>
      <c r="E785" s="0" t="n">
        <v>0.005879133622</v>
      </c>
      <c r="F785" s="0" t="n">
        <v>0.01050395317</v>
      </c>
      <c r="G785" s="0" t="n">
        <v>0.02197615489</v>
      </c>
      <c r="H785" s="0" t="n">
        <v>0.02215353273</v>
      </c>
    </row>
    <row r="786" customFormat="false" ht="15" hidden="false" customHeight="false" outlineLevel="0" collapsed="false">
      <c r="A786" s="0" t="s">
        <v>1982</v>
      </c>
      <c r="B786" s="0" t="s">
        <v>1024</v>
      </c>
      <c r="C786" s="0" t="s">
        <v>583</v>
      </c>
      <c r="D786" s="0" t="n">
        <v>0</v>
      </c>
      <c r="E786" s="0" t="n">
        <v>0.02278971047</v>
      </c>
      <c r="F786" s="0" t="n">
        <v>0.02704130386</v>
      </c>
      <c r="G786" s="0" t="n">
        <v>0.03846084832</v>
      </c>
      <c r="H786" s="0" t="n">
        <v>0.03840565778</v>
      </c>
    </row>
    <row r="787" customFormat="false" ht="15" hidden="false" customHeight="false" outlineLevel="0" collapsed="false">
      <c r="A787" s="0" t="s">
        <v>1983</v>
      </c>
      <c r="B787" s="0" t="s">
        <v>838</v>
      </c>
      <c r="C787" s="0" t="s">
        <v>583</v>
      </c>
      <c r="D787" s="0" t="n">
        <v>0</v>
      </c>
      <c r="E787" s="0" t="n">
        <v>0.2231059746</v>
      </c>
      <c r="F787" s="0" t="n">
        <v>0.2571311619</v>
      </c>
      <c r="G787" s="0" t="n">
        <v>0.3397186424</v>
      </c>
      <c r="H787" s="0" t="n">
        <v>0.327707903</v>
      </c>
    </row>
    <row r="788" customFormat="false" ht="15" hidden="false" customHeight="false" outlineLevel="0" collapsed="false">
      <c r="A788" s="0" t="s">
        <v>1984</v>
      </c>
      <c r="B788" s="0" t="s">
        <v>906</v>
      </c>
      <c r="C788" s="0" t="s">
        <v>583</v>
      </c>
      <c r="D788" s="0" t="n">
        <v>0</v>
      </c>
      <c r="E788" s="0" t="n">
        <v>0.3392556175</v>
      </c>
      <c r="F788" s="0" t="n">
        <v>0.5047476181</v>
      </c>
      <c r="G788" s="0" t="n">
        <v>0.3983684147</v>
      </c>
      <c r="H788" s="0" t="n">
        <v>0.3794171386</v>
      </c>
    </row>
    <row r="789" customFormat="false" ht="15" hidden="false" customHeight="false" outlineLevel="0" collapsed="false">
      <c r="A789" s="0" t="s">
        <v>1985</v>
      </c>
      <c r="B789" s="0" t="s">
        <v>778</v>
      </c>
      <c r="C789" s="0" t="s">
        <v>583</v>
      </c>
      <c r="D789" s="0" t="n">
        <v>0</v>
      </c>
      <c r="E789" s="0" t="n">
        <v>3.289950996</v>
      </c>
      <c r="F789" s="0" t="n">
        <v>4.596552485</v>
      </c>
      <c r="G789" s="0" t="n">
        <v>3.532857124</v>
      </c>
      <c r="H789" s="0" t="n">
        <v>2.822502705</v>
      </c>
    </row>
    <row r="790" customFormat="false" ht="15" hidden="false" customHeight="false" outlineLevel="0" collapsed="false">
      <c r="A790" s="0" t="s">
        <v>1986</v>
      </c>
      <c r="B790" s="0" t="s">
        <v>700</v>
      </c>
      <c r="C790" s="0" t="s">
        <v>583</v>
      </c>
      <c r="D790" s="0" t="n">
        <v>0</v>
      </c>
      <c r="E790" s="0" t="n">
        <v>27.53762666</v>
      </c>
      <c r="F790" s="0" t="n">
        <v>36.6914827</v>
      </c>
      <c r="G790" s="0" t="n">
        <v>29.25345729</v>
      </c>
      <c r="H790" s="0" t="n">
        <v>23.66715339</v>
      </c>
    </row>
    <row r="791" customFormat="false" ht="15" hidden="false" customHeight="false" outlineLevel="0" collapsed="false">
      <c r="A791" s="0" t="s">
        <v>1987</v>
      </c>
      <c r="B791" s="0" t="s">
        <v>1014</v>
      </c>
      <c r="C791" s="0" t="s">
        <v>583</v>
      </c>
      <c r="D791" s="0" t="n">
        <v>0</v>
      </c>
      <c r="E791" s="0" t="n">
        <v>0.02553095173</v>
      </c>
      <c r="F791" s="0" t="n">
        <v>0.03065427384</v>
      </c>
      <c r="G791" s="0" t="n">
        <v>0.04358729758</v>
      </c>
      <c r="H791" s="0" t="n">
        <v>0.04157804414</v>
      </c>
    </row>
    <row r="792" customFormat="false" ht="15" hidden="false" customHeight="false" outlineLevel="0" collapsed="false">
      <c r="A792" s="0" t="s">
        <v>1988</v>
      </c>
      <c r="B792" s="0" t="s">
        <v>1058</v>
      </c>
      <c r="C792" s="0" t="s">
        <v>583</v>
      </c>
      <c r="D792" s="0" t="n">
        <v>0</v>
      </c>
      <c r="E792" s="0" t="n">
        <v>0.004141494411</v>
      </c>
      <c r="F792" s="0" t="n">
        <v>0.004942271218</v>
      </c>
      <c r="G792" s="0" t="n">
        <v>0.008173380598</v>
      </c>
      <c r="H792" s="0" t="n">
        <v>0.006998568209</v>
      </c>
    </row>
    <row r="793" customFormat="false" ht="15" hidden="false" customHeight="false" outlineLevel="0" collapsed="false">
      <c r="A793" s="0" t="s">
        <v>1989</v>
      </c>
      <c r="B793" s="0" t="s">
        <v>768</v>
      </c>
      <c r="C793" s="0" t="s">
        <v>583</v>
      </c>
      <c r="D793" s="0" t="n">
        <v>0</v>
      </c>
      <c r="E793" s="0" t="n">
        <v>1.888794221</v>
      </c>
      <c r="F793" s="0" t="n">
        <v>1.584190575</v>
      </c>
      <c r="G793" s="0" t="n">
        <v>1.514485902</v>
      </c>
      <c r="H793" s="0" t="n">
        <v>1.250233817</v>
      </c>
    </row>
    <row r="794" customFormat="false" ht="15" hidden="false" customHeight="false" outlineLevel="0" collapsed="false">
      <c r="A794" s="0" t="s">
        <v>1990</v>
      </c>
      <c r="B794" s="0" t="s">
        <v>818</v>
      </c>
      <c r="C794" s="0" t="s">
        <v>583</v>
      </c>
      <c r="D794" s="0" t="n">
        <v>0</v>
      </c>
      <c r="E794" s="0" t="n">
        <v>0.5913687804</v>
      </c>
      <c r="F794" s="0" t="n">
        <v>0.8296714166</v>
      </c>
      <c r="G794" s="0" t="n">
        <v>1.243074472</v>
      </c>
      <c r="H794" s="0" t="n">
        <v>1.042197542</v>
      </c>
    </row>
    <row r="795" customFormat="false" ht="15" hidden="false" customHeight="false" outlineLevel="0" collapsed="false">
      <c r="A795" s="0" t="s">
        <v>1991</v>
      </c>
      <c r="B795" s="0" t="s">
        <v>788</v>
      </c>
      <c r="C795" s="0" t="s">
        <v>583</v>
      </c>
      <c r="D795" s="0" t="n">
        <v>0</v>
      </c>
      <c r="E795" s="0" t="n">
        <v>2.375332808</v>
      </c>
      <c r="F795" s="0" t="n">
        <v>2.883109803</v>
      </c>
      <c r="G795" s="0" t="n">
        <v>4.266808892</v>
      </c>
      <c r="H795" s="0" t="n">
        <v>3.553622113</v>
      </c>
    </row>
    <row r="796" customFormat="false" ht="15" hidden="false" customHeight="false" outlineLevel="0" collapsed="false">
      <c r="A796" s="0" t="s">
        <v>1992</v>
      </c>
      <c r="B796" s="0" t="s">
        <v>824</v>
      </c>
      <c r="C796" s="0" t="s">
        <v>583</v>
      </c>
      <c r="D796" s="0" t="n">
        <v>0</v>
      </c>
      <c r="E796" s="0" t="n">
        <v>1.064880239</v>
      </c>
      <c r="F796" s="0" t="n">
        <v>1.236516052</v>
      </c>
      <c r="G796" s="0" t="n">
        <v>1.944370116</v>
      </c>
      <c r="H796" s="0" t="n">
        <v>1.76479062</v>
      </c>
    </row>
    <row r="797" customFormat="false" ht="15" hidden="false" customHeight="false" outlineLevel="0" collapsed="false">
      <c r="A797" s="0" t="s">
        <v>1993</v>
      </c>
      <c r="B797" s="0" t="s">
        <v>764</v>
      </c>
      <c r="C797" s="0" t="s">
        <v>583</v>
      </c>
      <c r="D797" s="0" t="n">
        <v>0</v>
      </c>
      <c r="E797" s="0" t="n">
        <v>3.066589155</v>
      </c>
      <c r="F797" s="0" t="n">
        <v>3.687237579</v>
      </c>
      <c r="G797" s="0" t="n">
        <v>5.932223325</v>
      </c>
      <c r="H797" s="0" t="n">
        <v>5.453660446</v>
      </c>
    </row>
    <row r="798" customFormat="false" ht="15" hidden="false" customHeight="false" outlineLevel="0" collapsed="false">
      <c r="A798" s="0" t="s">
        <v>1994</v>
      </c>
      <c r="B798" s="0" t="s">
        <v>722</v>
      </c>
      <c r="C798" s="0" t="s">
        <v>583</v>
      </c>
      <c r="D798" s="0" t="n">
        <v>0</v>
      </c>
      <c r="E798" s="0" t="n">
        <v>11.15331604</v>
      </c>
      <c r="F798" s="0" t="n">
        <v>13.50207347</v>
      </c>
      <c r="G798" s="0" t="n">
        <v>11.3324111</v>
      </c>
      <c r="H798" s="0" t="n">
        <v>9.896838579</v>
      </c>
    </row>
    <row r="799" customFormat="false" ht="15" hidden="false" customHeight="false" outlineLevel="0" collapsed="false">
      <c r="A799" s="0" t="s">
        <v>1995</v>
      </c>
      <c r="B799" s="0" t="s">
        <v>902</v>
      </c>
      <c r="C799" s="0" t="s">
        <v>583</v>
      </c>
      <c r="D799" s="0" t="n">
        <v>0</v>
      </c>
      <c r="E799" s="0" t="n">
        <v>0.2172308374</v>
      </c>
      <c r="F799" s="0" t="n">
        <v>0.2946223577</v>
      </c>
      <c r="G799" s="0" t="n">
        <v>0.2162320807</v>
      </c>
      <c r="H799" s="0" t="n">
        <v>0.1787803436</v>
      </c>
    </row>
    <row r="800" customFormat="false" ht="15" hidden="false" customHeight="false" outlineLevel="0" collapsed="false">
      <c r="A800" s="0" t="s">
        <v>1996</v>
      </c>
      <c r="B800" s="0" t="s">
        <v>802</v>
      </c>
      <c r="C800" s="0" t="s">
        <v>583</v>
      </c>
      <c r="D800" s="0" t="n">
        <v>0</v>
      </c>
      <c r="E800" s="0" t="n">
        <v>0.01338606014</v>
      </c>
      <c r="F800" s="0" t="n">
        <v>0.8966508273</v>
      </c>
      <c r="G800" s="0" t="n">
        <v>1.303542192</v>
      </c>
      <c r="H800" s="0" t="n">
        <v>1.612175433</v>
      </c>
    </row>
    <row r="801" customFormat="false" ht="15" hidden="false" customHeight="false" outlineLevel="0" collapsed="false">
      <c r="A801" s="0" t="s">
        <v>1997</v>
      </c>
      <c r="B801" s="0" t="s">
        <v>794</v>
      </c>
      <c r="C801" s="0" t="s">
        <v>583</v>
      </c>
      <c r="D801" s="0" t="n">
        <v>0</v>
      </c>
      <c r="E801" s="0" t="n">
        <v>2.048778083</v>
      </c>
      <c r="F801" s="0" t="n">
        <v>1.654613744</v>
      </c>
      <c r="G801" s="0" t="n">
        <v>1.804832319</v>
      </c>
      <c r="H801" s="0" t="n">
        <v>1.695453459</v>
      </c>
    </row>
    <row r="802" customFormat="false" ht="15" hidden="false" customHeight="false" outlineLevel="0" collapsed="false">
      <c r="A802" s="0" t="s">
        <v>1998</v>
      </c>
      <c r="B802" s="0" t="s">
        <v>1006</v>
      </c>
      <c r="C802" s="0" t="s">
        <v>583</v>
      </c>
      <c r="D802" s="0" t="n">
        <v>0</v>
      </c>
      <c r="E802" s="0" t="n">
        <v>0.026040406</v>
      </c>
      <c r="F802" s="0" t="n">
        <v>0.02886024457</v>
      </c>
      <c r="G802" s="0" t="n">
        <v>0.04179485593</v>
      </c>
      <c r="H802" s="0" t="n">
        <v>0.03901129935</v>
      </c>
    </row>
    <row r="803" customFormat="false" ht="15" hidden="false" customHeight="false" outlineLevel="0" collapsed="false">
      <c r="A803" s="0" t="s">
        <v>1999</v>
      </c>
      <c r="B803" s="0" t="s">
        <v>706</v>
      </c>
      <c r="C803" s="0" t="s">
        <v>583</v>
      </c>
      <c r="D803" s="0" t="n">
        <v>0</v>
      </c>
      <c r="E803" s="0" t="n">
        <v>17.92656267</v>
      </c>
      <c r="F803" s="0" t="n">
        <v>14.52123033</v>
      </c>
      <c r="G803" s="0" t="n">
        <v>15.83828203</v>
      </c>
      <c r="H803" s="0" t="n">
        <v>12.63718424</v>
      </c>
    </row>
    <row r="804" customFormat="false" ht="15" hidden="false" customHeight="false" outlineLevel="0" collapsed="false">
      <c r="A804" s="0" t="s">
        <v>2000</v>
      </c>
      <c r="B804" s="0" t="s">
        <v>950</v>
      </c>
      <c r="C804" s="0" t="s">
        <v>583</v>
      </c>
      <c r="D804" s="0" t="n">
        <v>0</v>
      </c>
      <c r="E804" s="0" t="n">
        <v>0.05122969724</v>
      </c>
      <c r="F804" s="0" t="n">
        <v>0.05737936895</v>
      </c>
      <c r="G804" s="0" t="n">
        <v>0.08547136218</v>
      </c>
      <c r="H804" s="0" t="n">
        <v>0.07673370415</v>
      </c>
    </row>
    <row r="805" customFormat="false" ht="15" hidden="false" customHeight="false" outlineLevel="0" collapsed="false">
      <c r="A805" s="0" t="s">
        <v>2001</v>
      </c>
      <c r="B805" s="0" t="s">
        <v>704</v>
      </c>
      <c r="C805" s="0" t="s">
        <v>583</v>
      </c>
      <c r="D805" s="0" t="n">
        <v>0</v>
      </c>
      <c r="E805" s="0" t="n">
        <v>15.7238157</v>
      </c>
      <c r="F805" s="0" t="n">
        <v>20.41044991</v>
      </c>
      <c r="G805" s="0" t="n">
        <v>17.06336654</v>
      </c>
      <c r="H805" s="0" t="n">
        <v>12.63534504</v>
      </c>
    </row>
    <row r="806" customFormat="false" ht="15" hidden="false" customHeight="false" outlineLevel="0" collapsed="false">
      <c r="A806" s="0" t="s">
        <v>2002</v>
      </c>
      <c r="B806" s="0" t="s">
        <v>900</v>
      </c>
      <c r="C806" s="0" t="s">
        <v>583</v>
      </c>
      <c r="D806" s="0" t="n">
        <v>0</v>
      </c>
      <c r="E806" s="0" t="n">
        <v>0.4523404654</v>
      </c>
      <c r="F806" s="0" t="n">
        <v>0.4480629229</v>
      </c>
      <c r="G806" s="0" t="n">
        <v>0.6123486953</v>
      </c>
      <c r="H806" s="0" t="n">
        <v>0.5900157477</v>
      </c>
    </row>
    <row r="807" customFormat="false" ht="15" hidden="false" customHeight="false" outlineLevel="0" collapsed="false">
      <c r="A807" s="0" t="s">
        <v>2003</v>
      </c>
      <c r="B807" s="0" t="s">
        <v>844</v>
      </c>
      <c r="C807" s="0" t="s">
        <v>583</v>
      </c>
      <c r="D807" s="0" t="n">
        <v>0</v>
      </c>
      <c r="E807" s="0" t="n">
        <v>0.2536041107</v>
      </c>
      <c r="F807" s="0" t="n">
        <v>0.6185412719</v>
      </c>
      <c r="G807" s="0" t="n">
        <v>1.101302233</v>
      </c>
      <c r="H807" s="0" t="n">
        <v>0.9650092202</v>
      </c>
    </row>
    <row r="808" customFormat="false" ht="15" hidden="false" customHeight="false" outlineLevel="0" collapsed="false">
      <c r="A808" s="0" t="s">
        <v>2004</v>
      </c>
      <c r="B808" s="0" t="s">
        <v>914</v>
      </c>
      <c r="C808" s="0" t="s">
        <v>583</v>
      </c>
      <c r="D808" s="0" t="n">
        <v>0</v>
      </c>
      <c r="E808" s="0" t="n">
        <v>0.1218045692</v>
      </c>
      <c r="F808" s="0" t="n">
        <v>0.1870577565</v>
      </c>
      <c r="G808" s="0" t="n">
        <v>0.2777422812</v>
      </c>
      <c r="H808" s="0" t="n">
        <v>0.3113545216</v>
      </c>
    </row>
    <row r="809" customFormat="false" ht="15" hidden="false" customHeight="false" outlineLevel="0" collapsed="false">
      <c r="A809" s="0" t="s">
        <v>2005</v>
      </c>
      <c r="B809" s="0" t="s">
        <v>1028</v>
      </c>
      <c r="C809" s="0" t="s">
        <v>583</v>
      </c>
      <c r="D809" s="0" t="n">
        <v>0</v>
      </c>
      <c r="E809" s="0" t="n">
        <v>0.01958434558</v>
      </c>
      <c r="F809" s="0" t="n">
        <v>0.02617561003</v>
      </c>
      <c r="G809" s="0" t="n">
        <v>0.04442803217</v>
      </c>
      <c r="H809" s="0" t="n">
        <v>0.04995555776</v>
      </c>
    </row>
    <row r="810" customFormat="false" ht="15" hidden="false" customHeight="false" outlineLevel="0" collapsed="false">
      <c r="A810" s="0" t="s">
        <v>2006</v>
      </c>
      <c r="B810" s="0" t="s">
        <v>1030</v>
      </c>
      <c r="C810" s="0" t="s">
        <v>583</v>
      </c>
      <c r="D810" s="0" t="n">
        <v>0</v>
      </c>
      <c r="E810" s="0" t="n">
        <v>0.005846514072</v>
      </c>
      <c r="F810" s="0" t="n">
        <v>0.008529539113</v>
      </c>
      <c r="G810" s="0" t="n">
        <v>0.01619490127</v>
      </c>
      <c r="H810" s="0" t="n">
        <v>0.01741213266</v>
      </c>
    </row>
    <row r="811" customFormat="false" ht="15" hidden="false" customHeight="false" outlineLevel="0" collapsed="false">
      <c r="A811" s="0" t="s">
        <v>2007</v>
      </c>
      <c r="B811" s="0" t="s">
        <v>994</v>
      </c>
      <c r="C811" s="0" t="s">
        <v>583</v>
      </c>
      <c r="D811" s="0" t="n">
        <v>0</v>
      </c>
      <c r="E811" s="0" t="n">
        <v>0.02941010788</v>
      </c>
      <c r="F811" s="0" t="n">
        <v>0.0424314612</v>
      </c>
      <c r="G811" s="0" t="n">
        <v>0.07853175541</v>
      </c>
      <c r="H811" s="0" t="n">
        <v>0.07929984831</v>
      </c>
    </row>
    <row r="812" customFormat="false" ht="15" hidden="false" customHeight="false" outlineLevel="0" collapsed="false">
      <c r="A812" s="0" t="s">
        <v>2008</v>
      </c>
      <c r="B812" s="0" t="s">
        <v>798</v>
      </c>
      <c r="C812" s="0" t="s">
        <v>583</v>
      </c>
      <c r="D812" s="0" t="n">
        <v>0</v>
      </c>
      <c r="E812" s="0" t="n">
        <v>2.42498222</v>
      </c>
      <c r="F812" s="0" t="n">
        <v>3.151858228</v>
      </c>
      <c r="G812" s="0" t="n">
        <v>2.21505628</v>
      </c>
      <c r="H812" s="0" t="n">
        <v>1.919746307</v>
      </c>
    </row>
    <row r="813" customFormat="false" ht="15" hidden="false" customHeight="false" outlineLevel="0" collapsed="false">
      <c r="A813" s="0" t="s">
        <v>2009</v>
      </c>
      <c r="B813" s="0" t="s">
        <v>1046</v>
      </c>
      <c r="C813" s="0" t="s">
        <v>583</v>
      </c>
      <c r="D813" s="0" t="n">
        <v>0</v>
      </c>
      <c r="E813" s="0" t="n">
        <v>0.009084281499</v>
      </c>
      <c r="F813" s="0" t="n">
        <v>0.01084439898</v>
      </c>
      <c r="G813" s="0" t="n">
        <v>0.01768448854</v>
      </c>
      <c r="H813" s="0" t="n">
        <v>0.01514006897</v>
      </c>
    </row>
    <row r="814" customFormat="false" ht="15" hidden="false" customHeight="false" outlineLevel="0" collapsed="false">
      <c r="A814" s="0" t="s">
        <v>2010</v>
      </c>
      <c r="B814" s="0" t="s">
        <v>826</v>
      </c>
      <c r="C814" s="0" t="s">
        <v>583</v>
      </c>
      <c r="D814" s="0" t="n">
        <v>0</v>
      </c>
      <c r="E814" s="0" t="n">
        <v>0.1871982322</v>
      </c>
      <c r="F814" s="0" t="n">
        <v>0.2478075652</v>
      </c>
      <c r="G814" s="0" t="n">
        <v>0.3650039502</v>
      </c>
      <c r="H814" s="0" t="n">
        <v>0.3194499852</v>
      </c>
    </row>
    <row r="815" customFormat="false" ht="15" hidden="false" customHeight="false" outlineLevel="0" collapsed="false">
      <c r="A815" s="0" t="s">
        <v>2011</v>
      </c>
      <c r="B815" s="0" t="s">
        <v>890</v>
      </c>
      <c r="C815" s="0" t="s">
        <v>583</v>
      </c>
      <c r="D815" s="0" t="n">
        <v>0</v>
      </c>
      <c r="E815" s="0" t="n">
        <v>0.0791155761</v>
      </c>
      <c r="F815" s="0" t="n">
        <v>0.1477334381</v>
      </c>
      <c r="G815" s="0" t="n">
        <v>0.2338083215</v>
      </c>
      <c r="H815" s="0" t="n">
        <v>0.2097795528</v>
      </c>
    </row>
    <row r="816" customFormat="false" ht="15" hidden="false" customHeight="false" outlineLevel="0" collapsed="false">
      <c r="A816" s="0" t="s">
        <v>2012</v>
      </c>
      <c r="B816" s="0" t="s">
        <v>770</v>
      </c>
      <c r="C816" s="0" t="s">
        <v>583</v>
      </c>
      <c r="D816" s="0" t="n">
        <v>0</v>
      </c>
      <c r="E816" s="0" t="n">
        <v>2.234620694</v>
      </c>
      <c r="F816" s="0" t="n">
        <v>2.925687647</v>
      </c>
      <c r="G816" s="0" t="n">
        <v>1.309915515</v>
      </c>
      <c r="H816" s="0" t="n">
        <v>1.070316081</v>
      </c>
    </row>
    <row r="817" customFormat="false" ht="15" hidden="false" customHeight="false" outlineLevel="0" collapsed="false">
      <c r="A817" s="0" t="s">
        <v>2013</v>
      </c>
      <c r="B817" s="0" t="s">
        <v>904</v>
      </c>
      <c r="C817" s="0" t="s">
        <v>583</v>
      </c>
      <c r="D817" s="0" t="n">
        <v>0</v>
      </c>
      <c r="E817" s="0" t="n">
        <v>0.1848716896</v>
      </c>
      <c r="F817" s="0" t="n">
        <v>0.2415346392</v>
      </c>
      <c r="G817" s="0" t="n">
        <v>0.4067564826</v>
      </c>
      <c r="H817" s="0" t="n">
        <v>0.3900034516</v>
      </c>
    </row>
    <row r="818" customFormat="false" ht="15" hidden="false" customHeight="false" outlineLevel="0" collapsed="false">
      <c r="A818" s="0" t="s">
        <v>2014</v>
      </c>
      <c r="B818" s="0" t="s">
        <v>846</v>
      </c>
      <c r="C818" s="0" t="s">
        <v>583</v>
      </c>
      <c r="D818" s="0" t="n">
        <v>0</v>
      </c>
      <c r="E818" s="0" t="n">
        <v>0.5955169702</v>
      </c>
      <c r="F818" s="0" t="n">
        <v>0.7328353265</v>
      </c>
      <c r="G818" s="0" t="n">
        <v>0.5772196382</v>
      </c>
      <c r="H818" s="0" t="n">
        <v>0.468364847</v>
      </c>
    </row>
    <row r="819" customFormat="false" ht="15" hidden="false" customHeight="false" outlineLevel="0" collapsed="false">
      <c r="A819" s="0" t="s">
        <v>2015</v>
      </c>
      <c r="B819" s="0" t="s">
        <v>956</v>
      </c>
      <c r="C819" s="0" t="s">
        <v>583</v>
      </c>
      <c r="D819" s="0" t="n">
        <v>0</v>
      </c>
      <c r="E819" s="0" t="n">
        <v>0.04537550283</v>
      </c>
      <c r="F819" s="0" t="n">
        <v>0.05976278992</v>
      </c>
      <c r="G819" s="0" t="n">
        <v>0.09670659362</v>
      </c>
      <c r="H819" s="0" t="n">
        <v>0.1015547971</v>
      </c>
    </row>
    <row r="820" customFormat="false" ht="15" hidden="false" customHeight="false" outlineLevel="0" collapsed="false">
      <c r="A820" s="0" t="s">
        <v>2016</v>
      </c>
      <c r="B820" s="0" t="s">
        <v>800</v>
      </c>
      <c r="C820" s="0" t="s">
        <v>583</v>
      </c>
      <c r="D820" s="0" t="n">
        <v>0</v>
      </c>
      <c r="E820" s="0" t="n">
        <v>0.9926891736</v>
      </c>
      <c r="F820" s="0" t="n">
        <v>1.385835886</v>
      </c>
      <c r="G820" s="0" t="n">
        <v>1.300059772</v>
      </c>
      <c r="H820" s="0" t="n">
        <v>1.16653926</v>
      </c>
    </row>
    <row r="821" customFormat="false" ht="15" hidden="false" customHeight="false" outlineLevel="0" collapsed="false">
      <c r="A821" s="0" t="s">
        <v>2017</v>
      </c>
      <c r="B821" s="0" t="s">
        <v>724</v>
      </c>
      <c r="C821" s="0" t="s">
        <v>583</v>
      </c>
      <c r="D821" s="0" t="n">
        <v>0</v>
      </c>
      <c r="E821" s="0" t="n">
        <v>8.853501014</v>
      </c>
      <c r="F821" s="0" t="n">
        <v>11.67345178</v>
      </c>
      <c r="G821" s="0" t="n">
        <v>18.94668942</v>
      </c>
      <c r="H821" s="0" t="n">
        <v>17.66700162</v>
      </c>
    </row>
    <row r="822" customFormat="false" ht="15" hidden="false" customHeight="false" outlineLevel="0" collapsed="false">
      <c r="A822" s="0" t="s">
        <v>2018</v>
      </c>
      <c r="B822" s="0" t="s">
        <v>36</v>
      </c>
      <c r="C822" s="0" t="s">
        <v>583</v>
      </c>
      <c r="D822" s="0" t="n">
        <v>0</v>
      </c>
      <c r="E822" s="0" t="n">
        <v>51.20356369</v>
      </c>
      <c r="F822" s="0" t="n">
        <v>67.42745773</v>
      </c>
      <c r="G822" s="0" t="n">
        <v>107.827924</v>
      </c>
      <c r="H822" s="0" t="n">
        <v>100.4750447</v>
      </c>
    </row>
    <row r="823" customFormat="false" ht="15" hidden="false" customHeight="false" outlineLevel="0" collapsed="false">
      <c r="A823" s="0" t="s">
        <v>2019</v>
      </c>
      <c r="B823" s="0" t="s">
        <v>738</v>
      </c>
      <c r="C823" s="0" t="s">
        <v>583</v>
      </c>
      <c r="D823" s="0" t="n">
        <v>0</v>
      </c>
      <c r="E823" s="0" t="n">
        <v>3.134612557</v>
      </c>
      <c r="F823" s="0" t="n">
        <v>2.652230777</v>
      </c>
      <c r="G823" s="0" t="n">
        <v>1.872958627</v>
      </c>
      <c r="H823" s="0" t="n">
        <v>1.448837145</v>
      </c>
    </row>
    <row r="824" customFormat="false" ht="15" hidden="false" customHeight="false" outlineLevel="0" collapsed="false">
      <c r="A824" s="0" t="s">
        <v>2020</v>
      </c>
      <c r="B824" s="0" t="s">
        <v>790</v>
      </c>
      <c r="C824" s="0" t="s">
        <v>583</v>
      </c>
      <c r="D824" s="0" t="n">
        <v>0</v>
      </c>
      <c r="E824" s="0" t="n">
        <v>8.413407666</v>
      </c>
      <c r="F824" s="0" t="n">
        <v>7.6042381</v>
      </c>
      <c r="G824" s="0" t="n">
        <v>15.44459163</v>
      </c>
      <c r="H824" s="0" t="n">
        <v>12.76041318</v>
      </c>
    </row>
    <row r="825" customFormat="false" ht="15" hidden="false" customHeight="false" outlineLevel="0" collapsed="false">
      <c r="A825" s="0" t="s">
        <v>2021</v>
      </c>
      <c r="B825" s="0" t="s">
        <v>806</v>
      </c>
      <c r="C825" s="0" t="s">
        <v>583</v>
      </c>
      <c r="D825" s="0" t="n">
        <v>0</v>
      </c>
      <c r="E825" s="0" t="n">
        <v>1.647340998</v>
      </c>
      <c r="F825" s="0" t="n">
        <v>1.2927901</v>
      </c>
      <c r="G825" s="0" t="n">
        <v>2.71248571</v>
      </c>
      <c r="H825" s="0" t="n">
        <v>2.19432621</v>
      </c>
    </row>
    <row r="826" customFormat="false" ht="15" hidden="false" customHeight="false" outlineLevel="0" collapsed="false">
      <c r="A826" s="0" t="s">
        <v>2022</v>
      </c>
      <c r="B826" s="0" t="s">
        <v>916</v>
      </c>
      <c r="C826" s="0" t="s">
        <v>583</v>
      </c>
      <c r="D826" s="0" t="n">
        <v>0</v>
      </c>
      <c r="E826" s="0" t="n">
        <v>0.07315451979</v>
      </c>
      <c r="F826" s="0" t="n">
        <v>0.1288588135</v>
      </c>
      <c r="G826" s="0" t="n">
        <v>0.1240636429</v>
      </c>
      <c r="H826" s="0" t="n">
        <v>0.1212814403</v>
      </c>
    </row>
    <row r="827" customFormat="false" ht="15" hidden="false" customHeight="false" outlineLevel="0" collapsed="false">
      <c r="A827" s="0" t="s">
        <v>2023</v>
      </c>
      <c r="B827" s="0" t="s">
        <v>750</v>
      </c>
      <c r="C827" s="0" t="s">
        <v>583</v>
      </c>
      <c r="D827" s="0" t="n">
        <v>0</v>
      </c>
      <c r="E827" s="0" t="n">
        <v>4.3319614</v>
      </c>
      <c r="F827" s="0" t="n">
        <v>6.16514645</v>
      </c>
      <c r="G827" s="0" t="n">
        <v>3.246437775</v>
      </c>
      <c r="H827" s="0" t="n">
        <v>2.837581139</v>
      </c>
    </row>
    <row r="828" customFormat="false" ht="15" hidden="false" customHeight="false" outlineLevel="0" collapsed="false">
      <c r="A828" s="0" t="s">
        <v>2024</v>
      </c>
      <c r="B828" s="0" t="s">
        <v>712</v>
      </c>
      <c r="C828" s="0" t="s">
        <v>583</v>
      </c>
      <c r="D828" s="0" t="n">
        <v>0</v>
      </c>
      <c r="E828" s="0" t="n">
        <v>12.17591066</v>
      </c>
      <c r="F828" s="0" t="n">
        <v>16.61463926</v>
      </c>
      <c r="G828" s="0" t="n">
        <v>12.67300118</v>
      </c>
      <c r="H828" s="0" t="n">
        <v>9.951435871</v>
      </c>
    </row>
    <row r="829" customFormat="false" ht="15" hidden="false" customHeight="false" outlineLevel="0" collapsed="false">
      <c r="A829" s="0" t="s">
        <v>2025</v>
      </c>
      <c r="B829" s="0" t="s">
        <v>964</v>
      </c>
      <c r="C829" s="0" t="s">
        <v>583</v>
      </c>
      <c r="D829" s="0" t="n">
        <v>0</v>
      </c>
      <c r="E829" s="0" t="n">
        <v>0.1524969514</v>
      </c>
      <c r="F829" s="0" t="n">
        <v>0.174129828</v>
      </c>
      <c r="G829" s="0" t="n">
        <v>0.3215689449</v>
      </c>
      <c r="H829" s="0" t="n">
        <v>0.2771427478</v>
      </c>
    </row>
    <row r="830" customFormat="false" ht="15" hidden="false" customHeight="false" outlineLevel="0" collapsed="false">
      <c r="A830" s="0" t="s">
        <v>2026</v>
      </c>
      <c r="B830" s="0" t="s">
        <v>876</v>
      </c>
      <c r="C830" s="0" t="s">
        <v>583</v>
      </c>
      <c r="D830" s="0" t="n">
        <v>0</v>
      </c>
      <c r="E830" s="0" t="n">
        <v>0.4042186382</v>
      </c>
      <c r="F830" s="0" t="n">
        <v>0.4809522432</v>
      </c>
      <c r="G830" s="0" t="n">
        <v>0.7459563576</v>
      </c>
      <c r="H830" s="0" t="n">
        <v>0.5633539052</v>
      </c>
    </row>
    <row r="831" customFormat="false" ht="15" hidden="false" customHeight="false" outlineLevel="0" collapsed="false">
      <c r="A831" s="0" t="s">
        <v>2027</v>
      </c>
      <c r="B831" s="0" t="s">
        <v>702</v>
      </c>
      <c r="C831" s="0" t="s">
        <v>583</v>
      </c>
      <c r="D831" s="0" t="n">
        <v>0</v>
      </c>
      <c r="E831" s="0" t="n">
        <v>40.48445514</v>
      </c>
      <c r="F831" s="0" t="n">
        <v>52.88622098</v>
      </c>
      <c r="G831" s="0" t="n">
        <v>33.93104334</v>
      </c>
      <c r="H831" s="0" t="n">
        <v>29.72457174</v>
      </c>
    </row>
    <row r="832" customFormat="false" ht="15" hidden="false" customHeight="false" outlineLevel="0" collapsed="false">
      <c r="A832" s="0" t="s">
        <v>2028</v>
      </c>
      <c r="B832" s="0" t="s">
        <v>780</v>
      </c>
      <c r="C832" s="0" t="s">
        <v>583</v>
      </c>
      <c r="D832" s="0" t="n">
        <v>0</v>
      </c>
      <c r="E832" s="0" t="n">
        <v>3.387573901</v>
      </c>
      <c r="F832" s="0" t="n">
        <v>4.380033487</v>
      </c>
      <c r="G832" s="0" t="n">
        <v>7.057500388</v>
      </c>
      <c r="H832" s="0" t="n">
        <v>6.067183739</v>
      </c>
    </row>
    <row r="833" customFormat="false" ht="15" hidden="false" customHeight="false" outlineLevel="0" collapsed="false">
      <c r="A833" s="0" t="s">
        <v>2029</v>
      </c>
      <c r="B833" s="0" t="s">
        <v>814</v>
      </c>
      <c r="C833" s="0" t="s">
        <v>583</v>
      </c>
      <c r="D833" s="0" t="n">
        <v>0</v>
      </c>
      <c r="E833" s="0" t="n">
        <v>0.2983381802</v>
      </c>
      <c r="F833" s="0" t="n">
        <v>0.4068376213</v>
      </c>
      <c r="G833" s="0" t="n">
        <v>0.5663268622</v>
      </c>
      <c r="H833" s="0" t="n">
        <v>0.6042017179</v>
      </c>
    </row>
    <row r="834" customFormat="false" ht="15" hidden="false" customHeight="false" outlineLevel="0" collapsed="false">
      <c r="A834" s="0" t="s">
        <v>2030</v>
      </c>
      <c r="B834" s="0" t="s">
        <v>946</v>
      </c>
      <c r="C834" s="0" t="s">
        <v>583</v>
      </c>
      <c r="D834" s="0" t="n">
        <v>0</v>
      </c>
      <c r="E834" s="0" t="n">
        <v>0.4194797873</v>
      </c>
      <c r="F834" s="0" t="n">
        <v>0.364776078</v>
      </c>
      <c r="G834" s="0" t="n">
        <v>0.3966078462</v>
      </c>
      <c r="H834" s="0" t="n">
        <v>0.458667886</v>
      </c>
    </row>
    <row r="835" customFormat="false" ht="15" hidden="false" customHeight="false" outlineLevel="0" collapsed="false">
      <c r="A835" s="0" t="s">
        <v>2031</v>
      </c>
      <c r="B835" s="0" t="s">
        <v>886</v>
      </c>
      <c r="C835" s="0" t="s">
        <v>583</v>
      </c>
      <c r="D835" s="0" t="n">
        <v>0</v>
      </c>
      <c r="E835" s="0" t="n">
        <v>0.3575871551</v>
      </c>
      <c r="F835" s="0" t="n">
        <v>0.4380689953</v>
      </c>
      <c r="G835" s="0" t="n">
        <v>0.7121008939</v>
      </c>
      <c r="H835" s="0" t="n">
        <v>0.6319783637</v>
      </c>
    </row>
    <row r="836" customFormat="false" ht="15" hidden="false" customHeight="false" outlineLevel="0" collapsed="false">
      <c r="A836" s="0" t="s">
        <v>2032</v>
      </c>
      <c r="B836" s="0" t="s">
        <v>1054</v>
      </c>
      <c r="C836" s="0" t="s">
        <v>583</v>
      </c>
      <c r="D836" s="0" t="n">
        <v>0</v>
      </c>
      <c r="E836" s="0" t="n">
        <v>0.01179480475</v>
      </c>
      <c r="F836" s="0" t="n">
        <v>0.01463210886</v>
      </c>
      <c r="G836" s="0" t="n">
        <v>0.01979027475</v>
      </c>
      <c r="H836" s="0" t="n">
        <v>0.0149483967</v>
      </c>
    </row>
    <row r="837" customFormat="false" ht="15" hidden="false" customHeight="false" outlineLevel="0" collapsed="false">
      <c r="A837" s="0" t="s">
        <v>2033</v>
      </c>
      <c r="B837" s="0" t="s">
        <v>716</v>
      </c>
      <c r="C837" s="0" t="s">
        <v>583</v>
      </c>
      <c r="D837" s="0" t="n">
        <v>0</v>
      </c>
      <c r="E837" s="0" t="n">
        <v>22.59114779</v>
      </c>
      <c r="F837" s="0" t="n">
        <v>32.5249779</v>
      </c>
      <c r="G837" s="0" t="n">
        <v>21.30746858</v>
      </c>
      <c r="H837" s="0" t="n">
        <v>18.71579371</v>
      </c>
    </row>
    <row r="838" customFormat="false" ht="15" hidden="false" customHeight="false" outlineLevel="0" collapsed="false">
      <c r="A838" s="0" t="s">
        <v>2034</v>
      </c>
      <c r="B838" s="0" t="s">
        <v>812</v>
      </c>
      <c r="C838" s="0" t="s">
        <v>583</v>
      </c>
      <c r="D838" s="0" t="n">
        <v>0</v>
      </c>
      <c r="E838" s="0" t="n">
        <v>2.237404313</v>
      </c>
      <c r="F838" s="0" t="n">
        <v>1.762367453</v>
      </c>
      <c r="G838" s="0" t="n">
        <v>2.943699047</v>
      </c>
      <c r="H838" s="0" t="n">
        <v>2.004576619</v>
      </c>
    </row>
    <row r="839" customFormat="false" ht="15" hidden="false" customHeight="false" outlineLevel="0" collapsed="false">
      <c r="A839" s="0" t="s">
        <v>2035</v>
      </c>
      <c r="B839" s="0" t="s">
        <v>972</v>
      </c>
      <c r="C839" s="0" t="s">
        <v>583</v>
      </c>
      <c r="D839" s="0" t="n">
        <v>0</v>
      </c>
      <c r="E839" s="0" t="n">
        <v>0.0008117201843</v>
      </c>
      <c r="F839" s="0" t="n">
        <v>0.0006970517416</v>
      </c>
      <c r="G839" s="0" t="n">
        <v>0.0005140227719</v>
      </c>
      <c r="H839" s="0" t="n">
        <v>0.0003790527938</v>
      </c>
    </row>
    <row r="840" customFormat="false" ht="15" hidden="false" customHeight="false" outlineLevel="0" collapsed="false">
      <c r="A840" s="0" t="s">
        <v>2036</v>
      </c>
      <c r="B840" s="0" t="s">
        <v>922</v>
      </c>
      <c r="C840" s="0" t="s">
        <v>583</v>
      </c>
      <c r="D840" s="0" t="n">
        <v>0</v>
      </c>
      <c r="E840" s="0" t="n">
        <v>0.6871751904</v>
      </c>
      <c r="F840" s="0" t="n">
        <v>0.7069146672</v>
      </c>
      <c r="G840" s="0" t="n">
        <v>0.953924542</v>
      </c>
      <c r="H840" s="0" t="n">
        <v>0.8814258522</v>
      </c>
    </row>
    <row r="841" customFormat="false" ht="15" hidden="false" customHeight="false" outlineLevel="0" collapsed="false">
      <c r="A841" s="0" t="s">
        <v>2037</v>
      </c>
      <c r="B841" s="0" t="s">
        <v>1008</v>
      </c>
      <c r="C841" s="0" t="s">
        <v>583</v>
      </c>
      <c r="D841" s="0" t="n">
        <v>0</v>
      </c>
      <c r="E841" s="0" t="n">
        <v>0.01735059533</v>
      </c>
      <c r="F841" s="0" t="n">
        <v>0.02482174315</v>
      </c>
      <c r="G841" s="0" t="n">
        <v>0.04052177677</v>
      </c>
      <c r="H841" s="0" t="n">
        <v>0.04373195132</v>
      </c>
    </row>
    <row r="842" customFormat="false" ht="15" hidden="false" customHeight="false" outlineLevel="0" collapsed="false">
      <c r="A842" s="0" t="s">
        <v>2038</v>
      </c>
      <c r="B842" s="0" t="s">
        <v>874</v>
      </c>
      <c r="C842" s="0" t="s">
        <v>583</v>
      </c>
      <c r="D842" s="0" t="n">
        <v>0</v>
      </c>
      <c r="E842" s="0" t="n">
        <v>2.420121941</v>
      </c>
      <c r="F842" s="0" t="n">
        <v>1.894764893</v>
      </c>
      <c r="G842" s="0" t="n">
        <v>2.512379845</v>
      </c>
      <c r="H842" s="0" t="n">
        <v>2.024540822</v>
      </c>
    </row>
    <row r="843" customFormat="false" ht="15" hidden="false" customHeight="false" outlineLevel="0" collapsed="false">
      <c r="A843" s="0" t="s">
        <v>2039</v>
      </c>
      <c r="B843" s="0" t="s">
        <v>1032</v>
      </c>
      <c r="C843" s="0" t="s">
        <v>583</v>
      </c>
      <c r="D843" s="0" t="n">
        <v>0</v>
      </c>
      <c r="E843" s="0" t="n">
        <v>0.009377067669</v>
      </c>
      <c r="F843" s="0" t="n">
        <v>0.01264112976</v>
      </c>
      <c r="G843" s="0" t="n">
        <v>0.02223961455</v>
      </c>
      <c r="H843" s="0" t="n">
        <v>0.01816432029</v>
      </c>
    </row>
    <row r="844" customFormat="false" ht="15" hidden="false" customHeight="false" outlineLevel="0" collapsed="false">
      <c r="A844" s="0" t="s">
        <v>2040</v>
      </c>
      <c r="B844" s="0" t="s">
        <v>840</v>
      </c>
      <c r="C844" s="0" t="s">
        <v>583</v>
      </c>
      <c r="D844" s="0" t="n">
        <v>0</v>
      </c>
      <c r="E844" s="0" t="n">
        <v>0.2275278408</v>
      </c>
      <c r="F844" s="0" t="n">
        <v>0.3181711621</v>
      </c>
      <c r="G844" s="0" t="n">
        <v>0.5410765404</v>
      </c>
      <c r="H844" s="0" t="n">
        <v>0.4907998046</v>
      </c>
    </row>
    <row r="845" customFormat="false" ht="15" hidden="false" customHeight="false" outlineLevel="0" collapsed="false">
      <c r="A845" s="0" t="s">
        <v>2041</v>
      </c>
      <c r="B845" s="0" t="s">
        <v>1034</v>
      </c>
      <c r="C845" s="0" t="s">
        <v>583</v>
      </c>
      <c r="D845" s="0" t="n">
        <v>0</v>
      </c>
      <c r="E845" s="0" t="n">
        <v>0.04121793624</v>
      </c>
      <c r="F845" s="0" t="n">
        <v>0.05395467905</v>
      </c>
      <c r="G845" s="0" t="n">
        <v>0.09229251185</v>
      </c>
      <c r="H845" s="0" t="n">
        <v>0.09177113203</v>
      </c>
    </row>
    <row r="846" customFormat="false" ht="15" hidden="false" customHeight="false" outlineLevel="0" collapsed="false">
      <c r="A846" s="0" t="s">
        <v>2042</v>
      </c>
      <c r="B846" s="0" t="s">
        <v>856</v>
      </c>
      <c r="C846" s="0" t="s">
        <v>583</v>
      </c>
      <c r="D846" s="0" t="n">
        <v>0</v>
      </c>
      <c r="E846" s="0" t="n">
        <v>0.5262774845</v>
      </c>
      <c r="F846" s="0" t="n">
        <v>0.685021584</v>
      </c>
      <c r="G846" s="0" t="n">
        <v>0.5940176312</v>
      </c>
      <c r="H846" s="0" t="n">
        <v>0.4873365338</v>
      </c>
    </row>
    <row r="847" customFormat="false" ht="15" hidden="false" customHeight="false" outlineLevel="0" collapsed="false">
      <c r="A847" s="0" t="s">
        <v>2043</v>
      </c>
      <c r="B847" s="0" t="s">
        <v>854</v>
      </c>
      <c r="C847" s="0" t="s">
        <v>583</v>
      </c>
      <c r="D847" s="0" t="n">
        <v>0</v>
      </c>
      <c r="E847" s="0" t="n">
        <v>0.2411679144</v>
      </c>
      <c r="F847" s="0" t="n">
        <v>0.285833417</v>
      </c>
      <c r="G847" s="0" t="n">
        <v>0.2897732274</v>
      </c>
      <c r="H847" s="0" t="n">
        <v>0.2259198352</v>
      </c>
    </row>
    <row r="848" customFormat="false" ht="15" hidden="false" customHeight="false" outlineLevel="0" collapsed="false">
      <c r="A848" s="0" t="s">
        <v>2044</v>
      </c>
      <c r="B848" s="0" t="s">
        <v>894</v>
      </c>
      <c r="C848" s="0" t="s">
        <v>583</v>
      </c>
      <c r="D848" s="0" t="n">
        <v>0</v>
      </c>
      <c r="E848" s="0" t="n">
        <v>0.2529884414</v>
      </c>
      <c r="F848" s="0" t="n">
        <v>0.3479095007</v>
      </c>
      <c r="G848" s="0" t="n">
        <v>0.2889307534</v>
      </c>
      <c r="H848" s="0" t="n">
        <v>0.2372558777</v>
      </c>
    </row>
    <row r="849" customFormat="false" ht="15" hidden="false" customHeight="false" outlineLevel="0" collapsed="false">
      <c r="A849" s="0" t="s">
        <v>2045</v>
      </c>
      <c r="B849" s="0" t="s">
        <v>882</v>
      </c>
      <c r="C849" s="0" t="s">
        <v>583</v>
      </c>
      <c r="D849" s="0" t="n">
        <v>0</v>
      </c>
      <c r="E849" s="0" t="n">
        <v>0.1615248267</v>
      </c>
      <c r="F849" s="0" t="n">
        <v>0.1932713083</v>
      </c>
      <c r="G849" s="0" t="n">
        <v>0.08394766075</v>
      </c>
      <c r="H849" s="0" t="n">
        <v>0.07217497732</v>
      </c>
    </row>
    <row r="850" customFormat="false" ht="15" hidden="false" customHeight="false" outlineLevel="0" collapsed="false">
      <c r="A850" s="0" t="s">
        <v>2046</v>
      </c>
      <c r="B850" s="0" t="s">
        <v>808</v>
      </c>
      <c r="C850" s="0" t="s">
        <v>583</v>
      </c>
      <c r="D850" s="0" t="n">
        <v>0</v>
      </c>
      <c r="E850" s="0" t="n">
        <v>0.8406878297</v>
      </c>
      <c r="F850" s="0" t="n">
        <v>1.112713003</v>
      </c>
      <c r="G850" s="0" t="n">
        <v>1.823599938</v>
      </c>
      <c r="H850" s="0" t="n">
        <v>1.652199231</v>
      </c>
    </row>
    <row r="851" customFormat="false" ht="15" hidden="false" customHeight="false" outlineLevel="0" collapsed="false">
      <c r="A851" s="0" t="s">
        <v>2047</v>
      </c>
      <c r="B851" s="0" t="s">
        <v>966</v>
      </c>
      <c r="C851" s="0" t="s">
        <v>583</v>
      </c>
      <c r="D851" s="0" t="n">
        <v>0</v>
      </c>
      <c r="E851" s="0" t="n">
        <v>0.2215800431</v>
      </c>
      <c r="F851" s="0" t="n">
        <v>0.2656788743</v>
      </c>
      <c r="G851" s="0" t="n">
        <v>0.4467271869</v>
      </c>
      <c r="H851" s="0" t="n">
        <v>0.4340591799</v>
      </c>
    </row>
    <row r="852" customFormat="false" ht="15" hidden="false" customHeight="false" outlineLevel="0" collapsed="false">
      <c r="A852" s="0" t="s">
        <v>2048</v>
      </c>
      <c r="B852" s="0" t="s">
        <v>960</v>
      </c>
      <c r="C852" s="0" t="s">
        <v>583</v>
      </c>
      <c r="D852" s="0" t="n">
        <v>0</v>
      </c>
      <c r="E852" s="0" t="n">
        <v>0.04376905911</v>
      </c>
      <c r="F852" s="0" t="n">
        <v>0.06092055548</v>
      </c>
      <c r="G852" s="0" t="n">
        <v>0.09748212288</v>
      </c>
      <c r="H852" s="0" t="n">
        <v>0.09506600662</v>
      </c>
    </row>
    <row r="853" customFormat="false" ht="15" hidden="false" customHeight="false" outlineLevel="0" collapsed="false">
      <c r="A853" s="0" t="s">
        <v>2049</v>
      </c>
      <c r="B853" s="0" t="s">
        <v>1002</v>
      </c>
      <c r="C853" s="0" t="s">
        <v>583</v>
      </c>
      <c r="D853" s="0" t="n">
        <v>0</v>
      </c>
      <c r="E853" s="0" t="n">
        <v>0.08554353959</v>
      </c>
      <c r="F853" s="0" t="n">
        <v>0.08866417767</v>
      </c>
      <c r="G853" s="0" t="n">
        <v>0.1323340402</v>
      </c>
      <c r="H853" s="0" t="n">
        <v>0.106874254</v>
      </c>
    </row>
    <row r="854" customFormat="false" ht="15" hidden="false" customHeight="false" outlineLevel="0" collapsed="false">
      <c r="A854" s="0" t="s">
        <v>2050</v>
      </c>
      <c r="B854" s="0" t="s">
        <v>720</v>
      </c>
      <c r="C854" s="0" t="s">
        <v>583</v>
      </c>
      <c r="D854" s="0" t="n">
        <v>0</v>
      </c>
      <c r="E854" s="0" t="n">
        <v>6.850648443</v>
      </c>
      <c r="F854" s="0" t="n">
        <v>8.978331079</v>
      </c>
      <c r="G854" s="0" t="n">
        <v>14.2690827</v>
      </c>
      <c r="H854" s="0" t="n">
        <v>12.37549422</v>
      </c>
    </row>
    <row r="855" customFormat="false" ht="15" hidden="false" customHeight="false" outlineLevel="0" collapsed="false">
      <c r="A855" s="0" t="s">
        <v>2051</v>
      </c>
      <c r="B855" s="0" t="s">
        <v>970</v>
      </c>
      <c r="C855" s="0" t="s">
        <v>583</v>
      </c>
      <c r="D855" s="0" t="n">
        <v>0</v>
      </c>
      <c r="E855" s="0" t="n">
        <v>0.1112583056</v>
      </c>
      <c r="F855" s="0" t="n">
        <v>0.1187323472</v>
      </c>
      <c r="G855" s="0" t="n">
        <v>0.1645927249</v>
      </c>
      <c r="H855" s="0" t="n">
        <v>0.1391776721</v>
      </c>
    </row>
    <row r="856" customFormat="false" ht="15" hidden="false" customHeight="false" outlineLevel="0" collapsed="false">
      <c r="A856" s="0" t="s">
        <v>2052</v>
      </c>
      <c r="B856" s="0" t="s">
        <v>918</v>
      </c>
      <c r="C856" s="0" t="s">
        <v>583</v>
      </c>
      <c r="D856" s="0" t="n">
        <v>0</v>
      </c>
      <c r="E856" s="0" t="n">
        <v>0.1271405021</v>
      </c>
      <c r="F856" s="0" t="n">
        <v>0.2213127181</v>
      </c>
      <c r="G856" s="0" t="n">
        <v>0.4549628501</v>
      </c>
      <c r="H856" s="0" t="n">
        <v>0.4411942945</v>
      </c>
    </row>
    <row r="857" customFormat="false" ht="15" hidden="false" customHeight="false" outlineLevel="0" collapsed="false">
      <c r="A857" s="0" t="s">
        <v>2053</v>
      </c>
      <c r="B857" s="0" t="s">
        <v>936</v>
      </c>
      <c r="C857" s="0" t="s">
        <v>583</v>
      </c>
      <c r="D857" s="0" t="n">
        <v>0</v>
      </c>
      <c r="E857" s="0" t="n">
        <v>0.0995864011</v>
      </c>
      <c r="F857" s="0" t="n">
        <v>0.1342504066</v>
      </c>
      <c r="G857" s="0" t="n">
        <v>0.06395924565</v>
      </c>
      <c r="H857" s="0" t="n">
        <v>0.05293929847</v>
      </c>
    </row>
    <row r="858" customFormat="false" ht="15" hidden="false" customHeight="false" outlineLevel="0" collapsed="false">
      <c r="A858" s="0" t="s">
        <v>2054</v>
      </c>
      <c r="B858" s="0" t="s">
        <v>862</v>
      </c>
      <c r="C858" s="0" t="s">
        <v>583</v>
      </c>
      <c r="D858" s="0" t="n">
        <v>0</v>
      </c>
      <c r="E858" s="0" t="n">
        <v>0.2959346907</v>
      </c>
      <c r="F858" s="0" t="n">
        <v>0.6830506769</v>
      </c>
      <c r="G858" s="0" t="n">
        <v>1.187806558</v>
      </c>
      <c r="H858" s="0" t="n">
        <v>1.255970473</v>
      </c>
    </row>
    <row r="859" customFormat="false" ht="15" hidden="false" customHeight="false" outlineLevel="0" collapsed="false">
      <c r="A859" s="0" t="s">
        <v>2055</v>
      </c>
      <c r="B859" s="0" t="s">
        <v>996</v>
      </c>
      <c r="C859" s="0" t="s">
        <v>583</v>
      </c>
      <c r="D859" s="0" t="n">
        <v>0</v>
      </c>
      <c r="E859" s="0" t="n">
        <v>0.0457807475</v>
      </c>
      <c r="F859" s="0" t="n">
        <v>0.06059117853</v>
      </c>
      <c r="G859" s="0" t="n">
        <v>0.060810229</v>
      </c>
      <c r="H859" s="0" t="n">
        <v>0.06039152218</v>
      </c>
    </row>
    <row r="860" customFormat="false" ht="15" hidden="false" customHeight="false" outlineLevel="0" collapsed="false">
      <c r="A860" s="0" t="s">
        <v>2056</v>
      </c>
      <c r="B860" s="0" t="s">
        <v>928</v>
      </c>
      <c r="C860" s="0" t="s">
        <v>583</v>
      </c>
      <c r="D860" s="0" t="n">
        <v>0</v>
      </c>
      <c r="E860" s="0" t="n">
        <v>0.1997908119</v>
      </c>
      <c r="F860" s="0" t="n">
        <v>0.2504703169</v>
      </c>
      <c r="G860" s="0" t="n">
        <v>0.4193584462</v>
      </c>
      <c r="H860" s="0" t="n">
        <v>0.3567089879</v>
      </c>
    </row>
    <row r="861" customFormat="false" ht="15" hidden="false" customHeight="false" outlineLevel="0" collapsed="false">
      <c r="A861" s="0" t="s">
        <v>2057</v>
      </c>
      <c r="B861" s="0" t="s">
        <v>954</v>
      </c>
      <c r="C861" s="0" t="s">
        <v>583</v>
      </c>
      <c r="D861" s="0" t="n">
        <v>0</v>
      </c>
      <c r="E861" s="0" t="n">
        <v>0.01406954925</v>
      </c>
      <c r="F861" s="0" t="n">
        <v>0.2070247925</v>
      </c>
      <c r="G861" s="0" t="n">
        <v>0.5014023756</v>
      </c>
      <c r="H861" s="0" t="n">
        <v>0.5424189517</v>
      </c>
    </row>
    <row r="862" customFormat="false" ht="15" hidden="false" customHeight="false" outlineLevel="0" collapsed="false">
      <c r="A862" s="0" t="s">
        <v>2058</v>
      </c>
      <c r="B862" s="0" t="s">
        <v>988</v>
      </c>
      <c r="C862" s="0" t="s">
        <v>583</v>
      </c>
      <c r="D862" s="0" t="n">
        <v>0</v>
      </c>
      <c r="E862" s="0" t="n">
        <v>0.08834412693</v>
      </c>
      <c r="F862" s="0" t="n">
        <v>0.1440969289</v>
      </c>
      <c r="G862" s="0" t="n">
        <v>0.2845288716</v>
      </c>
      <c r="H862" s="0" t="n">
        <v>0.2903999741</v>
      </c>
    </row>
    <row r="863" customFormat="false" ht="15" hidden="false" customHeight="false" outlineLevel="0" collapsed="false">
      <c r="A863" s="0" t="s">
        <v>2059</v>
      </c>
      <c r="B863" s="0" t="s">
        <v>974</v>
      </c>
      <c r="C863" s="0" t="s">
        <v>583</v>
      </c>
      <c r="D863" s="0" t="n">
        <v>0</v>
      </c>
      <c r="E863" s="0" t="n">
        <v>0.06707581747</v>
      </c>
      <c r="F863" s="0" t="n">
        <v>0.08508250043</v>
      </c>
      <c r="G863" s="0" t="n">
        <v>0.1322325004</v>
      </c>
      <c r="H863" s="0" t="n">
        <v>0.09552910639</v>
      </c>
    </row>
    <row r="864" customFormat="false" ht="15" hidden="false" customHeight="false" outlineLevel="0" collapsed="false">
      <c r="A864" s="0" t="s">
        <v>2060</v>
      </c>
      <c r="B864" s="0" t="s">
        <v>992</v>
      </c>
      <c r="C864" s="0" t="s">
        <v>583</v>
      </c>
      <c r="D864" s="0" t="n">
        <v>0</v>
      </c>
      <c r="E864" s="0" t="n">
        <v>0.01852022943</v>
      </c>
      <c r="F864" s="0" t="n">
        <v>0.03265599829</v>
      </c>
      <c r="G864" s="0" t="n">
        <v>0.06155573727</v>
      </c>
      <c r="H864" s="0" t="n">
        <v>0.06670672847</v>
      </c>
    </row>
    <row r="865" customFormat="false" ht="15" hidden="false" customHeight="false" outlineLevel="0" collapsed="false">
      <c r="A865" s="0" t="s">
        <v>2061</v>
      </c>
      <c r="B865" s="0" t="s">
        <v>760</v>
      </c>
      <c r="C865" s="0" t="s">
        <v>583</v>
      </c>
      <c r="D865" s="0" t="n">
        <v>0</v>
      </c>
      <c r="E865" s="0" t="n">
        <v>3.711593804</v>
      </c>
      <c r="F865" s="0" t="n">
        <v>4.725233776</v>
      </c>
      <c r="G865" s="0" t="n">
        <v>7.314117088</v>
      </c>
      <c r="H865" s="0" t="n">
        <v>6.011173611</v>
      </c>
    </row>
    <row r="866" customFormat="false" ht="15" hidden="false" customHeight="false" outlineLevel="0" collapsed="false">
      <c r="A866" s="0" t="s">
        <v>2062</v>
      </c>
      <c r="B866" s="0" t="s">
        <v>982</v>
      </c>
      <c r="C866" s="0" t="s">
        <v>583</v>
      </c>
      <c r="D866" s="0" t="n">
        <v>0</v>
      </c>
      <c r="E866" s="0" t="n">
        <v>0.0343474248</v>
      </c>
      <c r="F866" s="0" t="n">
        <v>0.04659923945</v>
      </c>
      <c r="G866" s="0" t="n">
        <v>0.0684972319</v>
      </c>
      <c r="H866" s="0" t="n">
        <v>0.07091271962</v>
      </c>
    </row>
    <row r="867" customFormat="false" ht="15" hidden="false" customHeight="false" outlineLevel="0" collapsed="false">
      <c r="A867" s="0" t="s">
        <v>2063</v>
      </c>
      <c r="B867" s="0" t="s">
        <v>940</v>
      </c>
      <c r="C867" s="0" t="s">
        <v>583</v>
      </c>
      <c r="D867" s="0" t="n">
        <v>0</v>
      </c>
      <c r="E867" s="0" t="n">
        <v>0.06612603119</v>
      </c>
      <c r="F867" s="0" t="n">
        <v>0.08958313752</v>
      </c>
      <c r="G867" s="0" t="n">
        <v>0.1424777549</v>
      </c>
      <c r="H867" s="0" t="n">
        <v>0.1264100837</v>
      </c>
    </row>
    <row r="868" customFormat="false" ht="15" hidden="false" customHeight="false" outlineLevel="0" collapsed="false">
      <c r="A868" s="0" t="s">
        <v>2064</v>
      </c>
      <c r="B868" s="0" t="s">
        <v>792</v>
      </c>
      <c r="C868" s="0" t="s">
        <v>583</v>
      </c>
      <c r="D868" s="0" t="n">
        <v>0</v>
      </c>
      <c r="E868" s="0" t="n">
        <v>0.904783462</v>
      </c>
      <c r="F868" s="0" t="n">
        <v>1.400873009</v>
      </c>
      <c r="G868" s="0" t="n">
        <v>2.449124249</v>
      </c>
      <c r="H868" s="0" t="n">
        <v>2.288609188</v>
      </c>
    </row>
    <row r="869" customFormat="false" ht="15" hidden="false" customHeight="false" outlineLevel="0" collapsed="false">
      <c r="A869" s="0" t="s">
        <v>2065</v>
      </c>
      <c r="B869" s="0" t="s">
        <v>948</v>
      </c>
      <c r="C869" s="0" t="s">
        <v>583</v>
      </c>
      <c r="D869" s="0" t="n">
        <v>0</v>
      </c>
      <c r="E869" s="0" t="n">
        <v>0.09091579407</v>
      </c>
      <c r="F869" s="0" t="n">
        <v>0.1129191527</v>
      </c>
      <c r="G869" s="0" t="n">
        <v>0.183001074</v>
      </c>
      <c r="H869" s="0" t="n">
        <v>0.187179519</v>
      </c>
    </row>
    <row r="870" customFormat="false" ht="15" hidden="false" customHeight="false" outlineLevel="0" collapsed="false">
      <c r="A870" s="0" t="s">
        <v>2066</v>
      </c>
      <c r="B870" s="0" t="s">
        <v>730</v>
      </c>
      <c r="C870" s="0" t="s">
        <v>583</v>
      </c>
      <c r="D870" s="0" t="n">
        <v>0</v>
      </c>
      <c r="E870" s="0" t="n">
        <v>6.704172155</v>
      </c>
      <c r="F870" s="0" t="n">
        <v>8.513122693</v>
      </c>
      <c r="G870" s="0" t="n">
        <v>6.876483097</v>
      </c>
      <c r="H870" s="0" t="n">
        <v>5.287669111</v>
      </c>
    </row>
    <row r="871" customFormat="false" ht="15" hidden="false" customHeight="false" outlineLevel="0" collapsed="false">
      <c r="A871" s="0" t="s">
        <v>2067</v>
      </c>
      <c r="B871" s="0" t="s">
        <v>762</v>
      </c>
      <c r="C871" s="0" t="s">
        <v>583</v>
      </c>
      <c r="D871" s="0" t="n">
        <v>0</v>
      </c>
      <c r="E871" s="0" t="n">
        <v>2.209205345</v>
      </c>
      <c r="F871" s="0" t="n">
        <v>2.915369869</v>
      </c>
      <c r="G871" s="0" t="n">
        <v>3.034362153</v>
      </c>
      <c r="H871" s="0" t="n">
        <v>2.931460705</v>
      </c>
    </row>
    <row r="872" customFormat="false" ht="15" hidden="false" customHeight="false" outlineLevel="0" collapsed="false">
      <c r="A872" s="0" t="s">
        <v>2068</v>
      </c>
      <c r="B872" s="0" t="s">
        <v>892</v>
      </c>
      <c r="C872" s="0" t="s">
        <v>583</v>
      </c>
      <c r="D872" s="0" t="n">
        <v>0</v>
      </c>
      <c r="E872" s="0" t="n">
        <v>0.3061428941</v>
      </c>
      <c r="F872" s="0" t="n">
        <v>0.350071222</v>
      </c>
      <c r="G872" s="0" t="n">
        <v>0.5422642537</v>
      </c>
      <c r="H872" s="0" t="n">
        <v>0.6443211492</v>
      </c>
    </row>
    <row r="873" customFormat="false" ht="15" hidden="false" customHeight="false" outlineLevel="0" collapsed="false">
      <c r="A873" s="0" t="s">
        <v>2069</v>
      </c>
      <c r="B873" s="0" t="s">
        <v>1064</v>
      </c>
      <c r="C873" s="0" t="s">
        <v>583</v>
      </c>
      <c r="D873" s="0" t="n">
        <v>0</v>
      </c>
      <c r="E873" s="0" t="n">
        <v>0.003074082967</v>
      </c>
      <c r="F873" s="0" t="n">
        <v>0.004188168917</v>
      </c>
      <c r="G873" s="0" t="n">
        <v>0.007083400566</v>
      </c>
      <c r="H873" s="0" t="n">
        <v>0.006641560294</v>
      </c>
    </row>
    <row r="874" customFormat="false" ht="15" hidden="false" customHeight="false" outlineLevel="0" collapsed="false">
      <c r="A874" s="0" t="s">
        <v>2070</v>
      </c>
      <c r="B874" s="0" t="s">
        <v>796</v>
      </c>
      <c r="C874" s="0" t="s">
        <v>583</v>
      </c>
      <c r="D874" s="0" t="n">
        <v>0</v>
      </c>
      <c r="E874" s="0" t="n">
        <v>0.8047336203</v>
      </c>
      <c r="F874" s="0" t="n">
        <v>1.505417766</v>
      </c>
      <c r="G874" s="0" t="n">
        <v>1.296181263</v>
      </c>
      <c r="H874" s="0" t="n">
        <v>1.0616039</v>
      </c>
    </row>
    <row r="875" customFormat="false" ht="15" hidden="false" customHeight="false" outlineLevel="0" collapsed="false">
      <c r="A875" s="0" t="s">
        <v>2071</v>
      </c>
      <c r="B875" s="0" t="s">
        <v>832</v>
      </c>
      <c r="C875" s="0" t="s">
        <v>583</v>
      </c>
      <c r="D875" s="0" t="n">
        <v>0</v>
      </c>
      <c r="E875" s="0" t="n">
        <v>1.833540196</v>
      </c>
      <c r="F875" s="0" t="n">
        <v>2.388208942</v>
      </c>
      <c r="G875" s="0" t="n">
        <v>3.313497804</v>
      </c>
      <c r="H875" s="0" t="n">
        <v>2.338656694</v>
      </c>
    </row>
    <row r="876" customFormat="false" ht="15" hidden="false" customHeight="false" outlineLevel="0" collapsed="false">
      <c r="A876" s="0" t="s">
        <v>2072</v>
      </c>
      <c r="B876" s="0" t="s">
        <v>772</v>
      </c>
      <c r="C876" s="0" t="s">
        <v>583</v>
      </c>
      <c r="D876" s="0" t="n">
        <v>0</v>
      </c>
      <c r="E876" s="0" t="n">
        <v>2.477547123</v>
      </c>
      <c r="F876" s="0" t="n">
        <v>3.183910445</v>
      </c>
      <c r="G876" s="0" t="n">
        <v>5.030322815</v>
      </c>
      <c r="H876" s="0" t="n">
        <v>4.896368729</v>
      </c>
    </row>
    <row r="877" customFormat="false" ht="15" hidden="false" customHeight="false" outlineLevel="0" collapsed="false">
      <c r="A877" s="0" t="s">
        <v>2073</v>
      </c>
      <c r="B877" s="0" t="s">
        <v>848</v>
      </c>
      <c r="C877" s="0" t="s">
        <v>583</v>
      </c>
      <c r="D877" s="0" t="n">
        <v>0</v>
      </c>
      <c r="E877" s="0" t="n">
        <v>0.3092670077</v>
      </c>
      <c r="F877" s="0" t="n">
        <v>0.3277468028</v>
      </c>
      <c r="G877" s="0" t="n">
        <v>0.372135247</v>
      </c>
      <c r="H877" s="0" t="n">
        <v>0.2740328586</v>
      </c>
    </row>
    <row r="878" customFormat="false" ht="15" hidden="false" customHeight="false" outlineLevel="0" collapsed="false">
      <c r="A878" s="0" t="s">
        <v>2074</v>
      </c>
      <c r="B878" s="0" t="s">
        <v>784</v>
      </c>
      <c r="C878" s="0" t="s">
        <v>583</v>
      </c>
      <c r="D878" s="0" t="n">
        <v>0</v>
      </c>
      <c r="E878" s="0" t="n">
        <v>1.444049315</v>
      </c>
      <c r="F878" s="0" t="n">
        <v>1.743087156</v>
      </c>
      <c r="G878" s="0" t="n">
        <v>2.887641527</v>
      </c>
      <c r="H878" s="0" t="n">
        <v>2.531052841</v>
      </c>
    </row>
    <row r="879" customFormat="false" ht="15" hidden="false" customHeight="false" outlineLevel="0" collapsed="false">
      <c r="A879" s="0" t="s">
        <v>2075</v>
      </c>
      <c r="B879" s="0" t="s">
        <v>754</v>
      </c>
      <c r="C879" s="0" t="s">
        <v>583</v>
      </c>
      <c r="D879" s="0" t="n">
        <v>0</v>
      </c>
      <c r="E879" s="0" t="n">
        <v>2.930995993</v>
      </c>
      <c r="F879" s="0" t="n">
        <v>3.842850488</v>
      </c>
      <c r="G879" s="0" t="n">
        <v>6.482648912</v>
      </c>
      <c r="H879" s="0" t="n">
        <v>5.481927859</v>
      </c>
    </row>
    <row r="880" customFormat="false" ht="15" hidden="false" customHeight="false" outlineLevel="0" collapsed="false">
      <c r="A880" s="0" t="s">
        <v>2076</v>
      </c>
      <c r="B880" s="0" t="s">
        <v>1062</v>
      </c>
      <c r="C880" s="0" t="s">
        <v>583</v>
      </c>
      <c r="D880" s="0" t="n">
        <v>0</v>
      </c>
      <c r="E880" s="0" t="n">
        <v>0.005179590889</v>
      </c>
      <c r="F880" s="0" t="n">
        <v>0.006420329566</v>
      </c>
      <c r="G880" s="0" t="n">
        <v>0.009908652864</v>
      </c>
      <c r="H880" s="0" t="n">
        <v>0.007047139995</v>
      </c>
    </row>
    <row r="881" customFormat="false" ht="15" hidden="false" customHeight="false" outlineLevel="0" collapsed="false">
      <c r="A881" s="0" t="s">
        <v>2077</v>
      </c>
      <c r="B881" s="0" t="s">
        <v>912</v>
      </c>
      <c r="C881" s="0" t="s">
        <v>583</v>
      </c>
      <c r="D881" s="0" t="n">
        <v>0</v>
      </c>
      <c r="E881" s="0" t="n">
        <v>0.178781018</v>
      </c>
      <c r="F881" s="0" t="n">
        <v>0.2268778723</v>
      </c>
      <c r="G881" s="0" t="n">
        <v>0.4058562471</v>
      </c>
      <c r="H881" s="0" t="n">
        <v>0.4251461069</v>
      </c>
    </row>
    <row r="882" customFormat="false" ht="15" hidden="false" customHeight="false" outlineLevel="0" collapsed="false">
      <c r="A882" s="0" t="s">
        <v>2078</v>
      </c>
      <c r="B882" s="0" t="s">
        <v>732</v>
      </c>
      <c r="C882" s="0" t="s">
        <v>583</v>
      </c>
      <c r="D882" s="0" t="n">
        <v>0</v>
      </c>
      <c r="E882" s="0" t="n">
        <v>6.698853382</v>
      </c>
      <c r="F882" s="0" t="n">
        <v>7.964027541</v>
      </c>
      <c r="G882" s="0" t="n">
        <v>10.45688047</v>
      </c>
      <c r="H882" s="0" t="n">
        <v>7.10997022</v>
      </c>
    </row>
    <row r="883" customFormat="false" ht="15" hidden="false" customHeight="false" outlineLevel="0" collapsed="false">
      <c r="A883" s="0" t="s">
        <v>2079</v>
      </c>
      <c r="B883" s="0" t="s">
        <v>834</v>
      </c>
      <c r="C883" s="0" t="s">
        <v>583</v>
      </c>
      <c r="D883" s="0" t="n">
        <v>0</v>
      </c>
      <c r="E883" s="0" t="n">
        <v>0.1686723278</v>
      </c>
      <c r="F883" s="0" t="n">
        <v>0.36668542</v>
      </c>
      <c r="G883" s="0" t="n">
        <v>0.3940832601</v>
      </c>
      <c r="H883" s="0" t="n">
        <v>0.2874141097</v>
      </c>
    </row>
    <row r="884" customFormat="false" ht="15" hidden="false" customHeight="false" outlineLevel="0" collapsed="false">
      <c r="A884" s="0" t="s">
        <v>2080</v>
      </c>
      <c r="B884" s="0" t="s">
        <v>786</v>
      </c>
      <c r="C884" s="0" t="s">
        <v>583</v>
      </c>
      <c r="D884" s="0" t="n">
        <v>0</v>
      </c>
      <c r="E884" s="0" t="n">
        <v>1.355183382</v>
      </c>
      <c r="F884" s="0" t="n">
        <v>1.660738643</v>
      </c>
      <c r="G884" s="0" t="n">
        <v>1.270500168</v>
      </c>
      <c r="H884" s="0" t="n">
        <v>1.07453097</v>
      </c>
    </row>
    <row r="885" customFormat="false" ht="15" hidden="false" customHeight="false" outlineLevel="0" collapsed="false">
      <c r="A885" s="0" t="s">
        <v>2081</v>
      </c>
      <c r="B885" s="0" t="s">
        <v>888</v>
      </c>
      <c r="C885" s="0" t="s">
        <v>583</v>
      </c>
      <c r="D885" s="0" t="n">
        <v>0</v>
      </c>
      <c r="E885" s="0" t="n">
        <v>0</v>
      </c>
      <c r="F885" s="0" t="n">
        <v>0</v>
      </c>
      <c r="G885" s="0" t="n">
        <v>0.5576710934</v>
      </c>
      <c r="H885" s="0" t="n">
        <v>0.6346962429</v>
      </c>
    </row>
    <row r="886" customFormat="false" ht="15" hidden="false" customHeight="false" outlineLevel="0" collapsed="false">
      <c r="A886" s="0" t="s">
        <v>2082</v>
      </c>
      <c r="B886" s="0" t="s">
        <v>816</v>
      </c>
      <c r="C886" s="0" t="s">
        <v>583</v>
      </c>
      <c r="D886" s="0" t="n">
        <v>0</v>
      </c>
      <c r="E886" s="0" t="n">
        <v>2.149335839</v>
      </c>
      <c r="F886" s="0" t="n">
        <v>1.121350495</v>
      </c>
      <c r="G886" s="0" t="n">
        <v>1.945476257</v>
      </c>
      <c r="H886" s="0" t="n">
        <v>1.395117982</v>
      </c>
    </row>
    <row r="887" customFormat="false" ht="15" hidden="false" customHeight="false" outlineLevel="0" collapsed="false">
      <c r="A887" s="0" t="s">
        <v>2083</v>
      </c>
      <c r="B887" s="0" t="s">
        <v>776</v>
      </c>
      <c r="C887" s="0" t="s">
        <v>583</v>
      </c>
      <c r="D887" s="0" t="n">
        <v>0</v>
      </c>
      <c r="E887" s="0" t="n">
        <v>1.64085788</v>
      </c>
      <c r="F887" s="0" t="n">
        <v>2.001518921</v>
      </c>
      <c r="G887" s="0" t="n">
        <v>3.066249173</v>
      </c>
      <c r="H887" s="0" t="n">
        <v>2.913886436</v>
      </c>
    </row>
    <row r="888" customFormat="false" ht="15" hidden="false" customHeight="false" outlineLevel="0" collapsed="false">
      <c r="A888" s="0" t="s">
        <v>2084</v>
      </c>
      <c r="B888" s="0" t="s">
        <v>714</v>
      </c>
      <c r="C888" s="0" t="s">
        <v>583</v>
      </c>
      <c r="D888" s="0" t="n">
        <v>0</v>
      </c>
      <c r="E888" s="0" t="n">
        <v>31.43504057</v>
      </c>
      <c r="F888" s="0" t="n">
        <v>42.4630783</v>
      </c>
      <c r="G888" s="0" t="n">
        <v>74.55468408</v>
      </c>
      <c r="H888" s="0" t="n">
        <v>69.51709789</v>
      </c>
    </row>
    <row r="889" customFormat="false" ht="15" hidden="false" customHeight="false" outlineLevel="0" collapsed="false">
      <c r="A889" s="0" t="s">
        <v>2085</v>
      </c>
      <c r="B889" s="0" t="s">
        <v>958</v>
      </c>
      <c r="C889" s="0" t="s">
        <v>583</v>
      </c>
      <c r="D889" s="0" t="n">
        <v>0</v>
      </c>
      <c r="E889" s="0" t="n">
        <v>0.02728005258</v>
      </c>
      <c r="F889" s="0" t="n">
        <v>0.03807305515</v>
      </c>
      <c r="G889" s="0" t="n">
        <v>0.05554664044</v>
      </c>
      <c r="H889" s="0" t="n">
        <v>0.05573326183</v>
      </c>
    </row>
    <row r="890" customFormat="false" ht="15" hidden="false" customHeight="false" outlineLevel="0" collapsed="false">
      <c r="A890" s="0" t="s">
        <v>2086</v>
      </c>
      <c r="B890" s="0" t="s">
        <v>728</v>
      </c>
      <c r="C890" s="0" t="s">
        <v>583</v>
      </c>
      <c r="D890" s="0" t="n">
        <v>0</v>
      </c>
      <c r="E890" s="0" t="n">
        <v>11.2240725</v>
      </c>
      <c r="F890" s="0" t="n">
        <v>12.63051188</v>
      </c>
      <c r="G890" s="0" t="n">
        <v>18.50359571</v>
      </c>
      <c r="H890" s="0" t="n">
        <v>11.63073873</v>
      </c>
    </row>
    <row r="891" customFormat="false" ht="15" hidden="false" customHeight="false" outlineLevel="0" collapsed="false">
      <c r="A891" s="0" t="s">
        <v>2087</v>
      </c>
      <c r="B891" s="0" t="s">
        <v>932</v>
      </c>
      <c r="C891" s="0" t="s">
        <v>583</v>
      </c>
      <c r="D891" s="0" t="n">
        <v>0</v>
      </c>
      <c r="E891" s="0" t="n">
        <v>0.3217486776</v>
      </c>
      <c r="F891" s="0" t="n">
        <v>0.4220713978</v>
      </c>
      <c r="G891" s="0" t="n">
        <v>0.6469303664</v>
      </c>
      <c r="H891" s="0" t="n">
        <v>0.6779206761</v>
      </c>
    </row>
    <row r="892" customFormat="false" ht="15" hidden="false" customHeight="false" outlineLevel="0" collapsed="false">
      <c r="A892" s="0" t="s">
        <v>2088</v>
      </c>
      <c r="B892" s="0" t="s">
        <v>910</v>
      </c>
      <c r="C892" s="0" t="s">
        <v>583</v>
      </c>
      <c r="D892" s="0" t="n">
        <v>0</v>
      </c>
      <c r="E892" s="0" t="n">
        <v>0.1766204698</v>
      </c>
      <c r="F892" s="0" t="n">
        <v>0.1538654148</v>
      </c>
      <c r="G892" s="0" t="n">
        <v>0.2858736459</v>
      </c>
      <c r="H892" s="0" t="n">
        <v>0.2611087694</v>
      </c>
    </row>
    <row r="893" customFormat="false" ht="15" hidden="false" customHeight="false" outlineLevel="0" collapsed="false">
      <c r="A893" s="0" t="s">
        <v>2089</v>
      </c>
      <c r="B893" s="0" t="s">
        <v>740</v>
      </c>
      <c r="C893" s="0" t="s">
        <v>583</v>
      </c>
      <c r="D893" s="0" t="n">
        <v>0</v>
      </c>
      <c r="E893" s="0" t="n">
        <v>2.558150564</v>
      </c>
      <c r="F893" s="0" t="n">
        <v>3.890010868</v>
      </c>
      <c r="G893" s="0" t="n">
        <v>2.185646661</v>
      </c>
      <c r="H893" s="0" t="n">
        <v>1.996212441</v>
      </c>
    </row>
    <row r="894" customFormat="false" ht="15" hidden="false" customHeight="false" outlineLevel="0" collapsed="false">
      <c r="A894" s="0" t="s">
        <v>2090</v>
      </c>
      <c r="B894" s="0" t="s">
        <v>1042</v>
      </c>
      <c r="C894" s="0" t="s">
        <v>583</v>
      </c>
      <c r="D894" s="0" t="n">
        <v>0</v>
      </c>
      <c r="E894" s="0" t="n">
        <v>0.007484819386</v>
      </c>
      <c r="F894" s="0" t="n">
        <v>0.0103145164</v>
      </c>
      <c r="G894" s="0" t="n">
        <v>0.01467589445</v>
      </c>
      <c r="H894" s="0" t="n">
        <v>0.01369025837</v>
      </c>
    </row>
    <row r="895" customFormat="false" ht="15" hidden="false" customHeight="false" outlineLevel="0" collapsed="false">
      <c r="A895" s="0" t="s">
        <v>2091</v>
      </c>
      <c r="B895" s="0" t="s">
        <v>998</v>
      </c>
      <c r="C895" s="0" t="s">
        <v>583</v>
      </c>
      <c r="D895" s="0" t="n">
        <v>0</v>
      </c>
      <c r="E895" s="0" t="n">
        <v>0.01154913628</v>
      </c>
      <c r="F895" s="0" t="n">
        <v>0.01829994726</v>
      </c>
      <c r="G895" s="0" t="n">
        <v>0.03059130709</v>
      </c>
      <c r="H895" s="0" t="n">
        <v>0.03684582436</v>
      </c>
    </row>
    <row r="896" customFormat="false" ht="15" hidden="false" customHeight="false" outlineLevel="0" collapsed="false">
      <c r="A896" s="0" t="s">
        <v>2092</v>
      </c>
      <c r="B896" s="0" t="s">
        <v>908</v>
      </c>
      <c r="C896" s="0" t="s">
        <v>583</v>
      </c>
      <c r="D896" s="0" t="n">
        <v>0</v>
      </c>
      <c r="E896" s="0" t="n">
        <v>0.1594331086</v>
      </c>
      <c r="F896" s="0" t="n">
        <v>0.2039500375</v>
      </c>
      <c r="G896" s="0" t="n">
        <v>0.3117674528</v>
      </c>
      <c r="H896" s="0" t="n">
        <v>0.342635725</v>
      </c>
    </row>
    <row r="897" customFormat="false" ht="15" hidden="false" customHeight="false" outlineLevel="0" collapsed="false">
      <c r="A897" s="0" t="s">
        <v>2093</v>
      </c>
      <c r="B897" s="0" t="s">
        <v>984</v>
      </c>
      <c r="C897" s="0" t="s">
        <v>583</v>
      </c>
      <c r="D897" s="0" t="n">
        <v>0</v>
      </c>
      <c r="E897" s="0" t="n">
        <v>0.01376511144</v>
      </c>
      <c r="F897" s="0" t="n">
        <v>0.02007238935</v>
      </c>
      <c r="G897" s="0" t="n">
        <v>0.03948634203</v>
      </c>
      <c r="H897" s="0" t="n">
        <v>0.04070761577</v>
      </c>
    </row>
    <row r="898" customFormat="false" ht="15" hidden="false" customHeight="false" outlineLevel="0" collapsed="false">
      <c r="A898" s="0" t="s">
        <v>2094</v>
      </c>
      <c r="B898" s="0" t="s">
        <v>852</v>
      </c>
      <c r="C898" s="0" t="s">
        <v>583</v>
      </c>
      <c r="D898" s="0" t="n">
        <v>0</v>
      </c>
      <c r="E898" s="0" t="n">
        <v>0.9161943261</v>
      </c>
      <c r="F898" s="0" t="n">
        <v>1.271520509</v>
      </c>
      <c r="G898" s="0" t="n">
        <v>2.042568847</v>
      </c>
      <c r="H898" s="0" t="n">
        <v>1.609596334</v>
      </c>
    </row>
    <row r="899" customFormat="false" ht="15" hidden="false" customHeight="false" outlineLevel="0" collapsed="false">
      <c r="A899" s="0" t="s">
        <v>2095</v>
      </c>
      <c r="B899" s="0" t="s">
        <v>1056</v>
      </c>
      <c r="C899" s="0" t="s">
        <v>583</v>
      </c>
      <c r="D899" s="0" t="n">
        <v>0</v>
      </c>
      <c r="E899" s="0" t="n">
        <v>0.003025198153</v>
      </c>
      <c r="F899" s="0" t="n">
        <v>0.004761353628</v>
      </c>
      <c r="G899" s="0" t="n">
        <v>0.008754342851</v>
      </c>
      <c r="H899" s="0" t="n">
        <v>0.009072476471</v>
      </c>
    </row>
    <row r="900" customFormat="false" ht="15" hidden="false" customHeight="false" outlineLevel="0" collapsed="false">
      <c r="A900" s="0" t="s">
        <v>2096</v>
      </c>
      <c r="B900" s="0" t="s">
        <v>1016</v>
      </c>
      <c r="C900" s="0" t="s">
        <v>583</v>
      </c>
      <c r="D900" s="0" t="n">
        <v>0</v>
      </c>
      <c r="E900" s="0" t="n">
        <v>0.05126715422</v>
      </c>
      <c r="F900" s="0" t="n">
        <v>0.07331717821</v>
      </c>
      <c r="G900" s="0" t="n">
        <v>0.09355599309</v>
      </c>
      <c r="H900" s="0" t="n">
        <v>0.0936588209</v>
      </c>
    </row>
    <row r="901" customFormat="false" ht="15" hidden="false" customHeight="false" outlineLevel="0" collapsed="false">
      <c r="A901" s="0" t="s">
        <v>2097</v>
      </c>
      <c r="B901" s="0" t="s">
        <v>822</v>
      </c>
      <c r="C901" s="0" t="s">
        <v>583</v>
      </c>
      <c r="D901" s="0" t="n">
        <v>0</v>
      </c>
      <c r="E901" s="0" t="n">
        <v>0.81413921</v>
      </c>
      <c r="F901" s="0" t="n">
        <v>0.9978844798</v>
      </c>
      <c r="G901" s="0" t="n">
        <v>0.9491027815</v>
      </c>
      <c r="H901" s="0" t="n">
        <v>0.7639278792</v>
      </c>
    </row>
    <row r="902" customFormat="false" ht="15" hidden="false" customHeight="false" outlineLevel="0" collapsed="false">
      <c r="A902" s="0" t="s">
        <v>2098</v>
      </c>
      <c r="B902" s="0" t="s">
        <v>870</v>
      </c>
      <c r="C902" s="0" t="s">
        <v>583</v>
      </c>
      <c r="D902" s="0" t="n">
        <v>0</v>
      </c>
      <c r="E902" s="0" t="n">
        <v>0.3298672718</v>
      </c>
      <c r="F902" s="0" t="n">
        <v>0.486316539</v>
      </c>
      <c r="G902" s="0" t="n">
        <v>0.379302372</v>
      </c>
      <c r="H902" s="0" t="n">
        <v>0.317580001</v>
      </c>
    </row>
    <row r="903" customFormat="false" ht="15" hidden="false" customHeight="false" outlineLevel="0" collapsed="false">
      <c r="A903" s="0" t="s">
        <v>2099</v>
      </c>
      <c r="B903" s="0" t="s">
        <v>746</v>
      </c>
      <c r="C903" s="0" t="s">
        <v>583</v>
      </c>
      <c r="D903" s="0" t="n">
        <v>0</v>
      </c>
      <c r="E903" s="0" t="n">
        <v>2.794464175</v>
      </c>
      <c r="F903" s="0" t="n">
        <v>3.539342292</v>
      </c>
      <c r="G903" s="0" t="n">
        <v>3.259205181</v>
      </c>
      <c r="H903" s="0" t="n">
        <v>2.979105083</v>
      </c>
    </row>
    <row r="904" customFormat="false" ht="15" hidden="false" customHeight="false" outlineLevel="0" collapsed="false">
      <c r="A904" s="0" t="s">
        <v>2100</v>
      </c>
      <c r="B904" s="0" t="s">
        <v>1010</v>
      </c>
      <c r="C904" s="0" t="s">
        <v>583</v>
      </c>
      <c r="D904" s="0" t="n">
        <v>0</v>
      </c>
      <c r="E904" s="0" t="n">
        <v>0.01498125938</v>
      </c>
      <c r="F904" s="0" t="n">
        <v>0.02343453649</v>
      </c>
      <c r="G904" s="0" t="n">
        <v>0.03447296573</v>
      </c>
      <c r="H904" s="0" t="n">
        <v>0.03595951823</v>
      </c>
    </row>
    <row r="905" customFormat="false" ht="15" hidden="false" customHeight="false" outlineLevel="0" collapsed="false">
      <c r="A905" s="0" t="s">
        <v>2101</v>
      </c>
      <c r="B905" s="0" t="s">
        <v>1036</v>
      </c>
      <c r="C905" s="0" t="s">
        <v>583</v>
      </c>
      <c r="D905" s="0" t="n">
        <v>0</v>
      </c>
      <c r="E905" s="0" t="n">
        <v>0.02070915799</v>
      </c>
      <c r="F905" s="0" t="n">
        <v>0.02062787003</v>
      </c>
      <c r="G905" s="0" t="n">
        <v>0.03081109183</v>
      </c>
      <c r="H905" s="0" t="n">
        <v>0.02248855001</v>
      </c>
    </row>
    <row r="906" customFormat="false" ht="15" hidden="false" customHeight="false" outlineLevel="0" collapsed="false">
      <c r="A906" s="0" t="s">
        <v>2102</v>
      </c>
      <c r="B906" s="0" t="s">
        <v>858</v>
      </c>
      <c r="C906" s="0" t="s">
        <v>583</v>
      </c>
      <c r="D906" s="0" t="n">
        <v>0</v>
      </c>
      <c r="E906" s="0" t="n">
        <v>1.063104163</v>
      </c>
      <c r="F906" s="0" t="n">
        <v>1.322356269</v>
      </c>
      <c r="G906" s="0" t="n">
        <v>2.360612988</v>
      </c>
      <c r="H906" s="0" t="n">
        <v>2.092925722</v>
      </c>
    </row>
    <row r="907" customFormat="false" ht="15" hidden="false" customHeight="false" outlineLevel="0" collapsed="false">
      <c r="A907" s="0" t="s">
        <v>2103</v>
      </c>
      <c r="B907" s="0" t="s">
        <v>942</v>
      </c>
      <c r="C907" s="0" t="s">
        <v>583</v>
      </c>
      <c r="D907" s="0" t="n">
        <v>0</v>
      </c>
      <c r="E907" s="0" t="n">
        <v>0.05879413895</v>
      </c>
      <c r="F907" s="0" t="n">
        <v>0.07452607392</v>
      </c>
      <c r="G907" s="0" t="n">
        <v>0.09306823765</v>
      </c>
      <c r="H907" s="0" t="n">
        <v>0.1096406485</v>
      </c>
    </row>
    <row r="908" customFormat="false" ht="15" hidden="false" customHeight="false" outlineLevel="0" collapsed="false">
      <c r="A908" s="0" t="s">
        <v>2104</v>
      </c>
      <c r="B908" s="0" t="s">
        <v>986</v>
      </c>
      <c r="C908" s="0" t="s">
        <v>583</v>
      </c>
      <c r="D908" s="0" t="n">
        <v>0</v>
      </c>
      <c r="E908" s="0" t="n">
        <v>0.03530727736</v>
      </c>
      <c r="F908" s="0" t="n">
        <v>0.0411137188</v>
      </c>
      <c r="G908" s="0" t="n">
        <v>0.06297366218</v>
      </c>
      <c r="H908" s="0" t="n">
        <v>0.05639418724</v>
      </c>
    </row>
    <row r="909" customFormat="false" ht="15" hidden="false" customHeight="false" outlineLevel="0" collapsed="false">
      <c r="A909" s="0" t="s">
        <v>2105</v>
      </c>
      <c r="B909" s="0" t="s">
        <v>752</v>
      </c>
      <c r="C909" s="0" t="s">
        <v>583</v>
      </c>
      <c r="D909" s="0" t="n">
        <v>0</v>
      </c>
      <c r="E909" s="0" t="n">
        <v>3.644695554</v>
      </c>
      <c r="F909" s="0" t="n">
        <v>4.090660749</v>
      </c>
      <c r="G909" s="0" t="n">
        <v>6.986190387</v>
      </c>
      <c r="H909" s="0" t="n">
        <v>5.644541595</v>
      </c>
    </row>
    <row r="910" customFormat="false" ht="15" hidden="false" customHeight="false" outlineLevel="0" collapsed="false">
      <c r="A910" s="0" t="s">
        <v>2106</v>
      </c>
      <c r="B910" s="0" t="s">
        <v>968</v>
      </c>
      <c r="C910" s="0" t="s">
        <v>583</v>
      </c>
      <c r="D910" s="0" t="n">
        <v>0</v>
      </c>
      <c r="E910" s="0" t="n">
        <v>0.2539149649</v>
      </c>
      <c r="F910" s="0" t="n">
        <v>0.3596988394</v>
      </c>
      <c r="G910" s="0" t="n">
        <v>0.4422954315</v>
      </c>
      <c r="H910" s="0" t="n">
        <v>0.5324866486</v>
      </c>
    </row>
    <row r="911" customFormat="false" ht="15" hidden="false" customHeight="false" outlineLevel="0" collapsed="false">
      <c r="A911" s="0" t="s">
        <v>2107</v>
      </c>
      <c r="B911" s="0" t="s">
        <v>872</v>
      </c>
      <c r="C911" s="0" t="s">
        <v>583</v>
      </c>
      <c r="D911" s="0" t="n">
        <v>0</v>
      </c>
      <c r="E911" s="0" t="n">
        <v>1.496770063</v>
      </c>
      <c r="F911" s="0" t="n">
        <v>2.1621281</v>
      </c>
      <c r="G911" s="0" t="n">
        <v>3.743935526</v>
      </c>
      <c r="H911" s="0" t="n">
        <v>3.649116254</v>
      </c>
    </row>
    <row r="912" customFormat="false" ht="15" hidden="false" customHeight="false" outlineLevel="0" collapsed="false">
      <c r="A912" s="0" t="s">
        <v>2108</v>
      </c>
      <c r="B912" s="0" t="s">
        <v>1040</v>
      </c>
      <c r="C912" s="0" t="s">
        <v>583</v>
      </c>
      <c r="D912" s="0" t="n">
        <v>0</v>
      </c>
      <c r="E912" s="0" t="n">
        <v>0.01495166234</v>
      </c>
      <c r="F912" s="0" t="n">
        <v>0.02273312496</v>
      </c>
      <c r="G912" s="0" t="n">
        <v>0.04205812932</v>
      </c>
      <c r="H912" s="0" t="n">
        <v>0.04406983962</v>
      </c>
    </row>
    <row r="913" customFormat="false" ht="15" hidden="false" customHeight="false" outlineLevel="0" collapsed="false">
      <c r="A913" s="0" t="s">
        <v>2109</v>
      </c>
      <c r="B913" s="0" t="s">
        <v>1060</v>
      </c>
      <c r="C913" s="0" t="s">
        <v>583</v>
      </c>
      <c r="D913" s="0" t="n">
        <v>0</v>
      </c>
      <c r="E913" s="0" t="n">
        <v>0.002533881325</v>
      </c>
      <c r="F913" s="0" t="n">
        <v>0.003633100953</v>
      </c>
      <c r="G913" s="0" t="n">
        <v>0.006494167476</v>
      </c>
      <c r="H913" s="0" t="n">
        <v>0.005178341086</v>
      </c>
    </row>
    <row r="914" customFormat="false" ht="15" hidden="false" customHeight="false" outlineLevel="0" collapsed="false">
      <c r="A914" s="0" t="s">
        <v>2110</v>
      </c>
      <c r="B914" s="0" t="s">
        <v>944</v>
      </c>
      <c r="C914" s="0" t="s">
        <v>583</v>
      </c>
      <c r="D914" s="0" t="n">
        <v>0</v>
      </c>
      <c r="E914" s="0" t="n">
        <v>0.2181623838</v>
      </c>
      <c r="F914" s="0" t="n">
        <v>0.2602911191</v>
      </c>
      <c r="G914" s="0" t="n">
        <v>0.4123806012</v>
      </c>
      <c r="H914" s="0" t="n">
        <v>0.283404436</v>
      </c>
    </row>
    <row r="915" customFormat="false" ht="15" hidden="false" customHeight="false" outlineLevel="0" collapsed="false">
      <c r="A915" s="0" t="s">
        <v>2111</v>
      </c>
      <c r="B915" s="0" t="s">
        <v>884</v>
      </c>
      <c r="C915" s="0" t="s">
        <v>583</v>
      </c>
      <c r="D915" s="0" t="n">
        <v>0</v>
      </c>
      <c r="E915" s="0" t="n">
        <v>0.6501965257</v>
      </c>
      <c r="F915" s="0" t="n">
        <v>0.88620464</v>
      </c>
      <c r="G915" s="0" t="n">
        <v>1.722578231</v>
      </c>
      <c r="H915" s="0" t="n">
        <v>1.551520139</v>
      </c>
    </row>
    <row r="916" customFormat="false" ht="15" hidden="false" customHeight="false" outlineLevel="0" collapsed="false">
      <c r="A916" s="0" t="s">
        <v>2112</v>
      </c>
      <c r="B916" s="0" t="s">
        <v>726</v>
      </c>
      <c r="C916" s="0" t="s">
        <v>583</v>
      </c>
      <c r="D916" s="0" t="n">
        <v>0</v>
      </c>
      <c r="E916" s="0" t="n">
        <v>8.431319235</v>
      </c>
      <c r="F916" s="0" t="n">
        <v>9.84680493</v>
      </c>
      <c r="G916" s="0" t="n">
        <v>14.01717152</v>
      </c>
      <c r="H916" s="0" t="n">
        <v>11.81160384</v>
      </c>
    </row>
    <row r="917" customFormat="false" ht="15" hidden="false" customHeight="false" outlineLevel="0" collapsed="false">
      <c r="A917" s="0" t="s">
        <v>2113</v>
      </c>
      <c r="B917" s="0" t="s">
        <v>842</v>
      </c>
      <c r="C917" s="0" t="s">
        <v>583</v>
      </c>
      <c r="D917" s="0" t="n">
        <v>0</v>
      </c>
      <c r="E917" s="0" t="n">
        <v>0.1802255785</v>
      </c>
      <c r="F917" s="0" t="n">
        <v>0.2830479163</v>
      </c>
      <c r="G917" s="0" t="n">
        <v>0.5087796731</v>
      </c>
      <c r="H917" s="0" t="n">
        <v>0.4746114478</v>
      </c>
    </row>
    <row r="918" customFormat="false" ht="15" hidden="false" customHeight="false" outlineLevel="0" collapsed="false">
      <c r="A918" s="0" t="s">
        <v>2114</v>
      </c>
      <c r="B918" s="0" t="s">
        <v>866</v>
      </c>
      <c r="C918" s="0" t="s">
        <v>583</v>
      </c>
      <c r="D918" s="0" t="n">
        <v>0</v>
      </c>
      <c r="E918" s="0" t="n">
        <v>0.12473005</v>
      </c>
      <c r="F918" s="0" t="n">
        <v>0.2042234436</v>
      </c>
      <c r="G918" s="0" t="n">
        <v>0.3007391139</v>
      </c>
      <c r="H918" s="0" t="n">
        <v>0.3449333523</v>
      </c>
    </row>
    <row r="919" customFormat="false" ht="15" hidden="false" customHeight="false" outlineLevel="0" collapsed="false">
      <c r="A919" s="0" t="s">
        <v>2115</v>
      </c>
      <c r="B919" s="0" t="s">
        <v>804</v>
      </c>
      <c r="C919" s="0" t="s">
        <v>583</v>
      </c>
      <c r="D919" s="0" t="n">
        <v>0</v>
      </c>
      <c r="E919" s="0" t="n">
        <v>3.881051424</v>
      </c>
      <c r="F919" s="0" t="n">
        <v>5.142844535</v>
      </c>
      <c r="G919" s="0" t="n">
        <v>7.184010048</v>
      </c>
      <c r="H919" s="0" t="n">
        <v>8.669679443</v>
      </c>
    </row>
    <row r="920" customFormat="false" ht="15" hidden="false" customHeight="false" outlineLevel="0" collapsed="false">
      <c r="A920" s="0" t="s">
        <v>2116</v>
      </c>
      <c r="B920" s="0" t="s">
        <v>860</v>
      </c>
      <c r="C920" s="0" t="s">
        <v>583</v>
      </c>
      <c r="D920" s="0" t="n">
        <v>0</v>
      </c>
      <c r="E920" s="0" t="n">
        <v>0.2488761763</v>
      </c>
      <c r="F920" s="0" t="n">
        <v>0.2058860847</v>
      </c>
      <c r="G920" s="0" t="n">
        <v>0.2293726985</v>
      </c>
      <c r="H920" s="0" t="n">
        <v>0.2050403403</v>
      </c>
    </row>
    <row r="921" customFormat="false" ht="15" hidden="false" customHeight="false" outlineLevel="0" collapsed="false">
      <c r="A921" s="0" t="s">
        <v>2117</v>
      </c>
      <c r="B921" s="0" t="s">
        <v>693</v>
      </c>
      <c r="C921" s="0" t="s">
        <v>583</v>
      </c>
      <c r="D921" s="0" t="n">
        <v>0</v>
      </c>
      <c r="E921" s="0" t="n">
        <v>149.8610918</v>
      </c>
      <c r="F921" s="0" t="n">
        <v>217.3863656</v>
      </c>
      <c r="G921" s="0" t="n">
        <v>152.2705946</v>
      </c>
      <c r="H921" s="0" t="n">
        <v>121.7436622</v>
      </c>
    </row>
    <row r="922" customFormat="false" ht="15" hidden="false" customHeight="false" outlineLevel="0" collapsed="false">
      <c r="A922" s="0" t="s">
        <v>2118</v>
      </c>
      <c r="B922" s="0" t="s">
        <v>810</v>
      </c>
      <c r="C922" s="0" t="s">
        <v>583</v>
      </c>
      <c r="D922" s="0" t="n">
        <v>0</v>
      </c>
      <c r="E922" s="0" t="n">
        <v>3.071568512</v>
      </c>
      <c r="F922" s="0" t="n">
        <v>4.15805962</v>
      </c>
      <c r="G922" s="0" t="n">
        <v>6.756355526</v>
      </c>
      <c r="H922" s="0" t="n">
        <v>6.62712817</v>
      </c>
    </row>
    <row r="923" customFormat="false" ht="15" hidden="false" customHeight="false" outlineLevel="0" collapsed="false">
      <c r="A923" s="0" t="s">
        <v>2119</v>
      </c>
      <c r="B923" s="0" t="s">
        <v>1052</v>
      </c>
      <c r="C923" s="0" t="s">
        <v>583</v>
      </c>
      <c r="D923" s="0" t="n">
        <v>0</v>
      </c>
      <c r="E923" s="0" t="n">
        <v>0.00418008852</v>
      </c>
      <c r="F923" s="0" t="n">
        <v>0.005759303067</v>
      </c>
      <c r="G923" s="0" t="n">
        <v>0.0100066432</v>
      </c>
      <c r="H923" s="0" t="n">
        <v>0.008466403268</v>
      </c>
    </row>
    <row r="924" customFormat="false" ht="15" hidden="false" customHeight="false" outlineLevel="0" collapsed="false">
      <c r="A924" s="0" t="s">
        <v>2120</v>
      </c>
      <c r="B924" s="0" t="s">
        <v>820</v>
      </c>
      <c r="C924" s="0" t="s">
        <v>583</v>
      </c>
      <c r="D924" s="0" t="n">
        <v>0</v>
      </c>
      <c r="E924" s="0" t="n">
        <v>1.340538841</v>
      </c>
      <c r="F924" s="0" t="n">
        <v>1.817453344</v>
      </c>
      <c r="G924" s="0" t="n">
        <v>2.242198243</v>
      </c>
      <c r="H924" s="0" t="n">
        <v>2.521077068</v>
      </c>
    </row>
    <row r="925" customFormat="false" ht="15" hidden="false" customHeight="false" outlineLevel="0" collapsed="false">
      <c r="A925" s="0" t="s">
        <v>2121</v>
      </c>
      <c r="B925" s="0" t="s">
        <v>744</v>
      </c>
      <c r="C925" s="0" t="s">
        <v>583</v>
      </c>
      <c r="D925" s="0" t="n">
        <v>0</v>
      </c>
      <c r="E925" s="0" t="n">
        <v>6.624894051</v>
      </c>
      <c r="F925" s="0" t="n">
        <v>7.810801405</v>
      </c>
      <c r="G925" s="0" t="n">
        <v>10.44158793</v>
      </c>
      <c r="H925" s="0" t="n">
        <v>9.492874629</v>
      </c>
    </row>
    <row r="926" customFormat="false" ht="15" hidden="false" customHeight="false" outlineLevel="0" collapsed="false">
      <c r="A926" s="0" t="s">
        <v>2122</v>
      </c>
      <c r="B926" s="0" t="s">
        <v>1048</v>
      </c>
      <c r="C926" s="0" t="s">
        <v>583</v>
      </c>
      <c r="D926" s="0" t="n">
        <v>0</v>
      </c>
      <c r="E926" s="0" t="n">
        <v>0.003228697518</v>
      </c>
      <c r="F926" s="0" t="n">
        <v>0.005879017047</v>
      </c>
      <c r="G926" s="0" t="n">
        <v>0.01154179111</v>
      </c>
      <c r="H926" s="0" t="n">
        <v>0.009941816905</v>
      </c>
    </row>
    <row r="927" customFormat="false" ht="15" hidden="false" customHeight="false" outlineLevel="0" collapsed="false">
      <c r="A927" s="0" t="s">
        <v>2123</v>
      </c>
      <c r="B927" s="0" t="s">
        <v>1050</v>
      </c>
      <c r="C927" s="0" t="s">
        <v>583</v>
      </c>
      <c r="D927" s="0" t="n">
        <v>0</v>
      </c>
      <c r="E927" s="0" t="n">
        <v>0.005616744948</v>
      </c>
      <c r="F927" s="0" t="n">
        <v>0.00750314589</v>
      </c>
      <c r="G927" s="0" t="n">
        <v>0.0121872463</v>
      </c>
      <c r="H927" s="0" t="n">
        <v>0.01062916522</v>
      </c>
    </row>
    <row r="928" customFormat="false" ht="15" hidden="false" customHeight="false" outlineLevel="0" collapsed="false">
      <c r="A928" s="0" t="s">
        <v>2124</v>
      </c>
      <c r="B928" s="0" t="s">
        <v>990</v>
      </c>
      <c r="C928" s="0" t="s">
        <v>583</v>
      </c>
      <c r="D928" s="0" t="n">
        <v>0</v>
      </c>
      <c r="E928" s="0" t="n">
        <v>0.1001980084</v>
      </c>
      <c r="F928" s="0" t="n">
        <v>0.1178904311</v>
      </c>
      <c r="G928" s="0" t="n">
        <v>0.1991265218</v>
      </c>
      <c r="H928" s="0" t="n">
        <v>0.1624303669</v>
      </c>
    </row>
    <row r="929" customFormat="false" ht="15" hidden="false" customHeight="false" outlineLevel="0" collapsed="false">
      <c r="A929" s="0" t="s">
        <v>2125</v>
      </c>
      <c r="B929" s="0" t="s">
        <v>1004</v>
      </c>
      <c r="C929" s="0" t="s">
        <v>583</v>
      </c>
      <c r="D929" s="0" t="n">
        <v>0</v>
      </c>
      <c r="E929" s="0" t="n">
        <v>0.1347182111</v>
      </c>
      <c r="F929" s="0" t="n">
        <v>0.171998112</v>
      </c>
      <c r="G929" s="0" t="n">
        <v>0.2720840195</v>
      </c>
      <c r="H929" s="0" t="n">
        <v>0.2747802655</v>
      </c>
    </row>
    <row r="930" customFormat="false" ht="15" hidden="false" customHeight="false" outlineLevel="0" collapsed="false">
      <c r="A930" s="0" t="s">
        <v>2126</v>
      </c>
      <c r="B930" s="0" t="s">
        <v>774</v>
      </c>
      <c r="C930" s="0" t="s">
        <v>583</v>
      </c>
      <c r="D930" s="0" t="n">
        <v>0</v>
      </c>
      <c r="E930" s="0" t="n">
        <v>4.359866821</v>
      </c>
      <c r="F930" s="0" t="n">
        <v>5.118324373</v>
      </c>
      <c r="G930" s="0" t="n">
        <v>8.487408406</v>
      </c>
      <c r="H930" s="0" t="n">
        <v>6.767369173</v>
      </c>
    </row>
    <row r="931" customFormat="false" ht="15" hidden="false" customHeight="false" outlineLevel="0" collapsed="false">
      <c r="A931" s="0" t="s">
        <v>2127</v>
      </c>
      <c r="B931" s="0" t="s">
        <v>930</v>
      </c>
      <c r="C931" s="0" t="s">
        <v>583</v>
      </c>
      <c r="D931" s="0" t="n">
        <v>0</v>
      </c>
      <c r="E931" s="0" t="n">
        <v>0.281853816</v>
      </c>
      <c r="F931" s="0" t="n">
        <v>0.394430245</v>
      </c>
      <c r="G931" s="0" t="n">
        <v>0.5539208419</v>
      </c>
      <c r="H931" s="0" t="n">
        <v>0.595123989</v>
      </c>
    </row>
    <row r="932" customFormat="false" ht="15" hidden="false" customHeight="false" outlineLevel="0" collapsed="false">
      <c r="A932" s="0" t="s">
        <v>2128</v>
      </c>
      <c r="B932" s="0" t="s">
        <v>878</v>
      </c>
      <c r="C932" s="0" t="s">
        <v>583</v>
      </c>
      <c r="D932" s="0" t="n">
        <v>0</v>
      </c>
      <c r="E932" s="0" t="n">
        <v>0.3508444948</v>
      </c>
      <c r="F932" s="0" t="n">
        <v>0.3519007245</v>
      </c>
      <c r="G932" s="0" t="n">
        <v>0.5266192555</v>
      </c>
      <c r="H932" s="0" t="n">
        <v>0.5317750941</v>
      </c>
    </row>
    <row r="933" customFormat="false" ht="15" hidden="false" customHeight="false" outlineLevel="0" collapsed="false">
      <c r="A933" s="0" t="s">
        <v>2129</v>
      </c>
      <c r="B933" s="0" t="s">
        <v>1018</v>
      </c>
      <c r="C933" s="0" t="s">
        <v>585</v>
      </c>
      <c r="D933" s="0" t="n">
        <v>0</v>
      </c>
      <c r="E933" s="0" t="n">
        <v>0.02884072459</v>
      </c>
      <c r="F933" s="0" t="n">
        <v>0.03492565903</v>
      </c>
      <c r="G933" s="0" t="n">
        <v>0.07290439167</v>
      </c>
      <c r="H933" s="0" t="n">
        <v>0.05312242976</v>
      </c>
    </row>
    <row r="934" customFormat="false" ht="15" hidden="false" customHeight="false" outlineLevel="0" collapsed="false">
      <c r="A934" s="0" t="s">
        <v>2130</v>
      </c>
      <c r="B934" s="0" t="s">
        <v>962</v>
      </c>
      <c r="C934" s="0" t="s">
        <v>585</v>
      </c>
      <c r="D934" s="0" t="n">
        <v>0</v>
      </c>
      <c r="E934" s="0" t="n">
        <v>0.0443678374</v>
      </c>
      <c r="F934" s="0" t="n">
        <v>0.07345184912</v>
      </c>
      <c r="G934" s="0" t="n">
        <v>0.1593676748</v>
      </c>
      <c r="H934" s="0" t="n">
        <v>0.185000014</v>
      </c>
    </row>
    <row r="935" customFormat="false" ht="15" hidden="false" customHeight="false" outlineLevel="0" collapsed="false">
      <c r="A935" s="0" t="s">
        <v>2131</v>
      </c>
      <c r="B935" s="0" t="s">
        <v>828</v>
      </c>
      <c r="C935" s="0" t="s">
        <v>585</v>
      </c>
      <c r="D935" s="0" t="n">
        <v>0</v>
      </c>
      <c r="E935" s="0" t="n">
        <v>0.2064535675</v>
      </c>
      <c r="F935" s="0" t="n">
        <v>0.2731247932</v>
      </c>
      <c r="G935" s="0" t="n">
        <v>0.6237222836</v>
      </c>
      <c r="H935" s="0" t="n">
        <v>0.7360126128</v>
      </c>
    </row>
    <row r="936" customFormat="false" ht="15" hidden="false" customHeight="false" outlineLevel="0" collapsed="false">
      <c r="A936" s="0" t="s">
        <v>2132</v>
      </c>
      <c r="B936" s="0" t="s">
        <v>926</v>
      </c>
      <c r="C936" s="0" t="s">
        <v>585</v>
      </c>
      <c r="D936" s="0" t="n">
        <v>0</v>
      </c>
      <c r="E936" s="0" t="n">
        <v>0.05779189475</v>
      </c>
      <c r="F936" s="0" t="n">
        <v>0.07492698555</v>
      </c>
      <c r="G936" s="0" t="n">
        <v>0.1234342287</v>
      </c>
      <c r="H936" s="0" t="n">
        <v>0.1451459814</v>
      </c>
    </row>
    <row r="937" customFormat="false" ht="15" hidden="false" customHeight="false" outlineLevel="0" collapsed="false">
      <c r="A937" s="0" t="s">
        <v>2133</v>
      </c>
      <c r="B937" s="0" t="s">
        <v>748</v>
      </c>
      <c r="C937" s="0" t="s">
        <v>585</v>
      </c>
      <c r="D937" s="0" t="n">
        <v>0</v>
      </c>
      <c r="E937" s="0" t="n">
        <v>3.980395844</v>
      </c>
      <c r="F937" s="0" t="n">
        <v>4.349814215</v>
      </c>
      <c r="G937" s="0" t="n">
        <v>8.217058619</v>
      </c>
      <c r="H937" s="0" t="n">
        <v>6.259492514</v>
      </c>
    </row>
    <row r="938" customFormat="false" ht="15" hidden="false" customHeight="false" outlineLevel="0" collapsed="false">
      <c r="A938" s="0" t="s">
        <v>2134</v>
      </c>
      <c r="B938" s="0" t="s">
        <v>736</v>
      </c>
      <c r="C938" s="0" t="s">
        <v>585</v>
      </c>
      <c r="D938" s="0" t="n">
        <v>0</v>
      </c>
      <c r="E938" s="0" t="n">
        <v>2.137132523</v>
      </c>
      <c r="F938" s="0" t="n">
        <v>2.714765599</v>
      </c>
      <c r="G938" s="0" t="n">
        <v>4.567723528</v>
      </c>
      <c r="H938" s="0" t="n">
        <v>3.397555845</v>
      </c>
    </row>
    <row r="939" customFormat="false" ht="15" hidden="false" customHeight="false" outlineLevel="0" collapsed="false">
      <c r="A939" s="0" t="s">
        <v>2135</v>
      </c>
      <c r="B939" s="0" t="s">
        <v>920</v>
      </c>
      <c r="C939" s="0" t="s">
        <v>585</v>
      </c>
      <c r="D939" s="0" t="n">
        <v>0</v>
      </c>
      <c r="E939" s="0" t="n">
        <v>0.2149768215</v>
      </c>
      <c r="F939" s="0" t="n">
        <v>0.2715563426</v>
      </c>
      <c r="G939" s="0" t="n">
        <v>0.4586041471</v>
      </c>
      <c r="H939" s="0" t="n">
        <v>0.4490356673</v>
      </c>
    </row>
    <row r="940" customFormat="false" ht="15" hidden="false" customHeight="false" outlineLevel="0" collapsed="false">
      <c r="A940" s="0" t="s">
        <v>2136</v>
      </c>
      <c r="B940" s="0" t="s">
        <v>1038</v>
      </c>
      <c r="C940" s="0" t="s">
        <v>585</v>
      </c>
      <c r="D940" s="0" t="n">
        <v>0</v>
      </c>
      <c r="E940" s="0" t="n">
        <v>0.0111326554</v>
      </c>
      <c r="F940" s="0" t="n">
        <v>0.01753647668</v>
      </c>
      <c r="G940" s="0" t="n">
        <v>0.0430974599</v>
      </c>
      <c r="H940" s="0" t="n">
        <v>0.03323553373</v>
      </c>
    </row>
    <row r="941" customFormat="false" ht="15" hidden="false" customHeight="false" outlineLevel="0" collapsed="false">
      <c r="A941" s="0" t="s">
        <v>2137</v>
      </c>
      <c r="B941" s="0" t="s">
        <v>718</v>
      </c>
      <c r="C941" s="0" t="s">
        <v>585</v>
      </c>
      <c r="D941" s="0" t="n">
        <v>0</v>
      </c>
      <c r="E941" s="0" t="n">
        <v>10.62391926</v>
      </c>
      <c r="F941" s="0" t="n">
        <v>20.75610775</v>
      </c>
      <c r="G941" s="0" t="n">
        <v>16.74401588</v>
      </c>
      <c r="H941" s="0" t="n">
        <v>14.59437328</v>
      </c>
    </row>
    <row r="942" customFormat="false" ht="15" hidden="false" customHeight="false" outlineLevel="0" collapsed="false">
      <c r="A942" s="0" t="s">
        <v>2138</v>
      </c>
      <c r="B942" s="0" t="s">
        <v>758</v>
      </c>
      <c r="C942" s="0" t="s">
        <v>585</v>
      </c>
      <c r="D942" s="0" t="n">
        <v>0</v>
      </c>
      <c r="E942" s="0" t="n">
        <v>1.692069233</v>
      </c>
      <c r="F942" s="0" t="n">
        <v>2.67868404</v>
      </c>
      <c r="G942" s="0" t="n">
        <v>2.725268605</v>
      </c>
      <c r="H942" s="0" t="n">
        <v>2.350077512</v>
      </c>
    </row>
    <row r="943" customFormat="false" ht="15" hidden="false" customHeight="false" outlineLevel="0" collapsed="false">
      <c r="A943" s="0" t="s">
        <v>2139</v>
      </c>
      <c r="B943" s="0" t="s">
        <v>868</v>
      </c>
      <c r="C943" s="0" t="s">
        <v>585</v>
      </c>
      <c r="D943" s="0" t="n">
        <v>0</v>
      </c>
      <c r="E943" s="0" t="n">
        <v>0.459096245</v>
      </c>
      <c r="F943" s="0" t="n">
        <v>0.7217301232</v>
      </c>
      <c r="G943" s="0" t="n">
        <v>1.954477032</v>
      </c>
      <c r="H943" s="0" t="n">
        <v>1.541877927</v>
      </c>
    </row>
    <row r="944" customFormat="false" ht="15" hidden="false" customHeight="false" outlineLevel="0" collapsed="false">
      <c r="A944" s="0" t="s">
        <v>2140</v>
      </c>
      <c r="B944" s="0" t="s">
        <v>1012</v>
      </c>
      <c r="C944" s="0" t="s">
        <v>585</v>
      </c>
      <c r="D944" s="0" t="n">
        <v>0</v>
      </c>
      <c r="E944" s="0" t="n">
        <v>0.005201777669</v>
      </c>
      <c r="F944" s="0" t="n">
        <v>0.01217157785</v>
      </c>
      <c r="G944" s="0" t="n">
        <v>0.02920974684</v>
      </c>
      <c r="H944" s="0" t="n">
        <v>0.03031312516</v>
      </c>
    </row>
    <row r="945" customFormat="false" ht="15" hidden="false" customHeight="false" outlineLevel="0" collapsed="false">
      <c r="A945" s="0" t="s">
        <v>2141</v>
      </c>
      <c r="B945" s="0" t="s">
        <v>742</v>
      </c>
      <c r="C945" s="0" t="s">
        <v>585</v>
      </c>
      <c r="D945" s="0" t="n">
        <v>0</v>
      </c>
      <c r="E945" s="0" t="n">
        <v>2.469518944</v>
      </c>
      <c r="F945" s="0" t="n">
        <v>3.807708199</v>
      </c>
      <c r="G945" s="0" t="n">
        <v>3.989860898</v>
      </c>
      <c r="H945" s="0" t="n">
        <v>3.122023123</v>
      </c>
    </row>
    <row r="946" customFormat="false" ht="15" hidden="false" customHeight="false" outlineLevel="0" collapsed="false">
      <c r="A946" s="0" t="s">
        <v>2142</v>
      </c>
      <c r="B946" s="0" t="s">
        <v>934</v>
      </c>
      <c r="C946" s="0" t="s">
        <v>585</v>
      </c>
      <c r="D946" s="0" t="n">
        <v>0</v>
      </c>
      <c r="E946" s="0" t="n">
        <v>0.02977637165</v>
      </c>
      <c r="F946" s="0" t="n">
        <v>0.05603483915</v>
      </c>
      <c r="G946" s="0" t="n">
        <v>0.1723906456</v>
      </c>
      <c r="H946" s="0" t="n">
        <v>0.1464156121</v>
      </c>
    </row>
    <row r="947" customFormat="false" ht="15" hidden="false" customHeight="false" outlineLevel="0" collapsed="false">
      <c r="A947" s="0" t="s">
        <v>2143</v>
      </c>
      <c r="B947" s="0" t="s">
        <v>938</v>
      </c>
      <c r="C947" s="0" t="s">
        <v>585</v>
      </c>
      <c r="D947" s="0" t="n">
        <v>0</v>
      </c>
      <c r="E947" s="0" t="n">
        <v>0.05808852576</v>
      </c>
      <c r="F947" s="0" t="n">
        <v>0.1042688438</v>
      </c>
      <c r="G947" s="0" t="n">
        <v>0.3206071516</v>
      </c>
      <c r="H947" s="0" t="n">
        <v>0.3081854187</v>
      </c>
    </row>
    <row r="948" customFormat="false" ht="15" hidden="false" customHeight="false" outlineLevel="0" collapsed="false">
      <c r="A948" s="0" t="s">
        <v>2144</v>
      </c>
      <c r="B948" s="0" t="s">
        <v>756</v>
      </c>
      <c r="C948" s="0" t="s">
        <v>585</v>
      </c>
      <c r="D948" s="0" t="n">
        <v>0</v>
      </c>
      <c r="E948" s="0" t="n">
        <v>1.827874468</v>
      </c>
      <c r="F948" s="0" t="n">
        <v>2.853455874</v>
      </c>
      <c r="G948" s="0" t="n">
        <v>7.494409543</v>
      </c>
      <c r="H948" s="0" t="n">
        <v>6.290579475</v>
      </c>
    </row>
    <row r="949" customFormat="false" ht="15" hidden="false" customHeight="false" outlineLevel="0" collapsed="false">
      <c r="A949" s="0" t="s">
        <v>2145</v>
      </c>
      <c r="B949" s="0" t="s">
        <v>830</v>
      </c>
      <c r="C949" s="0" t="s">
        <v>585</v>
      </c>
      <c r="D949" s="0" t="n">
        <v>0</v>
      </c>
      <c r="E949" s="0" t="n">
        <v>0.6186144395</v>
      </c>
      <c r="F949" s="0" t="n">
        <v>0.9908638266</v>
      </c>
      <c r="G949" s="0" t="n">
        <v>1.429934075</v>
      </c>
      <c r="H949" s="0" t="n">
        <v>1.527540704</v>
      </c>
    </row>
    <row r="950" customFormat="false" ht="15" hidden="false" customHeight="false" outlineLevel="0" collapsed="false">
      <c r="A950" s="0" t="s">
        <v>2146</v>
      </c>
      <c r="B950" s="0" t="s">
        <v>898</v>
      </c>
      <c r="C950" s="0" t="s">
        <v>585</v>
      </c>
      <c r="D950" s="0" t="n">
        <v>0</v>
      </c>
      <c r="E950" s="0" t="n">
        <v>0.4200473292</v>
      </c>
      <c r="F950" s="0" t="n">
        <v>0.4356592477</v>
      </c>
      <c r="G950" s="0" t="n">
        <v>0.9501097316</v>
      </c>
      <c r="H950" s="0" t="n">
        <v>0.5415769228</v>
      </c>
    </row>
    <row r="951" customFormat="false" ht="15" hidden="false" customHeight="false" outlineLevel="0" collapsed="false">
      <c r="A951" s="0" t="s">
        <v>2147</v>
      </c>
      <c r="B951" s="0" t="s">
        <v>976</v>
      </c>
      <c r="C951" s="0" t="s">
        <v>585</v>
      </c>
      <c r="D951" s="0" t="n">
        <v>0</v>
      </c>
      <c r="E951" s="0" t="n">
        <v>0.07617473479</v>
      </c>
      <c r="F951" s="0" t="n">
        <v>0.08678025552</v>
      </c>
      <c r="G951" s="0" t="n">
        <v>0.1921211523</v>
      </c>
      <c r="H951" s="0" t="n">
        <v>0.1343422507</v>
      </c>
    </row>
    <row r="952" customFormat="false" ht="15" hidden="false" customHeight="false" outlineLevel="0" collapsed="false">
      <c r="A952" s="0" t="s">
        <v>2148</v>
      </c>
      <c r="B952" s="0" t="s">
        <v>924</v>
      </c>
      <c r="C952" s="0" t="s">
        <v>585</v>
      </c>
      <c r="D952" s="0" t="n">
        <v>0</v>
      </c>
      <c r="E952" s="0" t="n">
        <v>0.201105382</v>
      </c>
      <c r="F952" s="0" t="n">
        <v>0.3027101534</v>
      </c>
      <c r="G952" s="0" t="n">
        <v>0.709169809</v>
      </c>
      <c r="H952" s="0" t="n">
        <v>0.6252217343</v>
      </c>
    </row>
    <row r="953" customFormat="false" ht="15" hidden="false" customHeight="false" outlineLevel="0" collapsed="false">
      <c r="A953" s="0" t="s">
        <v>2149</v>
      </c>
      <c r="B953" s="0" t="s">
        <v>864</v>
      </c>
      <c r="C953" s="0" t="s">
        <v>585</v>
      </c>
      <c r="D953" s="0" t="n">
        <v>0</v>
      </c>
      <c r="E953" s="0" t="n">
        <v>0.5000817258</v>
      </c>
      <c r="F953" s="0" t="n">
        <v>0.7306846151</v>
      </c>
      <c r="G953" s="0" t="n">
        <v>1.881626752</v>
      </c>
      <c r="H953" s="0" t="n">
        <v>1.82908624</v>
      </c>
    </row>
    <row r="954" customFormat="false" ht="15" hidden="false" customHeight="false" outlineLevel="0" collapsed="false">
      <c r="A954" s="0" t="s">
        <v>2150</v>
      </c>
      <c r="B954" s="0" t="s">
        <v>1022</v>
      </c>
      <c r="C954" s="0" t="s">
        <v>585</v>
      </c>
      <c r="D954" s="0" t="n">
        <v>0</v>
      </c>
      <c r="E954" s="0" t="n">
        <v>0.007370256126</v>
      </c>
      <c r="F954" s="0" t="n">
        <v>0.01004456294</v>
      </c>
      <c r="G954" s="0" t="n">
        <v>0.02161645096</v>
      </c>
      <c r="H954" s="0" t="n">
        <v>0.02327668341</v>
      </c>
    </row>
    <row r="955" customFormat="false" ht="15" hidden="false" customHeight="false" outlineLevel="0" collapsed="false">
      <c r="A955" s="0" t="s">
        <v>2151</v>
      </c>
      <c r="B955" s="0" t="s">
        <v>896</v>
      </c>
      <c r="C955" s="0" t="s">
        <v>585</v>
      </c>
      <c r="D955" s="0" t="n">
        <v>0</v>
      </c>
      <c r="E955" s="0" t="n">
        <v>0.1373383432</v>
      </c>
      <c r="F955" s="0" t="n">
        <v>0.1698635775</v>
      </c>
      <c r="G955" s="0" t="n">
        <v>0.5764856195</v>
      </c>
      <c r="H955" s="0" t="n">
        <v>0.6134212266</v>
      </c>
    </row>
    <row r="956" customFormat="false" ht="15" hidden="false" customHeight="false" outlineLevel="0" collapsed="false">
      <c r="A956" s="0" t="s">
        <v>2152</v>
      </c>
      <c r="B956" s="0" t="s">
        <v>710</v>
      </c>
      <c r="C956" s="0" t="s">
        <v>585</v>
      </c>
      <c r="D956" s="0" t="n">
        <v>0</v>
      </c>
      <c r="E956" s="0" t="n">
        <v>7.829999702</v>
      </c>
      <c r="F956" s="0" t="n">
        <v>10.64873609</v>
      </c>
      <c r="G956" s="0" t="n">
        <v>18.5542851</v>
      </c>
      <c r="H956" s="0" t="n">
        <v>19.77484431</v>
      </c>
    </row>
    <row r="957" customFormat="false" ht="15" hidden="false" customHeight="false" outlineLevel="0" collapsed="false">
      <c r="A957" s="0" t="s">
        <v>2153</v>
      </c>
      <c r="B957" s="0" t="s">
        <v>1000</v>
      </c>
      <c r="C957" s="0" t="s">
        <v>585</v>
      </c>
      <c r="D957" s="0" t="n">
        <v>0</v>
      </c>
      <c r="E957" s="0" t="n">
        <v>0.0270760922</v>
      </c>
      <c r="F957" s="0" t="n">
        <v>0.03716981979</v>
      </c>
      <c r="G957" s="0" t="n">
        <v>0.08259861605</v>
      </c>
      <c r="H957" s="0" t="n">
        <v>0.05573677255</v>
      </c>
    </row>
    <row r="958" customFormat="false" ht="15" hidden="false" customHeight="false" outlineLevel="0" collapsed="false">
      <c r="A958" s="0" t="s">
        <v>2154</v>
      </c>
      <c r="B958" s="0" t="s">
        <v>980</v>
      </c>
      <c r="C958" s="0" t="s">
        <v>585</v>
      </c>
      <c r="D958" s="0" t="n">
        <v>0</v>
      </c>
      <c r="E958" s="0" t="n">
        <v>0.06647372153</v>
      </c>
      <c r="F958" s="0" t="n">
        <v>0.1035841622</v>
      </c>
      <c r="G958" s="0" t="n">
        <v>0.2524829769</v>
      </c>
      <c r="H958" s="0" t="n">
        <v>0.1751860119</v>
      </c>
    </row>
    <row r="959" customFormat="false" ht="15" hidden="false" customHeight="false" outlineLevel="0" collapsed="false">
      <c r="A959" s="0" t="s">
        <v>2155</v>
      </c>
      <c r="B959" s="0" t="s">
        <v>1020</v>
      </c>
      <c r="C959" s="0" t="s">
        <v>585</v>
      </c>
      <c r="D959" s="0" t="n">
        <v>0</v>
      </c>
      <c r="E959" s="0" t="n">
        <v>0</v>
      </c>
      <c r="F959" s="0" t="n">
        <v>0</v>
      </c>
      <c r="G959" s="0" t="n">
        <v>0</v>
      </c>
      <c r="H959" s="0" t="n">
        <v>0.05714666571</v>
      </c>
    </row>
    <row r="960" customFormat="false" ht="15" hidden="false" customHeight="false" outlineLevel="0" collapsed="false">
      <c r="A960" s="0" t="s">
        <v>2156</v>
      </c>
      <c r="B960" s="0" t="s">
        <v>952</v>
      </c>
      <c r="C960" s="0" t="s">
        <v>585</v>
      </c>
      <c r="D960" s="0" t="n">
        <v>0</v>
      </c>
      <c r="E960" s="0" t="n">
        <v>0.04677882567</v>
      </c>
      <c r="F960" s="0" t="n">
        <v>0.09413484587</v>
      </c>
      <c r="G960" s="0" t="n">
        <v>0.2617829213</v>
      </c>
      <c r="H960" s="0" t="n">
        <v>0.1814121154</v>
      </c>
    </row>
    <row r="961" customFormat="false" ht="15" hidden="false" customHeight="false" outlineLevel="0" collapsed="false">
      <c r="A961" s="0" t="s">
        <v>2157</v>
      </c>
      <c r="B961" s="0" t="s">
        <v>1026</v>
      </c>
      <c r="C961" s="0" t="s">
        <v>585</v>
      </c>
      <c r="D961" s="0" t="n">
        <v>0</v>
      </c>
      <c r="E961" s="0" t="n">
        <v>0</v>
      </c>
      <c r="F961" s="0" t="n">
        <v>0.004524873768</v>
      </c>
      <c r="G961" s="0" t="n">
        <v>0.01188704436</v>
      </c>
      <c r="H961" s="0" t="n">
        <v>0.012721508</v>
      </c>
    </row>
    <row r="962" customFormat="false" ht="15" hidden="false" customHeight="false" outlineLevel="0" collapsed="false">
      <c r="A962" s="0" t="s">
        <v>2158</v>
      </c>
      <c r="B962" s="0" t="s">
        <v>708</v>
      </c>
      <c r="C962" s="0" t="s">
        <v>585</v>
      </c>
      <c r="D962" s="0" t="n">
        <v>0</v>
      </c>
      <c r="E962" s="0" t="n">
        <v>10.53176802</v>
      </c>
      <c r="F962" s="0" t="n">
        <v>17.60910421</v>
      </c>
      <c r="G962" s="0" t="n">
        <v>20.29933758</v>
      </c>
      <c r="H962" s="0" t="n">
        <v>18.45683536</v>
      </c>
    </row>
    <row r="963" customFormat="false" ht="15" hidden="false" customHeight="false" outlineLevel="0" collapsed="false">
      <c r="A963" s="0" t="s">
        <v>2159</v>
      </c>
      <c r="B963" s="0" t="s">
        <v>734</v>
      </c>
      <c r="C963" s="0" t="s">
        <v>585</v>
      </c>
      <c r="D963" s="0" t="n">
        <v>0</v>
      </c>
      <c r="E963" s="0" t="n">
        <v>1.357414685</v>
      </c>
      <c r="F963" s="0" t="n">
        <v>1.917073132</v>
      </c>
      <c r="G963" s="0" t="n">
        <v>2.454636344</v>
      </c>
      <c r="H963" s="0" t="n">
        <v>2.204219968</v>
      </c>
    </row>
    <row r="964" customFormat="false" ht="15" hidden="false" customHeight="false" outlineLevel="0" collapsed="false">
      <c r="A964" s="0" t="s">
        <v>2160</v>
      </c>
      <c r="B964" s="0" t="s">
        <v>782</v>
      </c>
      <c r="C964" s="0" t="s">
        <v>585</v>
      </c>
      <c r="D964" s="0" t="n">
        <v>0</v>
      </c>
      <c r="E964" s="0" t="n">
        <v>1.473954791</v>
      </c>
      <c r="F964" s="0" t="n">
        <v>2.069038198</v>
      </c>
      <c r="G964" s="0" t="n">
        <v>3.175461468</v>
      </c>
      <c r="H964" s="0" t="n">
        <v>2.160649843</v>
      </c>
    </row>
    <row r="965" customFormat="false" ht="15" hidden="false" customHeight="false" outlineLevel="0" collapsed="false">
      <c r="A965" s="0" t="s">
        <v>2161</v>
      </c>
      <c r="B965" s="0" t="s">
        <v>696</v>
      </c>
      <c r="C965" s="0" t="s">
        <v>585</v>
      </c>
      <c r="D965" s="0" t="n">
        <v>0</v>
      </c>
      <c r="E965" s="0" t="n">
        <v>279.6370932</v>
      </c>
      <c r="F965" s="0" t="n">
        <v>460.2571803</v>
      </c>
      <c r="G965" s="0" t="n">
        <v>878.0358937</v>
      </c>
      <c r="H965" s="0" t="n">
        <v>590.9026422</v>
      </c>
    </row>
    <row r="966" customFormat="false" ht="15" hidden="false" customHeight="false" outlineLevel="0" collapsed="false">
      <c r="A966" s="0" t="s">
        <v>2162</v>
      </c>
      <c r="B966" s="0" t="s">
        <v>836</v>
      </c>
      <c r="C966" s="0" t="s">
        <v>585</v>
      </c>
      <c r="D966" s="0" t="n">
        <v>0</v>
      </c>
      <c r="E966" s="0" t="n">
        <v>0.1423178089</v>
      </c>
      <c r="F966" s="0" t="n">
        <v>0.2248067796</v>
      </c>
      <c r="G966" s="0" t="n">
        <v>0.5716369259</v>
      </c>
      <c r="H966" s="0" t="n">
        <v>0.5234368037</v>
      </c>
    </row>
    <row r="967" customFormat="false" ht="15" hidden="false" customHeight="false" outlineLevel="0" collapsed="false">
      <c r="A967" s="0" t="s">
        <v>2163</v>
      </c>
      <c r="B967" s="0" t="s">
        <v>880</v>
      </c>
      <c r="C967" s="0" t="s">
        <v>585</v>
      </c>
      <c r="D967" s="0" t="n">
        <v>0</v>
      </c>
      <c r="E967" s="0" t="n">
        <v>0.07158469375</v>
      </c>
      <c r="F967" s="0" t="n">
        <v>0.1219835076</v>
      </c>
      <c r="G967" s="0" t="n">
        <v>0.2341065333</v>
      </c>
      <c r="H967" s="0" t="n">
        <v>0.262145821</v>
      </c>
    </row>
    <row r="968" customFormat="false" ht="15" hidden="false" customHeight="false" outlineLevel="0" collapsed="false">
      <c r="A968" s="0" t="s">
        <v>2164</v>
      </c>
      <c r="B968" s="0" t="s">
        <v>850</v>
      </c>
      <c r="C968" s="0" t="s">
        <v>585</v>
      </c>
      <c r="D968" s="0" t="n">
        <v>0</v>
      </c>
      <c r="E968" s="0" t="n">
        <v>0.1307860906</v>
      </c>
      <c r="F968" s="0" t="n">
        <v>0.2062244594</v>
      </c>
      <c r="G968" s="0" t="n">
        <v>0.3176429078</v>
      </c>
      <c r="H968" s="0" t="n">
        <v>0.3792530287</v>
      </c>
    </row>
    <row r="969" customFormat="false" ht="15" hidden="false" customHeight="false" outlineLevel="0" collapsed="false">
      <c r="A969" s="0" t="s">
        <v>2165</v>
      </c>
      <c r="B969" s="0" t="s">
        <v>978</v>
      </c>
      <c r="C969" s="0" t="s">
        <v>585</v>
      </c>
      <c r="D969" s="0" t="n">
        <v>0</v>
      </c>
      <c r="E969" s="0" t="n">
        <v>0.008783895301</v>
      </c>
      <c r="F969" s="0" t="n">
        <v>0.02860783664</v>
      </c>
      <c r="G969" s="0" t="n">
        <v>0.09113737136</v>
      </c>
      <c r="H969" s="0" t="n">
        <v>0.08495748233</v>
      </c>
    </row>
    <row r="970" customFormat="false" ht="15" hidden="false" customHeight="false" outlineLevel="0" collapsed="false">
      <c r="A970" s="0" t="s">
        <v>2166</v>
      </c>
      <c r="B970" s="0" t="s">
        <v>766</v>
      </c>
      <c r="C970" s="0" t="s">
        <v>585</v>
      </c>
      <c r="D970" s="0" t="n">
        <v>0</v>
      </c>
      <c r="E970" s="0" t="n">
        <v>0.5874312304</v>
      </c>
      <c r="F970" s="0" t="n">
        <v>0.7856251178</v>
      </c>
      <c r="G970" s="0" t="n">
        <v>1.609103354</v>
      </c>
      <c r="H970" s="0" t="n">
        <v>1.708142042</v>
      </c>
    </row>
    <row r="971" customFormat="false" ht="15" hidden="false" customHeight="false" outlineLevel="0" collapsed="false">
      <c r="A971" s="0" t="s">
        <v>2167</v>
      </c>
      <c r="B971" s="0" t="s">
        <v>1044</v>
      </c>
      <c r="C971" s="0" t="s">
        <v>585</v>
      </c>
      <c r="D971" s="0" t="n">
        <v>0</v>
      </c>
      <c r="E971" s="0" t="n">
        <v>0.003527480173</v>
      </c>
      <c r="F971" s="0" t="n">
        <v>0.006845869877</v>
      </c>
      <c r="G971" s="0" t="n">
        <v>0.02417027267</v>
      </c>
      <c r="H971" s="0" t="n">
        <v>0.02440262796</v>
      </c>
    </row>
    <row r="972" customFormat="false" ht="15" hidden="false" customHeight="false" outlineLevel="0" collapsed="false">
      <c r="A972" s="0" t="s">
        <v>2168</v>
      </c>
      <c r="B972" s="0" t="s">
        <v>1024</v>
      </c>
      <c r="C972" s="0" t="s">
        <v>585</v>
      </c>
      <c r="D972" s="0" t="n">
        <v>0</v>
      </c>
      <c r="E972" s="0" t="n">
        <v>0.01529936142</v>
      </c>
      <c r="F972" s="0" t="n">
        <v>0.02178948325</v>
      </c>
      <c r="G972" s="0" t="n">
        <v>0.04356176835</v>
      </c>
      <c r="H972" s="0" t="n">
        <v>0.04226535561</v>
      </c>
    </row>
    <row r="973" customFormat="false" ht="15" hidden="false" customHeight="false" outlineLevel="0" collapsed="false">
      <c r="A973" s="0" t="s">
        <v>2169</v>
      </c>
      <c r="B973" s="0" t="s">
        <v>838</v>
      </c>
      <c r="C973" s="0" t="s">
        <v>585</v>
      </c>
      <c r="D973" s="0" t="n">
        <v>0</v>
      </c>
      <c r="E973" s="0" t="n">
        <v>0.1338635848</v>
      </c>
      <c r="F973" s="0" t="n">
        <v>0.1840008968</v>
      </c>
      <c r="G973" s="0" t="n">
        <v>0.3114573856</v>
      </c>
      <c r="H973" s="0" t="n">
        <v>0.3308336459</v>
      </c>
    </row>
    <row r="974" customFormat="false" ht="15" hidden="false" customHeight="false" outlineLevel="0" collapsed="false">
      <c r="A974" s="0" t="s">
        <v>2170</v>
      </c>
      <c r="B974" s="0" t="s">
        <v>906</v>
      </c>
      <c r="C974" s="0" t="s">
        <v>585</v>
      </c>
      <c r="D974" s="0" t="n">
        <v>0</v>
      </c>
      <c r="E974" s="0" t="n">
        <v>0.2386003764</v>
      </c>
      <c r="F974" s="0" t="n">
        <v>0.5004142101</v>
      </c>
      <c r="G974" s="0" t="n">
        <v>0.4248528121</v>
      </c>
      <c r="H974" s="0" t="n">
        <v>0.3883960351</v>
      </c>
    </row>
    <row r="975" customFormat="false" ht="15" hidden="false" customHeight="false" outlineLevel="0" collapsed="false">
      <c r="A975" s="0" t="s">
        <v>2171</v>
      </c>
      <c r="B975" s="0" t="s">
        <v>778</v>
      </c>
      <c r="C975" s="0" t="s">
        <v>585</v>
      </c>
      <c r="D975" s="0" t="n">
        <v>0</v>
      </c>
      <c r="E975" s="0" t="n">
        <v>1.973970597</v>
      </c>
      <c r="F975" s="0" t="n">
        <v>3.720732455</v>
      </c>
      <c r="G975" s="0" t="n">
        <v>3.757740171</v>
      </c>
      <c r="H975" s="0" t="n">
        <v>3.028242199</v>
      </c>
    </row>
    <row r="976" customFormat="false" ht="15" hidden="false" customHeight="false" outlineLevel="0" collapsed="false">
      <c r="A976" s="0" t="s">
        <v>2172</v>
      </c>
      <c r="B976" s="0" t="s">
        <v>700</v>
      </c>
      <c r="C976" s="0" t="s">
        <v>585</v>
      </c>
      <c r="D976" s="0" t="n">
        <v>0</v>
      </c>
      <c r="E976" s="0" t="n">
        <v>24.02964924</v>
      </c>
      <c r="F976" s="0" t="n">
        <v>39.02968138</v>
      </c>
      <c r="G976" s="0" t="n">
        <v>32.82310928</v>
      </c>
      <c r="H976" s="0" t="n">
        <v>25.75033738</v>
      </c>
    </row>
    <row r="977" customFormat="false" ht="15" hidden="false" customHeight="false" outlineLevel="0" collapsed="false">
      <c r="A977" s="0" t="s">
        <v>2173</v>
      </c>
      <c r="B977" s="0" t="s">
        <v>1014</v>
      </c>
      <c r="C977" s="0" t="s">
        <v>585</v>
      </c>
      <c r="D977" s="0" t="n">
        <v>0</v>
      </c>
      <c r="E977" s="0" t="n">
        <v>0.01531857104</v>
      </c>
      <c r="F977" s="0" t="n">
        <v>0.02202139444</v>
      </c>
      <c r="G977" s="0" t="n">
        <v>0.04457688024</v>
      </c>
      <c r="H977" s="0" t="n">
        <v>0.04245801923</v>
      </c>
    </row>
    <row r="978" customFormat="false" ht="15" hidden="false" customHeight="false" outlineLevel="0" collapsed="false">
      <c r="A978" s="0" t="s">
        <v>2174</v>
      </c>
      <c r="B978" s="0" t="s">
        <v>1058</v>
      </c>
      <c r="C978" s="0" t="s">
        <v>585</v>
      </c>
      <c r="D978" s="0" t="n">
        <v>0</v>
      </c>
      <c r="E978" s="0" t="n">
        <v>0.002484896646</v>
      </c>
      <c r="F978" s="0" t="n">
        <v>0.003315056441</v>
      </c>
      <c r="G978" s="0" t="n">
        <v>0.008820200925</v>
      </c>
      <c r="H978" s="0" t="n">
        <v>0.007709084522</v>
      </c>
    </row>
    <row r="979" customFormat="false" ht="15" hidden="false" customHeight="false" outlineLevel="0" collapsed="false">
      <c r="A979" s="0" t="s">
        <v>2175</v>
      </c>
      <c r="B979" s="0" t="s">
        <v>768</v>
      </c>
      <c r="C979" s="0" t="s">
        <v>585</v>
      </c>
      <c r="D979" s="0" t="n">
        <v>0</v>
      </c>
      <c r="E979" s="0" t="n">
        <v>2.104067655</v>
      </c>
      <c r="F979" s="0" t="n">
        <v>1.828801961</v>
      </c>
      <c r="G979" s="0" t="n">
        <v>1.707750188</v>
      </c>
      <c r="H979" s="0" t="n">
        <v>1.370359185</v>
      </c>
    </row>
    <row r="980" customFormat="false" ht="15" hidden="false" customHeight="false" outlineLevel="0" collapsed="false">
      <c r="A980" s="0" t="s">
        <v>2176</v>
      </c>
      <c r="B980" s="0" t="s">
        <v>818</v>
      </c>
      <c r="C980" s="0" t="s">
        <v>585</v>
      </c>
      <c r="D980" s="0" t="n">
        <v>0</v>
      </c>
      <c r="E980" s="0" t="n">
        <v>0.3552404274</v>
      </c>
      <c r="F980" s="0" t="n">
        <v>0.6366683991</v>
      </c>
      <c r="G980" s="0" t="n">
        <v>1.418007193</v>
      </c>
      <c r="H980" s="0" t="n">
        <v>1.174044727</v>
      </c>
    </row>
    <row r="981" customFormat="false" ht="15" hidden="false" customHeight="false" outlineLevel="0" collapsed="false">
      <c r="A981" s="0" t="s">
        <v>2177</v>
      </c>
      <c r="B981" s="0" t="s">
        <v>788</v>
      </c>
      <c r="C981" s="0" t="s">
        <v>585</v>
      </c>
      <c r="D981" s="0" t="n">
        <v>0</v>
      </c>
      <c r="E981" s="0" t="n">
        <v>1.425199685</v>
      </c>
      <c r="F981" s="0" t="n">
        <v>1.894989832</v>
      </c>
      <c r="G981" s="0" t="n">
        <v>4.58761399</v>
      </c>
      <c r="H981" s="0" t="n">
        <v>3.795233955</v>
      </c>
    </row>
    <row r="982" customFormat="false" ht="15" hidden="false" customHeight="false" outlineLevel="0" collapsed="false">
      <c r="A982" s="0" t="s">
        <v>2178</v>
      </c>
      <c r="B982" s="0" t="s">
        <v>824</v>
      </c>
      <c r="C982" s="0" t="s">
        <v>585</v>
      </c>
      <c r="D982" s="0" t="n">
        <v>0</v>
      </c>
      <c r="E982" s="0" t="n">
        <v>0.6389281433</v>
      </c>
      <c r="F982" s="0" t="n">
        <v>0.8387373363</v>
      </c>
      <c r="G982" s="0" t="n">
        <v>1.937703749</v>
      </c>
      <c r="H982" s="0" t="n">
        <v>1.945994305</v>
      </c>
    </row>
    <row r="983" customFormat="false" ht="15" hidden="false" customHeight="false" outlineLevel="0" collapsed="false">
      <c r="A983" s="0" t="s">
        <v>2179</v>
      </c>
      <c r="B983" s="0" t="s">
        <v>764</v>
      </c>
      <c r="C983" s="0" t="s">
        <v>585</v>
      </c>
      <c r="D983" s="0" t="n">
        <v>0</v>
      </c>
      <c r="E983" s="0" t="n">
        <v>1.839953493</v>
      </c>
      <c r="F983" s="0" t="n">
        <v>2.573176614</v>
      </c>
      <c r="G983" s="0" t="n">
        <v>6.348654267</v>
      </c>
      <c r="H983" s="0" t="n">
        <v>5.781708329</v>
      </c>
    </row>
    <row r="984" customFormat="false" ht="15" hidden="false" customHeight="false" outlineLevel="0" collapsed="false">
      <c r="A984" s="0" t="s">
        <v>2180</v>
      </c>
      <c r="B984" s="0" t="s">
        <v>722</v>
      </c>
      <c r="C984" s="0" t="s">
        <v>585</v>
      </c>
      <c r="D984" s="0" t="n">
        <v>0</v>
      </c>
      <c r="E984" s="0" t="n">
        <v>9.31010289</v>
      </c>
      <c r="F984" s="0" t="n">
        <v>13.3106451</v>
      </c>
      <c r="G984" s="0" t="n">
        <v>12.40889989</v>
      </c>
      <c r="H984" s="0" t="n">
        <v>10.46010341</v>
      </c>
    </row>
    <row r="985" customFormat="false" ht="15" hidden="false" customHeight="false" outlineLevel="0" collapsed="false">
      <c r="A985" s="0" t="s">
        <v>2181</v>
      </c>
      <c r="B985" s="0" t="s">
        <v>902</v>
      </c>
      <c r="C985" s="0" t="s">
        <v>585</v>
      </c>
      <c r="D985" s="0" t="n">
        <v>0</v>
      </c>
      <c r="E985" s="0" t="n">
        <v>0.1736508214</v>
      </c>
      <c r="F985" s="0" t="n">
        <v>0.2894357425</v>
      </c>
      <c r="G985" s="0" t="n">
        <v>0.2363439361</v>
      </c>
      <c r="H985" s="0" t="n">
        <v>0.1885131087</v>
      </c>
    </row>
    <row r="986" customFormat="false" ht="15" hidden="false" customHeight="false" outlineLevel="0" collapsed="false">
      <c r="A986" s="0" t="s">
        <v>2182</v>
      </c>
      <c r="B986" s="0" t="s">
        <v>802</v>
      </c>
      <c r="C986" s="0" t="s">
        <v>585</v>
      </c>
      <c r="D986" s="0" t="n">
        <v>0</v>
      </c>
      <c r="E986" s="0" t="n">
        <v>0.008031636087</v>
      </c>
      <c r="F986" s="0" t="n">
        <v>0.5379904964</v>
      </c>
      <c r="G986" s="0" t="n">
        <v>1.237174051</v>
      </c>
      <c r="H986" s="0" t="n">
        <v>1.687149758</v>
      </c>
    </row>
    <row r="987" customFormat="false" ht="15" hidden="false" customHeight="false" outlineLevel="0" collapsed="false">
      <c r="A987" s="0" t="s">
        <v>2183</v>
      </c>
      <c r="B987" s="0" t="s">
        <v>794</v>
      </c>
      <c r="C987" s="0" t="s">
        <v>585</v>
      </c>
      <c r="D987" s="0" t="n">
        <v>0</v>
      </c>
      <c r="E987" s="0" t="n">
        <v>1.444485208</v>
      </c>
      <c r="F987" s="0" t="n">
        <v>1.277957467</v>
      </c>
      <c r="G987" s="0" t="n">
        <v>1.557347689</v>
      </c>
      <c r="H987" s="0" t="n">
        <v>1.547979178</v>
      </c>
    </row>
    <row r="988" customFormat="false" ht="15" hidden="false" customHeight="false" outlineLevel="0" collapsed="false">
      <c r="A988" s="0" t="s">
        <v>2184</v>
      </c>
      <c r="B988" s="0" t="s">
        <v>1006</v>
      </c>
      <c r="C988" s="0" t="s">
        <v>585</v>
      </c>
      <c r="D988" s="0" t="n">
        <v>0</v>
      </c>
      <c r="E988" s="0" t="n">
        <v>0.0156242436</v>
      </c>
      <c r="F988" s="0" t="n">
        <v>0.01916288135</v>
      </c>
      <c r="G988" s="0" t="n">
        <v>0.04116329544</v>
      </c>
      <c r="H988" s="0" t="n">
        <v>0.04298116442</v>
      </c>
    </row>
    <row r="989" customFormat="false" ht="15" hidden="false" customHeight="false" outlineLevel="0" collapsed="false">
      <c r="A989" s="0" t="s">
        <v>2185</v>
      </c>
      <c r="B989" s="0" t="s">
        <v>706</v>
      </c>
      <c r="C989" s="0" t="s">
        <v>585</v>
      </c>
      <c r="D989" s="0" t="n">
        <v>0</v>
      </c>
      <c r="E989" s="0" t="n">
        <v>10.7559376</v>
      </c>
      <c r="F989" s="0" t="n">
        <v>10.28726056</v>
      </c>
      <c r="G989" s="0" t="n">
        <v>13.4116415</v>
      </c>
      <c r="H989" s="0" t="n">
        <v>11.36123181</v>
      </c>
    </row>
    <row r="990" customFormat="false" ht="15" hidden="false" customHeight="false" outlineLevel="0" collapsed="false">
      <c r="A990" s="0" t="s">
        <v>2186</v>
      </c>
      <c r="B990" s="0" t="s">
        <v>950</v>
      </c>
      <c r="C990" s="0" t="s">
        <v>585</v>
      </c>
      <c r="D990" s="0" t="n">
        <v>0</v>
      </c>
      <c r="E990" s="0" t="n">
        <v>0.03073781834</v>
      </c>
      <c r="F990" s="0" t="n">
        <v>0.03766091506</v>
      </c>
      <c r="G990" s="0" t="n">
        <v>0.08686278557</v>
      </c>
      <c r="H990" s="0" t="n">
        <v>0.08452394737</v>
      </c>
    </row>
    <row r="991" customFormat="false" ht="15" hidden="false" customHeight="false" outlineLevel="0" collapsed="false">
      <c r="A991" s="0" t="s">
        <v>2187</v>
      </c>
      <c r="B991" s="0" t="s">
        <v>704</v>
      </c>
      <c r="C991" s="0" t="s">
        <v>585</v>
      </c>
      <c r="D991" s="0" t="n">
        <v>0</v>
      </c>
      <c r="E991" s="0" t="n">
        <v>12.51892993</v>
      </c>
      <c r="F991" s="0" t="n">
        <v>20.56905788</v>
      </c>
      <c r="G991" s="0" t="n">
        <v>19.5530095</v>
      </c>
      <c r="H991" s="0" t="n">
        <v>14.09124787</v>
      </c>
    </row>
    <row r="992" customFormat="false" ht="15" hidden="false" customHeight="false" outlineLevel="0" collapsed="false">
      <c r="A992" s="0" t="s">
        <v>2188</v>
      </c>
      <c r="B992" s="0" t="s">
        <v>900</v>
      </c>
      <c r="C992" s="0" t="s">
        <v>585</v>
      </c>
      <c r="D992" s="0" t="n">
        <v>0</v>
      </c>
      <c r="E992" s="0" t="n">
        <v>0.2714042792</v>
      </c>
      <c r="F992" s="0" t="n">
        <v>0.321148278</v>
      </c>
      <c r="G992" s="0" t="n">
        <v>0.6270601794</v>
      </c>
      <c r="H992" s="0" t="n">
        <v>0.6623284451</v>
      </c>
    </row>
    <row r="993" customFormat="false" ht="15" hidden="false" customHeight="false" outlineLevel="0" collapsed="false">
      <c r="A993" s="0" t="s">
        <v>2189</v>
      </c>
      <c r="B993" s="0" t="s">
        <v>844</v>
      </c>
      <c r="C993" s="0" t="s">
        <v>585</v>
      </c>
      <c r="D993" s="0" t="n">
        <v>0</v>
      </c>
      <c r="E993" s="0" t="n">
        <v>0.1521624664</v>
      </c>
      <c r="F993" s="0" t="n">
        <v>0.3901630305</v>
      </c>
      <c r="G993" s="0" t="n">
        <v>1.154906945</v>
      </c>
      <c r="H993" s="0" t="n">
        <v>1.104899536</v>
      </c>
    </row>
    <row r="994" customFormat="false" ht="15" hidden="false" customHeight="false" outlineLevel="0" collapsed="false">
      <c r="A994" s="0" t="s">
        <v>2190</v>
      </c>
      <c r="B994" s="0" t="s">
        <v>914</v>
      </c>
      <c r="C994" s="0" t="s">
        <v>585</v>
      </c>
      <c r="D994" s="0" t="n">
        <v>0</v>
      </c>
      <c r="E994" s="0" t="n">
        <v>0.07308274153</v>
      </c>
      <c r="F994" s="0" t="n">
        <v>0.1399033613</v>
      </c>
      <c r="G994" s="0" t="n">
        <v>0.3020307251</v>
      </c>
      <c r="H994" s="0" t="n">
        <v>0.3429900212</v>
      </c>
    </row>
    <row r="995" customFormat="false" ht="15" hidden="false" customHeight="false" outlineLevel="0" collapsed="false">
      <c r="A995" s="0" t="s">
        <v>2191</v>
      </c>
      <c r="B995" s="0" t="s">
        <v>1028</v>
      </c>
      <c r="C995" s="0" t="s">
        <v>585</v>
      </c>
      <c r="D995" s="0" t="n">
        <v>0</v>
      </c>
      <c r="E995" s="0" t="n">
        <v>0.01175060735</v>
      </c>
      <c r="F995" s="0" t="n">
        <v>0.01699502762</v>
      </c>
      <c r="G995" s="0" t="n">
        <v>0.04886376425</v>
      </c>
      <c r="H995" s="0" t="n">
        <v>0.05502720066</v>
      </c>
    </row>
    <row r="996" customFormat="false" ht="15" hidden="false" customHeight="false" outlineLevel="0" collapsed="false">
      <c r="A996" s="0" t="s">
        <v>2192</v>
      </c>
      <c r="B996" s="0" t="s">
        <v>1030</v>
      </c>
      <c r="C996" s="0" t="s">
        <v>585</v>
      </c>
      <c r="D996" s="0" t="n">
        <v>0</v>
      </c>
      <c r="E996" s="0" t="n">
        <v>0.003507908443</v>
      </c>
      <c r="F996" s="0" t="n">
        <v>0.005605816742</v>
      </c>
      <c r="G996" s="0" t="n">
        <v>0.01781181382</v>
      </c>
      <c r="H996" s="0" t="n">
        <v>0.01917986628</v>
      </c>
    </row>
    <row r="997" customFormat="false" ht="15" hidden="false" customHeight="false" outlineLevel="0" collapsed="false">
      <c r="A997" s="0" t="s">
        <v>2193</v>
      </c>
      <c r="B997" s="0" t="s">
        <v>994</v>
      </c>
      <c r="C997" s="0" t="s">
        <v>585</v>
      </c>
      <c r="D997" s="0" t="n">
        <v>0</v>
      </c>
      <c r="E997" s="0" t="n">
        <v>0.01764606473</v>
      </c>
      <c r="F997" s="0" t="n">
        <v>0.02848506905</v>
      </c>
      <c r="G997" s="0" t="n">
        <v>0.08350193912</v>
      </c>
      <c r="H997" s="0" t="n">
        <v>0.08735061443</v>
      </c>
    </row>
    <row r="998" customFormat="false" ht="15" hidden="false" customHeight="false" outlineLevel="0" collapsed="false">
      <c r="A998" s="0" t="s">
        <v>2194</v>
      </c>
      <c r="B998" s="0" t="s">
        <v>798</v>
      </c>
      <c r="C998" s="0" t="s">
        <v>585</v>
      </c>
      <c r="D998" s="0" t="n">
        <v>0</v>
      </c>
      <c r="E998" s="0" t="n">
        <v>2.038073643</v>
      </c>
      <c r="F998" s="0" t="n">
        <v>3.36769805</v>
      </c>
      <c r="G998" s="0" t="n">
        <v>2.498792329</v>
      </c>
      <c r="H998" s="0" t="n">
        <v>2.102951205</v>
      </c>
    </row>
    <row r="999" customFormat="false" ht="15" hidden="false" customHeight="false" outlineLevel="0" collapsed="false">
      <c r="A999" s="0" t="s">
        <v>2195</v>
      </c>
      <c r="B999" s="0" t="s">
        <v>1046</v>
      </c>
      <c r="C999" s="0" t="s">
        <v>585</v>
      </c>
      <c r="D999" s="0" t="n">
        <v>0</v>
      </c>
      <c r="E999" s="0" t="n">
        <v>0.005450568899</v>
      </c>
      <c r="F999" s="0" t="n">
        <v>0.007156098424</v>
      </c>
      <c r="G999" s="0" t="n">
        <v>0.01945012273</v>
      </c>
      <c r="H999" s="0" t="n">
        <v>0.01667713564</v>
      </c>
    </row>
    <row r="1000" customFormat="false" ht="15" hidden="false" customHeight="false" outlineLevel="0" collapsed="false">
      <c r="A1000" s="0" t="s">
        <v>2196</v>
      </c>
      <c r="B1000" s="0" t="s">
        <v>826</v>
      </c>
      <c r="C1000" s="0" t="s">
        <v>585</v>
      </c>
      <c r="D1000" s="0" t="n">
        <v>0</v>
      </c>
      <c r="E1000" s="0" t="n">
        <v>0.1123189393</v>
      </c>
      <c r="F1000" s="0" t="n">
        <v>0.1666073909</v>
      </c>
      <c r="G1000" s="0" t="n">
        <v>0.3444842246</v>
      </c>
      <c r="H1000" s="0" t="n">
        <v>0.3329003085</v>
      </c>
    </row>
    <row r="1001" customFormat="false" ht="15" hidden="false" customHeight="false" outlineLevel="0" collapsed="false">
      <c r="A1001" s="0" t="s">
        <v>2197</v>
      </c>
      <c r="B1001" s="0" t="s">
        <v>890</v>
      </c>
      <c r="C1001" s="0" t="s">
        <v>585</v>
      </c>
      <c r="D1001" s="0" t="n">
        <v>0</v>
      </c>
      <c r="E1001" s="0" t="n">
        <v>0.04746934566</v>
      </c>
      <c r="F1001" s="0" t="n">
        <v>0.09704503458</v>
      </c>
      <c r="G1001" s="0" t="n">
        <v>0.2582177564</v>
      </c>
      <c r="H1001" s="0" t="n">
        <v>0.2310946085</v>
      </c>
    </row>
    <row r="1002" customFormat="false" ht="15" hidden="false" customHeight="false" outlineLevel="0" collapsed="false">
      <c r="A1002" s="0" t="s">
        <v>2198</v>
      </c>
      <c r="B1002" s="0" t="s">
        <v>770</v>
      </c>
      <c r="C1002" s="0" t="s">
        <v>585</v>
      </c>
      <c r="D1002" s="0" t="n">
        <v>0</v>
      </c>
      <c r="E1002" s="0" t="n">
        <v>1.340772416</v>
      </c>
      <c r="F1002" s="0" t="n">
        <v>2.757269667</v>
      </c>
      <c r="G1002" s="0" t="n">
        <v>1.534276686</v>
      </c>
      <c r="H1002" s="0" t="n">
        <v>1.227402717</v>
      </c>
    </row>
    <row r="1003" customFormat="false" ht="15" hidden="false" customHeight="false" outlineLevel="0" collapsed="false">
      <c r="A1003" s="0" t="s">
        <v>2199</v>
      </c>
      <c r="B1003" s="0" t="s">
        <v>904</v>
      </c>
      <c r="C1003" s="0" t="s">
        <v>585</v>
      </c>
      <c r="D1003" s="0" t="n">
        <v>0</v>
      </c>
      <c r="E1003" s="0" t="n">
        <v>0.1109230138</v>
      </c>
      <c r="F1003" s="0" t="n">
        <v>0.1810718649</v>
      </c>
      <c r="G1003" s="0" t="n">
        <v>0.4187638178</v>
      </c>
      <c r="H1003" s="0" t="n">
        <v>0.4172886546</v>
      </c>
    </row>
    <row r="1004" customFormat="false" ht="15" hidden="false" customHeight="false" outlineLevel="0" collapsed="false">
      <c r="A1004" s="0" t="s">
        <v>2200</v>
      </c>
      <c r="B1004" s="0" t="s">
        <v>846</v>
      </c>
      <c r="C1004" s="0" t="s">
        <v>585</v>
      </c>
      <c r="D1004" s="0" t="n">
        <v>0</v>
      </c>
      <c r="E1004" s="0" t="n">
        <v>0.4062434284</v>
      </c>
      <c r="F1004" s="0" t="n">
        <v>0.6414193386</v>
      </c>
      <c r="G1004" s="0" t="n">
        <v>0.6121174252</v>
      </c>
      <c r="H1004" s="0" t="n">
        <v>0.5037438364</v>
      </c>
    </row>
    <row r="1005" customFormat="false" ht="15" hidden="false" customHeight="false" outlineLevel="0" collapsed="false">
      <c r="A1005" s="0" t="s">
        <v>2201</v>
      </c>
      <c r="B1005" s="0" t="s">
        <v>956</v>
      </c>
      <c r="C1005" s="0" t="s">
        <v>585</v>
      </c>
      <c r="D1005" s="0" t="n">
        <v>0</v>
      </c>
      <c r="E1005" s="0" t="n">
        <v>0.0272253017</v>
      </c>
      <c r="F1005" s="0" t="n">
        <v>0.03933264666</v>
      </c>
      <c r="G1005" s="0" t="n">
        <v>0.10566777</v>
      </c>
      <c r="H1005" s="0" t="n">
        <v>0.1118649546</v>
      </c>
    </row>
    <row r="1006" customFormat="false" ht="15" hidden="false" customHeight="false" outlineLevel="0" collapsed="false">
      <c r="A1006" s="0" t="s">
        <v>2202</v>
      </c>
      <c r="B1006" s="0" t="s">
        <v>800</v>
      </c>
      <c r="C1006" s="0" t="s">
        <v>585</v>
      </c>
      <c r="D1006" s="0" t="n">
        <v>0</v>
      </c>
      <c r="E1006" s="0" t="n">
        <v>0.7135269155</v>
      </c>
      <c r="F1006" s="0" t="n">
        <v>1.231995648</v>
      </c>
      <c r="G1006" s="0" t="n">
        <v>1.39612814</v>
      </c>
      <c r="H1006" s="0" t="n">
        <v>1.257540209</v>
      </c>
    </row>
    <row r="1007" customFormat="false" ht="15" hidden="false" customHeight="false" outlineLevel="0" collapsed="false">
      <c r="A1007" s="0" t="s">
        <v>2203</v>
      </c>
      <c r="B1007" s="0" t="s">
        <v>724</v>
      </c>
      <c r="C1007" s="0" t="s">
        <v>585</v>
      </c>
      <c r="D1007" s="0" t="n">
        <v>0</v>
      </c>
      <c r="E1007" s="0" t="n">
        <v>5.312100609</v>
      </c>
      <c r="F1007" s="0" t="n">
        <v>7.874789895</v>
      </c>
      <c r="G1007" s="0" t="n">
        <v>20.58539462</v>
      </c>
      <c r="H1007" s="0" t="n">
        <v>19.55293394</v>
      </c>
    </row>
    <row r="1008" customFormat="false" ht="15" hidden="false" customHeight="false" outlineLevel="0" collapsed="false">
      <c r="A1008" s="0" t="s">
        <v>2204</v>
      </c>
      <c r="B1008" s="0" t="s">
        <v>36</v>
      </c>
      <c r="C1008" s="0" t="s">
        <v>585</v>
      </c>
      <c r="D1008" s="0" t="n">
        <v>0</v>
      </c>
      <c r="E1008" s="0" t="n">
        <v>30.72213821</v>
      </c>
      <c r="F1008" s="0" t="n">
        <v>51.01631988</v>
      </c>
      <c r="G1008" s="0" t="n">
        <v>116.7642956</v>
      </c>
      <c r="H1008" s="0" t="n">
        <v>106.6116714</v>
      </c>
    </row>
    <row r="1009" customFormat="false" ht="15" hidden="false" customHeight="false" outlineLevel="0" collapsed="false">
      <c r="A1009" s="0" t="s">
        <v>2205</v>
      </c>
      <c r="B1009" s="0" t="s">
        <v>738</v>
      </c>
      <c r="C1009" s="0" t="s">
        <v>585</v>
      </c>
      <c r="D1009" s="0" t="n">
        <v>0</v>
      </c>
      <c r="E1009" s="0" t="n">
        <v>2.569247879</v>
      </c>
      <c r="F1009" s="0" t="n">
        <v>2.885321572</v>
      </c>
      <c r="G1009" s="0" t="n">
        <v>2.122986941</v>
      </c>
      <c r="H1009" s="0" t="n">
        <v>1.595072238</v>
      </c>
    </row>
    <row r="1010" customFormat="false" ht="15" hidden="false" customHeight="false" outlineLevel="0" collapsed="false">
      <c r="A1010" s="0" t="s">
        <v>2206</v>
      </c>
      <c r="B1010" s="0" t="s">
        <v>790</v>
      </c>
      <c r="C1010" s="0" t="s">
        <v>585</v>
      </c>
      <c r="D1010" s="0" t="n">
        <v>0</v>
      </c>
      <c r="E1010" s="0" t="n">
        <v>5.0480446</v>
      </c>
      <c r="F1010" s="0" t="n">
        <v>5.181809878</v>
      </c>
      <c r="G1010" s="0" t="n">
        <v>17.33786358</v>
      </c>
      <c r="H1010" s="0" t="n">
        <v>14.69718159</v>
      </c>
    </row>
    <row r="1011" customFormat="false" ht="15" hidden="false" customHeight="false" outlineLevel="0" collapsed="false">
      <c r="A1011" s="0" t="s">
        <v>2207</v>
      </c>
      <c r="B1011" s="0" t="s">
        <v>806</v>
      </c>
      <c r="C1011" s="0" t="s">
        <v>585</v>
      </c>
      <c r="D1011" s="0" t="n">
        <v>0</v>
      </c>
      <c r="E1011" s="0" t="n">
        <v>0.9884045989</v>
      </c>
      <c r="F1011" s="0" t="n">
        <v>0.8721889409</v>
      </c>
      <c r="G1011" s="0" t="n">
        <v>2.962185652</v>
      </c>
      <c r="H1011" s="0" t="n">
        <v>2.417503783</v>
      </c>
    </row>
    <row r="1012" customFormat="false" ht="15" hidden="false" customHeight="false" outlineLevel="0" collapsed="false">
      <c r="A1012" s="0" t="s">
        <v>2208</v>
      </c>
      <c r="B1012" s="0" t="s">
        <v>916</v>
      </c>
      <c r="C1012" s="0" t="s">
        <v>585</v>
      </c>
      <c r="D1012" s="0" t="n">
        <v>0</v>
      </c>
      <c r="E1012" s="0" t="n">
        <v>0.04389271187</v>
      </c>
      <c r="F1012" s="0" t="n">
        <v>0.0773152881</v>
      </c>
      <c r="G1012" s="0" t="n">
        <v>0.07443818571</v>
      </c>
      <c r="H1012" s="0" t="n">
        <v>0.07784624077</v>
      </c>
    </row>
    <row r="1013" customFormat="false" ht="15" hidden="false" customHeight="false" outlineLevel="0" collapsed="false">
      <c r="A1013" s="0" t="s">
        <v>2209</v>
      </c>
      <c r="B1013" s="0" t="s">
        <v>750</v>
      </c>
      <c r="C1013" s="0" t="s">
        <v>585</v>
      </c>
      <c r="D1013" s="0" t="n">
        <v>0</v>
      </c>
      <c r="E1013" s="0" t="n">
        <v>2.7547539</v>
      </c>
      <c r="F1013" s="0" t="n">
        <v>5.862059125</v>
      </c>
      <c r="G1013" s="0" t="n">
        <v>3.443108404</v>
      </c>
      <c r="H1013" s="0" t="n">
        <v>2.886656167</v>
      </c>
    </row>
    <row r="1014" customFormat="false" ht="15" hidden="false" customHeight="false" outlineLevel="0" collapsed="false">
      <c r="A1014" s="0" t="s">
        <v>2210</v>
      </c>
      <c r="B1014" s="0" t="s">
        <v>712</v>
      </c>
      <c r="C1014" s="0" t="s">
        <v>585</v>
      </c>
      <c r="D1014" s="0" t="n">
        <v>0</v>
      </c>
      <c r="E1014" s="0" t="n">
        <v>8.472424755</v>
      </c>
      <c r="F1014" s="0" t="n">
        <v>15.68384015</v>
      </c>
      <c r="G1014" s="0" t="n">
        <v>14.05324734</v>
      </c>
      <c r="H1014" s="0" t="n">
        <v>10.67324893</v>
      </c>
    </row>
    <row r="1015" customFormat="false" ht="15" hidden="false" customHeight="false" outlineLevel="0" collapsed="false">
      <c r="A1015" s="0" t="s">
        <v>2211</v>
      </c>
      <c r="B1015" s="0" t="s">
        <v>964</v>
      </c>
      <c r="C1015" s="0" t="s">
        <v>585</v>
      </c>
      <c r="D1015" s="0" t="n">
        <v>0</v>
      </c>
      <c r="E1015" s="0" t="n">
        <v>0.09149817086</v>
      </c>
      <c r="F1015" s="0" t="n">
        <v>0.1260116458</v>
      </c>
      <c r="G1015" s="0" t="n">
        <v>0.3598007419</v>
      </c>
      <c r="H1015" s="0" t="n">
        <v>0.3078757677</v>
      </c>
    </row>
    <row r="1016" customFormat="false" ht="15" hidden="false" customHeight="false" outlineLevel="0" collapsed="false">
      <c r="A1016" s="0" t="s">
        <v>2212</v>
      </c>
      <c r="B1016" s="0" t="s">
        <v>876</v>
      </c>
      <c r="C1016" s="0" t="s">
        <v>585</v>
      </c>
      <c r="D1016" s="0" t="n">
        <v>0</v>
      </c>
      <c r="E1016" s="0" t="n">
        <v>0.2672552885</v>
      </c>
      <c r="F1016" s="0" t="n">
        <v>0.3976606174</v>
      </c>
      <c r="G1016" s="0" t="n">
        <v>0.8306716395</v>
      </c>
      <c r="H1016" s="0" t="n">
        <v>0.607292493</v>
      </c>
    </row>
    <row r="1017" customFormat="false" ht="15" hidden="false" customHeight="false" outlineLevel="0" collapsed="false">
      <c r="A1017" s="0" t="s">
        <v>2213</v>
      </c>
      <c r="B1017" s="0" t="s">
        <v>702</v>
      </c>
      <c r="C1017" s="0" t="s">
        <v>585</v>
      </c>
      <c r="D1017" s="0" t="n">
        <v>0</v>
      </c>
      <c r="E1017" s="0" t="n">
        <v>24.29067308</v>
      </c>
      <c r="F1017" s="0" t="n">
        <v>47.2418361</v>
      </c>
      <c r="G1017" s="0" t="n">
        <v>38.3744452</v>
      </c>
      <c r="H1017" s="0" t="n">
        <v>32.62952445</v>
      </c>
    </row>
    <row r="1018" customFormat="false" ht="15" hidden="false" customHeight="false" outlineLevel="0" collapsed="false">
      <c r="A1018" s="0" t="s">
        <v>2214</v>
      </c>
      <c r="B1018" s="0" t="s">
        <v>780</v>
      </c>
      <c r="C1018" s="0" t="s">
        <v>585</v>
      </c>
      <c r="D1018" s="0" t="n">
        <v>0</v>
      </c>
      <c r="E1018" s="0" t="n">
        <v>2.03254434</v>
      </c>
      <c r="F1018" s="0" t="n">
        <v>3.113505051</v>
      </c>
      <c r="G1018" s="0" t="n">
        <v>7.792623004</v>
      </c>
      <c r="H1018" s="0" t="n">
        <v>6.658883524</v>
      </c>
    </row>
    <row r="1019" customFormat="false" ht="15" hidden="false" customHeight="false" outlineLevel="0" collapsed="false">
      <c r="A1019" s="0" t="s">
        <v>2215</v>
      </c>
      <c r="B1019" s="0" t="s">
        <v>814</v>
      </c>
      <c r="C1019" s="0" t="s">
        <v>585</v>
      </c>
      <c r="D1019" s="0" t="n">
        <v>0</v>
      </c>
      <c r="E1019" s="0" t="n">
        <v>0.1966306907</v>
      </c>
      <c r="F1019" s="0" t="n">
        <v>0.3564469996</v>
      </c>
      <c r="G1019" s="0" t="n">
        <v>0.6339777455</v>
      </c>
      <c r="H1019" s="0" t="n">
        <v>0.6933746874</v>
      </c>
    </row>
    <row r="1020" customFormat="false" ht="15" hidden="false" customHeight="false" outlineLevel="0" collapsed="false">
      <c r="A1020" s="0" t="s">
        <v>2216</v>
      </c>
      <c r="B1020" s="0" t="s">
        <v>946</v>
      </c>
      <c r="C1020" s="0" t="s">
        <v>585</v>
      </c>
      <c r="D1020" s="0" t="n">
        <v>0</v>
      </c>
      <c r="E1020" s="0" t="n">
        <v>0.2516878724</v>
      </c>
      <c r="F1020" s="0" t="n">
        <v>0.2695364659</v>
      </c>
      <c r="G1020" s="0" t="n">
        <v>0.386861689</v>
      </c>
      <c r="H1020" s="0" t="n">
        <v>0.4825273095</v>
      </c>
    </row>
    <row r="1021" customFormat="false" ht="15" hidden="false" customHeight="false" outlineLevel="0" collapsed="false">
      <c r="A1021" s="0" t="s">
        <v>2217</v>
      </c>
      <c r="B1021" s="0" t="s">
        <v>886</v>
      </c>
      <c r="C1021" s="0" t="s">
        <v>585</v>
      </c>
      <c r="D1021" s="0" t="n">
        <v>0</v>
      </c>
      <c r="E1021" s="0" t="n">
        <v>0.2145522931</v>
      </c>
      <c r="F1021" s="0" t="n">
        <v>0.3227911398</v>
      </c>
      <c r="G1021" s="0" t="n">
        <v>0.7664369503</v>
      </c>
      <c r="H1021" s="0" t="n">
        <v>0.7064437941</v>
      </c>
    </row>
    <row r="1022" customFormat="false" ht="15" hidden="false" customHeight="false" outlineLevel="0" collapsed="false">
      <c r="A1022" s="0" t="s">
        <v>2218</v>
      </c>
      <c r="B1022" s="0" t="s">
        <v>1054</v>
      </c>
      <c r="C1022" s="0" t="s">
        <v>585</v>
      </c>
      <c r="D1022" s="0" t="n">
        <v>0</v>
      </c>
      <c r="E1022" s="0" t="n">
        <v>0.007076882851</v>
      </c>
      <c r="F1022" s="0" t="n">
        <v>0.01012375911</v>
      </c>
      <c r="G1022" s="0" t="n">
        <v>0.02212027843</v>
      </c>
      <c r="H1022" s="0" t="n">
        <v>0.01646024124</v>
      </c>
    </row>
    <row r="1023" customFormat="false" ht="15" hidden="false" customHeight="false" outlineLevel="0" collapsed="false">
      <c r="A1023" s="0" t="s">
        <v>2219</v>
      </c>
      <c r="B1023" s="0" t="s">
        <v>716</v>
      </c>
      <c r="C1023" s="0" t="s">
        <v>585</v>
      </c>
      <c r="D1023" s="0" t="n">
        <v>0</v>
      </c>
      <c r="E1023" s="0" t="n">
        <v>13.55468867</v>
      </c>
      <c r="F1023" s="0" t="n">
        <v>26.93780802</v>
      </c>
      <c r="G1023" s="0" t="n">
        <v>23.29972475</v>
      </c>
      <c r="H1023" s="0" t="n">
        <v>19.73651928</v>
      </c>
    </row>
    <row r="1024" customFormat="false" ht="15" hidden="false" customHeight="false" outlineLevel="0" collapsed="false">
      <c r="A1024" s="0" t="s">
        <v>2220</v>
      </c>
      <c r="B1024" s="0" t="s">
        <v>812</v>
      </c>
      <c r="C1024" s="0" t="s">
        <v>585</v>
      </c>
      <c r="D1024" s="0" t="n">
        <v>0</v>
      </c>
      <c r="E1024" s="0" t="n">
        <v>1.342442588</v>
      </c>
      <c r="F1024" s="0" t="n">
        <v>1.220072588</v>
      </c>
      <c r="G1024" s="0" t="n">
        <v>3.174427439</v>
      </c>
      <c r="H1024" s="0" t="n">
        <v>2.142524587</v>
      </c>
    </row>
    <row r="1025" customFormat="false" ht="15" hidden="false" customHeight="false" outlineLevel="0" collapsed="false">
      <c r="A1025" s="0" t="s">
        <v>2221</v>
      </c>
      <c r="B1025" s="0" t="s">
        <v>972</v>
      </c>
      <c r="C1025" s="0" t="s">
        <v>585</v>
      </c>
      <c r="D1025" s="0" t="n">
        <v>0</v>
      </c>
      <c r="E1025" s="0" t="n">
        <v>0.0004870321106</v>
      </c>
      <c r="F1025" s="0" t="n">
        <v>0.0004182310449</v>
      </c>
      <c r="G1025" s="0" t="n">
        <v>0.0003084136632</v>
      </c>
      <c r="H1025" s="0" t="n">
        <v>0.0002274316763</v>
      </c>
    </row>
    <row r="1026" customFormat="false" ht="15" hidden="false" customHeight="false" outlineLevel="0" collapsed="false">
      <c r="A1026" s="0" t="s">
        <v>2222</v>
      </c>
      <c r="B1026" s="0" t="s">
        <v>922</v>
      </c>
      <c r="C1026" s="0" t="s">
        <v>585</v>
      </c>
      <c r="D1026" s="0" t="n">
        <v>0</v>
      </c>
      <c r="E1026" s="0" t="n">
        <v>0.4123051143</v>
      </c>
      <c r="F1026" s="0" t="n">
        <v>0.5027120086</v>
      </c>
      <c r="G1026" s="0" t="n">
        <v>1.016978055</v>
      </c>
      <c r="H1026" s="0" t="n">
        <v>0.9728589242</v>
      </c>
    </row>
    <row r="1027" customFormat="false" ht="15" hidden="false" customHeight="false" outlineLevel="0" collapsed="false">
      <c r="A1027" s="0" t="s">
        <v>2223</v>
      </c>
      <c r="B1027" s="0" t="s">
        <v>1008</v>
      </c>
      <c r="C1027" s="0" t="s">
        <v>585</v>
      </c>
      <c r="D1027" s="0" t="n">
        <v>0</v>
      </c>
      <c r="E1027" s="0" t="n">
        <v>0.0104103572</v>
      </c>
      <c r="F1027" s="0" t="n">
        <v>0.01762394555</v>
      </c>
      <c r="G1027" s="0" t="n">
        <v>0.04364560453</v>
      </c>
      <c r="H1027" s="0" t="n">
        <v>0.0481815119</v>
      </c>
    </row>
    <row r="1028" customFormat="false" ht="15" hidden="false" customHeight="false" outlineLevel="0" collapsed="false">
      <c r="A1028" s="0" t="s">
        <v>2224</v>
      </c>
      <c r="B1028" s="0" t="s">
        <v>874</v>
      </c>
      <c r="C1028" s="0" t="s">
        <v>585</v>
      </c>
      <c r="D1028" s="0" t="n">
        <v>0</v>
      </c>
      <c r="E1028" s="0" t="n">
        <v>1.452073165</v>
      </c>
      <c r="F1028" s="0" t="n">
        <v>1.23524749</v>
      </c>
      <c r="G1028" s="0" t="n">
        <v>2.763370475</v>
      </c>
      <c r="H1028" s="0" t="n">
        <v>2.230088249</v>
      </c>
    </row>
    <row r="1029" customFormat="false" ht="15" hidden="false" customHeight="false" outlineLevel="0" collapsed="false">
      <c r="A1029" s="0" t="s">
        <v>2225</v>
      </c>
      <c r="B1029" s="0" t="s">
        <v>1032</v>
      </c>
      <c r="C1029" s="0" t="s">
        <v>585</v>
      </c>
      <c r="D1029" s="0" t="n">
        <v>0</v>
      </c>
      <c r="E1029" s="0" t="n">
        <v>0.005626240601</v>
      </c>
      <c r="F1029" s="0" t="n">
        <v>0.008635215119</v>
      </c>
      <c r="G1029" s="0" t="n">
        <v>0.02458712286</v>
      </c>
      <c r="H1029" s="0" t="n">
        <v>0.02001872595</v>
      </c>
    </row>
    <row r="1030" customFormat="false" ht="15" hidden="false" customHeight="false" outlineLevel="0" collapsed="false">
      <c r="A1030" s="0" t="s">
        <v>2226</v>
      </c>
      <c r="B1030" s="0" t="s">
        <v>840</v>
      </c>
      <c r="C1030" s="0" t="s">
        <v>585</v>
      </c>
      <c r="D1030" s="0" t="n">
        <v>0</v>
      </c>
      <c r="E1030" s="0" t="n">
        <v>0.1371060839</v>
      </c>
      <c r="F1030" s="0" t="n">
        <v>0.2421165498</v>
      </c>
      <c r="G1030" s="0" t="n">
        <v>0.5700547541</v>
      </c>
      <c r="H1030" s="0" t="n">
        <v>0.5410893696</v>
      </c>
    </row>
    <row r="1031" customFormat="false" ht="15" hidden="false" customHeight="false" outlineLevel="0" collapsed="false">
      <c r="A1031" s="0" t="s">
        <v>2227</v>
      </c>
      <c r="B1031" s="0" t="s">
        <v>1034</v>
      </c>
      <c r="C1031" s="0" t="s">
        <v>585</v>
      </c>
      <c r="D1031" s="0" t="n">
        <v>0</v>
      </c>
      <c r="E1031" s="0" t="n">
        <v>0.02473076175</v>
      </c>
      <c r="F1031" s="0" t="n">
        <v>0.03762386451</v>
      </c>
      <c r="G1031" s="0" t="n">
        <v>0.1021295065</v>
      </c>
      <c r="H1031" s="0" t="n">
        <v>0.1010880215</v>
      </c>
    </row>
    <row r="1032" customFormat="false" ht="15" hidden="false" customHeight="false" outlineLevel="0" collapsed="false">
      <c r="A1032" s="0" t="s">
        <v>2228</v>
      </c>
      <c r="B1032" s="0" t="s">
        <v>856</v>
      </c>
      <c r="C1032" s="0" t="s">
        <v>585</v>
      </c>
      <c r="D1032" s="0" t="n">
        <v>0</v>
      </c>
      <c r="E1032" s="0" t="n">
        <v>0.5324511471</v>
      </c>
      <c r="F1032" s="0" t="n">
        <v>0.777102595</v>
      </c>
      <c r="G1032" s="0" t="n">
        <v>0.6585172269</v>
      </c>
      <c r="H1032" s="0" t="n">
        <v>0.5227593722</v>
      </c>
    </row>
    <row r="1033" customFormat="false" ht="15" hidden="false" customHeight="false" outlineLevel="0" collapsed="false">
      <c r="A1033" s="0" t="s">
        <v>2229</v>
      </c>
      <c r="B1033" s="0" t="s">
        <v>854</v>
      </c>
      <c r="C1033" s="0" t="s">
        <v>585</v>
      </c>
      <c r="D1033" s="0" t="n">
        <v>0</v>
      </c>
      <c r="E1033" s="0" t="n">
        <v>0.1493926571</v>
      </c>
      <c r="F1033" s="0" t="n">
        <v>0.2372555105</v>
      </c>
      <c r="G1033" s="0" t="n">
        <v>0.2868796207</v>
      </c>
      <c r="H1033" s="0" t="n">
        <v>0.2326766494</v>
      </c>
    </row>
    <row r="1034" customFormat="false" ht="15" hidden="false" customHeight="false" outlineLevel="0" collapsed="false">
      <c r="A1034" s="0" t="s">
        <v>2230</v>
      </c>
      <c r="B1034" s="0" t="s">
        <v>894</v>
      </c>
      <c r="C1034" s="0" t="s">
        <v>585</v>
      </c>
      <c r="D1034" s="0" t="n">
        <v>0</v>
      </c>
      <c r="E1034" s="0" t="n">
        <v>0.1551906003</v>
      </c>
      <c r="F1034" s="0" t="n">
        <v>0.2915758011</v>
      </c>
      <c r="G1034" s="0" t="n">
        <v>0.3051064174</v>
      </c>
      <c r="H1034" s="0" t="n">
        <v>0.255501988</v>
      </c>
    </row>
    <row r="1035" customFormat="false" ht="15" hidden="false" customHeight="false" outlineLevel="0" collapsed="false">
      <c r="A1035" s="0" t="s">
        <v>2231</v>
      </c>
      <c r="B1035" s="0" t="s">
        <v>882</v>
      </c>
      <c r="C1035" s="0" t="s">
        <v>585</v>
      </c>
      <c r="D1035" s="0" t="n">
        <v>0</v>
      </c>
      <c r="E1035" s="0" t="n">
        <v>0.09691489602</v>
      </c>
      <c r="F1035" s="0" t="n">
        <v>0.1560323115</v>
      </c>
      <c r="G1035" s="0" t="n">
        <v>0.09331135358</v>
      </c>
      <c r="H1035" s="0" t="n">
        <v>0.07939633568</v>
      </c>
    </row>
    <row r="1036" customFormat="false" ht="15" hidden="false" customHeight="false" outlineLevel="0" collapsed="false">
      <c r="A1036" s="0" t="s">
        <v>2232</v>
      </c>
      <c r="B1036" s="0" t="s">
        <v>808</v>
      </c>
      <c r="C1036" s="0" t="s">
        <v>585</v>
      </c>
      <c r="D1036" s="0" t="n">
        <v>0</v>
      </c>
      <c r="E1036" s="0" t="n">
        <v>0.5309823872</v>
      </c>
      <c r="F1036" s="0" t="n">
        <v>0.8660952317</v>
      </c>
      <c r="G1036" s="0" t="n">
        <v>1.978693466</v>
      </c>
      <c r="H1036" s="0" t="n">
        <v>1.727693592</v>
      </c>
    </row>
    <row r="1037" customFormat="false" ht="15" hidden="false" customHeight="false" outlineLevel="0" collapsed="false">
      <c r="A1037" s="0" t="s">
        <v>2233</v>
      </c>
      <c r="B1037" s="0" t="s">
        <v>966</v>
      </c>
      <c r="C1037" s="0" t="s">
        <v>585</v>
      </c>
      <c r="D1037" s="0" t="n">
        <v>0</v>
      </c>
      <c r="E1037" s="0" t="n">
        <v>0.1329480259</v>
      </c>
      <c r="F1037" s="0" t="n">
        <v>0.1927812322</v>
      </c>
      <c r="G1037" s="0" t="n">
        <v>0.4806394492</v>
      </c>
      <c r="H1037" s="0" t="n">
        <v>0.465366304</v>
      </c>
    </row>
    <row r="1038" customFormat="false" ht="15" hidden="false" customHeight="false" outlineLevel="0" collapsed="false">
      <c r="A1038" s="0" t="s">
        <v>2234</v>
      </c>
      <c r="B1038" s="0" t="s">
        <v>960</v>
      </c>
      <c r="C1038" s="0" t="s">
        <v>585</v>
      </c>
      <c r="D1038" s="0" t="n">
        <v>0</v>
      </c>
      <c r="E1038" s="0" t="n">
        <v>0.02626143547</v>
      </c>
      <c r="F1038" s="0" t="n">
        <v>0.04126153276</v>
      </c>
      <c r="G1038" s="0" t="n">
        <v>0.100875307</v>
      </c>
      <c r="H1038" s="0" t="n">
        <v>0.1038206523</v>
      </c>
    </row>
    <row r="1039" customFormat="false" ht="15" hidden="false" customHeight="false" outlineLevel="0" collapsed="false">
      <c r="A1039" s="0" t="s">
        <v>2235</v>
      </c>
      <c r="B1039" s="0" t="s">
        <v>1002</v>
      </c>
      <c r="C1039" s="0" t="s">
        <v>585</v>
      </c>
      <c r="D1039" s="0" t="n">
        <v>0</v>
      </c>
      <c r="E1039" s="0" t="n">
        <v>0.05132612375</v>
      </c>
      <c r="F1039" s="0" t="n">
        <v>0.06066665705</v>
      </c>
      <c r="G1039" s="0" t="n">
        <v>0.1507762329</v>
      </c>
      <c r="H1039" s="0" t="n">
        <v>0.1226008039</v>
      </c>
    </row>
    <row r="1040" customFormat="false" ht="15" hidden="false" customHeight="false" outlineLevel="0" collapsed="false">
      <c r="A1040" s="0" t="s">
        <v>2236</v>
      </c>
      <c r="B1040" s="0" t="s">
        <v>720</v>
      </c>
      <c r="C1040" s="0" t="s">
        <v>585</v>
      </c>
      <c r="D1040" s="0" t="n">
        <v>0</v>
      </c>
      <c r="E1040" s="0" t="n">
        <v>4.110389066</v>
      </c>
      <c r="F1040" s="0" t="n">
        <v>6.598324487</v>
      </c>
      <c r="G1040" s="0" t="n">
        <v>15.28256062</v>
      </c>
      <c r="H1040" s="0" t="n">
        <v>13.18717576</v>
      </c>
    </row>
    <row r="1041" customFormat="false" ht="15" hidden="false" customHeight="false" outlineLevel="0" collapsed="false">
      <c r="A1041" s="0" t="s">
        <v>2237</v>
      </c>
      <c r="B1041" s="0" t="s">
        <v>970</v>
      </c>
      <c r="C1041" s="0" t="s">
        <v>585</v>
      </c>
      <c r="D1041" s="0" t="n">
        <v>0</v>
      </c>
      <c r="E1041" s="0" t="n">
        <v>0.0814956174</v>
      </c>
      <c r="F1041" s="0" t="n">
        <v>0.1038755193</v>
      </c>
      <c r="G1041" s="0" t="n">
        <v>0.1814865907</v>
      </c>
      <c r="H1041" s="0" t="n">
        <v>0.1500129685</v>
      </c>
    </row>
    <row r="1042" customFormat="false" ht="15" hidden="false" customHeight="false" outlineLevel="0" collapsed="false">
      <c r="A1042" s="0" t="s">
        <v>2238</v>
      </c>
      <c r="B1042" s="0" t="s">
        <v>918</v>
      </c>
      <c r="C1042" s="0" t="s">
        <v>585</v>
      </c>
      <c r="D1042" s="0" t="n">
        <v>0</v>
      </c>
      <c r="E1042" s="0" t="n">
        <v>0.07628430126</v>
      </c>
      <c r="F1042" s="0" t="n">
        <v>0.1558645796</v>
      </c>
      <c r="G1042" s="0" t="n">
        <v>0.5067022314</v>
      </c>
      <c r="H1042" s="0" t="n">
        <v>0.4940956574</v>
      </c>
    </row>
    <row r="1043" customFormat="false" ht="15" hidden="false" customHeight="false" outlineLevel="0" collapsed="false">
      <c r="A1043" s="0" t="s">
        <v>2239</v>
      </c>
      <c r="B1043" s="0" t="s">
        <v>936</v>
      </c>
      <c r="C1043" s="0" t="s">
        <v>585</v>
      </c>
      <c r="D1043" s="0" t="n">
        <v>0</v>
      </c>
      <c r="E1043" s="0" t="n">
        <v>0.05975184066</v>
      </c>
      <c r="F1043" s="0" t="n">
        <v>0.1292913808</v>
      </c>
      <c r="G1043" s="0" t="n">
        <v>0.07337506643</v>
      </c>
      <c r="H1043" s="0" t="n">
        <v>0.05913993741</v>
      </c>
    </row>
    <row r="1044" customFormat="false" ht="15" hidden="false" customHeight="false" outlineLevel="0" collapsed="false">
      <c r="A1044" s="0" t="s">
        <v>2240</v>
      </c>
      <c r="B1044" s="0" t="s">
        <v>862</v>
      </c>
      <c r="C1044" s="0" t="s">
        <v>585</v>
      </c>
      <c r="D1044" s="0" t="n">
        <v>0</v>
      </c>
      <c r="E1044" s="0" t="n">
        <v>0.1775608144</v>
      </c>
      <c r="F1044" s="0" t="n">
        <v>0.4642940706</v>
      </c>
      <c r="G1044" s="0" t="n">
        <v>1.259919373</v>
      </c>
      <c r="H1044" s="0" t="n">
        <v>1.440014805</v>
      </c>
    </row>
    <row r="1045" customFormat="false" ht="15" hidden="false" customHeight="false" outlineLevel="0" collapsed="false">
      <c r="A1045" s="0" t="s">
        <v>2241</v>
      </c>
      <c r="B1045" s="0" t="s">
        <v>996</v>
      </c>
      <c r="C1045" s="0" t="s">
        <v>585</v>
      </c>
      <c r="D1045" s="0" t="n">
        <v>0</v>
      </c>
      <c r="E1045" s="0" t="n">
        <v>0.0274684485</v>
      </c>
      <c r="F1045" s="0" t="n">
        <v>0.04398638376</v>
      </c>
      <c r="G1045" s="0" t="n">
        <v>0.05718498324</v>
      </c>
      <c r="H1045" s="0" t="n">
        <v>0.05983653699</v>
      </c>
    </row>
    <row r="1046" customFormat="false" ht="15" hidden="false" customHeight="false" outlineLevel="0" collapsed="false">
      <c r="A1046" s="0" t="s">
        <v>2242</v>
      </c>
      <c r="B1046" s="0" t="s">
        <v>928</v>
      </c>
      <c r="C1046" s="0" t="s">
        <v>585</v>
      </c>
      <c r="D1046" s="0" t="n">
        <v>0</v>
      </c>
      <c r="E1046" s="0" t="n">
        <v>0.1198744871</v>
      </c>
      <c r="F1046" s="0" t="n">
        <v>0.179181856</v>
      </c>
      <c r="G1046" s="0" t="n">
        <v>0.4673481248</v>
      </c>
      <c r="H1046" s="0" t="n">
        <v>0.3929238546</v>
      </c>
    </row>
    <row r="1047" customFormat="false" ht="15" hidden="false" customHeight="false" outlineLevel="0" collapsed="false">
      <c r="A1047" s="0" t="s">
        <v>2243</v>
      </c>
      <c r="B1047" s="0" t="s">
        <v>954</v>
      </c>
      <c r="C1047" s="0" t="s">
        <v>585</v>
      </c>
      <c r="D1047" s="0" t="n">
        <v>0</v>
      </c>
      <c r="E1047" s="0" t="n">
        <v>0.008441729547</v>
      </c>
      <c r="F1047" s="0" t="n">
        <v>0.1242148755</v>
      </c>
      <c r="G1047" s="0" t="n">
        <v>0.3926420077</v>
      </c>
      <c r="H1047" s="0" t="n">
        <v>0.5331625064</v>
      </c>
    </row>
    <row r="1048" customFormat="false" ht="15" hidden="false" customHeight="false" outlineLevel="0" collapsed="false">
      <c r="A1048" s="0" t="s">
        <v>2244</v>
      </c>
      <c r="B1048" s="0" t="s">
        <v>988</v>
      </c>
      <c r="C1048" s="0" t="s">
        <v>585</v>
      </c>
      <c r="D1048" s="0" t="n">
        <v>0</v>
      </c>
      <c r="E1048" s="0" t="n">
        <v>0.05300647616</v>
      </c>
      <c r="F1048" s="0" t="n">
        <v>0.1071758442</v>
      </c>
      <c r="G1048" s="0" t="n">
        <v>0.3101105638</v>
      </c>
      <c r="H1048" s="0" t="n">
        <v>0.3079473395</v>
      </c>
    </row>
    <row r="1049" customFormat="false" ht="15" hidden="false" customHeight="false" outlineLevel="0" collapsed="false">
      <c r="A1049" s="0" t="s">
        <v>2245</v>
      </c>
      <c r="B1049" s="0" t="s">
        <v>974</v>
      </c>
      <c r="C1049" s="0" t="s">
        <v>585</v>
      </c>
      <c r="D1049" s="0" t="n">
        <v>0</v>
      </c>
      <c r="E1049" s="0" t="n">
        <v>0.04024549048</v>
      </c>
      <c r="F1049" s="0" t="n">
        <v>0.06000231903</v>
      </c>
      <c r="G1049" s="0" t="n">
        <v>0.1451208709</v>
      </c>
      <c r="H1049" s="0" t="n">
        <v>0.1081908876</v>
      </c>
    </row>
    <row r="1050" customFormat="false" ht="15" hidden="false" customHeight="false" outlineLevel="0" collapsed="false">
      <c r="A1050" s="0" t="s">
        <v>2246</v>
      </c>
      <c r="B1050" s="0" t="s">
        <v>992</v>
      </c>
      <c r="C1050" s="0" t="s">
        <v>585</v>
      </c>
      <c r="D1050" s="0" t="n">
        <v>0</v>
      </c>
      <c r="E1050" s="0" t="n">
        <v>0.01111213766</v>
      </c>
      <c r="F1050" s="0" t="n">
        <v>0.01959359897</v>
      </c>
      <c r="G1050" s="0" t="n">
        <v>0.05436751481</v>
      </c>
      <c r="H1050" s="0" t="n">
        <v>0.06917843701</v>
      </c>
    </row>
    <row r="1051" customFormat="false" ht="15" hidden="false" customHeight="false" outlineLevel="0" collapsed="false">
      <c r="A1051" s="0" t="s">
        <v>2247</v>
      </c>
      <c r="B1051" s="0" t="s">
        <v>760</v>
      </c>
      <c r="C1051" s="0" t="s">
        <v>585</v>
      </c>
      <c r="D1051" s="0" t="n">
        <v>0</v>
      </c>
      <c r="E1051" s="0" t="n">
        <v>2.226956282</v>
      </c>
      <c r="F1051" s="0" t="n">
        <v>3.238594641</v>
      </c>
      <c r="G1051" s="0" t="n">
        <v>7.837113774</v>
      </c>
      <c r="H1051" s="0" t="n">
        <v>6.632437559</v>
      </c>
    </row>
    <row r="1052" customFormat="false" ht="15" hidden="false" customHeight="false" outlineLevel="0" collapsed="false">
      <c r="A1052" s="0" t="s">
        <v>2248</v>
      </c>
      <c r="B1052" s="0" t="s">
        <v>982</v>
      </c>
      <c r="C1052" s="0" t="s">
        <v>585</v>
      </c>
      <c r="D1052" s="0" t="n">
        <v>0</v>
      </c>
      <c r="E1052" s="0" t="n">
        <v>0.02060845488</v>
      </c>
      <c r="F1052" s="0" t="n">
        <v>0.03336582377</v>
      </c>
      <c r="G1052" s="0" t="n">
        <v>0.06212210215</v>
      </c>
      <c r="H1052" s="0" t="n">
        <v>0.06989532738</v>
      </c>
    </row>
    <row r="1053" customFormat="false" ht="15" hidden="false" customHeight="false" outlineLevel="0" collapsed="false">
      <c r="A1053" s="0" t="s">
        <v>2249</v>
      </c>
      <c r="B1053" s="0" t="s">
        <v>940</v>
      </c>
      <c r="C1053" s="0" t="s">
        <v>585</v>
      </c>
      <c r="D1053" s="0" t="n">
        <v>0</v>
      </c>
      <c r="E1053" s="0" t="n">
        <v>0.03967561871</v>
      </c>
      <c r="F1053" s="0" t="n">
        <v>0.05995459076</v>
      </c>
      <c r="G1053" s="0" t="n">
        <v>0.1621823481</v>
      </c>
      <c r="H1053" s="0" t="n">
        <v>0.1449538107</v>
      </c>
    </row>
    <row r="1054" customFormat="false" ht="15" hidden="false" customHeight="false" outlineLevel="0" collapsed="false">
      <c r="A1054" s="0" t="s">
        <v>2250</v>
      </c>
      <c r="B1054" s="0" t="s">
        <v>792</v>
      </c>
      <c r="C1054" s="0" t="s">
        <v>585</v>
      </c>
      <c r="D1054" s="0" t="n">
        <v>0</v>
      </c>
      <c r="E1054" s="0" t="n">
        <v>0.5428700772</v>
      </c>
      <c r="F1054" s="0" t="n">
        <v>0.9660794184</v>
      </c>
      <c r="G1054" s="0" t="n">
        <v>2.742052212</v>
      </c>
      <c r="H1054" s="0" t="n">
        <v>2.623847864</v>
      </c>
    </row>
    <row r="1055" customFormat="false" ht="15" hidden="false" customHeight="false" outlineLevel="0" collapsed="false">
      <c r="A1055" s="0" t="s">
        <v>2251</v>
      </c>
      <c r="B1055" s="0" t="s">
        <v>948</v>
      </c>
      <c r="C1055" s="0" t="s">
        <v>585</v>
      </c>
      <c r="D1055" s="0" t="n">
        <v>0</v>
      </c>
      <c r="E1055" s="0" t="n">
        <v>0.05454947644</v>
      </c>
      <c r="F1055" s="0" t="n">
        <v>0.08508332074</v>
      </c>
      <c r="G1055" s="0" t="n">
        <v>0.1911824481</v>
      </c>
      <c r="H1055" s="0" t="n">
        <v>0.2048309972</v>
      </c>
    </row>
    <row r="1056" customFormat="false" ht="15" hidden="false" customHeight="false" outlineLevel="0" collapsed="false">
      <c r="A1056" s="0" t="s">
        <v>2252</v>
      </c>
      <c r="B1056" s="0" t="s">
        <v>730</v>
      </c>
      <c r="C1056" s="0" t="s">
        <v>585</v>
      </c>
      <c r="D1056" s="0" t="n">
        <v>0</v>
      </c>
      <c r="E1056" s="0" t="n">
        <v>6.29877247</v>
      </c>
      <c r="F1056" s="0" t="n">
        <v>9.785999075</v>
      </c>
      <c r="G1056" s="0" t="n">
        <v>7.877612069</v>
      </c>
      <c r="H1056" s="0" t="n">
        <v>5.898630231</v>
      </c>
    </row>
    <row r="1057" customFormat="false" ht="15" hidden="false" customHeight="false" outlineLevel="0" collapsed="false">
      <c r="A1057" s="0" t="s">
        <v>2253</v>
      </c>
      <c r="B1057" s="0" t="s">
        <v>762</v>
      </c>
      <c r="C1057" s="0" t="s">
        <v>585</v>
      </c>
      <c r="D1057" s="0" t="n">
        <v>0</v>
      </c>
      <c r="E1057" s="0" t="n">
        <v>1.325523207</v>
      </c>
      <c r="F1057" s="0" t="n">
        <v>1.78805065</v>
      </c>
      <c r="G1057" s="0" t="n">
        <v>2.298567628</v>
      </c>
      <c r="H1057" s="0" t="n">
        <v>2.463250866</v>
      </c>
    </row>
    <row r="1058" customFormat="false" ht="15" hidden="false" customHeight="false" outlineLevel="0" collapsed="false">
      <c r="A1058" s="0" t="s">
        <v>2254</v>
      </c>
      <c r="B1058" s="0" t="s">
        <v>892</v>
      </c>
      <c r="C1058" s="0" t="s">
        <v>585</v>
      </c>
      <c r="D1058" s="0" t="n">
        <v>0</v>
      </c>
      <c r="E1058" s="0" t="n">
        <v>0.1836857365</v>
      </c>
      <c r="F1058" s="0" t="n">
        <v>0.2585435576</v>
      </c>
      <c r="G1058" s="0" t="n">
        <v>0.552501886</v>
      </c>
      <c r="H1058" s="0" t="n">
        <v>0.7288625806</v>
      </c>
    </row>
    <row r="1059" customFormat="false" ht="15" hidden="false" customHeight="false" outlineLevel="0" collapsed="false">
      <c r="A1059" s="0" t="s">
        <v>2255</v>
      </c>
      <c r="B1059" s="0" t="s">
        <v>1064</v>
      </c>
      <c r="C1059" s="0" t="s">
        <v>585</v>
      </c>
      <c r="D1059" s="0" t="n">
        <v>0</v>
      </c>
      <c r="E1059" s="0" t="n">
        <v>0.001910580831</v>
      </c>
      <c r="F1059" s="0" t="n">
        <v>0.003225671776</v>
      </c>
      <c r="G1059" s="0" t="n">
        <v>0.008047956511</v>
      </c>
      <c r="H1059" s="0" t="n">
        <v>0.007331902538</v>
      </c>
    </row>
    <row r="1060" customFormat="false" ht="15" hidden="false" customHeight="false" outlineLevel="0" collapsed="false">
      <c r="A1060" s="0" t="s">
        <v>2256</v>
      </c>
      <c r="B1060" s="0" t="s">
        <v>796</v>
      </c>
      <c r="C1060" s="0" t="s">
        <v>585</v>
      </c>
      <c r="D1060" s="0" t="n">
        <v>0</v>
      </c>
      <c r="E1060" s="0" t="n">
        <v>0.4828401722</v>
      </c>
      <c r="F1060" s="0" t="n">
        <v>1.062113357</v>
      </c>
      <c r="G1060" s="0" t="n">
        <v>1.184141555</v>
      </c>
      <c r="H1060" s="0" t="n">
        <v>1.032825742</v>
      </c>
    </row>
    <row r="1061" customFormat="false" ht="15" hidden="false" customHeight="false" outlineLevel="0" collapsed="false">
      <c r="A1061" s="0" t="s">
        <v>2257</v>
      </c>
      <c r="B1061" s="0" t="s">
        <v>832</v>
      </c>
      <c r="C1061" s="0" t="s">
        <v>585</v>
      </c>
      <c r="D1061" s="0" t="n">
        <v>0</v>
      </c>
      <c r="E1061" s="0" t="n">
        <v>1.100124117</v>
      </c>
      <c r="F1061" s="0" t="n">
        <v>1.638805421</v>
      </c>
      <c r="G1061" s="0" t="n">
        <v>3.696995592</v>
      </c>
      <c r="H1061" s="0" t="n">
        <v>2.594674235</v>
      </c>
    </row>
    <row r="1062" customFormat="false" ht="15" hidden="false" customHeight="false" outlineLevel="0" collapsed="false">
      <c r="A1062" s="0" t="s">
        <v>2258</v>
      </c>
      <c r="B1062" s="0" t="s">
        <v>772</v>
      </c>
      <c r="C1062" s="0" t="s">
        <v>585</v>
      </c>
      <c r="D1062" s="0" t="n">
        <v>0</v>
      </c>
      <c r="E1062" s="0" t="n">
        <v>1.615541899</v>
      </c>
      <c r="F1062" s="0" t="n">
        <v>2.545652414</v>
      </c>
      <c r="G1062" s="0" t="n">
        <v>5.219855778</v>
      </c>
      <c r="H1062" s="0" t="n">
        <v>4.980706407</v>
      </c>
    </row>
    <row r="1063" customFormat="false" ht="15" hidden="false" customHeight="false" outlineLevel="0" collapsed="false">
      <c r="A1063" s="0" t="s">
        <v>2259</v>
      </c>
      <c r="B1063" s="0" t="s">
        <v>848</v>
      </c>
      <c r="C1063" s="0" t="s">
        <v>585</v>
      </c>
      <c r="D1063" s="0" t="n">
        <v>0</v>
      </c>
      <c r="E1063" s="0" t="n">
        <v>0.1855602046</v>
      </c>
      <c r="F1063" s="0" t="n">
        <v>0.2428282772</v>
      </c>
      <c r="G1063" s="0" t="n">
        <v>0.3674567251</v>
      </c>
      <c r="H1063" s="0" t="n">
        <v>0.2948798297</v>
      </c>
    </row>
    <row r="1064" customFormat="false" ht="15" hidden="false" customHeight="false" outlineLevel="0" collapsed="false">
      <c r="A1064" s="0" t="s">
        <v>2260</v>
      </c>
      <c r="B1064" s="0" t="s">
        <v>784</v>
      </c>
      <c r="C1064" s="0" t="s">
        <v>585</v>
      </c>
      <c r="D1064" s="0" t="n">
        <v>0</v>
      </c>
      <c r="E1064" s="0" t="n">
        <v>0.8664295888</v>
      </c>
      <c r="F1064" s="0" t="n">
        <v>1.229445319</v>
      </c>
      <c r="G1064" s="0" t="n">
        <v>2.815693905</v>
      </c>
      <c r="H1064" s="0" t="n">
        <v>2.591099344</v>
      </c>
    </row>
    <row r="1065" customFormat="false" ht="15" hidden="false" customHeight="false" outlineLevel="0" collapsed="false">
      <c r="A1065" s="0" t="s">
        <v>2261</v>
      </c>
      <c r="B1065" s="0" t="s">
        <v>754</v>
      </c>
      <c r="C1065" s="0" t="s">
        <v>585</v>
      </c>
      <c r="D1065" s="0" t="n">
        <v>0</v>
      </c>
      <c r="E1065" s="0" t="n">
        <v>1.758597596</v>
      </c>
      <c r="F1065" s="0" t="n">
        <v>2.669567653</v>
      </c>
      <c r="G1065" s="0" t="n">
        <v>7.083145081</v>
      </c>
      <c r="H1065" s="0" t="n">
        <v>6.247460935</v>
      </c>
    </row>
    <row r="1066" customFormat="false" ht="15" hidden="false" customHeight="false" outlineLevel="0" collapsed="false">
      <c r="A1066" s="0" t="s">
        <v>2262</v>
      </c>
      <c r="B1066" s="0" t="s">
        <v>1062</v>
      </c>
      <c r="C1066" s="0" t="s">
        <v>585</v>
      </c>
      <c r="D1066" s="0" t="n">
        <v>0</v>
      </c>
      <c r="E1066" s="0" t="n">
        <v>0.003107754533</v>
      </c>
      <c r="F1066" s="0" t="n">
        <v>0.004371063359</v>
      </c>
      <c r="G1066" s="0" t="n">
        <v>0.01074005983</v>
      </c>
      <c r="H1066" s="0" t="n">
        <v>0.007762587466</v>
      </c>
    </row>
    <row r="1067" customFormat="false" ht="15" hidden="false" customHeight="false" outlineLevel="0" collapsed="false">
      <c r="A1067" s="0" t="s">
        <v>2263</v>
      </c>
      <c r="B1067" s="0" t="s">
        <v>912</v>
      </c>
      <c r="C1067" s="0" t="s">
        <v>585</v>
      </c>
      <c r="D1067" s="0" t="n">
        <v>0</v>
      </c>
      <c r="E1067" s="0" t="n">
        <v>0.1072686108</v>
      </c>
      <c r="F1067" s="0" t="n">
        <v>0.1555067573</v>
      </c>
      <c r="G1067" s="0" t="n">
        <v>0.4394537294</v>
      </c>
      <c r="H1067" s="0" t="n">
        <v>0.4683202174</v>
      </c>
    </row>
    <row r="1068" customFormat="false" ht="15" hidden="false" customHeight="false" outlineLevel="0" collapsed="false">
      <c r="A1068" s="0" t="s">
        <v>2264</v>
      </c>
      <c r="B1068" s="0" t="s">
        <v>732</v>
      </c>
      <c r="C1068" s="0" t="s">
        <v>585</v>
      </c>
      <c r="D1068" s="0" t="n">
        <v>0</v>
      </c>
      <c r="E1068" s="0" t="n">
        <v>4.420427516</v>
      </c>
      <c r="F1068" s="0" t="n">
        <v>6.598613527</v>
      </c>
      <c r="G1068" s="0" t="n">
        <v>11.99400074</v>
      </c>
      <c r="H1068" s="0" t="n">
        <v>7.949446499</v>
      </c>
    </row>
    <row r="1069" customFormat="false" ht="15" hidden="false" customHeight="false" outlineLevel="0" collapsed="false">
      <c r="A1069" s="0" t="s">
        <v>2265</v>
      </c>
      <c r="B1069" s="0" t="s">
        <v>834</v>
      </c>
      <c r="C1069" s="0" t="s">
        <v>585</v>
      </c>
      <c r="D1069" s="0" t="n">
        <v>0</v>
      </c>
      <c r="E1069" s="0" t="n">
        <v>0.1564384661</v>
      </c>
      <c r="F1069" s="0" t="n">
        <v>0.4194997043</v>
      </c>
      <c r="G1069" s="0" t="n">
        <v>0.447639241</v>
      </c>
      <c r="H1069" s="0" t="n">
        <v>0.317425396</v>
      </c>
    </row>
    <row r="1070" customFormat="false" ht="15" hidden="false" customHeight="false" outlineLevel="0" collapsed="false">
      <c r="A1070" s="0" t="s">
        <v>2266</v>
      </c>
      <c r="B1070" s="0" t="s">
        <v>786</v>
      </c>
      <c r="C1070" s="0" t="s">
        <v>585</v>
      </c>
      <c r="D1070" s="0" t="n">
        <v>0</v>
      </c>
      <c r="E1070" s="0" t="n">
        <v>1.138389246</v>
      </c>
      <c r="F1070" s="0" t="n">
        <v>1.620668915</v>
      </c>
      <c r="G1070" s="0" t="n">
        <v>1.371903894</v>
      </c>
      <c r="H1070" s="0" t="n">
        <v>1.159891448</v>
      </c>
    </row>
    <row r="1071" customFormat="false" ht="15" hidden="false" customHeight="false" outlineLevel="0" collapsed="false">
      <c r="A1071" s="0" t="s">
        <v>2267</v>
      </c>
      <c r="B1071" s="0" t="s">
        <v>888</v>
      </c>
      <c r="C1071" s="0" t="s">
        <v>585</v>
      </c>
      <c r="D1071" s="0" t="n">
        <v>0</v>
      </c>
      <c r="E1071" s="0" t="n">
        <v>0</v>
      </c>
      <c r="F1071" s="0" t="n">
        <v>0</v>
      </c>
      <c r="G1071" s="0" t="n">
        <v>0.3669764522</v>
      </c>
      <c r="H1071" s="0" t="n">
        <v>0.5335919298</v>
      </c>
    </row>
    <row r="1072" customFormat="false" ht="15" hidden="false" customHeight="false" outlineLevel="0" collapsed="false">
      <c r="A1072" s="0" t="s">
        <v>2268</v>
      </c>
      <c r="B1072" s="0" t="s">
        <v>816</v>
      </c>
      <c r="C1072" s="0" t="s">
        <v>585</v>
      </c>
      <c r="D1072" s="0" t="n">
        <v>0</v>
      </c>
      <c r="E1072" s="0" t="n">
        <v>1.289601503</v>
      </c>
      <c r="F1072" s="0" t="n">
        <v>0.793351158</v>
      </c>
      <c r="G1072" s="0" t="n">
        <v>2.17641374</v>
      </c>
      <c r="H1072" s="0" t="n">
        <v>1.558119959</v>
      </c>
    </row>
    <row r="1073" customFormat="false" ht="15" hidden="false" customHeight="false" outlineLevel="0" collapsed="false">
      <c r="A1073" s="0" t="s">
        <v>2269</v>
      </c>
      <c r="B1073" s="0" t="s">
        <v>776</v>
      </c>
      <c r="C1073" s="0" t="s">
        <v>585</v>
      </c>
      <c r="D1073" s="0" t="n">
        <v>0</v>
      </c>
      <c r="E1073" s="0" t="n">
        <v>1.058768316</v>
      </c>
      <c r="F1073" s="0" t="n">
        <v>1.599044169</v>
      </c>
      <c r="G1073" s="0" t="n">
        <v>3.223266232</v>
      </c>
      <c r="H1073" s="0" t="n">
        <v>3.205551645</v>
      </c>
    </row>
    <row r="1074" customFormat="false" ht="15" hidden="false" customHeight="false" outlineLevel="0" collapsed="false">
      <c r="A1074" s="0" t="s">
        <v>2270</v>
      </c>
      <c r="B1074" s="0" t="s">
        <v>714</v>
      </c>
      <c r="C1074" s="0" t="s">
        <v>585</v>
      </c>
      <c r="D1074" s="0" t="n">
        <v>0</v>
      </c>
      <c r="E1074" s="0" t="n">
        <v>18.86102434</v>
      </c>
      <c r="F1074" s="0" t="n">
        <v>28.60681863</v>
      </c>
      <c r="G1074" s="0" t="n">
        <v>74.52821445</v>
      </c>
      <c r="H1074" s="0" t="n">
        <v>72.72413941</v>
      </c>
    </row>
    <row r="1075" customFormat="false" ht="15" hidden="false" customHeight="false" outlineLevel="0" collapsed="false">
      <c r="A1075" s="0" t="s">
        <v>2271</v>
      </c>
      <c r="B1075" s="0" t="s">
        <v>958</v>
      </c>
      <c r="C1075" s="0" t="s">
        <v>585</v>
      </c>
      <c r="D1075" s="0" t="n">
        <v>0</v>
      </c>
      <c r="E1075" s="0" t="n">
        <v>0.01636803155</v>
      </c>
      <c r="F1075" s="0" t="n">
        <v>0.02716924619</v>
      </c>
      <c r="G1075" s="0" t="n">
        <v>0.0595713691</v>
      </c>
      <c r="H1075" s="0" t="n">
        <v>0.0614220865</v>
      </c>
    </row>
    <row r="1076" customFormat="false" ht="15" hidden="false" customHeight="false" outlineLevel="0" collapsed="false">
      <c r="A1076" s="0" t="s">
        <v>2272</v>
      </c>
      <c r="B1076" s="0" t="s">
        <v>728</v>
      </c>
      <c r="C1076" s="0" t="s">
        <v>585</v>
      </c>
      <c r="D1076" s="0" t="n">
        <v>0</v>
      </c>
      <c r="E1076" s="0" t="n">
        <v>6.7344435</v>
      </c>
      <c r="F1076" s="0" t="n">
        <v>8.704272487</v>
      </c>
      <c r="G1076" s="0" t="n">
        <v>20.91328862</v>
      </c>
      <c r="H1076" s="0" t="n">
        <v>13.19406269</v>
      </c>
    </row>
    <row r="1077" customFormat="false" ht="15" hidden="false" customHeight="false" outlineLevel="0" collapsed="false">
      <c r="A1077" s="0" t="s">
        <v>2273</v>
      </c>
      <c r="B1077" s="0" t="s">
        <v>932</v>
      </c>
      <c r="C1077" s="0" t="s">
        <v>585</v>
      </c>
      <c r="D1077" s="0" t="n">
        <v>0</v>
      </c>
      <c r="E1077" s="0" t="n">
        <v>0.1930492066</v>
      </c>
      <c r="F1077" s="0" t="n">
        <v>0.3036211867</v>
      </c>
      <c r="G1077" s="0" t="n">
        <v>0.6745934145</v>
      </c>
      <c r="H1077" s="0" t="n">
        <v>0.7728565487</v>
      </c>
    </row>
    <row r="1078" customFormat="false" ht="15" hidden="false" customHeight="false" outlineLevel="0" collapsed="false">
      <c r="A1078" s="0" t="s">
        <v>2274</v>
      </c>
      <c r="B1078" s="0" t="s">
        <v>910</v>
      </c>
      <c r="C1078" s="0" t="s">
        <v>585</v>
      </c>
      <c r="D1078" s="0" t="n">
        <v>0</v>
      </c>
      <c r="E1078" s="0" t="n">
        <v>0.1059722819</v>
      </c>
      <c r="F1078" s="0" t="n">
        <v>0.114038712</v>
      </c>
      <c r="G1078" s="0" t="n">
        <v>0.3047175455</v>
      </c>
      <c r="H1078" s="0" t="n">
        <v>0.2708838426</v>
      </c>
    </row>
    <row r="1079" customFormat="false" ht="15" hidden="false" customHeight="false" outlineLevel="0" collapsed="false">
      <c r="A1079" s="0" t="s">
        <v>2275</v>
      </c>
      <c r="B1079" s="0" t="s">
        <v>740</v>
      </c>
      <c r="C1079" s="0" t="s">
        <v>585</v>
      </c>
      <c r="D1079" s="0" t="n">
        <v>0</v>
      </c>
      <c r="E1079" s="0" t="n">
        <v>1.534890339</v>
      </c>
      <c r="F1079" s="0" t="n">
        <v>3.657546977</v>
      </c>
      <c r="G1079" s="0" t="n">
        <v>2.531466043</v>
      </c>
      <c r="H1079" s="0" t="n">
        <v>2.257058348</v>
      </c>
    </row>
    <row r="1080" customFormat="false" ht="15" hidden="false" customHeight="false" outlineLevel="0" collapsed="false">
      <c r="A1080" s="0" t="s">
        <v>2276</v>
      </c>
      <c r="B1080" s="0" t="s">
        <v>1042</v>
      </c>
      <c r="C1080" s="0" t="s">
        <v>585</v>
      </c>
      <c r="D1080" s="0" t="n">
        <v>0</v>
      </c>
      <c r="E1080" s="0" t="n">
        <v>0.004490891631</v>
      </c>
      <c r="F1080" s="0" t="n">
        <v>0.006967596554</v>
      </c>
      <c r="G1080" s="0" t="n">
        <v>0.0164314191</v>
      </c>
      <c r="H1080" s="0" t="n">
        <v>0.01509312766</v>
      </c>
    </row>
    <row r="1081" customFormat="false" ht="15" hidden="false" customHeight="false" outlineLevel="0" collapsed="false">
      <c r="A1081" s="0" t="s">
        <v>2277</v>
      </c>
      <c r="B1081" s="0" t="s">
        <v>998</v>
      </c>
      <c r="C1081" s="0" t="s">
        <v>585</v>
      </c>
      <c r="D1081" s="0" t="n">
        <v>0</v>
      </c>
      <c r="E1081" s="0" t="n">
        <v>0.006929481769</v>
      </c>
      <c r="F1081" s="0" t="n">
        <v>0.01685438389</v>
      </c>
      <c r="G1081" s="0" t="n">
        <v>0.03469712186</v>
      </c>
      <c r="H1081" s="0" t="n">
        <v>0.04060035436</v>
      </c>
    </row>
    <row r="1082" customFormat="false" ht="15" hidden="false" customHeight="false" outlineLevel="0" collapsed="false">
      <c r="A1082" s="0" t="s">
        <v>2278</v>
      </c>
      <c r="B1082" s="0" t="s">
        <v>908</v>
      </c>
      <c r="C1082" s="0" t="s">
        <v>585</v>
      </c>
      <c r="D1082" s="0" t="n">
        <v>0</v>
      </c>
      <c r="E1082" s="0" t="n">
        <v>0.09809732173</v>
      </c>
      <c r="F1082" s="0" t="n">
        <v>0.1583441013</v>
      </c>
      <c r="G1082" s="0" t="n">
        <v>0.3124129726</v>
      </c>
      <c r="H1082" s="0" t="n">
        <v>0.3746981589</v>
      </c>
    </row>
    <row r="1083" customFormat="false" ht="15" hidden="false" customHeight="false" outlineLevel="0" collapsed="false">
      <c r="A1083" s="0" t="s">
        <v>2279</v>
      </c>
      <c r="B1083" s="0" t="s">
        <v>984</v>
      </c>
      <c r="C1083" s="0" t="s">
        <v>585</v>
      </c>
      <c r="D1083" s="0" t="n">
        <v>0</v>
      </c>
      <c r="E1083" s="0" t="n">
        <v>0.008475856267</v>
      </c>
      <c r="F1083" s="0" t="n">
        <v>0.01553704625</v>
      </c>
      <c r="G1083" s="0" t="n">
        <v>0.04483067696</v>
      </c>
      <c r="H1083" s="0" t="n">
        <v>0.0448997143</v>
      </c>
    </row>
    <row r="1084" customFormat="false" ht="15" hidden="false" customHeight="false" outlineLevel="0" collapsed="false">
      <c r="A1084" s="0" t="s">
        <v>2280</v>
      </c>
      <c r="B1084" s="0" t="s">
        <v>852</v>
      </c>
      <c r="C1084" s="0" t="s">
        <v>585</v>
      </c>
      <c r="D1084" s="0" t="n">
        <v>0</v>
      </c>
      <c r="E1084" s="0" t="n">
        <v>0.5497165957</v>
      </c>
      <c r="F1084" s="0" t="n">
        <v>0.8758810593</v>
      </c>
      <c r="G1084" s="0" t="n">
        <v>2.133351733</v>
      </c>
      <c r="H1084" s="0" t="n">
        <v>1.772403326</v>
      </c>
    </row>
    <row r="1085" customFormat="false" ht="15" hidden="false" customHeight="false" outlineLevel="0" collapsed="false">
      <c r="A1085" s="0" t="s">
        <v>2281</v>
      </c>
      <c r="B1085" s="0" t="s">
        <v>1056</v>
      </c>
      <c r="C1085" s="0" t="s">
        <v>585</v>
      </c>
      <c r="D1085" s="0" t="n">
        <v>0</v>
      </c>
      <c r="E1085" s="0" t="n">
        <v>0.001815118892</v>
      </c>
      <c r="F1085" s="0" t="n">
        <v>0.003185503828</v>
      </c>
      <c r="G1085" s="0" t="n">
        <v>0.009593325797</v>
      </c>
      <c r="H1085" s="0" t="n">
        <v>0.009993542372</v>
      </c>
    </row>
    <row r="1086" customFormat="false" ht="15" hidden="false" customHeight="false" outlineLevel="0" collapsed="false">
      <c r="A1086" s="0" t="s">
        <v>2282</v>
      </c>
      <c r="B1086" s="0" t="s">
        <v>1016</v>
      </c>
      <c r="C1086" s="0" t="s">
        <v>585</v>
      </c>
      <c r="D1086" s="0" t="n">
        <v>0</v>
      </c>
      <c r="E1086" s="0" t="n">
        <v>0.03076029253</v>
      </c>
      <c r="F1086" s="0" t="n">
        <v>0.05049689036</v>
      </c>
      <c r="G1086" s="0" t="n">
        <v>0.09776190354</v>
      </c>
      <c r="H1086" s="0" t="n">
        <v>0.1031755683</v>
      </c>
    </row>
    <row r="1087" customFormat="false" ht="15" hidden="false" customHeight="false" outlineLevel="0" collapsed="false">
      <c r="A1087" s="0" t="s">
        <v>2283</v>
      </c>
      <c r="B1087" s="0" t="s">
        <v>822</v>
      </c>
      <c r="C1087" s="0" t="s">
        <v>585</v>
      </c>
      <c r="D1087" s="0" t="n">
        <v>0</v>
      </c>
      <c r="E1087" s="0" t="n">
        <v>0.488483526</v>
      </c>
      <c r="F1087" s="0" t="n">
        <v>0.6923605122</v>
      </c>
      <c r="G1087" s="0" t="n">
        <v>0.8925142518</v>
      </c>
      <c r="H1087" s="0" t="n">
        <v>0.7719265245</v>
      </c>
    </row>
    <row r="1088" customFormat="false" ht="15" hidden="false" customHeight="false" outlineLevel="0" collapsed="false">
      <c r="A1088" s="0" t="s">
        <v>2284</v>
      </c>
      <c r="B1088" s="0" t="s">
        <v>870</v>
      </c>
      <c r="C1088" s="0" t="s">
        <v>585</v>
      </c>
      <c r="D1088" s="0" t="n">
        <v>0</v>
      </c>
      <c r="E1088" s="0" t="n">
        <v>0.1979203631</v>
      </c>
      <c r="F1088" s="0" t="n">
        <v>0.3628154601</v>
      </c>
      <c r="G1088" s="0" t="n">
        <v>0.3679683319</v>
      </c>
      <c r="H1088" s="0" t="n">
        <v>0.3235756473</v>
      </c>
    </row>
    <row r="1089" customFormat="false" ht="15" hidden="false" customHeight="false" outlineLevel="0" collapsed="false">
      <c r="A1089" s="0" t="s">
        <v>2285</v>
      </c>
      <c r="B1089" s="0" t="s">
        <v>746</v>
      </c>
      <c r="C1089" s="0" t="s">
        <v>585</v>
      </c>
      <c r="D1089" s="0" t="n">
        <v>0</v>
      </c>
      <c r="E1089" s="0" t="n">
        <v>1.847107764</v>
      </c>
      <c r="F1089" s="0" t="n">
        <v>2.588319373</v>
      </c>
      <c r="G1089" s="0" t="n">
        <v>2.68184817</v>
      </c>
      <c r="H1089" s="0" t="n">
        <v>2.582938375</v>
      </c>
    </row>
    <row r="1090" customFormat="false" ht="15" hidden="false" customHeight="false" outlineLevel="0" collapsed="false">
      <c r="A1090" s="0" t="s">
        <v>2286</v>
      </c>
      <c r="B1090" s="0" t="s">
        <v>1010</v>
      </c>
      <c r="C1090" s="0" t="s">
        <v>585</v>
      </c>
      <c r="D1090" s="0" t="n">
        <v>0</v>
      </c>
      <c r="E1090" s="0" t="n">
        <v>0.008988755628</v>
      </c>
      <c r="F1090" s="0" t="n">
        <v>0.01465706393</v>
      </c>
      <c r="G1090" s="0" t="n">
        <v>0.03016074333</v>
      </c>
      <c r="H1090" s="0" t="n">
        <v>0.03530663168</v>
      </c>
    </row>
    <row r="1091" customFormat="false" ht="15" hidden="false" customHeight="false" outlineLevel="0" collapsed="false">
      <c r="A1091" s="0" t="s">
        <v>2287</v>
      </c>
      <c r="B1091" s="0" t="s">
        <v>1036</v>
      </c>
      <c r="C1091" s="0" t="s">
        <v>585</v>
      </c>
      <c r="D1091" s="0" t="n">
        <v>0</v>
      </c>
      <c r="E1091" s="0" t="n">
        <v>0.01242549479</v>
      </c>
      <c r="F1091" s="0" t="n">
        <v>0.01588306292</v>
      </c>
      <c r="G1091" s="0" t="n">
        <v>0.03500335015</v>
      </c>
      <c r="H1091" s="0" t="n">
        <v>0.02485214817</v>
      </c>
    </row>
    <row r="1092" customFormat="false" ht="15" hidden="false" customHeight="false" outlineLevel="0" collapsed="false">
      <c r="A1092" s="0" t="s">
        <v>2288</v>
      </c>
      <c r="B1092" s="0" t="s">
        <v>858</v>
      </c>
      <c r="C1092" s="0" t="s">
        <v>585</v>
      </c>
      <c r="D1092" s="0" t="n">
        <v>0</v>
      </c>
      <c r="E1092" s="0" t="n">
        <v>0.6378624978</v>
      </c>
      <c r="F1092" s="0" t="n">
        <v>0.8964099078</v>
      </c>
      <c r="G1092" s="0" t="n">
        <v>2.66258126</v>
      </c>
      <c r="H1092" s="0" t="n">
        <v>2.399603731</v>
      </c>
    </row>
    <row r="1093" customFormat="false" ht="15" hidden="false" customHeight="false" outlineLevel="0" collapsed="false">
      <c r="A1093" s="0" t="s">
        <v>2289</v>
      </c>
      <c r="B1093" s="0" t="s">
        <v>942</v>
      </c>
      <c r="C1093" s="0" t="s">
        <v>585</v>
      </c>
      <c r="D1093" s="0" t="n">
        <v>0</v>
      </c>
      <c r="E1093" s="0" t="n">
        <v>0.03527648337</v>
      </c>
      <c r="F1093" s="0" t="n">
        <v>0.04791490545</v>
      </c>
      <c r="G1093" s="0" t="n">
        <v>0.1031924839</v>
      </c>
      <c r="H1093" s="0" t="n">
        <v>0.1207586889</v>
      </c>
    </row>
    <row r="1094" customFormat="false" ht="15" hidden="false" customHeight="false" outlineLevel="0" collapsed="false">
      <c r="A1094" s="0" t="s">
        <v>2290</v>
      </c>
      <c r="B1094" s="0" t="s">
        <v>986</v>
      </c>
      <c r="C1094" s="0" t="s">
        <v>585</v>
      </c>
      <c r="D1094" s="0" t="n">
        <v>0</v>
      </c>
      <c r="E1094" s="0" t="n">
        <v>0.02118436642</v>
      </c>
      <c r="F1094" s="0" t="n">
        <v>0.02879397366</v>
      </c>
      <c r="G1094" s="0" t="n">
        <v>0.06741435509</v>
      </c>
      <c r="H1094" s="0" t="n">
        <v>0.06108195968</v>
      </c>
    </row>
    <row r="1095" customFormat="false" ht="15" hidden="false" customHeight="false" outlineLevel="0" collapsed="false">
      <c r="A1095" s="0" t="s">
        <v>2291</v>
      </c>
      <c r="B1095" s="0" t="s">
        <v>752</v>
      </c>
      <c r="C1095" s="0" t="s">
        <v>585</v>
      </c>
      <c r="D1095" s="0" t="n">
        <v>0</v>
      </c>
      <c r="E1095" s="0" t="n">
        <v>2.186817332</v>
      </c>
      <c r="F1095" s="0" t="n">
        <v>2.899045912</v>
      </c>
      <c r="G1095" s="0" t="n">
        <v>7.454521387</v>
      </c>
      <c r="H1095" s="0" t="n">
        <v>6.064752708</v>
      </c>
    </row>
    <row r="1096" customFormat="false" ht="15" hidden="false" customHeight="false" outlineLevel="0" collapsed="false">
      <c r="A1096" s="0" t="s">
        <v>2292</v>
      </c>
      <c r="B1096" s="0" t="s">
        <v>968</v>
      </c>
      <c r="C1096" s="0" t="s">
        <v>585</v>
      </c>
      <c r="D1096" s="0" t="n">
        <v>0</v>
      </c>
      <c r="E1096" s="0" t="n">
        <v>0.152348979</v>
      </c>
      <c r="F1096" s="0" t="n">
        <v>0.226368327</v>
      </c>
      <c r="G1096" s="0" t="n">
        <v>0.3952019781</v>
      </c>
      <c r="H1096" s="0" t="n">
        <v>0.5335210732</v>
      </c>
    </row>
    <row r="1097" customFormat="false" ht="15" hidden="false" customHeight="false" outlineLevel="0" collapsed="false">
      <c r="A1097" s="0" t="s">
        <v>2293</v>
      </c>
      <c r="B1097" s="0" t="s">
        <v>872</v>
      </c>
      <c r="C1097" s="0" t="s">
        <v>585</v>
      </c>
      <c r="D1097" s="0" t="n">
        <v>0</v>
      </c>
      <c r="E1097" s="0" t="n">
        <v>0.8980620377</v>
      </c>
      <c r="F1097" s="0" t="n">
        <v>1.405267068</v>
      </c>
      <c r="G1097" s="0" t="n">
        <v>4.117742793</v>
      </c>
      <c r="H1097" s="0" t="n">
        <v>4.019585835</v>
      </c>
    </row>
    <row r="1098" customFormat="false" ht="15" hidden="false" customHeight="false" outlineLevel="0" collapsed="false">
      <c r="A1098" s="0" t="s">
        <v>2294</v>
      </c>
      <c r="B1098" s="0" t="s">
        <v>1040</v>
      </c>
      <c r="C1098" s="0" t="s">
        <v>585</v>
      </c>
      <c r="D1098" s="0" t="n">
        <v>0</v>
      </c>
      <c r="E1098" s="0" t="n">
        <v>0.008970997404</v>
      </c>
      <c r="F1098" s="0" t="n">
        <v>0.01567156793</v>
      </c>
      <c r="G1098" s="0" t="n">
        <v>0.04641068398</v>
      </c>
      <c r="H1098" s="0" t="n">
        <v>0.04854394618</v>
      </c>
    </row>
    <row r="1099" customFormat="false" ht="15" hidden="false" customHeight="false" outlineLevel="0" collapsed="false">
      <c r="A1099" s="0" t="s">
        <v>2295</v>
      </c>
      <c r="B1099" s="0" t="s">
        <v>1060</v>
      </c>
      <c r="C1099" s="0" t="s">
        <v>585</v>
      </c>
      <c r="D1099" s="0" t="n">
        <v>0</v>
      </c>
      <c r="E1099" s="0" t="n">
        <v>0.001520328795</v>
      </c>
      <c r="F1099" s="0" t="n">
        <v>0.002704501236</v>
      </c>
      <c r="G1099" s="0" t="n">
        <v>0.007349165991</v>
      </c>
      <c r="H1099" s="0" t="n">
        <v>0.005717437079</v>
      </c>
    </row>
    <row r="1100" customFormat="false" ht="15" hidden="false" customHeight="false" outlineLevel="0" collapsed="false">
      <c r="A1100" s="0" t="s">
        <v>2296</v>
      </c>
      <c r="B1100" s="0" t="s">
        <v>944</v>
      </c>
      <c r="C1100" s="0" t="s">
        <v>585</v>
      </c>
      <c r="D1100" s="0" t="n">
        <v>0</v>
      </c>
      <c r="E1100" s="0" t="n">
        <v>0.1308974303</v>
      </c>
      <c r="F1100" s="0" t="n">
        <v>0.1755188297</v>
      </c>
      <c r="G1100" s="0" t="n">
        <v>0.4536544978</v>
      </c>
      <c r="H1100" s="0" t="n">
        <v>0.3121869075</v>
      </c>
    </row>
    <row r="1101" customFormat="false" ht="15" hidden="false" customHeight="false" outlineLevel="0" collapsed="false">
      <c r="A1101" s="0" t="s">
        <v>2297</v>
      </c>
      <c r="B1101" s="0" t="s">
        <v>884</v>
      </c>
      <c r="C1101" s="0" t="s">
        <v>585</v>
      </c>
      <c r="D1101" s="0" t="n">
        <v>0</v>
      </c>
      <c r="E1101" s="0" t="n">
        <v>0.3901179154</v>
      </c>
      <c r="F1101" s="0" t="n">
        <v>0.6171474321</v>
      </c>
      <c r="G1101" s="0" t="n">
        <v>1.868937549</v>
      </c>
      <c r="H1101" s="0" t="n">
        <v>1.66484213</v>
      </c>
    </row>
    <row r="1102" customFormat="false" ht="15" hidden="false" customHeight="false" outlineLevel="0" collapsed="false">
      <c r="A1102" s="0" t="s">
        <v>2298</v>
      </c>
      <c r="B1102" s="0" t="s">
        <v>726</v>
      </c>
      <c r="C1102" s="0" t="s">
        <v>585</v>
      </c>
      <c r="D1102" s="0" t="n">
        <v>0</v>
      </c>
      <c r="E1102" s="0" t="n">
        <v>5.261756835</v>
      </c>
      <c r="F1102" s="0" t="n">
        <v>7.734807957</v>
      </c>
      <c r="G1102" s="0" t="n">
        <v>15.07578395</v>
      </c>
      <c r="H1102" s="0" t="n">
        <v>12.85939801</v>
      </c>
    </row>
    <row r="1103" customFormat="false" ht="15" hidden="false" customHeight="false" outlineLevel="0" collapsed="false">
      <c r="A1103" s="0" t="s">
        <v>2299</v>
      </c>
      <c r="B1103" s="0" t="s">
        <v>842</v>
      </c>
      <c r="C1103" s="0" t="s">
        <v>585</v>
      </c>
      <c r="D1103" s="0" t="n">
        <v>0</v>
      </c>
      <c r="E1103" s="0" t="n">
        <v>0.1081353471</v>
      </c>
      <c r="F1103" s="0" t="n">
        <v>0.1955002632</v>
      </c>
      <c r="G1103" s="0" t="n">
        <v>0.5490499314</v>
      </c>
      <c r="H1103" s="0" t="n">
        <v>0.5228267777</v>
      </c>
    </row>
    <row r="1104" customFormat="false" ht="15" hidden="false" customHeight="false" outlineLevel="0" collapsed="false">
      <c r="A1104" s="0" t="s">
        <v>2300</v>
      </c>
      <c r="B1104" s="0" t="s">
        <v>866</v>
      </c>
      <c r="C1104" s="0" t="s">
        <v>585</v>
      </c>
      <c r="D1104" s="0" t="n">
        <v>0</v>
      </c>
      <c r="E1104" s="0" t="n">
        <v>0.07483802999</v>
      </c>
      <c r="F1104" s="0" t="n">
        <v>0.1639980844</v>
      </c>
      <c r="G1104" s="0" t="n">
        <v>0.3191466899</v>
      </c>
      <c r="H1104" s="0" t="n">
        <v>0.3759381281</v>
      </c>
    </row>
    <row r="1105" customFormat="false" ht="15" hidden="false" customHeight="false" outlineLevel="0" collapsed="false">
      <c r="A1105" s="0" t="s">
        <v>2301</v>
      </c>
      <c r="B1105" s="0" t="s">
        <v>804</v>
      </c>
      <c r="C1105" s="0" t="s">
        <v>585</v>
      </c>
      <c r="D1105" s="0" t="n">
        <v>0</v>
      </c>
      <c r="E1105" s="0" t="n">
        <v>2.328630854</v>
      </c>
      <c r="F1105" s="0" t="n">
        <v>3.927197019</v>
      </c>
      <c r="G1105" s="0" t="n">
        <v>7.571308623</v>
      </c>
      <c r="H1105" s="0" t="n">
        <v>9.303321856</v>
      </c>
    </row>
    <row r="1106" customFormat="false" ht="15" hidden="false" customHeight="false" outlineLevel="0" collapsed="false">
      <c r="A1106" s="0" t="s">
        <v>2302</v>
      </c>
      <c r="B1106" s="0" t="s">
        <v>860</v>
      </c>
      <c r="C1106" s="0" t="s">
        <v>585</v>
      </c>
      <c r="D1106" s="0" t="n">
        <v>0</v>
      </c>
      <c r="E1106" s="0" t="n">
        <v>0.2144817038</v>
      </c>
      <c r="F1106" s="0" t="n">
        <v>0.1880417805</v>
      </c>
      <c r="G1106" s="0" t="n">
        <v>0.2264847116</v>
      </c>
      <c r="H1106" s="0" t="n">
        <v>0.2067988129</v>
      </c>
    </row>
    <row r="1107" customFormat="false" ht="15" hidden="false" customHeight="false" outlineLevel="0" collapsed="false">
      <c r="A1107" s="0" t="s">
        <v>2303</v>
      </c>
      <c r="B1107" s="0" t="s">
        <v>693</v>
      </c>
      <c r="C1107" s="0" t="s">
        <v>585</v>
      </c>
      <c r="D1107" s="0" t="n">
        <v>0</v>
      </c>
      <c r="E1107" s="0" t="n">
        <v>96.64971243</v>
      </c>
      <c r="F1107" s="0" t="n">
        <v>200.8939621</v>
      </c>
      <c r="G1107" s="0" t="n">
        <v>169.1254684</v>
      </c>
      <c r="H1107" s="0" t="n">
        <v>130.8242419</v>
      </c>
    </row>
    <row r="1108" customFormat="false" ht="15" hidden="false" customHeight="false" outlineLevel="0" collapsed="false">
      <c r="A1108" s="0" t="s">
        <v>2304</v>
      </c>
      <c r="B1108" s="0" t="s">
        <v>810</v>
      </c>
      <c r="C1108" s="0" t="s">
        <v>585</v>
      </c>
      <c r="D1108" s="0" t="n">
        <v>0</v>
      </c>
      <c r="E1108" s="0" t="n">
        <v>1.842941107</v>
      </c>
      <c r="F1108" s="0" t="n">
        <v>3.087910248</v>
      </c>
      <c r="G1108" s="0" t="n">
        <v>7.617988915</v>
      </c>
      <c r="H1108" s="0" t="n">
        <v>7.342903322</v>
      </c>
    </row>
    <row r="1109" customFormat="false" ht="15" hidden="false" customHeight="false" outlineLevel="0" collapsed="false">
      <c r="A1109" s="0" t="s">
        <v>2305</v>
      </c>
      <c r="B1109" s="0" t="s">
        <v>1052</v>
      </c>
      <c r="C1109" s="0" t="s">
        <v>585</v>
      </c>
      <c r="D1109" s="0" t="n">
        <v>0</v>
      </c>
      <c r="E1109" s="0" t="n">
        <v>0.002508053112</v>
      </c>
      <c r="F1109" s="0" t="n">
        <v>0.003863089487</v>
      </c>
      <c r="G1109" s="0" t="n">
        <v>0.01085955722</v>
      </c>
      <c r="H1109" s="0" t="n">
        <v>0.009325938741</v>
      </c>
    </row>
    <row r="1110" customFormat="false" ht="15" hidden="false" customHeight="false" outlineLevel="0" collapsed="false">
      <c r="A1110" s="0" t="s">
        <v>2306</v>
      </c>
      <c r="B1110" s="0" t="s">
        <v>820</v>
      </c>
      <c r="C1110" s="0" t="s">
        <v>585</v>
      </c>
      <c r="D1110" s="0" t="n">
        <v>0</v>
      </c>
      <c r="E1110" s="0" t="n">
        <v>0.8043233047</v>
      </c>
      <c r="F1110" s="0" t="n">
        <v>1.292306241</v>
      </c>
      <c r="G1110" s="0" t="n">
        <v>2.068358611</v>
      </c>
      <c r="H1110" s="0" t="n">
        <v>2.556744049</v>
      </c>
    </row>
    <row r="1111" customFormat="false" ht="15" hidden="false" customHeight="false" outlineLevel="0" collapsed="false">
      <c r="A1111" s="0" t="s">
        <v>2307</v>
      </c>
      <c r="B1111" s="0" t="s">
        <v>744</v>
      </c>
      <c r="C1111" s="0" t="s">
        <v>585</v>
      </c>
      <c r="D1111" s="0" t="n">
        <v>0</v>
      </c>
      <c r="E1111" s="0" t="n">
        <v>3.974936431</v>
      </c>
      <c r="F1111" s="0" t="n">
        <v>5.905273314</v>
      </c>
      <c r="G1111" s="0" t="n">
        <v>11.20783247</v>
      </c>
      <c r="H1111" s="0" t="n">
        <v>10.45763314</v>
      </c>
    </row>
    <row r="1112" customFormat="false" ht="15" hidden="false" customHeight="false" outlineLevel="0" collapsed="false">
      <c r="A1112" s="0" t="s">
        <v>2308</v>
      </c>
      <c r="B1112" s="0" t="s">
        <v>1048</v>
      </c>
      <c r="C1112" s="0" t="s">
        <v>585</v>
      </c>
      <c r="D1112" s="0" t="n">
        <v>0</v>
      </c>
      <c r="E1112" s="0" t="n">
        <v>0.001937218511</v>
      </c>
      <c r="F1112" s="0" t="n">
        <v>0.004341353082</v>
      </c>
      <c r="G1112" s="0" t="n">
        <v>0.01297252941</v>
      </c>
      <c r="H1112" s="0" t="n">
        <v>0.01096573339</v>
      </c>
    </row>
    <row r="1113" customFormat="false" ht="15" hidden="false" customHeight="false" outlineLevel="0" collapsed="false">
      <c r="A1113" s="0" t="s">
        <v>2309</v>
      </c>
      <c r="B1113" s="0" t="s">
        <v>1050</v>
      </c>
      <c r="C1113" s="0" t="s">
        <v>585</v>
      </c>
      <c r="D1113" s="0" t="n">
        <v>0</v>
      </c>
      <c r="E1113" s="0" t="n">
        <v>0.003496954797</v>
      </c>
      <c r="F1113" s="0" t="n">
        <v>0.005954311024</v>
      </c>
      <c r="G1113" s="0" t="n">
        <v>0.0136206422</v>
      </c>
      <c r="H1113" s="0" t="n">
        <v>0.01174470447</v>
      </c>
    </row>
    <row r="1114" customFormat="false" ht="15" hidden="false" customHeight="false" outlineLevel="0" collapsed="false">
      <c r="A1114" s="0" t="s">
        <v>2310</v>
      </c>
      <c r="B1114" s="0" t="s">
        <v>990</v>
      </c>
      <c r="C1114" s="0" t="s">
        <v>585</v>
      </c>
      <c r="D1114" s="0" t="n">
        <v>0</v>
      </c>
      <c r="E1114" s="0" t="n">
        <v>0.06011880503</v>
      </c>
      <c r="F1114" s="0" t="n">
        <v>0.08440225076</v>
      </c>
      <c r="G1114" s="0" t="n">
        <v>0.2190967705</v>
      </c>
      <c r="H1114" s="0" t="n">
        <v>0.1784145906</v>
      </c>
    </row>
    <row r="1115" customFormat="false" ht="15" hidden="false" customHeight="false" outlineLevel="0" collapsed="false">
      <c r="A1115" s="0" t="s">
        <v>2311</v>
      </c>
      <c r="B1115" s="0" t="s">
        <v>1004</v>
      </c>
      <c r="C1115" s="0" t="s">
        <v>585</v>
      </c>
      <c r="D1115" s="0" t="n">
        <v>0</v>
      </c>
      <c r="E1115" s="0" t="n">
        <v>0.08083092666</v>
      </c>
      <c r="F1115" s="0" t="n">
        <v>0.1223211984</v>
      </c>
      <c r="G1115" s="0" t="n">
        <v>0.3082174935</v>
      </c>
      <c r="H1115" s="0" t="n">
        <v>0.3033633172</v>
      </c>
    </row>
    <row r="1116" customFormat="false" ht="15" hidden="false" customHeight="false" outlineLevel="0" collapsed="false">
      <c r="A1116" s="0" t="s">
        <v>2312</v>
      </c>
      <c r="B1116" s="0" t="s">
        <v>774</v>
      </c>
      <c r="C1116" s="0" t="s">
        <v>585</v>
      </c>
      <c r="D1116" s="0" t="n">
        <v>0</v>
      </c>
      <c r="E1116" s="0" t="n">
        <v>2.615920092</v>
      </c>
      <c r="F1116" s="0" t="n">
        <v>3.826941185</v>
      </c>
      <c r="G1116" s="0" t="n">
        <v>9.249672839</v>
      </c>
      <c r="H1116" s="0" t="n">
        <v>7.265326272</v>
      </c>
    </row>
    <row r="1117" customFormat="false" ht="15" hidden="false" customHeight="false" outlineLevel="0" collapsed="false">
      <c r="A1117" s="0" t="s">
        <v>2313</v>
      </c>
      <c r="B1117" s="0" t="s">
        <v>930</v>
      </c>
      <c r="C1117" s="0" t="s">
        <v>585</v>
      </c>
      <c r="D1117" s="0" t="n">
        <v>0</v>
      </c>
      <c r="E1117" s="0" t="n">
        <v>0.1691122896</v>
      </c>
      <c r="F1117" s="0" t="n">
        <v>0.2508760349</v>
      </c>
      <c r="G1117" s="0" t="n">
        <v>0.50316951</v>
      </c>
      <c r="H1117" s="0" t="n">
        <v>0.6229217472</v>
      </c>
    </row>
    <row r="1118" customFormat="false" ht="15" hidden="false" customHeight="false" outlineLevel="0" collapsed="false">
      <c r="A1118" s="0" t="s">
        <v>2314</v>
      </c>
      <c r="B1118" s="0" t="s">
        <v>878</v>
      </c>
      <c r="C1118" s="0" t="s">
        <v>585</v>
      </c>
      <c r="D1118" s="0" t="n">
        <v>0</v>
      </c>
      <c r="E1118" s="0" t="n">
        <v>0.2105066969</v>
      </c>
      <c r="F1118" s="0" t="n">
        <v>0.2389225433</v>
      </c>
      <c r="G1118" s="0" t="n">
        <v>0.539529392</v>
      </c>
      <c r="H1118" s="0" t="n">
        <v>0.6096958762</v>
      </c>
    </row>
    <row r="1119" customFormat="false" ht="15" hidden="false" customHeight="false" outlineLevel="0" collapsed="false">
      <c r="A1119" s="0" t="s">
        <v>2315</v>
      </c>
      <c r="B1119" s="0" t="s">
        <v>1018</v>
      </c>
      <c r="C1119" s="0" t="s">
        <v>482</v>
      </c>
      <c r="D1119" s="0" t="n">
        <v>0</v>
      </c>
      <c r="E1119" s="0" t="n">
        <v>0.008881850884</v>
      </c>
      <c r="F1119" s="0" t="n">
        <v>0.01119810357</v>
      </c>
      <c r="G1119" s="0" t="n">
        <v>0.007935882398</v>
      </c>
      <c r="H1119" s="0" t="n">
        <v>0.00795371726</v>
      </c>
    </row>
    <row r="1120" customFormat="false" ht="15" hidden="false" customHeight="false" outlineLevel="0" collapsed="false">
      <c r="A1120" s="0" t="s">
        <v>2316</v>
      </c>
      <c r="B1120" s="0" t="s">
        <v>962</v>
      </c>
      <c r="C1120" s="0" t="s">
        <v>482</v>
      </c>
      <c r="D1120" s="0" t="n">
        <v>0</v>
      </c>
      <c r="E1120" s="0" t="n">
        <v>0.0616521187</v>
      </c>
      <c r="F1120" s="0" t="n">
        <v>0.1046068516</v>
      </c>
      <c r="G1120" s="0" t="n">
        <v>0.09564334615</v>
      </c>
      <c r="H1120" s="0" t="n">
        <v>0.116155263</v>
      </c>
    </row>
    <row r="1121" customFormat="false" ht="15" hidden="false" customHeight="false" outlineLevel="0" collapsed="false">
      <c r="A1121" s="0" t="s">
        <v>2317</v>
      </c>
      <c r="B1121" s="0" t="s">
        <v>828</v>
      </c>
      <c r="C1121" s="0" t="s">
        <v>482</v>
      </c>
      <c r="D1121" s="0" t="n">
        <v>0</v>
      </c>
      <c r="E1121" s="0" t="n">
        <v>0.114726885</v>
      </c>
      <c r="F1121" s="0" t="n">
        <v>0.1803044518</v>
      </c>
      <c r="G1121" s="0" t="n">
        <v>0.1596269342</v>
      </c>
      <c r="H1121" s="0" t="n">
        <v>0.1862408325</v>
      </c>
    </row>
    <row r="1122" customFormat="false" ht="15" hidden="false" customHeight="false" outlineLevel="0" collapsed="false">
      <c r="A1122" s="0" t="s">
        <v>2318</v>
      </c>
      <c r="B1122" s="0" t="s">
        <v>926</v>
      </c>
      <c r="C1122" s="0" t="s">
        <v>482</v>
      </c>
      <c r="D1122" s="0" t="n">
        <v>0</v>
      </c>
      <c r="E1122" s="0" t="n">
        <v>0.03592401164</v>
      </c>
      <c r="F1122" s="0" t="n">
        <v>0.0574912619</v>
      </c>
      <c r="G1122" s="0" t="n">
        <v>0.04479307984</v>
      </c>
      <c r="H1122" s="0" t="n">
        <v>0.04862417692</v>
      </c>
    </row>
    <row r="1123" customFormat="false" ht="15" hidden="false" customHeight="false" outlineLevel="0" collapsed="false">
      <c r="A1123" s="0" t="s">
        <v>2319</v>
      </c>
      <c r="B1123" s="0" t="s">
        <v>748</v>
      </c>
      <c r="C1123" s="0" t="s">
        <v>482</v>
      </c>
      <c r="D1123" s="0" t="n">
        <v>0</v>
      </c>
      <c r="E1123" s="0" t="n">
        <v>1.072980139</v>
      </c>
      <c r="F1123" s="0" t="n">
        <v>1.440060349</v>
      </c>
      <c r="G1123" s="0" t="n">
        <v>0.9912548901</v>
      </c>
      <c r="H1123" s="0" t="n">
        <v>0.9919652841</v>
      </c>
    </row>
    <row r="1124" customFormat="false" ht="15" hidden="false" customHeight="false" outlineLevel="0" collapsed="false">
      <c r="A1124" s="0" t="s">
        <v>2320</v>
      </c>
      <c r="B1124" s="0" t="s">
        <v>736</v>
      </c>
      <c r="C1124" s="0" t="s">
        <v>482</v>
      </c>
      <c r="D1124" s="0" t="n">
        <v>0</v>
      </c>
      <c r="E1124" s="0" t="n">
        <v>0.8180786057</v>
      </c>
      <c r="F1124" s="0" t="n">
        <v>1.226727902</v>
      </c>
      <c r="G1124" s="0" t="n">
        <v>0.8372673827</v>
      </c>
      <c r="H1124" s="0" t="n">
        <v>0.8344041539</v>
      </c>
    </row>
    <row r="1125" customFormat="false" ht="15" hidden="false" customHeight="false" outlineLevel="0" collapsed="false">
      <c r="A1125" s="0" t="s">
        <v>2321</v>
      </c>
      <c r="B1125" s="0" t="s">
        <v>920</v>
      </c>
      <c r="C1125" s="0" t="s">
        <v>482</v>
      </c>
      <c r="D1125" s="0" t="n">
        <v>0</v>
      </c>
      <c r="E1125" s="0" t="n">
        <v>0.02540706368</v>
      </c>
      <c r="F1125" s="0" t="n">
        <v>0.03854504667</v>
      </c>
      <c r="G1125" s="0" t="n">
        <v>0.02903748404</v>
      </c>
      <c r="H1125" s="0" t="n">
        <v>0.03194720098</v>
      </c>
    </row>
    <row r="1126" customFormat="false" ht="15" hidden="false" customHeight="false" outlineLevel="0" collapsed="false">
      <c r="A1126" s="0" t="s">
        <v>2322</v>
      </c>
      <c r="B1126" s="0" t="s">
        <v>1038</v>
      </c>
      <c r="C1126" s="0" t="s">
        <v>482</v>
      </c>
      <c r="D1126" s="0" t="n">
        <v>0</v>
      </c>
      <c r="E1126" s="0" t="n">
        <v>0.006718771059</v>
      </c>
      <c r="F1126" s="0" t="n">
        <v>0.01024037859</v>
      </c>
      <c r="G1126" s="0" t="n">
        <v>0.007167063927</v>
      </c>
      <c r="H1126" s="0" t="n">
        <v>0.007169870339</v>
      </c>
    </row>
    <row r="1127" customFormat="false" ht="15" hidden="false" customHeight="false" outlineLevel="0" collapsed="false">
      <c r="A1127" s="0" t="s">
        <v>2323</v>
      </c>
      <c r="B1127" s="0" t="s">
        <v>718</v>
      </c>
      <c r="C1127" s="0" t="s">
        <v>482</v>
      </c>
      <c r="D1127" s="0" t="n">
        <v>0</v>
      </c>
      <c r="E1127" s="0" t="n">
        <v>7.255480141</v>
      </c>
      <c r="F1127" s="0" t="n">
        <v>7.061789517</v>
      </c>
      <c r="G1127" s="0" t="n">
        <v>3.235035146</v>
      </c>
      <c r="H1127" s="0" t="n">
        <v>3.22397557</v>
      </c>
    </row>
    <row r="1128" customFormat="false" ht="15" hidden="false" customHeight="false" outlineLevel="0" collapsed="false">
      <c r="A1128" s="0" t="s">
        <v>2324</v>
      </c>
      <c r="B1128" s="0" t="s">
        <v>758</v>
      </c>
      <c r="C1128" s="0" t="s">
        <v>482</v>
      </c>
      <c r="D1128" s="0" t="n">
        <v>0</v>
      </c>
      <c r="E1128" s="0" t="n">
        <v>1.359542944</v>
      </c>
      <c r="F1128" s="0" t="n">
        <v>1.285087013</v>
      </c>
      <c r="G1128" s="0" t="n">
        <v>0.5846165497</v>
      </c>
      <c r="H1128" s="0" t="n">
        <v>0.5804934368</v>
      </c>
    </row>
    <row r="1129" customFormat="false" ht="15" hidden="false" customHeight="false" outlineLevel="0" collapsed="false">
      <c r="A1129" s="0" t="s">
        <v>2325</v>
      </c>
      <c r="B1129" s="0" t="s">
        <v>868</v>
      </c>
      <c r="C1129" s="0" t="s">
        <v>482</v>
      </c>
      <c r="D1129" s="0" t="n">
        <v>0</v>
      </c>
      <c r="E1129" s="0" t="n">
        <v>0.1010515616</v>
      </c>
      <c r="F1129" s="0" t="n">
        <v>0.1734739932</v>
      </c>
      <c r="G1129" s="0" t="n">
        <v>0.1418585081</v>
      </c>
      <c r="H1129" s="0" t="n">
        <v>0.1562609179</v>
      </c>
    </row>
    <row r="1130" customFormat="false" ht="15" hidden="false" customHeight="false" outlineLevel="0" collapsed="false">
      <c r="A1130" s="0" t="s">
        <v>2326</v>
      </c>
      <c r="B1130" s="0" t="s">
        <v>1012</v>
      </c>
      <c r="C1130" s="0" t="s">
        <v>482</v>
      </c>
      <c r="D1130" s="0" t="n">
        <v>0</v>
      </c>
      <c r="E1130" s="0" t="n">
        <v>0.01256372415</v>
      </c>
      <c r="F1130" s="0" t="n">
        <v>0.02129487365</v>
      </c>
      <c r="G1130" s="0" t="n">
        <v>0.01898289783</v>
      </c>
      <c r="H1130" s="0" t="n">
        <v>0.02295857878</v>
      </c>
    </row>
    <row r="1131" customFormat="false" ht="15" hidden="false" customHeight="false" outlineLevel="0" collapsed="false">
      <c r="A1131" s="0" t="s">
        <v>2327</v>
      </c>
      <c r="B1131" s="0" t="s">
        <v>742</v>
      </c>
      <c r="C1131" s="0" t="s">
        <v>482</v>
      </c>
      <c r="D1131" s="0" t="n">
        <v>0</v>
      </c>
      <c r="E1131" s="0" t="n">
        <v>1.32747341</v>
      </c>
      <c r="F1131" s="0" t="n">
        <v>1.254352202</v>
      </c>
      <c r="G1131" s="0" t="n">
        <v>0.5707909586</v>
      </c>
      <c r="H1131" s="0" t="n">
        <v>0.5672439462</v>
      </c>
    </row>
    <row r="1132" customFormat="false" ht="15" hidden="false" customHeight="false" outlineLevel="0" collapsed="false">
      <c r="A1132" s="0" t="s">
        <v>2328</v>
      </c>
      <c r="B1132" s="0" t="s">
        <v>934</v>
      </c>
      <c r="C1132" s="0" t="s">
        <v>482</v>
      </c>
      <c r="D1132" s="0" t="n">
        <v>0</v>
      </c>
      <c r="E1132" s="0" t="n">
        <v>0.1077027375</v>
      </c>
      <c r="F1132" s="0" t="n">
        <v>0.1861360386</v>
      </c>
      <c r="G1132" s="0" t="n">
        <v>0.1564860429</v>
      </c>
      <c r="H1132" s="0" t="n">
        <v>0.1907911303</v>
      </c>
    </row>
    <row r="1133" customFormat="false" ht="15" hidden="false" customHeight="false" outlineLevel="0" collapsed="false">
      <c r="A1133" s="0" t="s">
        <v>2329</v>
      </c>
      <c r="B1133" s="0" t="s">
        <v>938</v>
      </c>
      <c r="C1133" s="0" t="s">
        <v>482</v>
      </c>
      <c r="D1133" s="0" t="n">
        <v>0</v>
      </c>
      <c r="E1133" s="0" t="n">
        <v>0.06843221791</v>
      </c>
      <c r="F1133" s="0" t="n">
        <v>0.1167025006</v>
      </c>
      <c r="G1133" s="0" t="n">
        <v>0.1013566717</v>
      </c>
      <c r="H1133" s="0" t="n">
        <v>0.1223510489</v>
      </c>
    </row>
    <row r="1134" customFormat="false" ht="15" hidden="false" customHeight="false" outlineLevel="0" collapsed="false">
      <c r="A1134" s="0" t="s">
        <v>2330</v>
      </c>
      <c r="B1134" s="0" t="s">
        <v>756</v>
      </c>
      <c r="C1134" s="0" t="s">
        <v>482</v>
      </c>
      <c r="D1134" s="0" t="n">
        <v>0</v>
      </c>
      <c r="E1134" s="0" t="n">
        <v>0.1904530323</v>
      </c>
      <c r="F1134" s="0" t="n">
        <v>0.345101232</v>
      </c>
      <c r="G1134" s="0" t="n">
        <v>0.2845562109</v>
      </c>
      <c r="H1134" s="0" t="n">
        <v>0.3286437188</v>
      </c>
    </row>
    <row r="1135" customFormat="false" ht="15" hidden="false" customHeight="false" outlineLevel="0" collapsed="false">
      <c r="A1135" s="0" t="s">
        <v>2331</v>
      </c>
      <c r="B1135" s="0" t="s">
        <v>830</v>
      </c>
      <c r="C1135" s="0" t="s">
        <v>482</v>
      </c>
      <c r="D1135" s="0" t="n">
        <v>0</v>
      </c>
      <c r="E1135" s="0" t="n">
        <v>0.1925460568</v>
      </c>
      <c r="F1135" s="0" t="n">
        <v>0.306101433</v>
      </c>
      <c r="G1135" s="0" t="n">
        <v>0.2430046697</v>
      </c>
      <c r="H1135" s="0" t="n">
        <v>0.2642473563</v>
      </c>
    </row>
    <row r="1136" customFormat="false" ht="15" hidden="false" customHeight="false" outlineLevel="0" collapsed="false">
      <c r="A1136" s="0" t="s">
        <v>2332</v>
      </c>
      <c r="B1136" s="0" t="s">
        <v>898</v>
      </c>
      <c r="C1136" s="0" t="s">
        <v>482</v>
      </c>
      <c r="D1136" s="0" t="n">
        <v>0</v>
      </c>
      <c r="E1136" s="0" t="n">
        <v>0.07779425251</v>
      </c>
      <c r="F1136" s="0" t="n">
        <v>0.1016196269</v>
      </c>
      <c r="G1136" s="0" t="n">
        <v>0.07079583929</v>
      </c>
      <c r="H1136" s="0" t="n">
        <v>0.07087250387</v>
      </c>
    </row>
    <row r="1137" customFormat="false" ht="15" hidden="false" customHeight="false" outlineLevel="0" collapsed="false">
      <c r="A1137" s="0" t="s">
        <v>2333</v>
      </c>
      <c r="B1137" s="0" t="s">
        <v>976</v>
      </c>
      <c r="C1137" s="0" t="s">
        <v>482</v>
      </c>
      <c r="D1137" s="0" t="n">
        <v>0</v>
      </c>
      <c r="E1137" s="0" t="n">
        <v>0.03064519473</v>
      </c>
      <c r="F1137" s="0" t="n">
        <v>0.04563434458</v>
      </c>
      <c r="G1137" s="0" t="n">
        <v>0.03251183974</v>
      </c>
      <c r="H1137" s="0" t="n">
        <v>0.03259609419</v>
      </c>
    </row>
    <row r="1138" customFormat="false" ht="15" hidden="false" customHeight="false" outlineLevel="0" collapsed="false">
      <c r="A1138" s="0" t="s">
        <v>2334</v>
      </c>
      <c r="B1138" s="0" t="s">
        <v>924</v>
      </c>
      <c r="C1138" s="0" t="s">
        <v>482</v>
      </c>
      <c r="D1138" s="0" t="n">
        <v>0</v>
      </c>
      <c r="E1138" s="0" t="n">
        <v>0.07732906112</v>
      </c>
      <c r="F1138" s="0" t="n">
        <v>0.1267898089</v>
      </c>
      <c r="G1138" s="0" t="n">
        <v>0.1021266287</v>
      </c>
      <c r="H1138" s="0" t="n">
        <v>0.1108645581</v>
      </c>
    </row>
    <row r="1139" customFormat="false" ht="15" hidden="false" customHeight="false" outlineLevel="0" collapsed="false">
      <c r="A1139" s="0" t="s">
        <v>2335</v>
      </c>
      <c r="B1139" s="0" t="s">
        <v>864</v>
      </c>
      <c r="C1139" s="0" t="s">
        <v>482</v>
      </c>
      <c r="D1139" s="0" t="n">
        <v>0</v>
      </c>
      <c r="E1139" s="0" t="n">
        <v>0.1303772703</v>
      </c>
      <c r="F1139" s="0" t="n">
        <v>0.2049905226</v>
      </c>
      <c r="G1139" s="0" t="n">
        <v>0.1715048148</v>
      </c>
      <c r="H1139" s="0" t="n">
        <v>0.1874542282</v>
      </c>
    </row>
    <row r="1140" customFormat="false" ht="15" hidden="false" customHeight="false" outlineLevel="0" collapsed="false">
      <c r="A1140" s="0" t="s">
        <v>2336</v>
      </c>
      <c r="B1140" s="0" t="s">
        <v>1022</v>
      </c>
      <c r="C1140" s="0" t="s">
        <v>482</v>
      </c>
      <c r="D1140" s="0" t="n">
        <v>0</v>
      </c>
      <c r="E1140" s="0" t="n">
        <v>0.01105228773</v>
      </c>
      <c r="F1140" s="0" t="n">
        <v>0.01728702245</v>
      </c>
      <c r="G1140" s="0" t="n">
        <v>0.01414882115</v>
      </c>
      <c r="H1140" s="0" t="n">
        <v>0.01558682797</v>
      </c>
    </row>
    <row r="1141" customFormat="false" ht="15" hidden="false" customHeight="false" outlineLevel="0" collapsed="false">
      <c r="A1141" s="0" t="s">
        <v>2337</v>
      </c>
      <c r="B1141" s="0" t="s">
        <v>896</v>
      </c>
      <c r="C1141" s="0" t="s">
        <v>482</v>
      </c>
      <c r="D1141" s="0" t="n">
        <v>0</v>
      </c>
      <c r="E1141" s="0" t="n">
        <v>0.1480389701</v>
      </c>
      <c r="F1141" s="0" t="n">
        <v>0.2040231384</v>
      </c>
      <c r="G1141" s="0" t="n">
        <v>0.1767352617</v>
      </c>
      <c r="H1141" s="0" t="n">
        <v>0.2066740455</v>
      </c>
    </row>
    <row r="1142" customFormat="false" ht="15" hidden="false" customHeight="false" outlineLevel="0" collapsed="false">
      <c r="A1142" s="0" t="s">
        <v>2338</v>
      </c>
      <c r="B1142" s="0" t="s">
        <v>710</v>
      </c>
      <c r="C1142" s="0" t="s">
        <v>482</v>
      </c>
      <c r="D1142" s="0" t="n">
        <v>0</v>
      </c>
      <c r="E1142" s="0" t="n">
        <v>3.398471002</v>
      </c>
      <c r="F1142" s="0" t="n">
        <v>5.358462322</v>
      </c>
      <c r="G1142" s="0" t="n">
        <v>4.386741225</v>
      </c>
      <c r="H1142" s="0" t="n">
        <v>4.79568111</v>
      </c>
    </row>
    <row r="1143" customFormat="false" ht="15" hidden="false" customHeight="false" outlineLevel="0" collapsed="false">
      <c r="A1143" s="0" t="s">
        <v>2339</v>
      </c>
      <c r="B1143" s="0" t="s">
        <v>1000</v>
      </c>
      <c r="C1143" s="0" t="s">
        <v>482</v>
      </c>
      <c r="D1143" s="0" t="n">
        <v>0</v>
      </c>
      <c r="E1143" s="0" t="n">
        <v>0.01152268562</v>
      </c>
      <c r="F1143" s="0" t="n">
        <v>0.01774013665</v>
      </c>
      <c r="G1143" s="0" t="n">
        <v>0.0124646693</v>
      </c>
      <c r="H1143" s="0" t="n">
        <v>0.01246258357</v>
      </c>
    </row>
    <row r="1144" customFormat="false" ht="15" hidden="false" customHeight="false" outlineLevel="0" collapsed="false">
      <c r="A1144" s="0" t="s">
        <v>2340</v>
      </c>
      <c r="B1144" s="0" t="s">
        <v>980</v>
      </c>
      <c r="C1144" s="0" t="s">
        <v>482</v>
      </c>
      <c r="D1144" s="0" t="n">
        <v>0</v>
      </c>
      <c r="E1144" s="0" t="n">
        <v>0.02072505749</v>
      </c>
      <c r="F1144" s="0" t="n">
        <v>0.03542065258</v>
      </c>
      <c r="G1144" s="0" t="n">
        <v>0.02478551066</v>
      </c>
      <c r="H1144" s="0" t="n">
        <v>0.02479613652</v>
      </c>
    </row>
    <row r="1145" customFormat="false" ht="15" hidden="false" customHeight="false" outlineLevel="0" collapsed="false">
      <c r="A1145" s="0" t="s">
        <v>2341</v>
      </c>
      <c r="B1145" s="0" t="s">
        <v>1020</v>
      </c>
      <c r="C1145" s="0" t="s">
        <v>482</v>
      </c>
      <c r="D1145" s="0" t="n">
        <v>0</v>
      </c>
      <c r="E1145" s="0" t="n">
        <v>0.001678468433</v>
      </c>
      <c r="F1145" s="0" t="n">
        <v>0.003048937692</v>
      </c>
      <c r="G1145" s="0" t="n">
        <v>0.002448359267</v>
      </c>
      <c r="H1145" s="0" t="n">
        <v>0.00291672029</v>
      </c>
    </row>
    <row r="1146" customFormat="false" ht="15" hidden="false" customHeight="false" outlineLevel="0" collapsed="false">
      <c r="A1146" s="0" t="s">
        <v>2342</v>
      </c>
      <c r="B1146" s="0" t="s">
        <v>952</v>
      </c>
      <c r="C1146" s="0" t="s">
        <v>482</v>
      </c>
      <c r="D1146" s="0" t="n">
        <v>0</v>
      </c>
      <c r="E1146" s="0" t="n">
        <v>0.04405088567</v>
      </c>
      <c r="F1146" s="0" t="n">
        <v>0.09157818838</v>
      </c>
      <c r="G1146" s="0" t="n">
        <v>0.06998625005</v>
      </c>
      <c r="H1146" s="0" t="n">
        <v>0.07714667701</v>
      </c>
    </row>
    <row r="1147" customFormat="false" ht="15" hidden="false" customHeight="false" outlineLevel="0" collapsed="false">
      <c r="A1147" s="0" t="s">
        <v>2343</v>
      </c>
      <c r="B1147" s="0" t="s">
        <v>1026</v>
      </c>
      <c r="C1147" s="0" t="s">
        <v>482</v>
      </c>
      <c r="D1147" s="0" t="n">
        <v>0</v>
      </c>
      <c r="E1147" s="0" t="n">
        <v>0.005612407918</v>
      </c>
      <c r="F1147" s="0" t="n">
        <v>0.008239095023</v>
      </c>
      <c r="G1147" s="0" t="n">
        <v>0.007524677399</v>
      </c>
      <c r="H1147" s="0" t="n">
        <v>0.009040999376</v>
      </c>
    </row>
    <row r="1148" customFormat="false" ht="15" hidden="false" customHeight="false" outlineLevel="0" collapsed="false">
      <c r="A1148" s="0" t="s">
        <v>2344</v>
      </c>
      <c r="B1148" s="0" t="s">
        <v>708</v>
      </c>
      <c r="C1148" s="0" t="s">
        <v>482</v>
      </c>
      <c r="D1148" s="0" t="n">
        <v>0</v>
      </c>
      <c r="E1148" s="0" t="n">
        <v>9.922582099</v>
      </c>
      <c r="F1148" s="0" t="n">
        <v>9.441909143</v>
      </c>
      <c r="G1148" s="0" t="n">
        <v>4.393572522</v>
      </c>
      <c r="H1148" s="0" t="n">
        <v>4.391136914</v>
      </c>
    </row>
    <row r="1149" customFormat="false" ht="15" hidden="false" customHeight="false" outlineLevel="0" collapsed="false">
      <c r="A1149" s="0" t="s">
        <v>2345</v>
      </c>
      <c r="B1149" s="0" t="s">
        <v>734</v>
      </c>
      <c r="C1149" s="0" t="s">
        <v>482</v>
      </c>
      <c r="D1149" s="0" t="n">
        <v>0</v>
      </c>
      <c r="E1149" s="0" t="n">
        <v>1.064164689</v>
      </c>
      <c r="F1149" s="0" t="n">
        <v>1.025247307</v>
      </c>
      <c r="G1149" s="0" t="n">
        <v>0.4742323359</v>
      </c>
      <c r="H1149" s="0" t="n">
        <v>0.4726723568</v>
      </c>
    </row>
    <row r="1150" customFormat="false" ht="15" hidden="false" customHeight="false" outlineLevel="0" collapsed="false">
      <c r="A1150" s="0" t="s">
        <v>2346</v>
      </c>
      <c r="B1150" s="0" t="s">
        <v>782</v>
      </c>
      <c r="C1150" s="0" t="s">
        <v>482</v>
      </c>
      <c r="D1150" s="0" t="n">
        <v>0</v>
      </c>
      <c r="E1150" s="0" t="n">
        <v>0.5476271949</v>
      </c>
      <c r="F1150" s="0" t="n">
        <v>0.8640118082</v>
      </c>
      <c r="G1150" s="0" t="n">
        <v>0.6093493228</v>
      </c>
      <c r="H1150" s="0" t="n">
        <v>0.6071051716</v>
      </c>
    </row>
    <row r="1151" customFormat="false" ht="15" hidden="false" customHeight="false" outlineLevel="0" collapsed="false">
      <c r="A1151" s="0" t="s">
        <v>2347</v>
      </c>
      <c r="B1151" s="0" t="s">
        <v>696</v>
      </c>
      <c r="C1151" s="0" t="s">
        <v>482</v>
      </c>
      <c r="D1151" s="0" t="n">
        <v>0</v>
      </c>
      <c r="E1151" s="0" t="n">
        <v>124.1026396</v>
      </c>
      <c r="F1151" s="0" t="n">
        <v>73.35121782</v>
      </c>
      <c r="G1151" s="0" t="n">
        <v>30.54784926</v>
      </c>
      <c r="H1151" s="0" t="n">
        <v>33.61375029</v>
      </c>
    </row>
    <row r="1152" customFormat="false" ht="15" hidden="false" customHeight="false" outlineLevel="0" collapsed="false">
      <c r="A1152" s="0" t="s">
        <v>2348</v>
      </c>
      <c r="B1152" s="0" t="s">
        <v>836</v>
      </c>
      <c r="C1152" s="0" t="s">
        <v>482</v>
      </c>
      <c r="D1152" s="0" t="n">
        <v>0</v>
      </c>
      <c r="E1152" s="0" t="n">
        <v>0.1464551098</v>
      </c>
      <c r="F1152" s="0" t="n">
        <v>0.2489505511</v>
      </c>
      <c r="G1152" s="0" t="n">
        <v>0.2010550843</v>
      </c>
      <c r="H1152" s="0" t="n">
        <v>0.234907959</v>
      </c>
    </row>
    <row r="1153" customFormat="false" ht="15" hidden="false" customHeight="false" outlineLevel="0" collapsed="false">
      <c r="A1153" s="0" t="s">
        <v>2349</v>
      </c>
      <c r="B1153" s="0" t="s">
        <v>880</v>
      </c>
      <c r="C1153" s="0" t="s">
        <v>482</v>
      </c>
      <c r="D1153" s="0" t="n">
        <v>0</v>
      </c>
      <c r="E1153" s="0" t="n">
        <v>0.05184322641</v>
      </c>
      <c r="F1153" s="0" t="n">
        <v>0.08847699956</v>
      </c>
      <c r="G1153" s="0" t="n">
        <v>0.07623386888</v>
      </c>
      <c r="H1153" s="0" t="n">
        <v>0.08907488063</v>
      </c>
    </row>
    <row r="1154" customFormat="false" ht="15" hidden="false" customHeight="false" outlineLevel="0" collapsed="false">
      <c r="A1154" s="0" t="s">
        <v>2350</v>
      </c>
      <c r="B1154" s="0" t="s">
        <v>850</v>
      </c>
      <c r="C1154" s="0" t="s">
        <v>482</v>
      </c>
      <c r="D1154" s="0" t="n">
        <v>0</v>
      </c>
      <c r="E1154" s="0" t="n">
        <v>0.07524854283</v>
      </c>
      <c r="F1154" s="0" t="n">
        <v>0.1314744222</v>
      </c>
      <c r="G1154" s="0" t="n">
        <v>0.1110297733</v>
      </c>
      <c r="H1154" s="0" t="n">
        <v>0.1331637687</v>
      </c>
    </row>
    <row r="1155" customFormat="false" ht="15" hidden="false" customHeight="false" outlineLevel="0" collapsed="false">
      <c r="A1155" s="0" t="s">
        <v>2351</v>
      </c>
      <c r="B1155" s="0" t="s">
        <v>978</v>
      </c>
      <c r="C1155" s="0" t="s">
        <v>482</v>
      </c>
      <c r="D1155" s="0" t="n">
        <v>0</v>
      </c>
      <c r="E1155" s="0" t="n">
        <v>0.0210967786</v>
      </c>
      <c r="F1155" s="0" t="n">
        <v>0.03635319653</v>
      </c>
      <c r="G1155" s="0" t="n">
        <v>0.03164331942</v>
      </c>
      <c r="H1155" s="0" t="n">
        <v>0.0368577095</v>
      </c>
    </row>
    <row r="1156" customFormat="false" ht="15" hidden="false" customHeight="false" outlineLevel="0" collapsed="false">
      <c r="A1156" s="0" t="s">
        <v>2352</v>
      </c>
      <c r="B1156" s="0" t="s">
        <v>766</v>
      </c>
      <c r="C1156" s="0" t="s">
        <v>482</v>
      </c>
      <c r="D1156" s="0" t="n">
        <v>0</v>
      </c>
      <c r="E1156" s="0" t="n">
        <v>0.5395388407</v>
      </c>
      <c r="F1156" s="0" t="n">
        <v>0.8593276992</v>
      </c>
      <c r="G1156" s="0" t="n">
        <v>0.6979206482</v>
      </c>
      <c r="H1156" s="0" t="n">
        <v>0.7665913212</v>
      </c>
    </row>
    <row r="1157" customFormat="false" ht="15" hidden="false" customHeight="false" outlineLevel="0" collapsed="false">
      <c r="A1157" s="0" t="s">
        <v>2353</v>
      </c>
      <c r="B1157" s="0" t="s">
        <v>1044</v>
      </c>
      <c r="C1157" s="0" t="s">
        <v>482</v>
      </c>
      <c r="D1157" s="0" t="n">
        <v>0</v>
      </c>
      <c r="E1157" s="0" t="n">
        <v>0.006360957866</v>
      </c>
      <c r="F1157" s="0" t="n">
        <v>0.01105843073</v>
      </c>
      <c r="G1157" s="0" t="n">
        <v>0.009764977708</v>
      </c>
      <c r="H1157" s="0" t="n">
        <v>0.01177438896</v>
      </c>
    </row>
    <row r="1158" customFormat="false" ht="15" hidden="false" customHeight="false" outlineLevel="0" collapsed="false">
      <c r="A1158" s="0" t="s">
        <v>2354</v>
      </c>
      <c r="B1158" s="0" t="s">
        <v>1024</v>
      </c>
      <c r="C1158" s="0" t="s">
        <v>482</v>
      </c>
      <c r="D1158" s="0" t="n">
        <v>0</v>
      </c>
      <c r="E1158" s="0" t="n">
        <v>0.005957275718</v>
      </c>
      <c r="F1158" s="0" t="n">
        <v>0.009660224655</v>
      </c>
      <c r="G1158" s="0" t="n">
        <v>0.007950399779</v>
      </c>
      <c r="H1158" s="0" t="n">
        <v>0.00918413257</v>
      </c>
    </row>
    <row r="1159" customFormat="false" ht="15" hidden="false" customHeight="false" outlineLevel="0" collapsed="false">
      <c r="A1159" s="0" t="s">
        <v>2355</v>
      </c>
      <c r="B1159" s="0" t="s">
        <v>838</v>
      </c>
      <c r="C1159" s="0" t="s">
        <v>482</v>
      </c>
      <c r="D1159" s="0" t="n">
        <v>0</v>
      </c>
      <c r="E1159" s="0" t="n">
        <v>0.139976626</v>
      </c>
      <c r="F1159" s="0" t="n">
        <v>0.2160498249</v>
      </c>
      <c r="G1159" s="0" t="n">
        <v>0.169665762</v>
      </c>
      <c r="H1159" s="0" t="n">
        <v>0.1864886847</v>
      </c>
    </row>
    <row r="1160" customFormat="false" ht="15" hidden="false" customHeight="false" outlineLevel="0" collapsed="false">
      <c r="A1160" s="0" t="s">
        <v>2356</v>
      </c>
      <c r="B1160" s="0" t="s">
        <v>906</v>
      </c>
      <c r="C1160" s="0" t="s">
        <v>482</v>
      </c>
      <c r="D1160" s="0" t="n">
        <v>0</v>
      </c>
      <c r="E1160" s="0" t="n">
        <v>0.1362627082</v>
      </c>
      <c r="F1160" s="0" t="n">
        <v>0.1264316347</v>
      </c>
      <c r="G1160" s="0" t="n">
        <v>0.05621818743</v>
      </c>
      <c r="H1160" s="0" t="n">
        <v>0.05607997234</v>
      </c>
    </row>
    <row r="1161" customFormat="false" ht="15" hidden="false" customHeight="false" outlineLevel="0" collapsed="false">
      <c r="A1161" s="0" t="s">
        <v>2357</v>
      </c>
      <c r="B1161" s="0" t="s">
        <v>778</v>
      </c>
      <c r="C1161" s="0" t="s">
        <v>482</v>
      </c>
      <c r="D1161" s="0" t="n">
        <v>0</v>
      </c>
      <c r="E1161" s="0" t="n">
        <v>1.260359952</v>
      </c>
      <c r="F1161" s="0" t="n">
        <v>1.197114844</v>
      </c>
      <c r="G1161" s="0" t="n">
        <v>0.545055636</v>
      </c>
      <c r="H1161" s="0" t="n">
        <v>0.5416757253</v>
      </c>
    </row>
    <row r="1162" customFormat="false" ht="15" hidden="false" customHeight="false" outlineLevel="0" collapsed="false">
      <c r="A1162" s="0" t="s">
        <v>2358</v>
      </c>
      <c r="B1162" s="0" t="s">
        <v>700</v>
      </c>
      <c r="C1162" s="0" t="s">
        <v>482</v>
      </c>
      <c r="D1162" s="0" t="n">
        <v>0</v>
      </c>
      <c r="E1162" s="0" t="n">
        <v>9.779424741</v>
      </c>
      <c r="F1162" s="0" t="n">
        <v>9.276099861</v>
      </c>
      <c r="G1162" s="0" t="n">
        <v>4.236358413</v>
      </c>
      <c r="H1162" s="0" t="n">
        <v>4.215161566</v>
      </c>
    </row>
    <row r="1163" customFormat="false" ht="15" hidden="false" customHeight="false" outlineLevel="0" collapsed="false">
      <c r="A1163" s="0" t="s">
        <v>2359</v>
      </c>
      <c r="B1163" s="0" t="s">
        <v>1014</v>
      </c>
      <c r="C1163" s="0" t="s">
        <v>482</v>
      </c>
      <c r="D1163" s="0" t="n">
        <v>0</v>
      </c>
      <c r="E1163" s="0" t="n">
        <v>0.003925318825</v>
      </c>
      <c r="F1163" s="0" t="n">
        <v>0.006744577096</v>
      </c>
      <c r="G1163" s="0" t="n">
        <v>0.005449096264</v>
      </c>
      <c r="H1163" s="0" t="n">
        <v>0.006342045156</v>
      </c>
    </row>
    <row r="1164" customFormat="false" ht="15" hidden="false" customHeight="false" outlineLevel="0" collapsed="false">
      <c r="A1164" s="0" t="s">
        <v>2360</v>
      </c>
      <c r="B1164" s="0" t="s">
        <v>1058</v>
      </c>
      <c r="C1164" s="0" t="s">
        <v>482</v>
      </c>
      <c r="D1164" s="0" t="n">
        <v>0</v>
      </c>
      <c r="E1164" s="0" t="n">
        <v>0.001200087875</v>
      </c>
      <c r="F1164" s="0" t="n">
        <v>0.001797587091</v>
      </c>
      <c r="G1164" s="0" t="n">
        <v>0.001432311184</v>
      </c>
      <c r="H1164" s="0" t="n">
        <v>0.001579182136</v>
      </c>
    </row>
    <row r="1165" customFormat="false" ht="15" hidden="false" customHeight="false" outlineLevel="0" collapsed="false">
      <c r="A1165" s="0" t="s">
        <v>2361</v>
      </c>
      <c r="B1165" s="0" t="s">
        <v>768</v>
      </c>
      <c r="C1165" s="0" t="s">
        <v>482</v>
      </c>
      <c r="D1165" s="0" t="n">
        <v>0</v>
      </c>
      <c r="E1165" s="0" t="n">
        <v>0.880826786</v>
      </c>
      <c r="F1165" s="0" t="n">
        <v>0.8035399746</v>
      </c>
      <c r="G1165" s="0" t="n">
        <v>0.3684394855</v>
      </c>
      <c r="H1165" s="0" t="n">
        <v>0.3665134017</v>
      </c>
    </row>
    <row r="1166" customFormat="false" ht="15" hidden="false" customHeight="false" outlineLevel="0" collapsed="false">
      <c r="A1166" s="0" t="s">
        <v>2362</v>
      </c>
      <c r="B1166" s="0" t="s">
        <v>818</v>
      </c>
      <c r="C1166" s="0" t="s">
        <v>482</v>
      </c>
      <c r="D1166" s="0" t="n">
        <v>0</v>
      </c>
      <c r="E1166" s="0" t="n">
        <v>0.1354114223</v>
      </c>
      <c r="F1166" s="0" t="n">
        <v>0.2487926419</v>
      </c>
      <c r="G1166" s="0" t="n">
        <v>0.194692054</v>
      </c>
      <c r="H1166" s="0" t="n">
        <v>0.2141523085</v>
      </c>
    </row>
    <row r="1167" customFormat="false" ht="15" hidden="false" customHeight="false" outlineLevel="0" collapsed="false">
      <c r="A1167" s="0" t="s">
        <v>2363</v>
      </c>
      <c r="B1167" s="0" t="s">
        <v>788</v>
      </c>
      <c r="C1167" s="0" t="s">
        <v>482</v>
      </c>
      <c r="D1167" s="0" t="n">
        <v>0</v>
      </c>
      <c r="E1167" s="0" t="n">
        <v>0.6444017731</v>
      </c>
      <c r="F1167" s="0" t="n">
        <v>1.053568647</v>
      </c>
      <c r="G1167" s="0" t="n">
        <v>0.8171040916</v>
      </c>
      <c r="H1167" s="0" t="n">
        <v>0.8916062605</v>
      </c>
    </row>
    <row r="1168" customFormat="false" ht="15" hidden="false" customHeight="false" outlineLevel="0" collapsed="false">
      <c r="A1168" s="0" t="s">
        <v>2364</v>
      </c>
      <c r="B1168" s="0" t="s">
        <v>824</v>
      </c>
      <c r="C1168" s="0" t="s">
        <v>482</v>
      </c>
      <c r="D1168" s="0" t="n">
        <v>0</v>
      </c>
      <c r="E1168" s="0" t="n">
        <v>0.4163025714</v>
      </c>
      <c r="F1168" s="0" t="n">
        <v>0.6247458278</v>
      </c>
      <c r="G1168" s="0" t="n">
        <v>0.5042239028</v>
      </c>
      <c r="H1168" s="0" t="n">
        <v>0.5531516217</v>
      </c>
    </row>
    <row r="1169" customFormat="false" ht="15" hidden="false" customHeight="false" outlineLevel="0" collapsed="false">
      <c r="A1169" s="0" t="s">
        <v>2365</v>
      </c>
      <c r="B1169" s="0" t="s">
        <v>764</v>
      </c>
      <c r="C1169" s="0" t="s">
        <v>482</v>
      </c>
      <c r="D1169" s="0" t="n">
        <v>0</v>
      </c>
      <c r="E1169" s="0" t="n">
        <v>0.8597681876</v>
      </c>
      <c r="F1169" s="0" t="n">
        <v>1.438379375</v>
      </c>
      <c r="G1169" s="0" t="n">
        <v>1.211127024</v>
      </c>
      <c r="H1169" s="0" t="n">
        <v>1.414053752</v>
      </c>
    </row>
    <row r="1170" customFormat="false" ht="15" hidden="false" customHeight="false" outlineLevel="0" collapsed="false">
      <c r="A1170" s="0" t="s">
        <v>2366</v>
      </c>
      <c r="B1170" s="0" t="s">
        <v>722</v>
      </c>
      <c r="C1170" s="0" t="s">
        <v>482</v>
      </c>
      <c r="D1170" s="0" t="n">
        <v>0</v>
      </c>
      <c r="E1170" s="0" t="n">
        <v>5.582070605</v>
      </c>
      <c r="F1170" s="0" t="n">
        <v>5.165948081</v>
      </c>
      <c r="G1170" s="0" t="n">
        <v>2.363452544</v>
      </c>
      <c r="H1170" s="0" t="n">
        <v>2.346805807</v>
      </c>
    </row>
    <row r="1171" customFormat="false" ht="15" hidden="false" customHeight="false" outlineLevel="0" collapsed="false">
      <c r="A1171" s="0" t="s">
        <v>2367</v>
      </c>
      <c r="B1171" s="0" t="s">
        <v>902</v>
      </c>
      <c r="C1171" s="0" t="s">
        <v>482</v>
      </c>
      <c r="D1171" s="0" t="n">
        <v>0</v>
      </c>
      <c r="E1171" s="0" t="n">
        <v>0.1310548317</v>
      </c>
      <c r="F1171" s="0" t="n">
        <v>0.1263891725</v>
      </c>
      <c r="G1171" s="0" t="n">
        <v>0.05840142339</v>
      </c>
      <c r="H1171" s="0" t="n">
        <v>0.05804259873</v>
      </c>
    </row>
    <row r="1172" customFormat="false" ht="15" hidden="false" customHeight="false" outlineLevel="0" collapsed="false">
      <c r="A1172" s="0" t="s">
        <v>2368</v>
      </c>
      <c r="B1172" s="0" t="s">
        <v>802</v>
      </c>
      <c r="C1172" s="0" t="s">
        <v>482</v>
      </c>
      <c r="D1172" s="0" t="n">
        <v>0</v>
      </c>
      <c r="E1172" s="0" t="n">
        <v>0.2207036099</v>
      </c>
      <c r="F1172" s="0" t="n">
        <v>0.4004694583</v>
      </c>
      <c r="G1172" s="0" t="n">
        <v>0.3193078001</v>
      </c>
      <c r="H1172" s="0" t="n">
        <v>0.3822949898</v>
      </c>
    </row>
    <row r="1173" customFormat="false" ht="15" hidden="false" customHeight="false" outlineLevel="0" collapsed="false">
      <c r="A1173" s="0" t="s">
        <v>2369</v>
      </c>
      <c r="B1173" s="0" t="s">
        <v>794</v>
      </c>
      <c r="C1173" s="0" t="s">
        <v>482</v>
      </c>
      <c r="D1173" s="0" t="n">
        <v>0</v>
      </c>
      <c r="E1173" s="0" t="n">
        <v>0.7185140932</v>
      </c>
      <c r="F1173" s="0" t="n">
        <v>0.6863662013</v>
      </c>
      <c r="G1173" s="0" t="n">
        <v>0.3152178845</v>
      </c>
      <c r="H1173" s="0" t="n">
        <v>0.3137924566</v>
      </c>
    </row>
    <row r="1174" customFormat="false" ht="15" hidden="false" customHeight="false" outlineLevel="0" collapsed="false">
      <c r="A1174" s="0" t="s">
        <v>2370</v>
      </c>
      <c r="B1174" s="0" t="s">
        <v>1006</v>
      </c>
      <c r="C1174" s="0" t="s">
        <v>482</v>
      </c>
      <c r="D1174" s="0" t="n">
        <v>0</v>
      </c>
      <c r="E1174" s="0" t="n">
        <v>0.01083265593</v>
      </c>
      <c r="F1174" s="0" t="n">
        <v>0.01672905783</v>
      </c>
      <c r="G1174" s="0" t="n">
        <v>0.01353802322</v>
      </c>
      <c r="H1174" s="0" t="n">
        <v>0.01485629662</v>
      </c>
    </row>
    <row r="1175" customFormat="false" ht="15" hidden="false" customHeight="false" outlineLevel="0" collapsed="false">
      <c r="A1175" s="0" t="s">
        <v>2371</v>
      </c>
      <c r="B1175" s="0" t="s">
        <v>706</v>
      </c>
      <c r="C1175" s="0" t="s">
        <v>482</v>
      </c>
      <c r="D1175" s="0" t="n">
        <v>0</v>
      </c>
      <c r="E1175" s="0" t="n">
        <v>6.949628384</v>
      </c>
      <c r="F1175" s="0" t="n">
        <v>6.600165013</v>
      </c>
      <c r="G1175" s="0" t="n">
        <v>3.013745577</v>
      </c>
      <c r="H1175" s="0" t="n">
        <v>2.993347316</v>
      </c>
    </row>
    <row r="1176" customFormat="false" ht="15" hidden="false" customHeight="false" outlineLevel="0" collapsed="false">
      <c r="A1176" s="0" t="s">
        <v>2372</v>
      </c>
      <c r="B1176" s="0" t="s">
        <v>950</v>
      </c>
      <c r="C1176" s="0" t="s">
        <v>482</v>
      </c>
      <c r="D1176" s="0" t="n">
        <v>0</v>
      </c>
      <c r="E1176" s="0" t="n">
        <v>0.00310483503</v>
      </c>
      <c r="F1176" s="0" t="n">
        <v>0.005136932025</v>
      </c>
      <c r="G1176" s="0" t="n">
        <v>0.004165167737</v>
      </c>
      <c r="H1176" s="0" t="n">
        <v>0.004609624252</v>
      </c>
    </row>
    <row r="1177" customFormat="false" ht="15" hidden="false" customHeight="false" outlineLevel="0" collapsed="false">
      <c r="A1177" s="0" t="s">
        <v>2373</v>
      </c>
      <c r="B1177" s="0" t="s">
        <v>704</v>
      </c>
      <c r="C1177" s="0" t="s">
        <v>482</v>
      </c>
      <c r="D1177" s="0" t="n">
        <v>0</v>
      </c>
      <c r="E1177" s="0" t="n">
        <v>7.238295708</v>
      </c>
      <c r="F1177" s="0" t="n">
        <v>6.866361405</v>
      </c>
      <c r="G1177" s="0" t="n">
        <v>3.135563765</v>
      </c>
      <c r="H1177" s="0" t="n">
        <v>3.119104264</v>
      </c>
    </row>
    <row r="1178" customFormat="false" ht="15" hidden="false" customHeight="false" outlineLevel="0" collapsed="false">
      <c r="A1178" s="0" t="s">
        <v>2374</v>
      </c>
      <c r="B1178" s="0" t="s">
        <v>900</v>
      </c>
      <c r="C1178" s="0" t="s">
        <v>482</v>
      </c>
      <c r="D1178" s="0" t="n">
        <v>0</v>
      </c>
      <c r="E1178" s="0" t="n">
        <v>0.07980170809</v>
      </c>
      <c r="F1178" s="0" t="n">
        <v>0.1218826543</v>
      </c>
      <c r="G1178" s="0" t="n">
        <v>0.1005530085</v>
      </c>
      <c r="H1178" s="0" t="n">
        <v>0.1178500886</v>
      </c>
    </row>
    <row r="1179" customFormat="false" ht="15" hidden="false" customHeight="false" outlineLevel="0" collapsed="false">
      <c r="A1179" s="0" t="s">
        <v>2375</v>
      </c>
      <c r="B1179" s="0" t="s">
        <v>844</v>
      </c>
      <c r="C1179" s="0" t="s">
        <v>482</v>
      </c>
      <c r="D1179" s="0" t="n">
        <v>0</v>
      </c>
      <c r="E1179" s="0" t="n">
        <v>0.2092915286</v>
      </c>
      <c r="F1179" s="0" t="n">
        <v>0.3322579822</v>
      </c>
      <c r="G1179" s="0" t="n">
        <v>0.277071111</v>
      </c>
      <c r="H1179" s="0" t="n">
        <v>0.3242109256</v>
      </c>
    </row>
    <row r="1180" customFormat="false" ht="15" hidden="false" customHeight="false" outlineLevel="0" collapsed="false">
      <c r="A1180" s="0" t="s">
        <v>2376</v>
      </c>
      <c r="B1180" s="0" t="s">
        <v>914</v>
      </c>
      <c r="C1180" s="0" t="s">
        <v>482</v>
      </c>
      <c r="D1180" s="0" t="n">
        <v>0</v>
      </c>
      <c r="E1180" s="0" t="n">
        <v>0.05915588521</v>
      </c>
      <c r="F1180" s="0" t="n">
        <v>0.1184715734</v>
      </c>
      <c r="G1180" s="0" t="n">
        <v>0.09655038763</v>
      </c>
      <c r="H1180" s="0" t="n">
        <v>0.1173575268</v>
      </c>
    </row>
    <row r="1181" customFormat="false" ht="15" hidden="false" customHeight="false" outlineLevel="0" collapsed="false">
      <c r="A1181" s="0" t="s">
        <v>2377</v>
      </c>
      <c r="B1181" s="0" t="s">
        <v>1028</v>
      </c>
      <c r="C1181" s="0" t="s">
        <v>482</v>
      </c>
      <c r="D1181" s="0" t="n">
        <v>0</v>
      </c>
      <c r="E1181" s="0" t="n">
        <v>0.001648793475</v>
      </c>
      <c r="F1181" s="0" t="n">
        <v>0.002728800313</v>
      </c>
      <c r="G1181" s="0" t="n">
        <v>0.002405603616</v>
      </c>
      <c r="H1181" s="0" t="n">
        <v>0.002963632598</v>
      </c>
    </row>
    <row r="1182" customFormat="false" ht="15" hidden="false" customHeight="false" outlineLevel="0" collapsed="false">
      <c r="A1182" s="0" t="s">
        <v>2378</v>
      </c>
      <c r="B1182" s="0" t="s">
        <v>1030</v>
      </c>
      <c r="C1182" s="0" t="s">
        <v>482</v>
      </c>
      <c r="D1182" s="0" t="n">
        <v>0</v>
      </c>
      <c r="E1182" s="0" t="n">
        <v>0.001863585079</v>
      </c>
      <c r="F1182" s="0" t="n">
        <v>0.003104918999</v>
      </c>
      <c r="G1182" s="0" t="n">
        <v>0.002709016528</v>
      </c>
      <c r="H1182" s="0" t="n">
        <v>0.003288276433</v>
      </c>
    </row>
    <row r="1183" customFormat="false" ht="15" hidden="false" customHeight="false" outlineLevel="0" collapsed="false">
      <c r="A1183" s="0" t="s">
        <v>2379</v>
      </c>
      <c r="B1183" s="0" t="s">
        <v>994</v>
      </c>
      <c r="C1183" s="0" t="s">
        <v>482</v>
      </c>
      <c r="D1183" s="0" t="n">
        <v>0</v>
      </c>
      <c r="E1183" s="0" t="n">
        <v>0.006097432889</v>
      </c>
      <c r="F1183" s="0" t="n">
        <v>0.008507994129</v>
      </c>
      <c r="G1183" s="0" t="n">
        <v>0.006695101664</v>
      </c>
      <c r="H1183" s="0" t="n">
        <v>0.007349218782</v>
      </c>
    </row>
    <row r="1184" customFormat="false" ht="15" hidden="false" customHeight="false" outlineLevel="0" collapsed="false">
      <c r="A1184" s="0" t="s">
        <v>2380</v>
      </c>
      <c r="B1184" s="0" t="s">
        <v>798</v>
      </c>
      <c r="C1184" s="0" t="s">
        <v>482</v>
      </c>
      <c r="D1184" s="0" t="n">
        <v>0</v>
      </c>
      <c r="E1184" s="0" t="n">
        <v>0.9974827043</v>
      </c>
      <c r="F1184" s="0" t="n">
        <v>0.947694012</v>
      </c>
      <c r="G1184" s="0" t="n">
        <v>0.4371260126</v>
      </c>
      <c r="H1184" s="0" t="n">
        <v>0.4355617529</v>
      </c>
    </row>
    <row r="1185" customFormat="false" ht="15" hidden="false" customHeight="false" outlineLevel="0" collapsed="false">
      <c r="A1185" s="0" t="s">
        <v>2381</v>
      </c>
      <c r="B1185" s="0" t="s">
        <v>1046</v>
      </c>
      <c r="C1185" s="0" t="s">
        <v>482</v>
      </c>
      <c r="D1185" s="0" t="n">
        <v>0</v>
      </c>
      <c r="E1185" s="0" t="n">
        <v>0.002704281428</v>
      </c>
      <c r="F1185" s="0" t="n">
        <v>0.004077538361</v>
      </c>
      <c r="G1185" s="0" t="n">
        <v>0.003258978371</v>
      </c>
      <c r="H1185" s="0" t="n">
        <v>0.00360168916</v>
      </c>
    </row>
    <row r="1186" customFormat="false" ht="15" hidden="false" customHeight="false" outlineLevel="0" collapsed="false">
      <c r="A1186" s="0" t="s">
        <v>2382</v>
      </c>
      <c r="B1186" s="0" t="s">
        <v>826</v>
      </c>
      <c r="C1186" s="0" t="s">
        <v>482</v>
      </c>
      <c r="D1186" s="0" t="n">
        <v>0</v>
      </c>
      <c r="E1186" s="0" t="n">
        <v>0.2414027069</v>
      </c>
      <c r="F1186" s="0" t="n">
        <v>0.3938932862</v>
      </c>
      <c r="G1186" s="0" t="n">
        <v>0.3066634516</v>
      </c>
      <c r="H1186" s="0" t="n">
        <v>0.3375200802</v>
      </c>
    </row>
    <row r="1187" customFormat="false" ht="15" hidden="false" customHeight="false" outlineLevel="0" collapsed="false">
      <c r="A1187" s="0" t="s">
        <v>2383</v>
      </c>
      <c r="B1187" s="0" t="s">
        <v>890</v>
      </c>
      <c r="C1187" s="0" t="s">
        <v>482</v>
      </c>
      <c r="D1187" s="0" t="n">
        <v>0</v>
      </c>
      <c r="E1187" s="0" t="n">
        <v>0.04233113617</v>
      </c>
      <c r="F1187" s="0" t="n">
        <v>0.0789381553</v>
      </c>
      <c r="G1187" s="0" t="n">
        <v>0.05152157303</v>
      </c>
      <c r="H1187" s="0" t="n">
        <v>0.05687576566</v>
      </c>
    </row>
    <row r="1188" customFormat="false" ht="15" hidden="false" customHeight="false" outlineLevel="0" collapsed="false">
      <c r="A1188" s="0" t="s">
        <v>2384</v>
      </c>
      <c r="B1188" s="0" t="s">
        <v>770</v>
      </c>
      <c r="C1188" s="0" t="s">
        <v>482</v>
      </c>
      <c r="D1188" s="0" t="n">
        <v>0</v>
      </c>
      <c r="E1188" s="0" t="n">
        <v>0.5231324009</v>
      </c>
      <c r="F1188" s="0" t="n">
        <v>0.4739265228</v>
      </c>
      <c r="G1188" s="0" t="n">
        <v>0.2145656499</v>
      </c>
      <c r="H1188" s="0" t="n">
        <v>0.2131979612</v>
      </c>
    </row>
    <row r="1189" customFormat="false" ht="15" hidden="false" customHeight="false" outlineLevel="0" collapsed="false">
      <c r="A1189" s="0" t="s">
        <v>2385</v>
      </c>
      <c r="B1189" s="0" t="s">
        <v>904</v>
      </c>
      <c r="C1189" s="0" t="s">
        <v>482</v>
      </c>
      <c r="D1189" s="0" t="n">
        <v>0</v>
      </c>
      <c r="E1189" s="0" t="n">
        <v>0.1085234195</v>
      </c>
      <c r="F1189" s="0" t="n">
        <v>0.1773384999</v>
      </c>
      <c r="G1189" s="0" t="n">
        <v>0.1532660924</v>
      </c>
      <c r="H1189" s="0" t="n">
        <v>0.1794117552</v>
      </c>
    </row>
    <row r="1190" customFormat="false" ht="15" hidden="false" customHeight="false" outlineLevel="0" collapsed="false">
      <c r="A1190" s="0" t="s">
        <v>2386</v>
      </c>
      <c r="B1190" s="0" t="s">
        <v>846</v>
      </c>
      <c r="C1190" s="0" t="s">
        <v>482</v>
      </c>
      <c r="D1190" s="0" t="n">
        <v>0</v>
      </c>
      <c r="E1190" s="0" t="n">
        <v>0.3462780809</v>
      </c>
      <c r="F1190" s="0" t="n">
        <v>0.3257821176</v>
      </c>
      <c r="G1190" s="0" t="n">
        <v>0.1465545026</v>
      </c>
      <c r="H1190" s="0" t="n">
        <v>0.145566441</v>
      </c>
    </row>
    <row r="1191" customFormat="false" ht="15" hidden="false" customHeight="false" outlineLevel="0" collapsed="false">
      <c r="A1191" s="0" t="s">
        <v>2387</v>
      </c>
      <c r="B1191" s="0" t="s">
        <v>956</v>
      </c>
      <c r="C1191" s="0" t="s">
        <v>482</v>
      </c>
      <c r="D1191" s="0" t="n">
        <v>0</v>
      </c>
      <c r="E1191" s="0" t="n">
        <v>0.03046512252</v>
      </c>
      <c r="F1191" s="0" t="n">
        <v>0.04402325589</v>
      </c>
      <c r="G1191" s="0" t="n">
        <v>0.04146671489</v>
      </c>
      <c r="H1191" s="0" t="n">
        <v>0.04999862286</v>
      </c>
    </row>
    <row r="1192" customFormat="false" ht="15" hidden="false" customHeight="false" outlineLevel="0" collapsed="false">
      <c r="A1192" s="0" t="s">
        <v>2388</v>
      </c>
      <c r="B1192" s="0" t="s">
        <v>800</v>
      </c>
      <c r="C1192" s="0" t="s">
        <v>482</v>
      </c>
      <c r="D1192" s="0" t="n">
        <v>0</v>
      </c>
      <c r="E1192" s="0" t="n">
        <v>0.2582331916</v>
      </c>
      <c r="F1192" s="0" t="n">
        <v>0.4042700614</v>
      </c>
      <c r="G1192" s="0" t="n">
        <v>0.2920937322</v>
      </c>
      <c r="H1192" s="0" t="n">
        <v>0.290537369</v>
      </c>
    </row>
    <row r="1193" customFormat="false" ht="15" hidden="false" customHeight="false" outlineLevel="0" collapsed="false">
      <c r="A1193" s="0" t="s">
        <v>2389</v>
      </c>
      <c r="B1193" s="0" t="s">
        <v>724</v>
      </c>
      <c r="C1193" s="0" t="s">
        <v>482</v>
      </c>
      <c r="D1193" s="0" t="n">
        <v>0</v>
      </c>
      <c r="E1193" s="0" t="n">
        <v>3.144109235</v>
      </c>
      <c r="F1193" s="0" t="n">
        <v>5.317433139</v>
      </c>
      <c r="G1193" s="0" t="n">
        <v>4.432920453</v>
      </c>
      <c r="H1193" s="0" t="n">
        <v>5.209658066</v>
      </c>
    </row>
    <row r="1194" customFormat="false" ht="15" hidden="false" customHeight="false" outlineLevel="0" collapsed="false">
      <c r="A1194" s="0" t="s">
        <v>2390</v>
      </c>
      <c r="B1194" s="0" t="s">
        <v>36</v>
      </c>
      <c r="C1194" s="0" t="s">
        <v>482</v>
      </c>
      <c r="D1194" s="0" t="n">
        <v>0</v>
      </c>
      <c r="E1194" s="0" t="n">
        <v>6.835236915</v>
      </c>
      <c r="F1194" s="0" t="n">
        <v>11.16635973</v>
      </c>
      <c r="G1194" s="0" t="n">
        <v>8.937818583</v>
      </c>
      <c r="H1194" s="0" t="n">
        <v>10.4022603</v>
      </c>
    </row>
    <row r="1195" customFormat="false" ht="15" hidden="false" customHeight="false" outlineLevel="0" collapsed="false">
      <c r="A1195" s="0" t="s">
        <v>2391</v>
      </c>
      <c r="B1195" s="0" t="s">
        <v>738</v>
      </c>
      <c r="C1195" s="0" t="s">
        <v>482</v>
      </c>
      <c r="D1195" s="0" t="n">
        <v>0</v>
      </c>
      <c r="E1195" s="0" t="n">
        <v>1.411776947</v>
      </c>
      <c r="F1195" s="0" t="n">
        <v>0.8492018682</v>
      </c>
      <c r="G1195" s="0" t="n">
        <v>0.3835397986</v>
      </c>
      <c r="H1195" s="0" t="n">
        <v>0.3806861196</v>
      </c>
    </row>
    <row r="1196" customFormat="false" ht="15" hidden="false" customHeight="false" outlineLevel="0" collapsed="false">
      <c r="A1196" s="0" t="s">
        <v>2392</v>
      </c>
      <c r="B1196" s="0" t="s">
        <v>790</v>
      </c>
      <c r="C1196" s="0" t="s">
        <v>482</v>
      </c>
      <c r="D1196" s="0" t="n">
        <v>0</v>
      </c>
      <c r="E1196" s="0" t="n">
        <v>1.695150049</v>
      </c>
      <c r="F1196" s="0" t="n">
        <v>2.140275508</v>
      </c>
      <c r="G1196" s="0" t="n">
        <v>1.573207321</v>
      </c>
      <c r="H1196" s="0" t="n">
        <v>1.731383118</v>
      </c>
    </row>
    <row r="1197" customFormat="false" ht="15" hidden="false" customHeight="false" outlineLevel="0" collapsed="false">
      <c r="A1197" s="0" t="s">
        <v>2393</v>
      </c>
      <c r="B1197" s="0" t="s">
        <v>806</v>
      </c>
      <c r="C1197" s="0" t="s">
        <v>482</v>
      </c>
      <c r="D1197" s="0" t="n">
        <v>0</v>
      </c>
      <c r="E1197" s="0" t="n">
        <v>0.734690196</v>
      </c>
      <c r="F1197" s="0" t="n">
        <v>0.9082359406</v>
      </c>
      <c r="G1197" s="0" t="n">
        <v>0.6577430259</v>
      </c>
      <c r="H1197" s="0" t="n">
        <v>0.7240055926</v>
      </c>
    </row>
    <row r="1198" customFormat="false" ht="15" hidden="false" customHeight="false" outlineLevel="0" collapsed="false">
      <c r="A1198" s="0" t="s">
        <v>2394</v>
      </c>
      <c r="B1198" s="0" t="s">
        <v>916</v>
      </c>
      <c r="C1198" s="0" t="s">
        <v>482</v>
      </c>
      <c r="D1198" s="0" t="n">
        <v>0</v>
      </c>
      <c r="E1198" s="0" t="n">
        <v>0.0680853021</v>
      </c>
      <c r="F1198" s="0" t="n">
        <v>0.06751663561</v>
      </c>
      <c r="G1198" s="0" t="n">
        <v>0.03105631632</v>
      </c>
      <c r="H1198" s="0" t="n">
        <v>0.03089208226</v>
      </c>
    </row>
    <row r="1199" customFormat="false" ht="15" hidden="false" customHeight="false" outlineLevel="0" collapsed="false">
      <c r="A1199" s="0" t="s">
        <v>2395</v>
      </c>
      <c r="B1199" s="0" t="s">
        <v>750</v>
      </c>
      <c r="C1199" s="0" t="s">
        <v>482</v>
      </c>
      <c r="D1199" s="0" t="n">
        <v>0</v>
      </c>
      <c r="E1199" s="0" t="n">
        <v>1.597846702</v>
      </c>
      <c r="F1199" s="0" t="n">
        <v>1.638331696</v>
      </c>
      <c r="G1199" s="0" t="n">
        <v>0.7160705438</v>
      </c>
      <c r="H1199" s="0" t="n">
        <v>0.7148705167</v>
      </c>
    </row>
    <row r="1200" customFormat="false" ht="15" hidden="false" customHeight="false" outlineLevel="0" collapsed="false">
      <c r="A1200" s="0" t="s">
        <v>2396</v>
      </c>
      <c r="B1200" s="0" t="s">
        <v>712</v>
      </c>
      <c r="C1200" s="0" t="s">
        <v>482</v>
      </c>
      <c r="D1200" s="0" t="n">
        <v>0</v>
      </c>
      <c r="E1200" s="0" t="n">
        <v>5.663900255</v>
      </c>
      <c r="F1200" s="0" t="n">
        <v>5.331940065</v>
      </c>
      <c r="G1200" s="0" t="n">
        <v>2.419449821</v>
      </c>
      <c r="H1200" s="0" t="n">
        <v>2.404303242</v>
      </c>
    </row>
    <row r="1201" customFormat="false" ht="15" hidden="false" customHeight="false" outlineLevel="0" collapsed="false">
      <c r="A1201" s="0" t="s">
        <v>2397</v>
      </c>
      <c r="B1201" s="0" t="s">
        <v>964</v>
      </c>
      <c r="C1201" s="0" t="s">
        <v>482</v>
      </c>
      <c r="D1201" s="0" t="n">
        <v>0</v>
      </c>
      <c r="E1201" s="0" t="n">
        <v>0.05123441204</v>
      </c>
      <c r="F1201" s="0" t="n">
        <v>0.07463457916</v>
      </c>
      <c r="G1201" s="0" t="n">
        <v>0.06092400539</v>
      </c>
      <c r="H1201" s="0" t="n">
        <v>0.0670737916</v>
      </c>
    </row>
    <row r="1202" customFormat="false" ht="15" hidden="false" customHeight="false" outlineLevel="0" collapsed="false">
      <c r="A1202" s="0" t="s">
        <v>2398</v>
      </c>
      <c r="B1202" s="0" t="s">
        <v>876</v>
      </c>
      <c r="C1202" s="0" t="s">
        <v>482</v>
      </c>
      <c r="D1202" s="0" t="n">
        <v>0</v>
      </c>
      <c r="E1202" s="0" t="n">
        <v>0.1686185471</v>
      </c>
      <c r="F1202" s="0" t="n">
        <v>0.2765258343</v>
      </c>
      <c r="G1202" s="0" t="n">
        <v>0.2223028913</v>
      </c>
      <c r="H1202" s="0" t="n">
        <v>0.2445764807</v>
      </c>
    </row>
    <row r="1203" customFormat="false" ht="15" hidden="false" customHeight="false" outlineLevel="0" collapsed="false">
      <c r="A1203" s="0" t="s">
        <v>2399</v>
      </c>
      <c r="B1203" s="0" t="s">
        <v>702</v>
      </c>
      <c r="C1203" s="0" t="s">
        <v>482</v>
      </c>
      <c r="D1203" s="0" t="n">
        <v>0</v>
      </c>
      <c r="E1203" s="0" t="n">
        <v>10.2260185</v>
      </c>
      <c r="F1203" s="0" t="n">
        <v>9.691561102</v>
      </c>
      <c r="G1203" s="0" t="n">
        <v>4.434295008</v>
      </c>
      <c r="H1203" s="0" t="n">
        <v>4.429625218</v>
      </c>
    </row>
    <row r="1204" customFormat="false" ht="15" hidden="false" customHeight="false" outlineLevel="0" collapsed="false">
      <c r="A1204" s="0" t="s">
        <v>2400</v>
      </c>
      <c r="B1204" s="0" t="s">
        <v>780</v>
      </c>
      <c r="C1204" s="0" t="s">
        <v>482</v>
      </c>
      <c r="D1204" s="0" t="n">
        <v>0</v>
      </c>
      <c r="E1204" s="0" t="n">
        <v>0.5095776069</v>
      </c>
      <c r="F1204" s="0" t="n">
        <v>0.763254726</v>
      </c>
      <c r="G1204" s="0" t="n">
        <v>0.586627844</v>
      </c>
      <c r="H1204" s="0" t="n">
        <v>0.6483507348</v>
      </c>
    </row>
    <row r="1205" customFormat="false" ht="15" hidden="false" customHeight="false" outlineLevel="0" collapsed="false">
      <c r="A1205" s="0" t="s">
        <v>2401</v>
      </c>
      <c r="B1205" s="0" t="s">
        <v>814</v>
      </c>
      <c r="C1205" s="0" t="s">
        <v>482</v>
      </c>
      <c r="D1205" s="0" t="n">
        <v>0</v>
      </c>
      <c r="E1205" s="0" t="n">
        <v>0.206385419</v>
      </c>
      <c r="F1205" s="0" t="n">
        <v>0.3410799815</v>
      </c>
      <c r="G1205" s="0" t="n">
        <v>0.285744094</v>
      </c>
      <c r="H1205" s="0" t="n">
        <v>0.3337708991</v>
      </c>
    </row>
    <row r="1206" customFormat="false" ht="15" hidden="false" customHeight="false" outlineLevel="0" collapsed="false">
      <c r="A1206" s="0" t="s">
        <v>2402</v>
      </c>
      <c r="B1206" s="0" t="s">
        <v>946</v>
      </c>
      <c r="C1206" s="0" t="s">
        <v>482</v>
      </c>
      <c r="D1206" s="0" t="n">
        <v>0</v>
      </c>
      <c r="E1206" s="0" t="n">
        <v>0.04477540219</v>
      </c>
      <c r="F1206" s="0" t="n">
        <v>0.06133036941</v>
      </c>
      <c r="G1206" s="0" t="n">
        <v>0.04944074786</v>
      </c>
      <c r="H1206" s="0" t="n">
        <v>0.05749749955</v>
      </c>
    </row>
    <row r="1207" customFormat="false" ht="15" hidden="false" customHeight="false" outlineLevel="0" collapsed="false">
      <c r="A1207" s="0" t="s">
        <v>2403</v>
      </c>
      <c r="B1207" s="0" t="s">
        <v>886</v>
      </c>
      <c r="C1207" s="0" t="s">
        <v>482</v>
      </c>
      <c r="D1207" s="0" t="n">
        <v>0</v>
      </c>
      <c r="E1207" s="0" t="n">
        <v>0.1410241143</v>
      </c>
      <c r="F1207" s="0" t="n">
        <v>0.2236961435</v>
      </c>
      <c r="G1207" s="0" t="n">
        <v>0.1885857458</v>
      </c>
      <c r="H1207" s="0" t="n">
        <v>0.2192983575</v>
      </c>
    </row>
    <row r="1208" customFormat="false" ht="15" hidden="false" customHeight="false" outlineLevel="0" collapsed="false">
      <c r="A1208" s="0" t="s">
        <v>2404</v>
      </c>
      <c r="B1208" s="0" t="s">
        <v>1054</v>
      </c>
      <c r="C1208" s="0" t="s">
        <v>482</v>
      </c>
      <c r="D1208" s="0" t="n">
        <v>0</v>
      </c>
      <c r="E1208" s="0" t="n">
        <v>0.00375912952</v>
      </c>
      <c r="F1208" s="0" t="n">
        <v>0.006071169711</v>
      </c>
      <c r="G1208" s="0" t="n">
        <v>0.004332112701</v>
      </c>
      <c r="H1208" s="0" t="n">
        <v>0.004311730252</v>
      </c>
    </row>
    <row r="1209" customFormat="false" ht="15" hidden="false" customHeight="false" outlineLevel="0" collapsed="false">
      <c r="A1209" s="0" t="s">
        <v>2405</v>
      </c>
      <c r="B1209" s="0" t="s">
        <v>716</v>
      </c>
      <c r="C1209" s="0" t="s">
        <v>482</v>
      </c>
      <c r="D1209" s="0" t="n">
        <v>0</v>
      </c>
      <c r="E1209" s="0" t="n">
        <v>6.287092777</v>
      </c>
      <c r="F1209" s="0" t="n">
        <v>6.22781004</v>
      </c>
      <c r="G1209" s="0" t="n">
        <v>2.867476574</v>
      </c>
      <c r="H1209" s="0" t="n">
        <v>2.855313058</v>
      </c>
    </row>
    <row r="1210" customFormat="false" ht="15" hidden="false" customHeight="false" outlineLevel="0" collapsed="false">
      <c r="A1210" s="0" t="s">
        <v>2406</v>
      </c>
      <c r="B1210" s="0" t="s">
        <v>812</v>
      </c>
      <c r="C1210" s="0" t="s">
        <v>482</v>
      </c>
      <c r="D1210" s="0" t="n">
        <v>0</v>
      </c>
      <c r="E1210" s="0" t="n">
        <v>0.4585653481</v>
      </c>
      <c r="F1210" s="0" t="n">
        <v>0.5856795034</v>
      </c>
      <c r="G1210" s="0" t="n">
        <v>0.4066483039</v>
      </c>
      <c r="H1210" s="0" t="n">
        <v>0.4064615621</v>
      </c>
    </row>
    <row r="1211" customFormat="false" ht="15" hidden="false" customHeight="false" outlineLevel="0" collapsed="false">
      <c r="A1211" s="0" t="s">
        <v>2407</v>
      </c>
      <c r="B1211" s="0" t="s">
        <v>972</v>
      </c>
      <c r="C1211" s="0" t="s">
        <v>482</v>
      </c>
      <c r="D1211" s="0" t="n">
        <v>0</v>
      </c>
      <c r="E1211" s="0" t="n">
        <v>0.03133944579</v>
      </c>
      <c r="F1211" s="0" t="n">
        <v>0.0502661164</v>
      </c>
      <c r="G1211" s="0" t="n">
        <v>0.04214707516</v>
      </c>
      <c r="H1211" s="0" t="n">
        <v>0.04873069427</v>
      </c>
    </row>
    <row r="1212" customFormat="false" ht="15" hidden="false" customHeight="false" outlineLevel="0" collapsed="false">
      <c r="A1212" s="0" t="s">
        <v>2408</v>
      </c>
      <c r="B1212" s="0" t="s">
        <v>922</v>
      </c>
      <c r="C1212" s="0" t="s">
        <v>482</v>
      </c>
      <c r="D1212" s="0" t="n">
        <v>0</v>
      </c>
      <c r="E1212" s="0" t="n">
        <v>0.1932006944</v>
      </c>
      <c r="F1212" s="0" t="n">
        <v>0.2965059526</v>
      </c>
      <c r="G1212" s="0" t="n">
        <v>0.23829101</v>
      </c>
      <c r="H1212" s="0" t="n">
        <v>0.2639523195</v>
      </c>
    </row>
    <row r="1213" customFormat="false" ht="15" hidden="false" customHeight="false" outlineLevel="0" collapsed="false">
      <c r="A1213" s="0" t="s">
        <v>2409</v>
      </c>
      <c r="B1213" s="0" t="s">
        <v>1008</v>
      </c>
      <c r="C1213" s="0" t="s">
        <v>482</v>
      </c>
      <c r="D1213" s="0" t="n">
        <v>0</v>
      </c>
      <c r="E1213" s="0" t="n">
        <v>0.008944020855</v>
      </c>
      <c r="F1213" s="0" t="n">
        <v>0.01543602699</v>
      </c>
      <c r="G1213" s="0" t="n">
        <v>0.01340597436</v>
      </c>
      <c r="H1213" s="0" t="n">
        <v>0.01627274312</v>
      </c>
    </row>
    <row r="1214" customFormat="false" ht="15" hidden="false" customHeight="false" outlineLevel="0" collapsed="false">
      <c r="A1214" s="0" t="s">
        <v>2410</v>
      </c>
      <c r="B1214" s="0" t="s">
        <v>874</v>
      </c>
      <c r="C1214" s="0" t="s">
        <v>482</v>
      </c>
      <c r="D1214" s="0" t="n">
        <v>0</v>
      </c>
      <c r="E1214" s="0" t="n">
        <v>0.7033137789</v>
      </c>
      <c r="F1214" s="0" t="n">
        <v>0.8337210729</v>
      </c>
      <c r="G1214" s="0" t="n">
        <v>0.6133341153</v>
      </c>
      <c r="H1214" s="0" t="n">
        <v>0.6797395391</v>
      </c>
    </row>
    <row r="1215" customFormat="false" ht="15" hidden="false" customHeight="false" outlineLevel="0" collapsed="false">
      <c r="A1215" s="0" t="s">
        <v>2411</v>
      </c>
      <c r="B1215" s="0" t="s">
        <v>1032</v>
      </c>
      <c r="C1215" s="0" t="s">
        <v>482</v>
      </c>
      <c r="D1215" s="0" t="n">
        <v>0</v>
      </c>
      <c r="E1215" s="0" t="n">
        <v>0.004369222767</v>
      </c>
      <c r="F1215" s="0" t="n">
        <v>0.007271448158</v>
      </c>
      <c r="G1215" s="0" t="n">
        <v>0.005993008086</v>
      </c>
      <c r="H1215" s="0" t="n">
        <v>0.00660120678</v>
      </c>
    </row>
    <row r="1216" customFormat="false" ht="15" hidden="false" customHeight="false" outlineLevel="0" collapsed="false">
      <c r="A1216" s="0" t="s">
        <v>2412</v>
      </c>
      <c r="B1216" s="0" t="s">
        <v>840</v>
      </c>
      <c r="C1216" s="0" t="s">
        <v>482</v>
      </c>
      <c r="D1216" s="0" t="n">
        <v>0</v>
      </c>
      <c r="E1216" s="0" t="n">
        <v>0.1474240416</v>
      </c>
      <c r="F1216" s="0" t="n">
        <v>0.2463866195</v>
      </c>
      <c r="G1216" s="0" t="n">
        <v>0.2139491501</v>
      </c>
      <c r="H1216" s="0" t="n">
        <v>0.2496748673</v>
      </c>
    </row>
    <row r="1217" customFormat="false" ht="15" hidden="false" customHeight="false" outlineLevel="0" collapsed="false">
      <c r="A1217" s="0" t="s">
        <v>2413</v>
      </c>
      <c r="B1217" s="0" t="s">
        <v>1034</v>
      </c>
      <c r="C1217" s="0" t="s">
        <v>482</v>
      </c>
      <c r="D1217" s="0" t="n">
        <v>0</v>
      </c>
      <c r="E1217" s="0" t="n">
        <v>0.007993446939</v>
      </c>
      <c r="F1217" s="0" t="n">
        <v>0.01288434142</v>
      </c>
      <c r="G1217" s="0" t="n">
        <v>0.01192707864</v>
      </c>
      <c r="H1217" s="0" t="n">
        <v>0.01401438804</v>
      </c>
    </row>
    <row r="1218" customFormat="false" ht="15" hidden="false" customHeight="false" outlineLevel="0" collapsed="false">
      <c r="A1218" s="0" t="s">
        <v>2414</v>
      </c>
      <c r="B1218" s="0" t="s">
        <v>856</v>
      </c>
      <c r="C1218" s="0" t="s">
        <v>482</v>
      </c>
      <c r="D1218" s="0" t="n">
        <v>0</v>
      </c>
      <c r="E1218" s="0" t="n">
        <v>0.3239289748</v>
      </c>
      <c r="F1218" s="0" t="n">
        <v>0.316839158</v>
      </c>
      <c r="G1218" s="0" t="n">
        <v>0.1414982481</v>
      </c>
      <c r="H1218" s="0" t="n">
        <v>0.1403468086</v>
      </c>
    </row>
    <row r="1219" customFormat="false" ht="15" hidden="false" customHeight="false" outlineLevel="0" collapsed="false">
      <c r="A1219" s="0" t="s">
        <v>2415</v>
      </c>
      <c r="B1219" s="0" t="s">
        <v>854</v>
      </c>
      <c r="C1219" s="0" t="s">
        <v>482</v>
      </c>
      <c r="D1219" s="0" t="n">
        <v>0</v>
      </c>
      <c r="E1219" s="0" t="n">
        <v>0.2867695405</v>
      </c>
      <c r="F1219" s="0" t="n">
        <v>0.2776159362</v>
      </c>
      <c r="G1219" s="0" t="n">
        <v>0.1285697978</v>
      </c>
      <c r="H1219" s="0" t="n">
        <v>0.1276567618</v>
      </c>
    </row>
    <row r="1220" customFormat="false" ht="15" hidden="false" customHeight="false" outlineLevel="0" collapsed="false">
      <c r="A1220" s="0" t="s">
        <v>2416</v>
      </c>
      <c r="B1220" s="0" t="s">
        <v>894</v>
      </c>
      <c r="C1220" s="0" t="s">
        <v>482</v>
      </c>
      <c r="D1220" s="0" t="n">
        <v>0</v>
      </c>
      <c r="E1220" s="0" t="n">
        <v>0.165761166</v>
      </c>
      <c r="F1220" s="0" t="n">
        <v>0.1616455846</v>
      </c>
      <c r="G1220" s="0" t="n">
        <v>0.07367371923</v>
      </c>
      <c r="H1220" s="0" t="n">
        <v>0.07311920607</v>
      </c>
    </row>
    <row r="1221" customFormat="false" ht="15" hidden="false" customHeight="false" outlineLevel="0" collapsed="false">
      <c r="A1221" s="0" t="s">
        <v>2417</v>
      </c>
      <c r="B1221" s="0" t="s">
        <v>882</v>
      </c>
      <c r="C1221" s="0" t="s">
        <v>482</v>
      </c>
      <c r="D1221" s="0" t="n">
        <v>0</v>
      </c>
      <c r="E1221" s="0" t="n">
        <v>0.02586848632</v>
      </c>
      <c r="F1221" s="0" t="n">
        <v>0.02277107715</v>
      </c>
      <c r="G1221" s="0" t="n">
        <v>0.01009942209</v>
      </c>
      <c r="H1221" s="0" t="n">
        <v>0.01010097102</v>
      </c>
    </row>
    <row r="1222" customFormat="false" ht="15" hidden="false" customHeight="false" outlineLevel="0" collapsed="false">
      <c r="A1222" s="0" t="s">
        <v>2418</v>
      </c>
      <c r="B1222" s="0" t="s">
        <v>808</v>
      </c>
      <c r="C1222" s="0" t="s">
        <v>482</v>
      </c>
      <c r="D1222" s="0" t="n">
        <v>0</v>
      </c>
      <c r="E1222" s="0" t="n">
        <v>0.3583458173</v>
      </c>
      <c r="F1222" s="0" t="n">
        <v>0.6036304856</v>
      </c>
      <c r="G1222" s="0" t="n">
        <v>0.4946425882</v>
      </c>
      <c r="H1222" s="0" t="n">
        <v>0.5699078967</v>
      </c>
    </row>
    <row r="1223" customFormat="false" ht="15" hidden="false" customHeight="false" outlineLevel="0" collapsed="false">
      <c r="A1223" s="0" t="s">
        <v>2419</v>
      </c>
      <c r="B1223" s="0" t="s">
        <v>966</v>
      </c>
      <c r="C1223" s="0" t="s">
        <v>482</v>
      </c>
      <c r="D1223" s="0" t="n">
        <v>0</v>
      </c>
      <c r="E1223" s="0" t="n">
        <v>0.0383994997</v>
      </c>
      <c r="F1223" s="0" t="n">
        <v>0.06136960294</v>
      </c>
      <c r="G1223" s="0" t="n">
        <v>0.0545520638</v>
      </c>
      <c r="H1223" s="0" t="n">
        <v>0.06322256662</v>
      </c>
    </row>
    <row r="1224" customFormat="false" ht="15" hidden="false" customHeight="false" outlineLevel="0" collapsed="false">
      <c r="A1224" s="0" t="s">
        <v>2420</v>
      </c>
      <c r="B1224" s="0" t="s">
        <v>960</v>
      </c>
      <c r="C1224" s="0" t="s">
        <v>482</v>
      </c>
      <c r="D1224" s="0" t="n">
        <v>0</v>
      </c>
      <c r="E1224" s="0" t="n">
        <v>0.02619639363</v>
      </c>
      <c r="F1224" s="0" t="n">
        <v>0.0466992819</v>
      </c>
      <c r="G1224" s="0" t="n">
        <v>0.04132517949</v>
      </c>
      <c r="H1224" s="0" t="n">
        <v>0.04940770243</v>
      </c>
    </row>
    <row r="1225" customFormat="false" ht="15" hidden="false" customHeight="false" outlineLevel="0" collapsed="false">
      <c r="A1225" s="0" t="s">
        <v>2421</v>
      </c>
      <c r="B1225" s="0" t="s">
        <v>1002</v>
      </c>
      <c r="C1225" s="0" t="s">
        <v>482</v>
      </c>
      <c r="D1225" s="0" t="n">
        <v>0</v>
      </c>
      <c r="E1225" s="0" t="n">
        <v>0.02576071144</v>
      </c>
      <c r="F1225" s="0" t="n">
        <v>0.03713443305</v>
      </c>
      <c r="G1225" s="0" t="n">
        <v>0.02929404729</v>
      </c>
      <c r="H1225" s="0" t="n">
        <v>0.03187087815</v>
      </c>
    </row>
    <row r="1226" customFormat="false" ht="15" hidden="false" customHeight="false" outlineLevel="0" collapsed="false">
      <c r="A1226" s="0" t="s">
        <v>2422</v>
      </c>
      <c r="B1226" s="0" t="s">
        <v>720</v>
      </c>
      <c r="C1226" s="0" t="s">
        <v>482</v>
      </c>
      <c r="D1226" s="0" t="n">
        <v>0</v>
      </c>
      <c r="E1226" s="0" t="n">
        <v>2.254921595</v>
      </c>
      <c r="F1226" s="0" t="n">
        <v>3.717033866</v>
      </c>
      <c r="G1226" s="0" t="n">
        <v>3.113825084</v>
      </c>
      <c r="H1226" s="0" t="n">
        <v>3.447439495</v>
      </c>
    </row>
    <row r="1227" customFormat="false" ht="15" hidden="false" customHeight="false" outlineLevel="0" collapsed="false">
      <c r="A1227" s="0" t="s">
        <v>2423</v>
      </c>
      <c r="B1227" s="0" t="s">
        <v>970</v>
      </c>
      <c r="C1227" s="0" t="s">
        <v>482</v>
      </c>
      <c r="D1227" s="0" t="n">
        <v>0</v>
      </c>
      <c r="E1227" s="0" t="n">
        <v>0.04791342937</v>
      </c>
      <c r="F1227" s="0" t="n">
        <v>0.07602866163</v>
      </c>
      <c r="G1227" s="0" t="n">
        <v>0.05971633136</v>
      </c>
      <c r="H1227" s="0" t="n">
        <v>0.06481986494</v>
      </c>
    </row>
    <row r="1228" customFormat="false" ht="15" hidden="false" customHeight="false" outlineLevel="0" collapsed="false">
      <c r="A1228" s="0" t="s">
        <v>2424</v>
      </c>
      <c r="B1228" s="0" t="s">
        <v>918</v>
      </c>
      <c r="C1228" s="0" t="s">
        <v>482</v>
      </c>
      <c r="D1228" s="0" t="n">
        <v>0</v>
      </c>
      <c r="E1228" s="0" t="n">
        <v>0.08958118096</v>
      </c>
      <c r="F1228" s="0" t="n">
        <v>0.1600770068</v>
      </c>
      <c r="G1228" s="0" t="n">
        <v>0.1366385098</v>
      </c>
      <c r="H1228" s="0" t="n">
        <v>0.1643246277</v>
      </c>
    </row>
    <row r="1229" customFormat="false" ht="15" hidden="false" customHeight="false" outlineLevel="0" collapsed="false">
      <c r="A1229" s="0" t="s">
        <v>2425</v>
      </c>
      <c r="B1229" s="0" t="s">
        <v>936</v>
      </c>
      <c r="C1229" s="0" t="s">
        <v>482</v>
      </c>
      <c r="D1229" s="0" t="n">
        <v>0</v>
      </c>
      <c r="E1229" s="0" t="n">
        <v>0.04578058958</v>
      </c>
      <c r="F1229" s="0" t="n">
        <v>0.04436433145</v>
      </c>
      <c r="G1229" s="0" t="n">
        <v>0.0193327398</v>
      </c>
      <c r="H1229" s="0" t="n">
        <v>0.01925143483</v>
      </c>
    </row>
    <row r="1230" customFormat="false" ht="15" hidden="false" customHeight="false" outlineLevel="0" collapsed="false">
      <c r="A1230" s="0" t="s">
        <v>2426</v>
      </c>
      <c r="B1230" s="0" t="s">
        <v>862</v>
      </c>
      <c r="C1230" s="0" t="s">
        <v>482</v>
      </c>
      <c r="D1230" s="0" t="n">
        <v>0</v>
      </c>
      <c r="E1230" s="0" t="n">
        <v>0.06505587757</v>
      </c>
      <c r="F1230" s="0" t="n">
        <v>0.1217955808</v>
      </c>
      <c r="G1230" s="0" t="n">
        <v>0.1067165461</v>
      </c>
      <c r="H1230" s="0" t="n">
        <v>0.1255811433</v>
      </c>
    </row>
    <row r="1231" customFormat="false" ht="15" hidden="false" customHeight="false" outlineLevel="0" collapsed="false">
      <c r="A1231" s="0" t="s">
        <v>2427</v>
      </c>
      <c r="B1231" s="0" t="s">
        <v>996</v>
      </c>
      <c r="C1231" s="0" t="s">
        <v>482</v>
      </c>
      <c r="D1231" s="0" t="n">
        <v>0</v>
      </c>
      <c r="E1231" s="0" t="n">
        <v>0.01655349781</v>
      </c>
      <c r="F1231" s="0" t="n">
        <v>0.02704186449</v>
      </c>
      <c r="G1231" s="0" t="n">
        <v>0.02142091722</v>
      </c>
      <c r="H1231" s="0" t="n">
        <v>0.02326001482</v>
      </c>
    </row>
    <row r="1232" customFormat="false" ht="15" hidden="false" customHeight="false" outlineLevel="0" collapsed="false">
      <c r="A1232" s="0" t="s">
        <v>2428</v>
      </c>
      <c r="B1232" s="0" t="s">
        <v>928</v>
      </c>
      <c r="C1232" s="0" t="s">
        <v>482</v>
      </c>
      <c r="D1232" s="0" t="n">
        <v>0</v>
      </c>
      <c r="E1232" s="0" t="n">
        <v>0.06658415257</v>
      </c>
      <c r="F1232" s="0" t="n">
        <v>0.1047589269</v>
      </c>
      <c r="G1232" s="0" t="n">
        <v>0.08692384845</v>
      </c>
      <c r="H1232" s="0" t="n">
        <v>0.1023838241</v>
      </c>
    </row>
    <row r="1233" customFormat="false" ht="15" hidden="false" customHeight="false" outlineLevel="0" collapsed="false">
      <c r="A1233" s="0" t="s">
        <v>2429</v>
      </c>
      <c r="B1233" s="0" t="s">
        <v>954</v>
      </c>
      <c r="C1233" s="0" t="s">
        <v>482</v>
      </c>
      <c r="D1233" s="0" t="n">
        <v>0</v>
      </c>
      <c r="E1233" s="0" t="n">
        <v>0.07522408746</v>
      </c>
      <c r="F1233" s="0" t="n">
        <v>0.116034826</v>
      </c>
      <c r="G1233" s="0" t="n">
        <v>0.1121985935</v>
      </c>
      <c r="H1233" s="0" t="n">
        <v>0.1341180261</v>
      </c>
    </row>
    <row r="1234" customFormat="false" ht="15" hidden="false" customHeight="false" outlineLevel="0" collapsed="false">
      <c r="A1234" s="0" t="s">
        <v>2430</v>
      </c>
      <c r="B1234" s="0" t="s">
        <v>988</v>
      </c>
      <c r="C1234" s="0" t="s">
        <v>482</v>
      </c>
      <c r="D1234" s="0" t="n">
        <v>0</v>
      </c>
      <c r="E1234" s="0" t="n">
        <v>0.03684305048</v>
      </c>
      <c r="F1234" s="0" t="n">
        <v>0.06260232624</v>
      </c>
      <c r="G1234" s="0" t="n">
        <v>0.05178675228</v>
      </c>
      <c r="H1234" s="0" t="n">
        <v>0.0596230612</v>
      </c>
    </row>
    <row r="1235" customFormat="false" ht="15" hidden="false" customHeight="false" outlineLevel="0" collapsed="false">
      <c r="A1235" s="0" t="s">
        <v>2431</v>
      </c>
      <c r="B1235" s="0" t="s">
        <v>974</v>
      </c>
      <c r="C1235" s="0" t="s">
        <v>482</v>
      </c>
      <c r="D1235" s="0" t="n">
        <v>0</v>
      </c>
      <c r="E1235" s="0" t="n">
        <v>0.02003069364</v>
      </c>
      <c r="F1235" s="0" t="n">
        <v>0.03351406276</v>
      </c>
      <c r="G1235" s="0" t="n">
        <v>0.0264251211</v>
      </c>
      <c r="H1235" s="0" t="n">
        <v>0.02903777741</v>
      </c>
    </row>
    <row r="1236" customFormat="false" ht="15" hidden="false" customHeight="false" outlineLevel="0" collapsed="false">
      <c r="A1236" s="0" t="s">
        <v>2432</v>
      </c>
      <c r="B1236" s="0" t="s">
        <v>992</v>
      </c>
      <c r="C1236" s="0" t="s">
        <v>482</v>
      </c>
      <c r="D1236" s="0" t="n">
        <v>0</v>
      </c>
      <c r="E1236" s="0" t="n">
        <v>0.01913701837</v>
      </c>
      <c r="F1236" s="0" t="n">
        <v>0.03264926597</v>
      </c>
      <c r="G1236" s="0" t="n">
        <v>0.03041201824</v>
      </c>
      <c r="H1236" s="0" t="n">
        <v>0.03683812321</v>
      </c>
    </row>
    <row r="1237" customFormat="false" ht="15" hidden="false" customHeight="false" outlineLevel="0" collapsed="false">
      <c r="A1237" s="0" t="s">
        <v>2433</v>
      </c>
      <c r="B1237" s="0" t="s">
        <v>760</v>
      </c>
      <c r="C1237" s="0" t="s">
        <v>482</v>
      </c>
      <c r="D1237" s="0" t="n">
        <v>0</v>
      </c>
      <c r="E1237" s="0" t="n">
        <v>1.050251386</v>
      </c>
      <c r="F1237" s="0" t="n">
        <v>1.702065214</v>
      </c>
      <c r="G1237" s="0" t="n">
        <v>1.303263594</v>
      </c>
      <c r="H1237" s="0" t="n">
        <v>1.437833529</v>
      </c>
    </row>
    <row r="1238" customFormat="false" ht="15" hidden="false" customHeight="false" outlineLevel="0" collapsed="false">
      <c r="A1238" s="0" t="s">
        <v>2434</v>
      </c>
      <c r="B1238" s="0" t="s">
        <v>982</v>
      </c>
      <c r="C1238" s="0" t="s">
        <v>482</v>
      </c>
      <c r="D1238" s="0" t="n">
        <v>0</v>
      </c>
      <c r="E1238" s="0" t="n">
        <v>0.03740981953</v>
      </c>
      <c r="F1238" s="0" t="n">
        <v>0.06063776126</v>
      </c>
      <c r="G1238" s="0" t="n">
        <v>0.04906996186</v>
      </c>
      <c r="H1238" s="0" t="n">
        <v>0.05379561326</v>
      </c>
    </row>
    <row r="1239" customFormat="false" ht="15" hidden="false" customHeight="false" outlineLevel="0" collapsed="false">
      <c r="A1239" s="0" t="s">
        <v>2435</v>
      </c>
      <c r="B1239" s="0" t="s">
        <v>940</v>
      </c>
      <c r="C1239" s="0" t="s">
        <v>482</v>
      </c>
      <c r="D1239" s="0" t="n">
        <v>0</v>
      </c>
      <c r="E1239" s="0" t="n">
        <v>0.0297876924</v>
      </c>
      <c r="F1239" s="0" t="n">
        <v>0.0521043043</v>
      </c>
      <c r="G1239" s="0" t="n">
        <v>0.04384976591</v>
      </c>
      <c r="H1239" s="0" t="n">
        <v>0.05327338125</v>
      </c>
    </row>
    <row r="1240" customFormat="false" ht="15" hidden="false" customHeight="false" outlineLevel="0" collapsed="false">
      <c r="A1240" s="0" t="s">
        <v>2436</v>
      </c>
      <c r="B1240" s="0" t="s">
        <v>792</v>
      </c>
      <c r="C1240" s="0" t="s">
        <v>482</v>
      </c>
      <c r="D1240" s="0" t="n">
        <v>0</v>
      </c>
      <c r="E1240" s="0" t="n">
        <v>0.6802125811</v>
      </c>
      <c r="F1240" s="0" t="n">
        <v>1.157642733</v>
      </c>
      <c r="G1240" s="0" t="n">
        <v>0.9920287456</v>
      </c>
      <c r="H1240" s="0" t="n">
        <v>1.173514583</v>
      </c>
    </row>
    <row r="1241" customFormat="false" ht="15" hidden="false" customHeight="false" outlineLevel="0" collapsed="false">
      <c r="A1241" s="0" t="s">
        <v>2437</v>
      </c>
      <c r="B1241" s="0" t="s">
        <v>948</v>
      </c>
      <c r="C1241" s="0" t="s">
        <v>482</v>
      </c>
      <c r="D1241" s="0" t="n">
        <v>0</v>
      </c>
      <c r="E1241" s="0" t="n">
        <v>0.0496762598</v>
      </c>
      <c r="F1241" s="0" t="n">
        <v>0.07828174015</v>
      </c>
      <c r="G1241" s="0" t="n">
        <v>0.06653295522</v>
      </c>
      <c r="H1241" s="0" t="n">
        <v>0.07765450384</v>
      </c>
    </row>
    <row r="1242" customFormat="false" ht="15" hidden="false" customHeight="false" outlineLevel="0" collapsed="false">
      <c r="A1242" s="0" t="s">
        <v>2438</v>
      </c>
      <c r="B1242" s="0" t="s">
        <v>730</v>
      </c>
      <c r="C1242" s="0" t="s">
        <v>482</v>
      </c>
      <c r="D1242" s="0" t="n">
        <v>0</v>
      </c>
      <c r="E1242" s="0" t="n">
        <v>1.622783718</v>
      </c>
      <c r="F1242" s="0" t="n">
        <v>1.523873742</v>
      </c>
      <c r="G1242" s="0" t="n">
        <v>0.7032384347</v>
      </c>
      <c r="H1242" s="0" t="n">
        <v>0.7008564349</v>
      </c>
    </row>
    <row r="1243" customFormat="false" ht="15" hidden="false" customHeight="false" outlineLevel="0" collapsed="false">
      <c r="A1243" s="0" t="s">
        <v>2439</v>
      </c>
      <c r="B1243" s="0" t="s">
        <v>762</v>
      </c>
      <c r="C1243" s="0" t="s">
        <v>482</v>
      </c>
      <c r="D1243" s="0" t="n">
        <v>0</v>
      </c>
      <c r="E1243" s="0" t="n">
        <v>0.7429573034</v>
      </c>
      <c r="F1243" s="0" t="n">
        <v>0.7168476554</v>
      </c>
      <c r="G1243" s="0" t="n">
        <v>0.3310414368</v>
      </c>
      <c r="H1243" s="0" t="n">
        <v>0.3285051732</v>
      </c>
    </row>
    <row r="1244" customFormat="false" ht="15" hidden="false" customHeight="false" outlineLevel="0" collapsed="false">
      <c r="A1244" s="0" t="s">
        <v>2440</v>
      </c>
      <c r="B1244" s="0" t="s">
        <v>892</v>
      </c>
      <c r="C1244" s="0" t="s">
        <v>482</v>
      </c>
      <c r="D1244" s="0" t="n">
        <v>0</v>
      </c>
      <c r="E1244" s="0" t="n">
        <v>0.08054934807</v>
      </c>
      <c r="F1244" s="0" t="n">
        <v>0.1226134082</v>
      </c>
      <c r="G1244" s="0" t="n">
        <v>0.1106659998</v>
      </c>
      <c r="H1244" s="0" t="n">
        <v>0.1326354247</v>
      </c>
    </row>
    <row r="1245" customFormat="false" ht="15" hidden="false" customHeight="false" outlineLevel="0" collapsed="false">
      <c r="A1245" s="0" t="s">
        <v>2441</v>
      </c>
      <c r="B1245" s="0" t="s">
        <v>1064</v>
      </c>
      <c r="C1245" s="0" t="s">
        <v>482</v>
      </c>
      <c r="D1245" s="0" t="n">
        <v>0</v>
      </c>
      <c r="E1245" s="0" t="n">
        <v>0.001023858014</v>
      </c>
      <c r="F1245" s="0" t="n">
        <v>0.001649693962</v>
      </c>
      <c r="G1245" s="0" t="n">
        <v>0.001340259966</v>
      </c>
      <c r="H1245" s="0" t="n">
        <v>0.001463867863</v>
      </c>
    </row>
    <row r="1246" customFormat="false" ht="15" hidden="false" customHeight="false" outlineLevel="0" collapsed="false">
      <c r="A1246" s="0" t="s">
        <v>2442</v>
      </c>
      <c r="B1246" s="0" t="s">
        <v>796</v>
      </c>
      <c r="C1246" s="0" t="s">
        <v>482</v>
      </c>
      <c r="D1246" s="0" t="n">
        <v>0</v>
      </c>
      <c r="E1246" s="0" t="n">
        <v>0.9582280989</v>
      </c>
      <c r="F1246" s="0" t="n">
        <v>0.973136406</v>
      </c>
      <c r="G1246" s="0" t="n">
        <v>0.4439112559</v>
      </c>
      <c r="H1246" s="0" t="n">
        <v>0.4427491074</v>
      </c>
    </row>
    <row r="1247" customFormat="false" ht="15" hidden="false" customHeight="false" outlineLevel="0" collapsed="false">
      <c r="A1247" s="0" t="s">
        <v>2443</v>
      </c>
      <c r="B1247" s="0" t="s">
        <v>832</v>
      </c>
      <c r="C1247" s="0" t="s">
        <v>482</v>
      </c>
      <c r="D1247" s="0" t="n">
        <v>0</v>
      </c>
      <c r="E1247" s="0" t="n">
        <v>0.237095537</v>
      </c>
      <c r="F1247" s="0" t="n">
        <v>0.4051716265</v>
      </c>
      <c r="G1247" s="0" t="n">
        <v>0.2764321919</v>
      </c>
      <c r="H1247" s="0" t="n">
        <v>0.2767211111</v>
      </c>
    </row>
    <row r="1248" customFormat="false" ht="15" hidden="false" customHeight="false" outlineLevel="0" collapsed="false">
      <c r="A1248" s="0" t="s">
        <v>2444</v>
      </c>
      <c r="B1248" s="0" t="s">
        <v>772</v>
      </c>
      <c r="C1248" s="0" t="s">
        <v>482</v>
      </c>
      <c r="D1248" s="0" t="n">
        <v>0</v>
      </c>
      <c r="E1248" s="0" t="n">
        <v>0.8212473296</v>
      </c>
      <c r="F1248" s="0" t="n">
        <v>1.428083888</v>
      </c>
      <c r="G1248" s="0" t="n">
        <v>1.225093888</v>
      </c>
      <c r="H1248" s="0" t="n">
        <v>1.434624388</v>
      </c>
    </row>
    <row r="1249" customFormat="false" ht="15" hidden="false" customHeight="false" outlineLevel="0" collapsed="false">
      <c r="A1249" s="0" t="s">
        <v>2445</v>
      </c>
      <c r="B1249" s="0" t="s">
        <v>848</v>
      </c>
      <c r="C1249" s="0" t="s">
        <v>482</v>
      </c>
      <c r="D1249" s="0" t="n">
        <v>0</v>
      </c>
      <c r="E1249" s="0" t="n">
        <v>0.1313467869</v>
      </c>
      <c r="F1249" s="0" t="n">
        <v>0.2024343973</v>
      </c>
      <c r="G1249" s="0" t="n">
        <v>0.1366988758</v>
      </c>
      <c r="H1249" s="0" t="n">
        <v>0.1364814583</v>
      </c>
    </row>
    <row r="1250" customFormat="false" ht="15" hidden="false" customHeight="false" outlineLevel="0" collapsed="false">
      <c r="A1250" s="0" t="s">
        <v>2446</v>
      </c>
      <c r="B1250" s="0" t="s">
        <v>784</v>
      </c>
      <c r="C1250" s="0" t="s">
        <v>482</v>
      </c>
      <c r="D1250" s="0" t="n">
        <v>0</v>
      </c>
      <c r="E1250" s="0" t="n">
        <v>0.5257034008</v>
      </c>
      <c r="F1250" s="0" t="n">
        <v>0.8214774271</v>
      </c>
      <c r="G1250" s="0" t="n">
        <v>0.6537624859</v>
      </c>
      <c r="H1250" s="0" t="n">
        <v>0.7135954084</v>
      </c>
    </row>
    <row r="1251" customFormat="false" ht="15" hidden="false" customHeight="false" outlineLevel="0" collapsed="false">
      <c r="A1251" s="0" t="s">
        <v>2447</v>
      </c>
      <c r="B1251" s="0" t="s">
        <v>754</v>
      </c>
      <c r="C1251" s="0" t="s">
        <v>482</v>
      </c>
      <c r="D1251" s="0" t="n">
        <v>0</v>
      </c>
      <c r="E1251" s="0" t="n">
        <v>0.7231912997</v>
      </c>
      <c r="F1251" s="0" t="n">
        <v>1.194590471</v>
      </c>
      <c r="G1251" s="0" t="n">
        <v>1.010533864</v>
      </c>
      <c r="H1251" s="0" t="n">
        <v>1.18041186</v>
      </c>
    </row>
    <row r="1252" customFormat="false" ht="15" hidden="false" customHeight="false" outlineLevel="0" collapsed="false">
      <c r="A1252" s="0" t="s">
        <v>2448</v>
      </c>
      <c r="B1252" s="0" t="s">
        <v>1062</v>
      </c>
      <c r="C1252" s="0" t="s">
        <v>482</v>
      </c>
      <c r="D1252" s="0" t="n">
        <v>0</v>
      </c>
      <c r="E1252" s="0" t="n">
        <v>0.004452677764</v>
      </c>
      <c r="F1252" s="0" t="n">
        <v>0.005897153031</v>
      </c>
      <c r="G1252" s="0" t="n">
        <v>0.004050697333</v>
      </c>
      <c r="H1252" s="0" t="n">
        <v>0.00403212744</v>
      </c>
    </row>
    <row r="1253" customFormat="false" ht="15" hidden="false" customHeight="false" outlineLevel="0" collapsed="false">
      <c r="A1253" s="0" t="s">
        <v>2449</v>
      </c>
      <c r="B1253" s="0" t="s">
        <v>912</v>
      </c>
      <c r="C1253" s="0" t="s">
        <v>482</v>
      </c>
      <c r="D1253" s="0" t="n">
        <v>0</v>
      </c>
      <c r="E1253" s="0" t="n">
        <v>0.04239343887</v>
      </c>
      <c r="F1253" s="0" t="n">
        <v>0.06367973656</v>
      </c>
      <c r="G1253" s="0" t="n">
        <v>0.05377896415</v>
      </c>
      <c r="H1253" s="0" t="n">
        <v>0.06223653549</v>
      </c>
    </row>
    <row r="1254" customFormat="false" ht="15" hidden="false" customHeight="false" outlineLevel="0" collapsed="false">
      <c r="A1254" s="0" t="s">
        <v>2450</v>
      </c>
      <c r="B1254" s="0" t="s">
        <v>732</v>
      </c>
      <c r="C1254" s="0" t="s">
        <v>482</v>
      </c>
      <c r="D1254" s="0" t="n">
        <v>0</v>
      </c>
      <c r="E1254" s="0" t="n">
        <v>1.380663616</v>
      </c>
      <c r="F1254" s="0" t="n">
        <v>2.142500872</v>
      </c>
      <c r="G1254" s="0" t="n">
        <v>1.472279316</v>
      </c>
      <c r="H1254" s="0" t="n">
        <v>1.462979754</v>
      </c>
    </row>
    <row r="1255" customFormat="false" ht="15" hidden="false" customHeight="false" outlineLevel="0" collapsed="false">
      <c r="A1255" s="0" t="s">
        <v>2451</v>
      </c>
      <c r="B1255" s="0" t="s">
        <v>834</v>
      </c>
      <c r="C1255" s="0" t="s">
        <v>482</v>
      </c>
      <c r="D1255" s="0" t="n">
        <v>0</v>
      </c>
      <c r="E1255" s="0" t="n">
        <v>0.4565801906</v>
      </c>
      <c r="F1255" s="0" t="n">
        <v>0.4228819055</v>
      </c>
      <c r="G1255" s="0" t="n">
        <v>0.1906840452</v>
      </c>
      <c r="H1255" s="0" t="n">
        <v>0.1908956461</v>
      </c>
    </row>
    <row r="1256" customFormat="false" ht="15" hidden="false" customHeight="false" outlineLevel="0" collapsed="false">
      <c r="A1256" s="0" t="s">
        <v>2452</v>
      </c>
      <c r="B1256" s="0" t="s">
        <v>786</v>
      </c>
      <c r="C1256" s="0" t="s">
        <v>482</v>
      </c>
      <c r="D1256" s="0" t="n">
        <v>0</v>
      </c>
      <c r="E1256" s="0" t="n">
        <v>0.9316045255</v>
      </c>
      <c r="F1256" s="0" t="n">
        <v>0.9062658575</v>
      </c>
      <c r="G1256" s="0" t="n">
        <v>0.4167100305</v>
      </c>
      <c r="H1256" s="0" t="n">
        <v>0.4138145258</v>
      </c>
    </row>
    <row r="1257" customFormat="false" ht="15" hidden="false" customHeight="false" outlineLevel="0" collapsed="false">
      <c r="A1257" s="0" t="s">
        <v>2453</v>
      </c>
      <c r="B1257" s="0" t="s">
        <v>888</v>
      </c>
      <c r="C1257" s="0" t="s">
        <v>482</v>
      </c>
      <c r="D1257" s="0" t="n">
        <v>0</v>
      </c>
      <c r="E1257" s="0" t="n">
        <v>0.1553030335</v>
      </c>
      <c r="F1257" s="0" t="n">
        <v>0.2311893394</v>
      </c>
      <c r="G1257" s="0" t="n">
        <v>0.1778223208</v>
      </c>
      <c r="H1257" s="0" t="n">
        <v>0.1945230804</v>
      </c>
    </row>
    <row r="1258" customFormat="false" ht="15" hidden="false" customHeight="false" outlineLevel="0" collapsed="false">
      <c r="A1258" s="0" t="s">
        <v>2454</v>
      </c>
      <c r="B1258" s="0" t="s">
        <v>816</v>
      </c>
      <c r="C1258" s="0" t="s">
        <v>482</v>
      </c>
      <c r="D1258" s="0" t="n">
        <v>0</v>
      </c>
      <c r="E1258" s="0" t="n">
        <v>0.2843119188</v>
      </c>
      <c r="F1258" s="0" t="n">
        <v>0.3024504508</v>
      </c>
      <c r="G1258" s="0" t="n">
        <v>0.1768348561</v>
      </c>
      <c r="H1258" s="0" t="n">
        <v>0.1762814845</v>
      </c>
    </row>
    <row r="1259" customFormat="false" ht="15" hidden="false" customHeight="false" outlineLevel="0" collapsed="false">
      <c r="A1259" s="0" t="s">
        <v>2455</v>
      </c>
      <c r="B1259" s="0" t="s">
        <v>776</v>
      </c>
      <c r="C1259" s="0" t="s">
        <v>482</v>
      </c>
      <c r="D1259" s="0" t="n">
        <v>0</v>
      </c>
      <c r="E1259" s="0" t="n">
        <v>0.3874640783</v>
      </c>
      <c r="F1259" s="0" t="n">
        <v>0.5934671047</v>
      </c>
      <c r="G1259" s="0" t="n">
        <v>0.4930022415</v>
      </c>
      <c r="H1259" s="0" t="n">
        <v>0.5364930088</v>
      </c>
    </row>
    <row r="1260" customFormat="false" ht="15" hidden="false" customHeight="false" outlineLevel="0" collapsed="false">
      <c r="A1260" s="0" t="s">
        <v>2456</v>
      </c>
      <c r="B1260" s="0" t="s">
        <v>714</v>
      </c>
      <c r="C1260" s="0" t="s">
        <v>482</v>
      </c>
      <c r="D1260" s="0" t="n">
        <v>0</v>
      </c>
      <c r="E1260" s="0" t="n">
        <v>2.785574275</v>
      </c>
      <c r="F1260" s="0" t="n">
        <v>4.368576137</v>
      </c>
      <c r="G1260" s="0" t="n">
        <v>3.710012724</v>
      </c>
      <c r="H1260" s="0" t="n">
        <v>4.090801176</v>
      </c>
    </row>
    <row r="1261" customFormat="false" ht="15" hidden="false" customHeight="false" outlineLevel="0" collapsed="false">
      <c r="A1261" s="0" t="s">
        <v>2457</v>
      </c>
      <c r="B1261" s="0" t="s">
        <v>958</v>
      </c>
      <c r="C1261" s="0" t="s">
        <v>482</v>
      </c>
      <c r="D1261" s="0" t="n">
        <v>0</v>
      </c>
      <c r="E1261" s="0" t="n">
        <v>0.01425080493</v>
      </c>
      <c r="F1261" s="0" t="n">
        <v>0.02557821848</v>
      </c>
      <c r="G1261" s="0" t="n">
        <v>0.02124401459</v>
      </c>
      <c r="H1261" s="0" t="n">
        <v>0.02569805715</v>
      </c>
    </row>
    <row r="1262" customFormat="false" ht="15" hidden="false" customHeight="false" outlineLevel="0" collapsed="false">
      <c r="A1262" s="0" t="s">
        <v>2458</v>
      </c>
      <c r="B1262" s="0" t="s">
        <v>728</v>
      </c>
      <c r="C1262" s="0" t="s">
        <v>482</v>
      </c>
      <c r="D1262" s="0" t="n">
        <v>0</v>
      </c>
      <c r="E1262" s="0" t="n">
        <v>3.09864625</v>
      </c>
      <c r="F1262" s="0" t="n">
        <v>4.477153365</v>
      </c>
      <c r="G1262" s="0" t="n">
        <v>3.085957987</v>
      </c>
      <c r="H1262" s="0" t="n">
        <v>3.081350883</v>
      </c>
    </row>
    <row r="1263" customFormat="false" ht="15" hidden="false" customHeight="false" outlineLevel="0" collapsed="false">
      <c r="A1263" s="0" t="s">
        <v>2459</v>
      </c>
      <c r="B1263" s="0" t="s">
        <v>932</v>
      </c>
      <c r="C1263" s="0" t="s">
        <v>482</v>
      </c>
      <c r="D1263" s="0" t="n">
        <v>0</v>
      </c>
      <c r="E1263" s="0" t="n">
        <v>0.1887080681</v>
      </c>
      <c r="F1263" s="0" t="n">
        <v>0.2605654914</v>
      </c>
      <c r="G1263" s="0" t="n">
        <v>0.2410451724</v>
      </c>
      <c r="H1263" s="0" t="n">
        <v>0.280026811</v>
      </c>
    </row>
    <row r="1264" customFormat="false" ht="15" hidden="false" customHeight="false" outlineLevel="0" collapsed="false">
      <c r="A1264" s="0" t="s">
        <v>2460</v>
      </c>
      <c r="B1264" s="0" t="s">
        <v>910</v>
      </c>
      <c r="C1264" s="0" t="s">
        <v>482</v>
      </c>
      <c r="D1264" s="0" t="n">
        <v>0</v>
      </c>
      <c r="E1264" s="0" t="n">
        <v>0.1104070555</v>
      </c>
      <c r="F1264" s="0" t="n">
        <v>0.1337770476</v>
      </c>
      <c r="G1264" s="0" t="n">
        <v>0.12308081</v>
      </c>
      <c r="H1264" s="0" t="n">
        <v>0.1472291055</v>
      </c>
    </row>
    <row r="1265" customFormat="false" ht="15" hidden="false" customHeight="false" outlineLevel="0" collapsed="false">
      <c r="A1265" s="0" t="s">
        <v>2461</v>
      </c>
      <c r="B1265" s="0" t="s">
        <v>740</v>
      </c>
      <c r="C1265" s="0" t="s">
        <v>482</v>
      </c>
      <c r="D1265" s="0" t="n">
        <v>0</v>
      </c>
      <c r="E1265" s="0" t="n">
        <v>0.4514868494</v>
      </c>
      <c r="F1265" s="0" t="n">
        <v>0.405016982</v>
      </c>
      <c r="G1265" s="0" t="n">
        <v>0.1773861341</v>
      </c>
      <c r="H1265" s="0" t="n">
        <v>0.1767145565</v>
      </c>
    </row>
    <row r="1266" customFormat="false" ht="15" hidden="false" customHeight="false" outlineLevel="0" collapsed="false">
      <c r="A1266" s="0" t="s">
        <v>2462</v>
      </c>
      <c r="B1266" s="0" t="s">
        <v>1042</v>
      </c>
      <c r="C1266" s="0" t="s">
        <v>482</v>
      </c>
      <c r="D1266" s="0" t="n">
        <v>0</v>
      </c>
      <c r="E1266" s="0" t="n">
        <v>0.005287119316</v>
      </c>
      <c r="F1266" s="0" t="n">
        <v>0.008877574062</v>
      </c>
      <c r="G1266" s="0" t="n">
        <v>0.00773128472</v>
      </c>
      <c r="H1266" s="0" t="n">
        <v>0.008997550105</v>
      </c>
    </row>
    <row r="1267" customFormat="false" ht="15" hidden="false" customHeight="false" outlineLevel="0" collapsed="false">
      <c r="A1267" s="0" t="s">
        <v>2463</v>
      </c>
      <c r="B1267" s="0" t="s">
        <v>998</v>
      </c>
      <c r="C1267" s="0" t="s">
        <v>482</v>
      </c>
      <c r="D1267" s="0" t="n">
        <v>0</v>
      </c>
      <c r="E1267" s="0" t="n">
        <v>0.01197314851</v>
      </c>
      <c r="F1267" s="0" t="n">
        <v>0.02082136001</v>
      </c>
      <c r="G1267" s="0" t="n">
        <v>0.01835392536</v>
      </c>
      <c r="H1267" s="0" t="n">
        <v>0.02233109511</v>
      </c>
    </row>
    <row r="1268" customFormat="false" ht="15" hidden="false" customHeight="false" outlineLevel="0" collapsed="false">
      <c r="A1268" s="0" t="s">
        <v>2464</v>
      </c>
      <c r="B1268" s="0" t="s">
        <v>908</v>
      </c>
      <c r="C1268" s="0" t="s">
        <v>482</v>
      </c>
      <c r="D1268" s="0" t="n">
        <v>0</v>
      </c>
      <c r="E1268" s="0" t="n">
        <v>0.09315999472</v>
      </c>
      <c r="F1268" s="0" t="n">
        <v>0.1524812532</v>
      </c>
      <c r="G1268" s="0" t="n">
        <v>0.1323533976</v>
      </c>
      <c r="H1268" s="0" t="n">
        <v>0.1555734179</v>
      </c>
    </row>
    <row r="1269" customFormat="false" ht="15" hidden="false" customHeight="false" outlineLevel="0" collapsed="false">
      <c r="A1269" s="0" t="s">
        <v>2465</v>
      </c>
      <c r="B1269" s="0" t="s">
        <v>984</v>
      </c>
      <c r="C1269" s="0" t="s">
        <v>482</v>
      </c>
      <c r="D1269" s="0" t="n">
        <v>0</v>
      </c>
      <c r="E1269" s="0" t="n">
        <v>0.01026176895</v>
      </c>
      <c r="F1269" s="0" t="n">
        <v>0.01687086949</v>
      </c>
      <c r="G1269" s="0" t="n">
        <v>0.01551931686</v>
      </c>
      <c r="H1269" s="0" t="n">
        <v>0.018764603</v>
      </c>
    </row>
    <row r="1270" customFormat="false" ht="15" hidden="false" customHeight="false" outlineLevel="0" collapsed="false">
      <c r="A1270" s="0" t="s">
        <v>2466</v>
      </c>
      <c r="B1270" s="0" t="s">
        <v>852</v>
      </c>
      <c r="C1270" s="0" t="s">
        <v>482</v>
      </c>
      <c r="D1270" s="0" t="n">
        <v>0</v>
      </c>
      <c r="E1270" s="0" t="n">
        <v>0.1559116083</v>
      </c>
      <c r="F1270" s="0" t="n">
        <v>0.2675959396</v>
      </c>
      <c r="G1270" s="0" t="n">
        <v>0.2121414743</v>
      </c>
      <c r="H1270" s="0" t="n">
        <v>0.2307611757</v>
      </c>
    </row>
    <row r="1271" customFormat="false" ht="15" hidden="false" customHeight="false" outlineLevel="0" collapsed="false">
      <c r="A1271" s="0" t="s">
        <v>2467</v>
      </c>
      <c r="B1271" s="0" t="s">
        <v>1056</v>
      </c>
      <c r="C1271" s="0" t="s">
        <v>482</v>
      </c>
      <c r="D1271" s="0" t="n">
        <v>0</v>
      </c>
      <c r="E1271" s="0" t="n">
        <v>0.0007354413818</v>
      </c>
      <c r="F1271" s="0" t="n">
        <v>0.001353168029</v>
      </c>
      <c r="G1271" s="0" t="n">
        <v>0.001169377258</v>
      </c>
      <c r="H1271" s="0" t="n">
        <v>0.001372183296</v>
      </c>
    </row>
    <row r="1272" customFormat="false" ht="15" hidden="false" customHeight="false" outlineLevel="0" collapsed="false">
      <c r="A1272" s="0" t="s">
        <v>2468</v>
      </c>
      <c r="B1272" s="0" t="s">
        <v>1016</v>
      </c>
      <c r="C1272" s="0" t="s">
        <v>482</v>
      </c>
      <c r="D1272" s="0" t="n">
        <v>0</v>
      </c>
      <c r="E1272" s="0" t="n">
        <v>0.007986875778</v>
      </c>
      <c r="F1272" s="0" t="n">
        <v>0.01584694453</v>
      </c>
      <c r="G1272" s="0" t="n">
        <v>0.01247654082</v>
      </c>
      <c r="H1272" s="0" t="n">
        <v>0.01389124039</v>
      </c>
    </row>
    <row r="1273" customFormat="false" ht="15" hidden="false" customHeight="false" outlineLevel="0" collapsed="false">
      <c r="A1273" s="0" t="s">
        <v>2469</v>
      </c>
      <c r="B1273" s="0" t="s">
        <v>822</v>
      </c>
      <c r="C1273" s="0" t="s">
        <v>482</v>
      </c>
      <c r="D1273" s="0" t="n">
        <v>0</v>
      </c>
      <c r="E1273" s="0" t="n">
        <v>0.4100798042</v>
      </c>
      <c r="F1273" s="0" t="n">
        <v>0.3868286567</v>
      </c>
      <c r="G1273" s="0" t="n">
        <v>0.1757489825</v>
      </c>
      <c r="H1273" s="0" t="n">
        <v>0.1745743318</v>
      </c>
    </row>
    <row r="1274" customFormat="false" ht="15" hidden="false" customHeight="false" outlineLevel="0" collapsed="false">
      <c r="A1274" s="0" t="s">
        <v>2470</v>
      </c>
      <c r="B1274" s="0" t="s">
        <v>870</v>
      </c>
      <c r="C1274" s="0" t="s">
        <v>482</v>
      </c>
      <c r="D1274" s="0" t="n">
        <v>0</v>
      </c>
      <c r="E1274" s="0" t="n">
        <v>0.3185447598</v>
      </c>
      <c r="F1274" s="0" t="n">
        <v>0.3174502356</v>
      </c>
      <c r="G1274" s="0" t="n">
        <v>0.1456264503</v>
      </c>
      <c r="H1274" s="0" t="n">
        <v>0.1446623177</v>
      </c>
    </row>
    <row r="1275" customFormat="false" ht="15" hidden="false" customHeight="false" outlineLevel="0" collapsed="false">
      <c r="A1275" s="0" t="s">
        <v>2471</v>
      </c>
      <c r="B1275" s="0" t="s">
        <v>746</v>
      </c>
      <c r="C1275" s="0" t="s">
        <v>482</v>
      </c>
      <c r="D1275" s="0" t="n">
        <v>0</v>
      </c>
      <c r="E1275" s="0" t="n">
        <v>1.061996323</v>
      </c>
      <c r="F1275" s="0" t="n">
        <v>1.059855244</v>
      </c>
      <c r="G1275" s="0" t="n">
        <v>0.48643135</v>
      </c>
      <c r="H1275" s="0" t="n">
        <v>0.4842275671</v>
      </c>
    </row>
    <row r="1276" customFormat="false" ht="15" hidden="false" customHeight="false" outlineLevel="0" collapsed="false">
      <c r="A1276" s="0" t="s">
        <v>2472</v>
      </c>
      <c r="B1276" s="0" t="s">
        <v>1010</v>
      </c>
      <c r="C1276" s="0" t="s">
        <v>482</v>
      </c>
      <c r="D1276" s="0" t="n">
        <v>0</v>
      </c>
      <c r="E1276" s="0" t="n">
        <v>0.01505432274</v>
      </c>
      <c r="F1276" s="0" t="n">
        <v>0.02609203666</v>
      </c>
      <c r="G1276" s="0" t="n">
        <v>0.02212937895</v>
      </c>
      <c r="H1276" s="0" t="n">
        <v>0.02589862156</v>
      </c>
    </row>
    <row r="1277" customFormat="false" ht="15" hidden="false" customHeight="false" outlineLevel="0" collapsed="false">
      <c r="A1277" s="0" t="s">
        <v>2473</v>
      </c>
      <c r="B1277" s="0" t="s">
        <v>1036</v>
      </c>
      <c r="C1277" s="0" t="s">
        <v>482</v>
      </c>
      <c r="D1277" s="0" t="n">
        <v>0</v>
      </c>
      <c r="E1277" s="0" t="n">
        <v>0.004428701806</v>
      </c>
      <c r="F1277" s="0" t="n">
        <v>0.005416687407</v>
      </c>
      <c r="G1277" s="0" t="n">
        <v>0.00393210865</v>
      </c>
      <c r="H1277" s="0" t="n">
        <v>0.003936835818</v>
      </c>
    </row>
    <row r="1278" customFormat="false" ht="15" hidden="false" customHeight="false" outlineLevel="0" collapsed="false">
      <c r="A1278" s="0" t="s">
        <v>2474</v>
      </c>
      <c r="B1278" s="0" t="s">
        <v>858</v>
      </c>
      <c r="C1278" s="0" t="s">
        <v>482</v>
      </c>
      <c r="D1278" s="0" t="n">
        <v>0</v>
      </c>
      <c r="E1278" s="0" t="n">
        <v>0.1699461463</v>
      </c>
      <c r="F1278" s="0" t="n">
        <v>0.2877212477</v>
      </c>
      <c r="G1278" s="0" t="n">
        <v>0.2614959435</v>
      </c>
      <c r="H1278" s="0" t="n">
        <v>0.3158113855</v>
      </c>
    </row>
    <row r="1279" customFormat="false" ht="15" hidden="false" customHeight="false" outlineLevel="0" collapsed="false">
      <c r="A1279" s="0" t="s">
        <v>2475</v>
      </c>
      <c r="B1279" s="0" t="s">
        <v>942</v>
      </c>
      <c r="C1279" s="0" t="s">
        <v>482</v>
      </c>
      <c r="D1279" s="0" t="n">
        <v>0</v>
      </c>
      <c r="E1279" s="0" t="n">
        <v>0.007794958595</v>
      </c>
      <c r="F1279" s="0" t="n">
        <v>0.01310498808</v>
      </c>
      <c r="G1279" s="0" t="n">
        <v>0.01117583831</v>
      </c>
      <c r="H1279" s="0" t="n">
        <v>0.0133494941</v>
      </c>
    </row>
    <row r="1280" customFormat="false" ht="15" hidden="false" customHeight="false" outlineLevel="0" collapsed="false">
      <c r="A1280" s="0" t="s">
        <v>2476</v>
      </c>
      <c r="B1280" s="0" t="s">
        <v>986</v>
      </c>
      <c r="C1280" s="0" t="s">
        <v>482</v>
      </c>
      <c r="D1280" s="0" t="n">
        <v>0</v>
      </c>
      <c r="E1280" s="0" t="n">
        <v>0.02877966439</v>
      </c>
      <c r="F1280" s="0" t="n">
        <v>0.04723366207</v>
      </c>
      <c r="G1280" s="0" t="n">
        <v>0.04108634083</v>
      </c>
      <c r="H1280" s="0" t="n">
        <v>0.04983019978</v>
      </c>
    </row>
    <row r="1281" customFormat="false" ht="15" hidden="false" customHeight="false" outlineLevel="0" collapsed="false">
      <c r="A1281" s="0" t="s">
        <v>2477</v>
      </c>
      <c r="B1281" s="0" t="s">
        <v>752</v>
      </c>
      <c r="C1281" s="0" t="s">
        <v>482</v>
      </c>
      <c r="D1281" s="0" t="n">
        <v>0</v>
      </c>
      <c r="E1281" s="0" t="n">
        <v>1.051454266</v>
      </c>
      <c r="F1281" s="0" t="n">
        <v>1.591037606</v>
      </c>
      <c r="G1281" s="0" t="n">
        <v>1.318175195</v>
      </c>
      <c r="H1281" s="0" t="n">
        <v>1.439883368</v>
      </c>
    </row>
    <row r="1282" customFormat="false" ht="15" hidden="false" customHeight="false" outlineLevel="0" collapsed="false">
      <c r="A1282" s="0" t="s">
        <v>2478</v>
      </c>
      <c r="B1282" s="0" t="s">
        <v>968</v>
      </c>
      <c r="C1282" s="0" t="s">
        <v>482</v>
      </c>
      <c r="D1282" s="0" t="n">
        <v>0</v>
      </c>
      <c r="E1282" s="0" t="n">
        <v>0.0385354946</v>
      </c>
      <c r="F1282" s="0" t="n">
        <v>0.05947990199</v>
      </c>
      <c r="G1282" s="0" t="n">
        <v>0.05026582808</v>
      </c>
      <c r="H1282" s="0" t="n">
        <v>0.06045414396</v>
      </c>
    </row>
    <row r="1283" customFormat="false" ht="15" hidden="false" customHeight="false" outlineLevel="0" collapsed="false">
      <c r="A1283" s="0" t="s">
        <v>2479</v>
      </c>
      <c r="B1283" s="0" t="s">
        <v>872</v>
      </c>
      <c r="C1283" s="0" t="s">
        <v>482</v>
      </c>
      <c r="D1283" s="0" t="n">
        <v>0</v>
      </c>
      <c r="E1283" s="0" t="n">
        <v>0.1651229366</v>
      </c>
      <c r="F1283" s="0" t="n">
        <v>0.2521111008</v>
      </c>
      <c r="G1283" s="0" t="n">
        <v>0.2037067309</v>
      </c>
      <c r="H1283" s="0" t="n">
        <v>0.2242822735</v>
      </c>
    </row>
    <row r="1284" customFormat="false" ht="15" hidden="false" customHeight="false" outlineLevel="0" collapsed="false">
      <c r="A1284" s="0" t="s">
        <v>2480</v>
      </c>
      <c r="B1284" s="0" t="s">
        <v>1040</v>
      </c>
      <c r="C1284" s="0" t="s">
        <v>482</v>
      </c>
      <c r="D1284" s="0" t="n">
        <v>0</v>
      </c>
      <c r="E1284" s="0" t="n">
        <v>0.008374609781</v>
      </c>
      <c r="F1284" s="0" t="n">
        <v>0.01374421463</v>
      </c>
      <c r="G1284" s="0" t="n">
        <v>0.01153601617</v>
      </c>
      <c r="H1284" s="0" t="n">
        <v>0.01338017734</v>
      </c>
    </row>
    <row r="1285" customFormat="false" ht="15" hidden="false" customHeight="false" outlineLevel="0" collapsed="false">
      <c r="A1285" s="0" t="s">
        <v>2481</v>
      </c>
      <c r="B1285" s="0" t="s">
        <v>1060</v>
      </c>
      <c r="C1285" s="0" t="s">
        <v>482</v>
      </c>
      <c r="D1285" s="0" t="n">
        <v>0</v>
      </c>
      <c r="E1285" s="0" t="n">
        <v>0.002879953732</v>
      </c>
      <c r="F1285" s="0" t="n">
        <v>0.004536112333</v>
      </c>
      <c r="G1285" s="0" t="n">
        <v>0.003701866753</v>
      </c>
      <c r="H1285" s="0" t="n">
        <v>0.004082225057</v>
      </c>
    </row>
    <row r="1286" customFormat="false" ht="15" hidden="false" customHeight="false" outlineLevel="0" collapsed="false">
      <c r="A1286" s="0" t="s">
        <v>2482</v>
      </c>
      <c r="B1286" s="0" t="s">
        <v>944</v>
      </c>
      <c r="C1286" s="0" t="s">
        <v>482</v>
      </c>
      <c r="D1286" s="0" t="n">
        <v>0</v>
      </c>
      <c r="E1286" s="0" t="n">
        <v>0.03994289139</v>
      </c>
      <c r="F1286" s="0" t="n">
        <v>0.0609973218</v>
      </c>
      <c r="G1286" s="0" t="n">
        <v>0.04353787656</v>
      </c>
      <c r="H1286" s="0" t="n">
        <v>0.04349280102</v>
      </c>
    </row>
    <row r="1287" customFormat="false" ht="15" hidden="false" customHeight="false" outlineLevel="0" collapsed="false">
      <c r="A1287" s="0" t="s">
        <v>2483</v>
      </c>
      <c r="B1287" s="0" t="s">
        <v>884</v>
      </c>
      <c r="C1287" s="0" t="s">
        <v>482</v>
      </c>
      <c r="D1287" s="0" t="n">
        <v>0</v>
      </c>
      <c r="E1287" s="0" t="n">
        <v>0.114683337</v>
      </c>
      <c r="F1287" s="0" t="n">
        <v>0.1853842527</v>
      </c>
      <c r="G1287" s="0" t="n">
        <v>0.1641670072</v>
      </c>
      <c r="H1287" s="0" t="n">
        <v>0.1906761669</v>
      </c>
    </row>
    <row r="1288" customFormat="false" ht="15" hidden="false" customHeight="false" outlineLevel="0" collapsed="false">
      <c r="A1288" s="0" t="s">
        <v>2484</v>
      </c>
      <c r="B1288" s="0" t="s">
        <v>726</v>
      </c>
      <c r="C1288" s="0" t="s">
        <v>482</v>
      </c>
      <c r="D1288" s="0" t="n">
        <v>0</v>
      </c>
      <c r="E1288" s="0" t="n">
        <v>1.697772745</v>
      </c>
      <c r="F1288" s="0" t="n">
        <v>2.724944104</v>
      </c>
      <c r="G1288" s="0" t="n">
        <v>2.124583218</v>
      </c>
      <c r="H1288" s="0" t="n">
        <v>2.305297965</v>
      </c>
    </row>
    <row r="1289" customFormat="false" ht="15" hidden="false" customHeight="false" outlineLevel="0" collapsed="false">
      <c r="A1289" s="0" t="s">
        <v>2485</v>
      </c>
      <c r="B1289" s="0" t="s">
        <v>842</v>
      </c>
      <c r="C1289" s="0" t="s">
        <v>482</v>
      </c>
      <c r="D1289" s="0" t="n">
        <v>0</v>
      </c>
      <c r="E1289" s="0" t="n">
        <v>0.1986946191</v>
      </c>
      <c r="F1289" s="0" t="n">
        <v>0.3460332519</v>
      </c>
      <c r="G1289" s="0" t="n">
        <v>0.292573576</v>
      </c>
      <c r="H1289" s="0" t="n">
        <v>0.3516224254</v>
      </c>
    </row>
    <row r="1290" customFormat="false" ht="15" hidden="false" customHeight="false" outlineLevel="0" collapsed="false">
      <c r="A1290" s="0" t="s">
        <v>2486</v>
      </c>
      <c r="B1290" s="0" t="s">
        <v>866</v>
      </c>
      <c r="C1290" s="0" t="s">
        <v>482</v>
      </c>
      <c r="D1290" s="0" t="n">
        <v>0</v>
      </c>
      <c r="E1290" s="0" t="n">
        <v>0.08758602771</v>
      </c>
      <c r="F1290" s="0" t="n">
        <v>0.1619857511</v>
      </c>
      <c r="G1290" s="0" t="n">
        <v>0.1338385815</v>
      </c>
      <c r="H1290" s="0" t="n">
        <v>0.161818697</v>
      </c>
    </row>
    <row r="1291" customFormat="false" ht="15" hidden="false" customHeight="false" outlineLevel="0" collapsed="false">
      <c r="A1291" s="0" t="s">
        <v>2487</v>
      </c>
      <c r="B1291" s="0" t="s">
        <v>804</v>
      </c>
      <c r="C1291" s="0" t="s">
        <v>482</v>
      </c>
      <c r="D1291" s="0" t="n">
        <v>0</v>
      </c>
      <c r="E1291" s="0" t="n">
        <v>0.2622273256</v>
      </c>
      <c r="F1291" s="0" t="n">
        <v>0.4416256858</v>
      </c>
      <c r="G1291" s="0" t="n">
        <v>0.3925641842</v>
      </c>
      <c r="H1291" s="0" t="n">
        <v>0.4561590218</v>
      </c>
    </row>
    <row r="1292" customFormat="false" ht="15" hidden="false" customHeight="false" outlineLevel="0" collapsed="false">
      <c r="A1292" s="0" t="s">
        <v>2488</v>
      </c>
      <c r="B1292" s="0" t="s">
        <v>860</v>
      </c>
      <c r="C1292" s="0" t="s">
        <v>482</v>
      </c>
      <c r="D1292" s="0" t="n">
        <v>0</v>
      </c>
      <c r="E1292" s="0" t="n">
        <v>0.08863887579</v>
      </c>
      <c r="F1292" s="0" t="n">
        <v>0.1384205441</v>
      </c>
      <c r="G1292" s="0" t="n">
        <v>0.09949824993</v>
      </c>
      <c r="H1292" s="0" t="n">
        <v>0.09917639111</v>
      </c>
    </row>
    <row r="1293" customFormat="false" ht="15" hidden="false" customHeight="false" outlineLevel="0" collapsed="false">
      <c r="A1293" s="0" t="s">
        <v>2489</v>
      </c>
      <c r="B1293" s="0" t="s">
        <v>693</v>
      </c>
      <c r="C1293" s="0" t="s">
        <v>482</v>
      </c>
      <c r="D1293" s="0" t="n">
        <v>0</v>
      </c>
      <c r="E1293" s="0" t="n">
        <v>124.6421657</v>
      </c>
      <c r="F1293" s="0" t="n">
        <v>123.4168862</v>
      </c>
      <c r="G1293" s="0" t="n">
        <v>55.90953794</v>
      </c>
      <c r="H1293" s="0" t="n">
        <v>55.93907954</v>
      </c>
    </row>
    <row r="1294" customFormat="false" ht="15" hidden="false" customHeight="false" outlineLevel="0" collapsed="false">
      <c r="A1294" s="0" t="s">
        <v>2490</v>
      </c>
      <c r="B1294" s="0" t="s">
        <v>810</v>
      </c>
      <c r="C1294" s="0" t="s">
        <v>482</v>
      </c>
      <c r="D1294" s="0" t="n">
        <v>0</v>
      </c>
      <c r="E1294" s="0" t="n">
        <v>0.1519592537</v>
      </c>
      <c r="F1294" s="0" t="n">
        <v>0.2481756644</v>
      </c>
      <c r="G1294" s="0" t="n">
        <v>0.2000189652</v>
      </c>
      <c r="H1294" s="0" t="n">
        <v>0.2345243562</v>
      </c>
    </row>
    <row r="1295" customFormat="false" ht="15" hidden="false" customHeight="false" outlineLevel="0" collapsed="false">
      <c r="A1295" s="0" t="s">
        <v>2491</v>
      </c>
      <c r="B1295" s="0" t="s">
        <v>1052</v>
      </c>
      <c r="C1295" s="0" t="s">
        <v>482</v>
      </c>
      <c r="D1295" s="0" t="n">
        <v>0</v>
      </c>
      <c r="E1295" s="0" t="n">
        <v>0.002768326778</v>
      </c>
      <c r="F1295" s="0" t="n">
        <v>0.004432693548</v>
      </c>
      <c r="G1295" s="0" t="n">
        <v>0.003581178196</v>
      </c>
      <c r="H1295" s="0" t="n">
        <v>0.003987243573</v>
      </c>
    </row>
    <row r="1296" customFormat="false" ht="15" hidden="false" customHeight="false" outlineLevel="0" collapsed="false">
      <c r="A1296" s="0" t="s">
        <v>2492</v>
      </c>
      <c r="B1296" s="0" t="s">
        <v>820</v>
      </c>
      <c r="C1296" s="0" t="s">
        <v>482</v>
      </c>
      <c r="D1296" s="0" t="n">
        <v>0</v>
      </c>
      <c r="E1296" s="0" t="n">
        <v>0.233748493</v>
      </c>
      <c r="F1296" s="0" t="n">
        <v>0.4639118602</v>
      </c>
      <c r="G1296" s="0" t="n">
        <v>0.3624065943</v>
      </c>
      <c r="H1296" s="0" t="n">
        <v>0.4014671589</v>
      </c>
    </row>
    <row r="1297" customFormat="false" ht="15" hidden="false" customHeight="false" outlineLevel="0" collapsed="false">
      <c r="A1297" s="0" t="s">
        <v>2493</v>
      </c>
      <c r="B1297" s="0" t="s">
        <v>744</v>
      </c>
      <c r="C1297" s="0" t="s">
        <v>482</v>
      </c>
      <c r="D1297" s="0" t="n">
        <v>0</v>
      </c>
      <c r="E1297" s="0" t="n">
        <v>0.6293794993</v>
      </c>
      <c r="F1297" s="0" t="n">
        <v>1.054350611</v>
      </c>
      <c r="G1297" s="0" t="n">
        <v>0.8397835675</v>
      </c>
      <c r="H1297" s="0" t="n">
        <v>0.9844721462</v>
      </c>
    </row>
    <row r="1298" customFormat="false" ht="15" hidden="false" customHeight="false" outlineLevel="0" collapsed="false">
      <c r="A1298" s="0" t="s">
        <v>2494</v>
      </c>
      <c r="B1298" s="0" t="s">
        <v>1048</v>
      </c>
      <c r="C1298" s="0" t="s">
        <v>482</v>
      </c>
      <c r="D1298" s="0" t="n">
        <v>0</v>
      </c>
      <c r="E1298" s="0" t="n">
        <v>0.005835232885</v>
      </c>
      <c r="F1298" s="0" t="n">
        <v>0.01004075657</v>
      </c>
      <c r="G1298" s="0" t="n">
        <v>0.00850945071</v>
      </c>
      <c r="H1298" s="0" t="n">
        <v>0.009827503657</v>
      </c>
    </row>
    <row r="1299" customFormat="false" ht="15" hidden="false" customHeight="false" outlineLevel="0" collapsed="false">
      <c r="A1299" s="0" t="s">
        <v>2495</v>
      </c>
      <c r="B1299" s="0" t="s">
        <v>1050</v>
      </c>
      <c r="C1299" s="0" t="s">
        <v>482</v>
      </c>
      <c r="D1299" s="0" t="n">
        <v>0</v>
      </c>
      <c r="E1299" s="0" t="n">
        <v>0.004903094292</v>
      </c>
      <c r="F1299" s="0" t="n">
        <v>0.007541749073</v>
      </c>
      <c r="G1299" s="0" t="n">
        <v>0.006004661777</v>
      </c>
      <c r="H1299" s="0" t="n">
        <v>0.006628493682</v>
      </c>
    </row>
    <row r="1300" customFormat="false" ht="15" hidden="false" customHeight="false" outlineLevel="0" collapsed="false">
      <c r="A1300" s="0" t="s">
        <v>2496</v>
      </c>
      <c r="B1300" s="0" t="s">
        <v>990</v>
      </c>
      <c r="C1300" s="0" t="s">
        <v>482</v>
      </c>
      <c r="D1300" s="0" t="n">
        <v>0</v>
      </c>
      <c r="E1300" s="0" t="n">
        <v>0.02855157221</v>
      </c>
      <c r="F1300" s="0" t="n">
        <v>0.04667930296</v>
      </c>
      <c r="G1300" s="0" t="n">
        <v>0.03967703284</v>
      </c>
      <c r="H1300" s="0" t="n">
        <v>0.04569617597</v>
      </c>
    </row>
    <row r="1301" customFormat="false" ht="15" hidden="false" customHeight="false" outlineLevel="0" collapsed="false">
      <c r="A1301" s="0" t="s">
        <v>2497</v>
      </c>
      <c r="B1301" s="0" t="s">
        <v>1004</v>
      </c>
      <c r="C1301" s="0" t="s">
        <v>482</v>
      </c>
      <c r="D1301" s="0" t="n">
        <v>0</v>
      </c>
      <c r="E1301" s="0" t="n">
        <v>0.03931560895</v>
      </c>
      <c r="F1301" s="0" t="n">
        <v>0.06134528848</v>
      </c>
      <c r="G1301" s="0" t="n">
        <v>0.06091494524</v>
      </c>
      <c r="H1301" s="0" t="n">
        <v>0.07437089788</v>
      </c>
    </row>
    <row r="1302" customFormat="false" ht="15" hidden="false" customHeight="false" outlineLevel="0" collapsed="false">
      <c r="A1302" s="0" t="s">
        <v>2498</v>
      </c>
      <c r="B1302" s="0" t="s">
        <v>774</v>
      </c>
      <c r="C1302" s="0" t="s">
        <v>482</v>
      </c>
      <c r="D1302" s="0" t="n">
        <v>0</v>
      </c>
      <c r="E1302" s="0" t="n">
        <v>0.7942956129</v>
      </c>
      <c r="F1302" s="0" t="n">
        <v>1.234323513</v>
      </c>
      <c r="G1302" s="0" t="n">
        <v>1.041492343</v>
      </c>
      <c r="H1302" s="0" t="n">
        <v>1.14098633</v>
      </c>
    </row>
    <row r="1303" customFormat="false" ht="15" hidden="false" customHeight="false" outlineLevel="0" collapsed="false">
      <c r="A1303" s="0" t="s">
        <v>2499</v>
      </c>
      <c r="B1303" s="0" t="s">
        <v>930</v>
      </c>
      <c r="C1303" s="0" t="s">
        <v>482</v>
      </c>
      <c r="D1303" s="0" t="n">
        <v>0</v>
      </c>
      <c r="E1303" s="0" t="n">
        <v>0.0467629275</v>
      </c>
      <c r="F1303" s="0" t="n">
        <v>0.08161328599</v>
      </c>
      <c r="G1303" s="0" t="n">
        <v>0.06863144343</v>
      </c>
      <c r="H1303" s="0" t="n">
        <v>0.08011760623</v>
      </c>
    </row>
    <row r="1304" customFormat="false" ht="15" hidden="false" customHeight="false" outlineLevel="0" collapsed="false">
      <c r="A1304" s="0" t="s">
        <v>2500</v>
      </c>
      <c r="B1304" s="0" t="s">
        <v>878</v>
      </c>
      <c r="C1304" s="0" t="s">
        <v>482</v>
      </c>
      <c r="D1304" s="0" t="n">
        <v>0</v>
      </c>
      <c r="E1304" s="0" t="n">
        <v>0.03718874466</v>
      </c>
      <c r="F1304" s="0" t="n">
        <v>0.05582200435</v>
      </c>
      <c r="G1304" s="0" t="n">
        <v>0.04821155689</v>
      </c>
      <c r="H1304" s="0" t="n">
        <v>0.05801541752</v>
      </c>
    </row>
    <row r="1305" customFormat="false" ht="15" hidden="false" customHeight="false" outlineLevel="0" collapsed="false">
      <c r="A1305" s="0" t="s">
        <v>2501</v>
      </c>
      <c r="B1305" s="0" t="s">
        <v>1018</v>
      </c>
      <c r="C1305" s="0" t="s">
        <v>500</v>
      </c>
      <c r="D1305" s="0" t="n">
        <v>0</v>
      </c>
      <c r="E1305" s="0" t="n">
        <v>0.002646416409</v>
      </c>
      <c r="F1305" s="0" t="n">
        <v>0.002790822255</v>
      </c>
      <c r="G1305" s="0" t="n">
        <v>0.002926601652</v>
      </c>
      <c r="H1305" s="0" t="n">
        <v>0.003070376723</v>
      </c>
    </row>
    <row r="1306" customFormat="false" ht="15" hidden="false" customHeight="false" outlineLevel="0" collapsed="false">
      <c r="A1306" s="0" t="s">
        <v>2502</v>
      </c>
      <c r="B1306" s="0" t="s">
        <v>962</v>
      </c>
      <c r="C1306" s="0" t="s">
        <v>500</v>
      </c>
      <c r="D1306" s="0" t="n">
        <v>0</v>
      </c>
      <c r="E1306" s="0" t="n">
        <v>0.1041825404</v>
      </c>
      <c r="F1306" s="0" t="n">
        <v>0.1164674386</v>
      </c>
      <c r="G1306" s="0" t="n">
        <v>0.1596564504</v>
      </c>
      <c r="H1306" s="0" t="n">
        <v>0.2147725984</v>
      </c>
    </row>
    <row r="1307" customFormat="false" ht="15" hidden="false" customHeight="false" outlineLevel="0" collapsed="false">
      <c r="A1307" s="0" t="s">
        <v>2503</v>
      </c>
      <c r="B1307" s="0" t="s">
        <v>828</v>
      </c>
      <c r="C1307" s="0" t="s">
        <v>500</v>
      </c>
      <c r="D1307" s="0" t="n">
        <v>0</v>
      </c>
      <c r="E1307" s="0" t="n">
        <v>0.3569521016</v>
      </c>
      <c r="F1307" s="0" t="n">
        <v>0.3867785571</v>
      </c>
      <c r="G1307" s="0" t="n">
        <v>0.5088126715</v>
      </c>
      <c r="H1307" s="0" t="n">
        <v>0.6591352205</v>
      </c>
    </row>
    <row r="1308" customFormat="false" ht="15" hidden="false" customHeight="false" outlineLevel="0" collapsed="false">
      <c r="A1308" s="0" t="s">
        <v>2504</v>
      </c>
      <c r="B1308" s="0" t="s">
        <v>926</v>
      </c>
      <c r="C1308" s="0" t="s">
        <v>500</v>
      </c>
      <c r="D1308" s="0" t="n">
        <v>0</v>
      </c>
      <c r="E1308" s="0" t="n">
        <v>0.03077569076</v>
      </c>
      <c r="F1308" s="0" t="n">
        <v>0.03418602769</v>
      </c>
      <c r="G1308" s="0" t="n">
        <v>0.04076491541</v>
      </c>
      <c r="H1308" s="0" t="n">
        <v>0.04836894451</v>
      </c>
    </row>
    <row r="1309" customFormat="false" ht="15" hidden="false" customHeight="false" outlineLevel="0" collapsed="false">
      <c r="A1309" s="0" t="s">
        <v>2505</v>
      </c>
      <c r="B1309" s="0" t="s">
        <v>748</v>
      </c>
      <c r="C1309" s="0" t="s">
        <v>500</v>
      </c>
      <c r="D1309" s="0" t="n">
        <v>0</v>
      </c>
      <c r="E1309" s="0" t="n">
        <v>0.06224322786</v>
      </c>
      <c r="F1309" s="0" t="n">
        <v>0.067885471</v>
      </c>
      <c r="G1309" s="0" t="n">
        <v>0.0711230752</v>
      </c>
      <c r="H1309" s="0" t="n">
        <v>0.07461713635</v>
      </c>
    </row>
    <row r="1310" customFormat="false" ht="15" hidden="false" customHeight="false" outlineLevel="0" collapsed="false">
      <c r="A1310" s="0" t="s">
        <v>2506</v>
      </c>
      <c r="B1310" s="0" t="s">
        <v>736</v>
      </c>
      <c r="C1310" s="0" t="s">
        <v>500</v>
      </c>
      <c r="D1310" s="0" t="n">
        <v>0</v>
      </c>
      <c r="E1310" s="0" t="n">
        <v>2.506628417</v>
      </c>
      <c r="F1310" s="0" t="n">
        <v>2.520799643</v>
      </c>
      <c r="G1310" s="0" t="n">
        <v>2.300517436</v>
      </c>
      <c r="H1310" s="0" t="n">
        <v>2.105576496</v>
      </c>
    </row>
    <row r="1311" customFormat="false" ht="15" hidden="false" customHeight="false" outlineLevel="0" collapsed="false">
      <c r="A1311" s="0" t="s">
        <v>2507</v>
      </c>
      <c r="B1311" s="0" t="s">
        <v>920</v>
      </c>
      <c r="C1311" s="0" t="s">
        <v>500</v>
      </c>
      <c r="D1311" s="0" t="n">
        <v>0</v>
      </c>
      <c r="E1311" s="0" t="n">
        <v>0.14840039</v>
      </c>
      <c r="F1311" s="0" t="n">
        <v>0.1547545201</v>
      </c>
      <c r="G1311" s="0" t="n">
        <v>0.1513506183</v>
      </c>
      <c r="H1311" s="0" t="n">
        <v>0.1483408948</v>
      </c>
    </row>
    <row r="1312" customFormat="false" ht="15" hidden="false" customHeight="false" outlineLevel="0" collapsed="false">
      <c r="A1312" s="0" t="s">
        <v>2508</v>
      </c>
      <c r="B1312" s="0" t="s">
        <v>1038</v>
      </c>
      <c r="C1312" s="0" t="s">
        <v>500</v>
      </c>
      <c r="D1312" s="0" t="n">
        <v>0</v>
      </c>
      <c r="E1312" s="0" t="n">
        <v>0.0009410014072</v>
      </c>
      <c r="F1312" s="0" t="n">
        <v>0.00100531518</v>
      </c>
      <c r="G1312" s="0" t="n">
        <v>0.001053816535</v>
      </c>
      <c r="H1312" s="0" t="n">
        <v>0.001105587348</v>
      </c>
    </row>
    <row r="1313" customFormat="false" ht="15" hidden="false" customHeight="false" outlineLevel="0" collapsed="false">
      <c r="A1313" s="0" t="s">
        <v>2509</v>
      </c>
      <c r="B1313" s="0" t="s">
        <v>718</v>
      </c>
      <c r="C1313" s="0" t="s">
        <v>500</v>
      </c>
      <c r="D1313" s="0" t="n">
        <v>0</v>
      </c>
      <c r="E1313" s="0" t="n">
        <v>2.661498689</v>
      </c>
      <c r="F1313" s="0" t="n">
        <v>2.566442546</v>
      </c>
      <c r="G1313" s="0" t="n">
        <v>2.324157559</v>
      </c>
      <c r="H1313" s="0" t="n">
        <v>0</v>
      </c>
    </row>
    <row r="1314" customFormat="false" ht="15" hidden="false" customHeight="false" outlineLevel="0" collapsed="false">
      <c r="A1314" s="0" t="s">
        <v>2510</v>
      </c>
      <c r="B1314" s="0" t="s">
        <v>758</v>
      </c>
      <c r="C1314" s="0" t="s">
        <v>500</v>
      </c>
      <c r="D1314" s="0" t="n">
        <v>0</v>
      </c>
      <c r="E1314" s="0" t="n">
        <v>0.954936321</v>
      </c>
      <c r="F1314" s="0" t="n">
        <v>0.8872564513</v>
      </c>
      <c r="G1314" s="0" t="n">
        <v>0.7958141688</v>
      </c>
      <c r="H1314" s="0" t="n">
        <v>0</v>
      </c>
    </row>
    <row r="1315" customFormat="false" ht="15" hidden="false" customHeight="false" outlineLevel="0" collapsed="false">
      <c r="A1315" s="0" t="s">
        <v>2511</v>
      </c>
      <c r="B1315" s="0" t="s">
        <v>868</v>
      </c>
      <c r="C1315" s="0" t="s">
        <v>500</v>
      </c>
      <c r="D1315" s="0" t="n">
        <v>0</v>
      </c>
      <c r="E1315" s="0" t="n">
        <v>0.6612204879</v>
      </c>
      <c r="F1315" s="0" t="n">
        <v>0.6425619578</v>
      </c>
      <c r="G1315" s="0" t="n">
        <v>0.6297547931</v>
      </c>
      <c r="H1315" s="0" t="n">
        <v>0.6166448822</v>
      </c>
    </row>
    <row r="1316" customFormat="false" ht="15" hidden="false" customHeight="false" outlineLevel="0" collapsed="false">
      <c r="A1316" s="0" t="s">
        <v>2512</v>
      </c>
      <c r="B1316" s="0" t="s">
        <v>1012</v>
      </c>
      <c r="C1316" s="0" t="s">
        <v>500</v>
      </c>
      <c r="D1316" s="0" t="n">
        <v>0</v>
      </c>
      <c r="E1316" s="0" t="n">
        <v>0.0006042893385</v>
      </c>
      <c r="F1316" s="0" t="n">
        <v>0.0006456504596</v>
      </c>
      <c r="G1316" s="0" t="n">
        <v>0.0007565580755</v>
      </c>
      <c r="H1316" s="0" t="n">
        <v>0.0008814678341</v>
      </c>
    </row>
    <row r="1317" customFormat="false" ht="15" hidden="false" customHeight="false" outlineLevel="0" collapsed="false">
      <c r="A1317" s="0" t="s">
        <v>2513</v>
      </c>
      <c r="B1317" s="0" t="s">
        <v>742</v>
      </c>
      <c r="C1317" s="0" t="s">
        <v>500</v>
      </c>
      <c r="D1317" s="0" t="n">
        <v>0</v>
      </c>
      <c r="E1317" s="0" t="n">
        <v>2.82679687</v>
      </c>
      <c r="F1317" s="0" t="n">
        <v>2.627029446</v>
      </c>
      <c r="G1317" s="0" t="n">
        <v>2.360754697</v>
      </c>
      <c r="H1317" s="0" t="n">
        <v>0</v>
      </c>
    </row>
    <row r="1318" customFormat="false" ht="15" hidden="false" customHeight="false" outlineLevel="0" collapsed="false">
      <c r="A1318" s="0" t="s">
        <v>2514</v>
      </c>
      <c r="B1318" s="0" t="s">
        <v>934</v>
      </c>
      <c r="C1318" s="0" t="s">
        <v>500</v>
      </c>
      <c r="D1318" s="0" t="n">
        <v>0</v>
      </c>
      <c r="E1318" s="0" t="n">
        <v>0.009218327086</v>
      </c>
      <c r="F1318" s="0" t="n">
        <v>0.01187695921</v>
      </c>
      <c r="G1318" s="0" t="n">
        <v>0.01628338803</v>
      </c>
      <c r="H1318" s="0" t="n">
        <v>0.0219045386</v>
      </c>
    </row>
    <row r="1319" customFormat="false" ht="15" hidden="false" customHeight="false" outlineLevel="0" collapsed="false">
      <c r="A1319" s="0" t="s">
        <v>2515</v>
      </c>
      <c r="B1319" s="0" t="s">
        <v>938</v>
      </c>
      <c r="C1319" s="0" t="s">
        <v>500</v>
      </c>
      <c r="D1319" s="0" t="n">
        <v>0</v>
      </c>
      <c r="E1319" s="0" t="n">
        <v>0.02019252234</v>
      </c>
      <c r="F1319" s="0" t="n">
        <v>0.02414990117</v>
      </c>
      <c r="G1319" s="0" t="n">
        <v>0.03308633439</v>
      </c>
      <c r="H1319" s="0" t="n">
        <v>0.04450830512</v>
      </c>
    </row>
    <row r="1320" customFormat="false" ht="15" hidden="false" customHeight="false" outlineLevel="0" collapsed="false">
      <c r="A1320" s="0" t="s">
        <v>2516</v>
      </c>
      <c r="B1320" s="0" t="s">
        <v>756</v>
      </c>
      <c r="C1320" s="0" t="s">
        <v>500</v>
      </c>
      <c r="D1320" s="0" t="n">
        <v>0</v>
      </c>
      <c r="E1320" s="0" t="n">
        <v>0.6768649807</v>
      </c>
      <c r="F1320" s="0" t="n">
        <v>0.7043738537</v>
      </c>
      <c r="G1320" s="0" t="n">
        <v>0.7393002218</v>
      </c>
      <c r="H1320" s="0" t="n">
        <v>0.7778573046</v>
      </c>
    </row>
    <row r="1321" customFormat="false" ht="15" hidden="false" customHeight="false" outlineLevel="0" collapsed="false">
      <c r="A1321" s="0" t="s">
        <v>2517</v>
      </c>
      <c r="B1321" s="0" t="s">
        <v>830</v>
      </c>
      <c r="C1321" s="0" t="s">
        <v>500</v>
      </c>
      <c r="D1321" s="0" t="n">
        <v>0</v>
      </c>
      <c r="E1321" s="0" t="n">
        <v>0.1601020858</v>
      </c>
      <c r="F1321" s="0" t="n">
        <v>0.1600128352</v>
      </c>
      <c r="G1321" s="0" t="n">
        <v>0.1618456869</v>
      </c>
      <c r="H1321" s="0" t="n">
        <v>0.1640395606</v>
      </c>
    </row>
    <row r="1322" customFormat="false" ht="15" hidden="false" customHeight="false" outlineLevel="0" collapsed="false">
      <c r="A1322" s="0" t="s">
        <v>2518</v>
      </c>
      <c r="B1322" s="0" t="s">
        <v>898</v>
      </c>
      <c r="C1322" s="0" t="s">
        <v>500</v>
      </c>
      <c r="D1322" s="0" t="n">
        <v>0</v>
      </c>
      <c r="E1322" s="0" t="n">
        <v>0.01927300806</v>
      </c>
      <c r="F1322" s="0" t="n">
        <v>0.01825300478</v>
      </c>
      <c r="G1322" s="0" t="n">
        <v>0.0191986983</v>
      </c>
      <c r="H1322" s="0" t="n">
        <v>0.02010943179</v>
      </c>
    </row>
    <row r="1323" customFormat="false" ht="15" hidden="false" customHeight="false" outlineLevel="0" collapsed="false">
      <c r="A1323" s="0" t="s">
        <v>2519</v>
      </c>
      <c r="B1323" s="0" t="s">
        <v>976</v>
      </c>
      <c r="C1323" s="0" t="s">
        <v>500</v>
      </c>
      <c r="D1323" s="0" t="n">
        <v>0</v>
      </c>
      <c r="E1323" s="0" t="n">
        <v>0.0113352044</v>
      </c>
      <c r="F1323" s="0" t="n">
        <v>0.01188577308</v>
      </c>
      <c r="G1323" s="0" t="n">
        <v>0.01246634033</v>
      </c>
      <c r="H1323" s="0" t="n">
        <v>0.01307877385</v>
      </c>
    </row>
    <row r="1324" customFormat="false" ht="15" hidden="false" customHeight="false" outlineLevel="0" collapsed="false">
      <c r="A1324" s="0" t="s">
        <v>2520</v>
      </c>
      <c r="B1324" s="0" t="s">
        <v>924</v>
      </c>
      <c r="C1324" s="0" t="s">
        <v>500</v>
      </c>
      <c r="D1324" s="0" t="n">
        <v>0</v>
      </c>
      <c r="E1324" s="0" t="n">
        <v>0.04346030634</v>
      </c>
      <c r="F1324" s="0" t="n">
        <v>0.043476095</v>
      </c>
      <c r="G1324" s="0" t="n">
        <v>0.04527588948</v>
      </c>
      <c r="H1324" s="0" t="n">
        <v>0.04720860008</v>
      </c>
    </row>
    <row r="1325" customFormat="false" ht="15" hidden="false" customHeight="false" outlineLevel="0" collapsed="false">
      <c r="A1325" s="0" t="s">
        <v>2521</v>
      </c>
      <c r="B1325" s="0" t="s">
        <v>864</v>
      </c>
      <c r="C1325" s="0" t="s">
        <v>500</v>
      </c>
      <c r="D1325" s="0" t="n">
        <v>0</v>
      </c>
      <c r="E1325" s="0" t="n">
        <v>0.337568638</v>
      </c>
      <c r="F1325" s="0" t="n">
        <v>0.3221486889</v>
      </c>
      <c r="G1325" s="0" t="n">
        <v>0.3200580484</v>
      </c>
      <c r="H1325" s="0" t="n">
        <v>0.3177317606</v>
      </c>
    </row>
    <row r="1326" customFormat="false" ht="15" hidden="false" customHeight="false" outlineLevel="0" collapsed="false">
      <c r="A1326" s="0" t="s">
        <v>2522</v>
      </c>
      <c r="B1326" s="0" t="s">
        <v>1022</v>
      </c>
      <c r="C1326" s="0" t="s">
        <v>500</v>
      </c>
      <c r="D1326" s="0" t="n">
        <v>0</v>
      </c>
      <c r="E1326" s="0" t="n">
        <v>0.0132249101</v>
      </c>
      <c r="F1326" s="0" t="n">
        <v>0.01413130315</v>
      </c>
      <c r="G1326" s="0" t="n">
        <v>0.01704574845</v>
      </c>
      <c r="H1326" s="0" t="n">
        <v>0.02039751571</v>
      </c>
    </row>
    <row r="1327" customFormat="false" ht="15" hidden="false" customHeight="false" outlineLevel="0" collapsed="false">
      <c r="A1327" s="0" t="s">
        <v>2523</v>
      </c>
      <c r="B1327" s="0" t="s">
        <v>896</v>
      </c>
      <c r="C1327" s="0" t="s">
        <v>500</v>
      </c>
      <c r="D1327" s="0" t="n">
        <v>0</v>
      </c>
      <c r="E1327" s="0" t="n">
        <v>0.1467641296</v>
      </c>
      <c r="F1327" s="0" t="n">
        <v>0.127130674</v>
      </c>
      <c r="G1327" s="0" t="n">
        <v>0.1584894229</v>
      </c>
      <c r="H1327" s="0" t="n">
        <v>0.1950085815</v>
      </c>
    </row>
    <row r="1328" customFormat="false" ht="15" hidden="false" customHeight="false" outlineLevel="0" collapsed="false">
      <c r="A1328" s="0" t="s">
        <v>2524</v>
      </c>
      <c r="B1328" s="0" t="s">
        <v>710</v>
      </c>
      <c r="C1328" s="0" t="s">
        <v>500</v>
      </c>
      <c r="D1328" s="0" t="n">
        <v>0</v>
      </c>
      <c r="E1328" s="0" t="n">
        <v>2.114520142</v>
      </c>
      <c r="F1328" s="0" t="n">
        <v>2.203414481</v>
      </c>
      <c r="G1328" s="0" t="n">
        <v>2.582538179</v>
      </c>
      <c r="H1328" s="0" t="n">
        <v>3.01851941</v>
      </c>
    </row>
    <row r="1329" customFormat="false" ht="15" hidden="false" customHeight="false" outlineLevel="0" collapsed="false">
      <c r="A1329" s="0" t="s">
        <v>2525</v>
      </c>
      <c r="B1329" s="0" t="s">
        <v>1000</v>
      </c>
      <c r="C1329" s="0" t="s">
        <v>500</v>
      </c>
      <c r="D1329" s="0" t="n">
        <v>0</v>
      </c>
      <c r="E1329" s="0" t="n">
        <v>0.005819530982</v>
      </c>
      <c r="F1329" s="0" t="n">
        <v>0.005917171343</v>
      </c>
      <c r="G1329" s="0" t="n">
        <v>0.005774675394</v>
      </c>
      <c r="H1329" s="0" t="n">
        <v>0.005669017315</v>
      </c>
    </row>
    <row r="1330" customFormat="false" ht="15" hidden="false" customHeight="false" outlineLevel="0" collapsed="false">
      <c r="A1330" s="0" t="s">
        <v>2526</v>
      </c>
      <c r="B1330" s="0" t="s">
        <v>980</v>
      </c>
      <c r="C1330" s="0" t="s">
        <v>500</v>
      </c>
      <c r="D1330" s="0" t="n">
        <v>0</v>
      </c>
      <c r="E1330" s="0" t="n">
        <v>0.007756588576</v>
      </c>
      <c r="F1330" s="0" t="n">
        <v>0.007922344495</v>
      </c>
      <c r="G1330" s="0" t="n">
        <v>0.00773500906</v>
      </c>
      <c r="H1330" s="0" t="n">
        <v>0.007598023476</v>
      </c>
    </row>
    <row r="1331" customFormat="false" ht="15" hidden="false" customHeight="false" outlineLevel="0" collapsed="false">
      <c r="A1331" s="0" t="s">
        <v>2527</v>
      </c>
      <c r="B1331" s="0" t="s">
        <v>1020</v>
      </c>
      <c r="C1331" s="0" t="s">
        <v>500</v>
      </c>
      <c r="D1331" s="0" t="n">
        <v>0</v>
      </c>
      <c r="E1331" s="0" t="n">
        <v>0.001870690608</v>
      </c>
      <c r="F1331" s="0" t="n">
        <v>0.002441551916</v>
      </c>
      <c r="G1331" s="0" t="n">
        <v>0.003211175416</v>
      </c>
      <c r="H1331" s="0" t="n">
        <v>0.004159878349</v>
      </c>
    </row>
    <row r="1332" customFormat="false" ht="15" hidden="false" customHeight="false" outlineLevel="0" collapsed="false">
      <c r="A1332" s="0" t="s">
        <v>2528</v>
      </c>
      <c r="B1332" s="0" t="s">
        <v>952</v>
      </c>
      <c r="C1332" s="0" t="s">
        <v>500</v>
      </c>
      <c r="D1332" s="0" t="n">
        <v>0</v>
      </c>
      <c r="E1332" s="0" t="n">
        <v>0.005035824519</v>
      </c>
      <c r="F1332" s="0" t="n">
        <v>0.005828187265</v>
      </c>
      <c r="G1332" s="0" t="n">
        <v>0.006894702462</v>
      </c>
      <c r="H1332" s="0" t="n">
        <v>0.008124070089</v>
      </c>
    </row>
    <row r="1333" customFormat="false" ht="15" hidden="false" customHeight="false" outlineLevel="0" collapsed="false">
      <c r="A1333" s="0" t="s">
        <v>2529</v>
      </c>
      <c r="B1333" s="0" t="s">
        <v>1026</v>
      </c>
      <c r="C1333" s="0" t="s">
        <v>500</v>
      </c>
      <c r="D1333" s="0" t="n">
        <v>0</v>
      </c>
      <c r="E1333" s="0" t="n">
        <v>0.002981158192</v>
      </c>
      <c r="F1333" s="0" t="n">
        <v>0.003285315851</v>
      </c>
      <c r="G1333" s="0" t="n">
        <v>0.004504814433</v>
      </c>
      <c r="H1333" s="0" t="n">
        <v>0.006059953724</v>
      </c>
    </row>
    <row r="1334" customFormat="false" ht="15" hidden="false" customHeight="false" outlineLevel="0" collapsed="false">
      <c r="A1334" s="0" t="s">
        <v>2530</v>
      </c>
      <c r="B1334" s="0" t="s">
        <v>708</v>
      </c>
      <c r="C1334" s="0" t="s">
        <v>500</v>
      </c>
      <c r="D1334" s="0" t="n">
        <v>0</v>
      </c>
      <c r="E1334" s="0" t="n">
        <v>12.41376365</v>
      </c>
      <c r="F1334" s="0" t="n">
        <v>11.76527456</v>
      </c>
      <c r="G1334" s="0" t="n">
        <v>10.54718915</v>
      </c>
      <c r="H1334" s="0" t="n">
        <v>0</v>
      </c>
    </row>
    <row r="1335" customFormat="false" ht="15" hidden="false" customHeight="false" outlineLevel="0" collapsed="false">
      <c r="A1335" s="0" t="s">
        <v>2531</v>
      </c>
      <c r="B1335" s="0" t="s">
        <v>734</v>
      </c>
      <c r="C1335" s="0" t="s">
        <v>500</v>
      </c>
      <c r="D1335" s="0" t="n">
        <v>0</v>
      </c>
      <c r="E1335" s="0" t="n">
        <v>0.9519395807</v>
      </c>
      <c r="F1335" s="0" t="n">
        <v>0.8974358182</v>
      </c>
      <c r="G1335" s="0" t="n">
        <v>0.8018128429</v>
      </c>
      <c r="H1335" s="0" t="n">
        <v>0</v>
      </c>
    </row>
    <row r="1336" customFormat="false" ht="15" hidden="false" customHeight="false" outlineLevel="0" collapsed="false">
      <c r="A1336" s="0" t="s">
        <v>2532</v>
      </c>
      <c r="B1336" s="0" t="s">
        <v>782</v>
      </c>
      <c r="C1336" s="0" t="s">
        <v>500</v>
      </c>
      <c r="D1336" s="0" t="n">
        <v>0</v>
      </c>
      <c r="E1336" s="0" t="n">
        <v>0.510772543</v>
      </c>
      <c r="F1336" s="0" t="n">
        <v>0.526697919</v>
      </c>
      <c r="G1336" s="0" t="n">
        <v>0.5283634992</v>
      </c>
      <c r="H1336" s="0" t="n">
        <v>0.5326031172</v>
      </c>
    </row>
    <row r="1337" customFormat="false" ht="15" hidden="false" customHeight="false" outlineLevel="0" collapsed="false">
      <c r="A1337" s="0" t="s">
        <v>2533</v>
      </c>
      <c r="B1337" s="0" t="s">
        <v>696</v>
      </c>
      <c r="C1337" s="0" t="s">
        <v>500</v>
      </c>
      <c r="D1337" s="0" t="n">
        <v>0</v>
      </c>
      <c r="E1337" s="0" t="n">
        <v>41.29275648</v>
      </c>
      <c r="F1337" s="0" t="n">
        <v>44.19408324</v>
      </c>
      <c r="G1337" s="0" t="n">
        <v>47.16631402</v>
      </c>
      <c r="H1337" s="0" t="n">
        <v>50.60354858</v>
      </c>
    </row>
    <row r="1338" customFormat="false" ht="15" hidden="false" customHeight="false" outlineLevel="0" collapsed="false">
      <c r="A1338" s="0" t="s">
        <v>2534</v>
      </c>
      <c r="B1338" s="0" t="s">
        <v>836</v>
      </c>
      <c r="C1338" s="0" t="s">
        <v>500</v>
      </c>
      <c r="D1338" s="0" t="n">
        <v>0</v>
      </c>
      <c r="E1338" s="0" t="n">
        <v>0.1353698688</v>
      </c>
      <c r="F1338" s="0" t="n">
        <v>0.1634045445</v>
      </c>
      <c r="G1338" s="0" t="n">
        <v>0.2054306213</v>
      </c>
      <c r="H1338" s="0" t="n">
        <v>0.2571733087</v>
      </c>
    </row>
    <row r="1339" customFormat="false" ht="15" hidden="false" customHeight="false" outlineLevel="0" collapsed="false">
      <c r="A1339" s="0" t="s">
        <v>2535</v>
      </c>
      <c r="B1339" s="0" t="s">
        <v>880</v>
      </c>
      <c r="C1339" s="0" t="s">
        <v>500</v>
      </c>
      <c r="D1339" s="0" t="n">
        <v>0</v>
      </c>
      <c r="E1339" s="0" t="n">
        <v>0.03601620429</v>
      </c>
      <c r="F1339" s="0" t="n">
        <v>0.04057531283</v>
      </c>
      <c r="G1339" s="0" t="n">
        <v>0.05333578661</v>
      </c>
      <c r="H1339" s="0" t="n">
        <v>0.06909319959</v>
      </c>
    </row>
    <row r="1340" customFormat="false" ht="15" hidden="false" customHeight="false" outlineLevel="0" collapsed="false">
      <c r="A1340" s="0" t="s">
        <v>2536</v>
      </c>
      <c r="B1340" s="0" t="s">
        <v>850</v>
      </c>
      <c r="C1340" s="0" t="s">
        <v>500</v>
      </c>
      <c r="D1340" s="0" t="n">
        <v>0</v>
      </c>
      <c r="E1340" s="0" t="n">
        <v>0.004963404603</v>
      </c>
      <c r="F1340" s="0" t="n">
        <v>0.00616009836</v>
      </c>
      <c r="G1340" s="0" t="n">
        <v>0.008441096359</v>
      </c>
      <c r="H1340" s="0" t="n">
        <v>0.01135510776</v>
      </c>
    </row>
    <row r="1341" customFormat="false" ht="15" hidden="false" customHeight="false" outlineLevel="0" collapsed="false">
      <c r="A1341" s="0" t="s">
        <v>2537</v>
      </c>
      <c r="B1341" s="0" t="s">
        <v>978</v>
      </c>
      <c r="C1341" s="0" t="s">
        <v>500</v>
      </c>
      <c r="D1341" s="0" t="n">
        <v>0</v>
      </c>
      <c r="E1341" s="0" t="n">
        <v>0.005734051727</v>
      </c>
      <c r="F1341" s="0" t="n">
        <v>0.006340100523</v>
      </c>
      <c r="G1341" s="0" t="n">
        <v>0.008336709079</v>
      </c>
      <c r="H1341" s="0" t="n">
        <v>0.01079968893</v>
      </c>
    </row>
    <row r="1342" customFormat="false" ht="15" hidden="false" customHeight="false" outlineLevel="0" collapsed="false">
      <c r="A1342" s="0" t="s">
        <v>2538</v>
      </c>
      <c r="B1342" s="0" t="s">
        <v>766</v>
      </c>
      <c r="C1342" s="0" t="s">
        <v>500</v>
      </c>
      <c r="D1342" s="0" t="n">
        <v>0</v>
      </c>
      <c r="E1342" s="0" t="n">
        <v>0.5978194086</v>
      </c>
      <c r="F1342" s="0" t="n">
        <v>0.5998699776</v>
      </c>
      <c r="G1342" s="0" t="n">
        <v>0.6271806065</v>
      </c>
      <c r="H1342" s="0" t="n">
        <v>0.6583915582</v>
      </c>
    </row>
    <row r="1343" customFormat="false" ht="15" hidden="false" customHeight="false" outlineLevel="0" collapsed="false">
      <c r="A1343" s="0" t="s">
        <v>2539</v>
      </c>
      <c r="B1343" s="0" t="s">
        <v>1044</v>
      </c>
      <c r="C1343" s="0" t="s">
        <v>500</v>
      </c>
      <c r="D1343" s="0" t="n">
        <v>0</v>
      </c>
      <c r="E1343" s="0" t="n">
        <v>0.003059178017</v>
      </c>
      <c r="F1343" s="0" t="n">
        <v>0.003558012531</v>
      </c>
      <c r="G1343" s="0" t="n">
        <v>0.004875086008</v>
      </c>
      <c r="H1343" s="0" t="n">
        <v>0.006558049405</v>
      </c>
    </row>
    <row r="1344" customFormat="false" ht="15" hidden="false" customHeight="false" outlineLevel="0" collapsed="false">
      <c r="A1344" s="0" t="s">
        <v>2540</v>
      </c>
      <c r="B1344" s="0" t="s">
        <v>1024</v>
      </c>
      <c r="C1344" s="0" t="s">
        <v>500</v>
      </c>
      <c r="D1344" s="0" t="n">
        <v>0</v>
      </c>
      <c r="E1344" s="0" t="n">
        <v>0.002936082987</v>
      </c>
      <c r="F1344" s="0" t="n">
        <v>0.003485849389</v>
      </c>
      <c r="G1344" s="0" t="n">
        <v>0.004580114622</v>
      </c>
      <c r="H1344" s="0" t="n">
        <v>0.005933254085</v>
      </c>
    </row>
    <row r="1345" customFormat="false" ht="15" hidden="false" customHeight="false" outlineLevel="0" collapsed="false">
      <c r="A1345" s="0" t="s">
        <v>2541</v>
      </c>
      <c r="B1345" s="0" t="s">
        <v>838</v>
      </c>
      <c r="C1345" s="0" t="s">
        <v>500</v>
      </c>
      <c r="D1345" s="0" t="n">
        <v>0</v>
      </c>
      <c r="E1345" s="0" t="n">
        <v>0.02561675081</v>
      </c>
      <c r="F1345" s="0" t="n">
        <v>0.0288035573</v>
      </c>
      <c r="G1345" s="0" t="n">
        <v>0.03470531202</v>
      </c>
      <c r="H1345" s="0" t="n">
        <v>0.04152954324</v>
      </c>
    </row>
    <row r="1346" customFormat="false" ht="15" hidden="false" customHeight="false" outlineLevel="0" collapsed="false">
      <c r="A1346" s="0" t="s">
        <v>2542</v>
      </c>
      <c r="B1346" s="0" t="s">
        <v>906</v>
      </c>
      <c r="C1346" s="0" t="s">
        <v>500</v>
      </c>
      <c r="D1346" s="0" t="n">
        <v>0</v>
      </c>
      <c r="E1346" s="0" t="n">
        <v>0.0182305806</v>
      </c>
      <c r="F1346" s="0" t="n">
        <v>0.01974217029</v>
      </c>
      <c r="G1346" s="0" t="n">
        <v>0.02068721505</v>
      </c>
      <c r="H1346" s="0" t="n">
        <v>0.001053715854</v>
      </c>
    </row>
    <row r="1347" customFormat="false" ht="15" hidden="false" customHeight="false" outlineLevel="0" collapsed="false">
      <c r="A1347" s="0" t="s">
        <v>2543</v>
      </c>
      <c r="B1347" s="0" t="s">
        <v>778</v>
      </c>
      <c r="C1347" s="0" t="s">
        <v>500</v>
      </c>
      <c r="D1347" s="0" t="n">
        <v>0</v>
      </c>
      <c r="E1347" s="0" t="n">
        <v>1.595003829</v>
      </c>
      <c r="F1347" s="0" t="n">
        <v>1.549527885</v>
      </c>
      <c r="G1347" s="0" t="n">
        <v>1.410308055</v>
      </c>
      <c r="H1347" s="0" t="n">
        <v>0</v>
      </c>
    </row>
    <row r="1348" customFormat="false" ht="15" hidden="false" customHeight="false" outlineLevel="0" collapsed="false">
      <c r="A1348" s="0" t="s">
        <v>2544</v>
      </c>
      <c r="B1348" s="0" t="s">
        <v>700</v>
      </c>
      <c r="C1348" s="0" t="s">
        <v>500</v>
      </c>
      <c r="D1348" s="0" t="n">
        <v>0</v>
      </c>
      <c r="E1348" s="0" t="n">
        <v>16.71286137</v>
      </c>
      <c r="F1348" s="0" t="n">
        <v>15.58876721</v>
      </c>
      <c r="G1348" s="0" t="n">
        <v>14.02392476</v>
      </c>
      <c r="H1348" s="0" t="n">
        <v>0</v>
      </c>
    </row>
    <row r="1349" customFormat="false" ht="15" hidden="false" customHeight="false" outlineLevel="0" collapsed="false">
      <c r="A1349" s="0" t="s">
        <v>2545</v>
      </c>
      <c r="B1349" s="0" t="s">
        <v>1014</v>
      </c>
      <c r="C1349" s="0" t="s">
        <v>500</v>
      </c>
      <c r="D1349" s="0" t="n">
        <v>0</v>
      </c>
      <c r="E1349" s="0" t="n">
        <v>0.003984618356</v>
      </c>
      <c r="F1349" s="0" t="n">
        <v>0.004939409175</v>
      </c>
      <c r="G1349" s="0" t="n">
        <v>0.00649106706</v>
      </c>
      <c r="H1349" s="0" t="n">
        <v>0.008408774305</v>
      </c>
    </row>
    <row r="1350" customFormat="false" ht="15" hidden="false" customHeight="false" outlineLevel="0" collapsed="false">
      <c r="A1350" s="0" t="s">
        <v>2546</v>
      </c>
      <c r="B1350" s="0" t="s">
        <v>1058</v>
      </c>
      <c r="C1350" s="0" t="s">
        <v>500</v>
      </c>
      <c r="D1350" s="0" t="n">
        <v>0</v>
      </c>
      <c r="E1350" s="0" t="n">
        <v>0.0006932976193</v>
      </c>
      <c r="F1350" s="0" t="n">
        <v>0.0007674525256</v>
      </c>
      <c r="G1350" s="0" t="n">
        <v>0.0009249512685</v>
      </c>
      <c r="H1350" s="0" t="n">
        <v>0.001106827787</v>
      </c>
    </row>
    <row r="1351" customFormat="false" ht="15" hidden="false" customHeight="false" outlineLevel="0" collapsed="false">
      <c r="A1351" s="0" t="s">
        <v>2547</v>
      </c>
      <c r="B1351" s="0" t="s">
        <v>768</v>
      </c>
      <c r="C1351" s="0" t="s">
        <v>500</v>
      </c>
      <c r="D1351" s="0" t="n">
        <v>0</v>
      </c>
      <c r="E1351" s="0" t="n">
        <v>0.5758462128</v>
      </c>
      <c r="F1351" s="0" t="n">
        <v>0.5530790703</v>
      </c>
      <c r="G1351" s="0" t="n">
        <v>0.4970260508</v>
      </c>
      <c r="H1351" s="0" t="n">
        <v>0</v>
      </c>
    </row>
    <row r="1352" customFormat="false" ht="15" hidden="false" customHeight="false" outlineLevel="0" collapsed="false">
      <c r="A1352" s="0" t="s">
        <v>2548</v>
      </c>
      <c r="B1352" s="0" t="s">
        <v>818</v>
      </c>
      <c r="C1352" s="0" t="s">
        <v>500</v>
      </c>
      <c r="D1352" s="0" t="n">
        <v>0</v>
      </c>
      <c r="E1352" s="0" t="n">
        <v>0.1374380037</v>
      </c>
      <c r="F1352" s="0" t="n">
        <v>0.1544208994</v>
      </c>
      <c r="G1352" s="0" t="n">
        <v>0.1841838289</v>
      </c>
      <c r="H1352" s="0" t="n">
        <v>0.2186173717</v>
      </c>
    </row>
    <row r="1353" customFormat="false" ht="15" hidden="false" customHeight="false" outlineLevel="0" collapsed="false">
      <c r="A1353" s="0" t="s">
        <v>2549</v>
      </c>
      <c r="B1353" s="0" t="s">
        <v>788</v>
      </c>
      <c r="C1353" s="0" t="s">
        <v>500</v>
      </c>
      <c r="D1353" s="0" t="n">
        <v>0</v>
      </c>
      <c r="E1353" s="0" t="n">
        <v>2.076112495</v>
      </c>
      <c r="F1353" s="0" t="n">
        <v>2.124320091</v>
      </c>
      <c r="G1353" s="0" t="n">
        <v>2.145726928</v>
      </c>
      <c r="H1353" s="0" t="n">
        <v>2.178990117</v>
      </c>
    </row>
    <row r="1354" customFormat="false" ht="15" hidden="false" customHeight="false" outlineLevel="0" collapsed="false">
      <c r="A1354" s="0" t="s">
        <v>2550</v>
      </c>
      <c r="B1354" s="0" t="s">
        <v>824</v>
      </c>
      <c r="C1354" s="0" t="s">
        <v>500</v>
      </c>
      <c r="D1354" s="0" t="n">
        <v>0</v>
      </c>
      <c r="E1354" s="0" t="n">
        <v>0.2286396501</v>
      </c>
      <c r="F1354" s="0" t="n">
        <v>0.2472353976</v>
      </c>
      <c r="G1354" s="0" t="n">
        <v>0.2981047538</v>
      </c>
      <c r="H1354" s="0" t="n">
        <v>0.3566989348</v>
      </c>
    </row>
    <row r="1355" customFormat="false" ht="15" hidden="false" customHeight="false" outlineLevel="0" collapsed="false">
      <c r="A1355" s="0" t="s">
        <v>2551</v>
      </c>
      <c r="B1355" s="0" t="s">
        <v>764</v>
      </c>
      <c r="C1355" s="0" t="s">
        <v>500</v>
      </c>
      <c r="D1355" s="0" t="n">
        <v>0</v>
      </c>
      <c r="E1355" s="0" t="n">
        <v>0.9244998076</v>
      </c>
      <c r="F1355" s="0" t="n">
        <v>1.029013974</v>
      </c>
      <c r="G1355" s="0" t="n">
        <v>1.256613641</v>
      </c>
      <c r="H1355" s="0" t="n">
        <v>1.535445198</v>
      </c>
    </row>
    <row r="1356" customFormat="false" ht="15" hidden="false" customHeight="false" outlineLevel="0" collapsed="false">
      <c r="A1356" s="0" t="s">
        <v>2552</v>
      </c>
      <c r="B1356" s="0" t="s">
        <v>722</v>
      </c>
      <c r="C1356" s="0" t="s">
        <v>500</v>
      </c>
      <c r="D1356" s="0" t="n">
        <v>0</v>
      </c>
      <c r="E1356" s="0" t="n">
        <v>3.540664694</v>
      </c>
      <c r="F1356" s="0" t="n">
        <v>3.438690062</v>
      </c>
      <c r="G1356" s="0" t="n">
        <v>3.145995432</v>
      </c>
      <c r="H1356" s="0" t="n">
        <v>0</v>
      </c>
    </row>
    <row r="1357" customFormat="false" ht="15" hidden="false" customHeight="false" outlineLevel="0" collapsed="false">
      <c r="A1357" s="0" t="s">
        <v>2553</v>
      </c>
      <c r="B1357" s="0" t="s">
        <v>902</v>
      </c>
      <c r="C1357" s="0" t="s">
        <v>500</v>
      </c>
      <c r="D1357" s="0" t="n">
        <v>0</v>
      </c>
      <c r="E1357" s="0" t="n">
        <v>0.07346143549</v>
      </c>
      <c r="F1357" s="0" t="n">
        <v>0.06952133374</v>
      </c>
      <c r="G1357" s="0" t="n">
        <v>0.06235873468</v>
      </c>
      <c r="H1357" s="0" t="n">
        <v>0</v>
      </c>
    </row>
    <row r="1358" customFormat="false" ht="15" hidden="false" customHeight="false" outlineLevel="0" collapsed="false">
      <c r="A1358" s="0" t="s">
        <v>2554</v>
      </c>
      <c r="B1358" s="0" t="s">
        <v>802</v>
      </c>
      <c r="C1358" s="0" t="s">
        <v>500</v>
      </c>
      <c r="D1358" s="0" t="n">
        <v>0</v>
      </c>
      <c r="E1358" s="0" t="n">
        <v>0.01025171965</v>
      </c>
      <c r="F1358" s="0" t="n">
        <v>0.01425246864</v>
      </c>
      <c r="G1358" s="0" t="n">
        <v>0.01958299626</v>
      </c>
      <c r="H1358" s="0" t="n">
        <v>0.02634338282</v>
      </c>
    </row>
    <row r="1359" customFormat="false" ht="15" hidden="false" customHeight="false" outlineLevel="0" collapsed="false">
      <c r="A1359" s="0" t="s">
        <v>2555</v>
      </c>
      <c r="B1359" s="0" t="s">
        <v>794</v>
      </c>
      <c r="C1359" s="0" t="s">
        <v>500</v>
      </c>
      <c r="D1359" s="0" t="n">
        <v>0</v>
      </c>
      <c r="E1359" s="0" t="n">
        <v>0.06021961155</v>
      </c>
      <c r="F1359" s="0" t="n">
        <v>0.05746374558</v>
      </c>
      <c r="G1359" s="0" t="n">
        <v>0.05354676195</v>
      </c>
      <c r="H1359" s="0" t="n">
        <v>0</v>
      </c>
    </row>
    <row r="1360" customFormat="false" ht="15" hidden="false" customHeight="false" outlineLevel="0" collapsed="false">
      <c r="A1360" s="0" t="s">
        <v>2556</v>
      </c>
      <c r="B1360" s="0" t="s">
        <v>1006</v>
      </c>
      <c r="C1360" s="0" t="s">
        <v>500</v>
      </c>
      <c r="D1360" s="0" t="n">
        <v>0</v>
      </c>
      <c r="E1360" s="0" t="n">
        <v>0.009063170415</v>
      </c>
      <c r="F1360" s="0" t="n">
        <v>0.009771391333</v>
      </c>
      <c r="G1360" s="0" t="n">
        <v>0.01178376705</v>
      </c>
      <c r="H1360" s="0" t="n">
        <v>0.01410085186</v>
      </c>
    </row>
    <row r="1361" customFormat="false" ht="15" hidden="false" customHeight="false" outlineLevel="0" collapsed="false">
      <c r="A1361" s="0" t="s">
        <v>2557</v>
      </c>
      <c r="B1361" s="0" t="s">
        <v>706</v>
      </c>
      <c r="C1361" s="0" t="s">
        <v>500</v>
      </c>
      <c r="D1361" s="0" t="n">
        <v>0</v>
      </c>
      <c r="E1361" s="0" t="n">
        <v>8.234405443</v>
      </c>
      <c r="F1361" s="0" t="n">
        <v>7.734769442</v>
      </c>
      <c r="G1361" s="0" t="n">
        <v>7.053691059</v>
      </c>
      <c r="H1361" s="0" t="n">
        <v>0</v>
      </c>
    </row>
    <row r="1362" customFormat="false" ht="15" hidden="false" customHeight="false" outlineLevel="0" collapsed="false">
      <c r="A1362" s="0" t="s">
        <v>2558</v>
      </c>
      <c r="B1362" s="0" t="s">
        <v>950</v>
      </c>
      <c r="C1362" s="0" t="s">
        <v>500</v>
      </c>
      <c r="D1362" s="0" t="n">
        <v>0</v>
      </c>
      <c r="E1362" s="0" t="n">
        <v>0.006372752767</v>
      </c>
      <c r="F1362" s="0" t="n">
        <v>0.006879765199</v>
      </c>
      <c r="G1362" s="0" t="n">
        <v>0.008186212343</v>
      </c>
      <c r="H1362" s="0" t="n">
        <v>0.009693619453</v>
      </c>
    </row>
    <row r="1363" customFormat="false" ht="15" hidden="false" customHeight="false" outlineLevel="0" collapsed="false">
      <c r="A1363" s="0" t="s">
        <v>2559</v>
      </c>
      <c r="B1363" s="0" t="s">
        <v>704</v>
      </c>
      <c r="C1363" s="0" t="s">
        <v>500</v>
      </c>
      <c r="D1363" s="0" t="n">
        <v>0</v>
      </c>
      <c r="E1363" s="0" t="n">
        <v>14.55877853</v>
      </c>
      <c r="F1363" s="0" t="n">
        <v>13.61834567</v>
      </c>
      <c r="G1363" s="0" t="n">
        <v>12.33679856</v>
      </c>
      <c r="H1363" s="0" t="n">
        <v>0</v>
      </c>
    </row>
    <row r="1364" customFormat="false" ht="15" hidden="false" customHeight="false" outlineLevel="0" collapsed="false">
      <c r="A1364" s="0" t="s">
        <v>2560</v>
      </c>
      <c r="B1364" s="0" t="s">
        <v>900</v>
      </c>
      <c r="C1364" s="0" t="s">
        <v>500</v>
      </c>
      <c r="D1364" s="0" t="n">
        <v>0</v>
      </c>
      <c r="E1364" s="0" t="n">
        <v>0.2606181066</v>
      </c>
      <c r="F1364" s="0" t="n">
        <v>0.2735377416</v>
      </c>
      <c r="G1364" s="0" t="n">
        <v>0.28386856</v>
      </c>
      <c r="H1364" s="0" t="n">
        <v>0.2949202145</v>
      </c>
    </row>
    <row r="1365" customFormat="false" ht="15" hidden="false" customHeight="false" outlineLevel="0" collapsed="false">
      <c r="A1365" s="0" t="s">
        <v>2561</v>
      </c>
      <c r="B1365" s="0" t="s">
        <v>844</v>
      </c>
      <c r="C1365" s="0" t="s">
        <v>500</v>
      </c>
      <c r="D1365" s="0" t="n">
        <v>0</v>
      </c>
      <c r="E1365" s="0" t="n">
        <v>0.05073223929</v>
      </c>
      <c r="F1365" s="0" t="n">
        <v>0.0601515522</v>
      </c>
      <c r="G1365" s="0" t="n">
        <v>0.07903429517</v>
      </c>
      <c r="H1365" s="0" t="n">
        <v>0.1023840217</v>
      </c>
    </row>
    <row r="1366" customFormat="false" ht="15" hidden="false" customHeight="false" outlineLevel="0" collapsed="false">
      <c r="A1366" s="0" t="s">
        <v>2562</v>
      </c>
      <c r="B1366" s="0" t="s">
        <v>914</v>
      </c>
      <c r="C1366" s="0" t="s">
        <v>500</v>
      </c>
      <c r="D1366" s="0" t="n">
        <v>0</v>
      </c>
      <c r="E1366" s="0" t="n">
        <v>0.001035762157</v>
      </c>
      <c r="F1366" s="0" t="n">
        <v>0.001414655181</v>
      </c>
      <c r="G1366" s="0" t="n">
        <v>0.00194250703</v>
      </c>
      <c r="H1366" s="0" t="n">
        <v>0.00261309381</v>
      </c>
    </row>
    <row r="1367" customFormat="false" ht="15" hidden="false" customHeight="false" outlineLevel="0" collapsed="false">
      <c r="A1367" s="0" t="s">
        <v>2563</v>
      </c>
      <c r="B1367" s="0" t="s">
        <v>1028</v>
      </c>
      <c r="C1367" s="0" t="s">
        <v>500</v>
      </c>
      <c r="D1367" s="0" t="n">
        <v>0</v>
      </c>
      <c r="E1367" s="0" t="n">
        <v>0</v>
      </c>
      <c r="F1367" s="0" t="n">
        <v>0</v>
      </c>
      <c r="G1367" s="0" t="n">
        <v>0</v>
      </c>
      <c r="H1367" s="0" t="n">
        <v>0</v>
      </c>
    </row>
    <row r="1368" customFormat="false" ht="15" hidden="false" customHeight="false" outlineLevel="0" collapsed="false">
      <c r="A1368" s="0" t="s">
        <v>2564</v>
      </c>
      <c r="B1368" s="0" t="s">
        <v>1030</v>
      </c>
      <c r="C1368" s="0" t="s">
        <v>500</v>
      </c>
      <c r="D1368" s="0" t="n">
        <v>0</v>
      </c>
      <c r="E1368" s="0" t="n">
        <v>2.110367344E-005</v>
      </c>
      <c r="F1368" s="0" t="n">
        <v>2.527758362E-005</v>
      </c>
      <c r="G1368" s="0" t="n">
        <v>3.463132154E-005</v>
      </c>
      <c r="H1368" s="0" t="n">
        <v>4.658664837E-005</v>
      </c>
    </row>
    <row r="1369" customFormat="false" ht="15" hidden="false" customHeight="false" outlineLevel="0" collapsed="false">
      <c r="A1369" s="0" t="s">
        <v>2565</v>
      </c>
      <c r="B1369" s="0" t="s">
        <v>994</v>
      </c>
      <c r="C1369" s="0" t="s">
        <v>500</v>
      </c>
      <c r="D1369" s="0" t="n">
        <v>0</v>
      </c>
      <c r="E1369" s="0" t="n">
        <v>0.004244744779</v>
      </c>
      <c r="F1369" s="0" t="n">
        <v>0.003743934107</v>
      </c>
      <c r="G1369" s="0" t="n">
        <v>0.004562639016</v>
      </c>
      <c r="H1369" s="0" t="n">
        <v>0.005459807254</v>
      </c>
    </row>
    <row r="1370" customFormat="false" ht="15" hidden="false" customHeight="false" outlineLevel="0" collapsed="false">
      <c r="A1370" s="0" t="s">
        <v>2566</v>
      </c>
      <c r="B1370" s="0" t="s">
        <v>798</v>
      </c>
      <c r="C1370" s="0" t="s">
        <v>500</v>
      </c>
      <c r="D1370" s="0" t="n">
        <v>0</v>
      </c>
      <c r="E1370" s="0" t="n">
        <v>0.4382473684</v>
      </c>
      <c r="F1370" s="0" t="n">
        <v>0.4261742993</v>
      </c>
      <c r="G1370" s="0" t="n">
        <v>0.3970200652</v>
      </c>
      <c r="H1370" s="0" t="n">
        <v>0</v>
      </c>
    </row>
    <row r="1371" customFormat="false" ht="15" hidden="false" customHeight="false" outlineLevel="0" collapsed="false">
      <c r="A1371" s="0" t="s">
        <v>2567</v>
      </c>
      <c r="B1371" s="0" t="s">
        <v>1046</v>
      </c>
      <c r="C1371" s="0" t="s">
        <v>500</v>
      </c>
      <c r="D1371" s="0" t="n">
        <v>0</v>
      </c>
      <c r="E1371" s="0" t="n">
        <v>0.001087693421</v>
      </c>
      <c r="F1371" s="0" t="n">
        <v>0.001202916601</v>
      </c>
      <c r="G1371" s="0" t="n">
        <v>0.001449808637</v>
      </c>
      <c r="H1371" s="0" t="n">
        <v>0.001734889761</v>
      </c>
    </row>
    <row r="1372" customFormat="false" ht="15" hidden="false" customHeight="false" outlineLevel="0" collapsed="false">
      <c r="A1372" s="0" t="s">
        <v>2568</v>
      </c>
      <c r="B1372" s="0" t="s">
        <v>826</v>
      </c>
      <c r="C1372" s="0" t="s">
        <v>500</v>
      </c>
      <c r="D1372" s="0" t="n">
        <v>0</v>
      </c>
      <c r="E1372" s="0" t="n">
        <v>0.1055474208</v>
      </c>
      <c r="F1372" s="0" t="n">
        <v>0.1203455029</v>
      </c>
      <c r="G1372" s="0" t="n">
        <v>0.1449766107</v>
      </c>
      <c r="H1372" s="0" t="n">
        <v>0.1734838868</v>
      </c>
    </row>
    <row r="1373" customFormat="false" ht="15" hidden="false" customHeight="false" outlineLevel="0" collapsed="false">
      <c r="A1373" s="0" t="s">
        <v>2569</v>
      </c>
      <c r="B1373" s="0" t="s">
        <v>890</v>
      </c>
      <c r="C1373" s="0" t="s">
        <v>500</v>
      </c>
      <c r="D1373" s="0" t="n">
        <v>0</v>
      </c>
      <c r="E1373" s="0" t="n">
        <v>0.007808097922</v>
      </c>
      <c r="F1373" s="0" t="n">
        <v>0.01340108112</v>
      </c>
      <c r="G1373" s="0" t="n">
        <v>0.01641199029</v>
      </c>
      <c r="H1373" s="0" t="n">
        <v>0.01963913939</v>
      </c>
    </row>
    <row r="1374" customFormat="false" ht="15" hidden="false" customHeight="false" outlineLevel="0" collapsed="false">
      <c r="A1374" s="0" t="s">
        <v>2570</v>
      </c>
      <c r="B1374" s="0" t="s">
        <v>770</v>
      </c>
      <c r="C1374" s="0" t="s">
        <v>500</v>
      </c>
      <c r="D1374" s="0" t="n">
        <v>0</v>
      </c>
      <c r="E1374" s="0" t="n">
        <v>0.2316990376</v>
      </c>
      <c r="F1374" s="0" t="n">
        <v>0.2263489813</v>
      </c>
      <c r="G1374" s="0" t="n">
        <v>0.2060109985</v>
      </c>
      <c r="H1374" s="0" t="n">
        <v>0</v>
      </c>
    </row>
    <row r="1375" customFormat="false" ht="15" hidden="false" customHeight="false" outlineLevel="0" collapsed="false">
      <c r="A1375" s="0" t="s">
        <v>2571</v>
      </c>
      <c r="B1375" s="0" t="s">
        <v>904</v>
      </c>
      <c r="C1375" s="0" t="s">
        <v>500</v>
      </c>
      <c r="D1375" s="0" t="n">
        <v>0</v>
      </c>
      <c r="E1375" s="0" t="n">
        <v>0.02374507048</v>
      </c>
      <c r="F1375" s="0" t="n">
        <v>0.02670758082</v>
      </c>
      <c r="G1375" s="0" t="n">
        <v>0.0351076762</v>
      </c>
      <c r="H1375" s="0" t="n">
        <v>0.04547981446</v>
      </c>
    </row>
    <row r="1376" customFormat="false" ht="15" hidden="false" customHeight="false" outlineLevel="0" collapsed="false">
      <c r="A1376" s="0" t="s">
        <v>2572</v>
      </c>
      <c r="B1376" s="0" t="s">
        <v>846</v>
      </c>
      <c r="C1376" s="0" t="s">
        <v>500</v>
      </c>
      <c r="D1376" s="0" t="n">
        <v>0</v>
      </c>
      <c r="E1376" s="0" t="n">
        <v>0.3269743824</v>
      </c>
      <c r="F1376" s="0" t="n">
        <v>0.3193748976</v>
      </c>
      <c r="G1376" s="0" t="n">
        <v>0.2876207301</v>
      </c>
      <c r="H1376" s="0" t="n">
        <v>0</v>
      </c>
    </row>
    <row r="1377" customFormat="false" ht="15" hidden="false" customHeight="false" outlineLevel="0" collapsed="false">
      <c r="A1377" s="0" t="s">
        <v>2573</v>
      </c>
      <c r="B1377" s="0" t="s">
        <v>956</v>
      </c>
      <c r="C1377" s="0" t="s">
        <v>500</v>
      </c>
      <c r="D1377" s="0" t="n">
        <v>0</v>
      </c>
      <c r="E1377" s="0" t="n">
        <v>0.02312382282</v>
      </c>
      <c r="F1377" s="0" t="n">
        <v>0.02158406965</v>
      </c>
      <c r="G1377" s="0" t="n">
        <v>0.0298041949</v>
      </c>
      <c r="H1377" s="0" t="n">
        <v>0.04009311473</v>
      </c>
    </row>
    <row r="1378" customFormat="false" ht="15" hidden="false" customHeight="false" outlineLevel="0" collapsed="false">
      <c r="A1378" s="0" t="s">
        <v>2574</v>
      </c>
      <c r="B1378" s="0" t="s">
        <v>800</v>
      </c>
      <c r="C1378" s="0" t="s">
        <v>500</v>
      </c>
      <c r="D1378" s="0" t="n">
        <v>0</v>
      </c>
      <c r="E1378" s="0" t="n">
        <v>1.336052484</v>
      </c>
      <c r="F1378" s="0" t="n">
        <v>1.270856803</v>
      </c>
      <c r="G1378" s="0" t="n">
        <v>1.138422461</v>
      </c>
      <c r="H1378" s="0" t="n">
        <v>1.016946871</v>
      </c>
    </row>
    <row r="1379" customFormat="false" ht="15" hidden="false" customHeight="false" outlineLevel="0" collapsed="false">
      <c r="A1379" s="0" t="s">
        <v>2575</v>
      </c>
      <c r="B1379" s="0" t="s">
        <v>724</v>
      </c>
      <c r="C1379" s="0" t="s">
        <v>500</v>
      </c>
      <c r="D1379" s="0" t="n">
        <v>0</v>
      </c>
      <c r="E1379" s="0" t="n">
        <v>2.25881565</v>
      </c>
      <c r="F1379" s="0" t="n">
        <v>2.692872322</v>
      </c>
      <c r="G1379" s="0" t="n">
        <v>3.52950344</v>
      </c>
      <c r="H1379" s="0" t="n">
        <v>4.56386761</v>
      </c>
    </row>
    <row r="1380" customFormat="false" ht="15" hidden="false" customHeight="false" outlineLevel="0" collapsed="false">
      <c r="A1380" s="0" t="s">
        <v>2576</v>
      </c>
      <c r="B1380" s="0" t="s">
        <v>36</v>
      </c>
      <c r="C1380" s="0" t="s">
        <v>500</v>
      </c>
      <c r="D1380" s="0" t="n">
        <v>0</v>
      </c>
      <c r="E1380" s="0" t="n">
        <v>9.929821958</v>
      </c>
      <c r="F1380" s="0" t="n">
        <v>12.12944704</v>
      </c>
      <c r="G1380" s="0" t="n">
        <v>15.33711972</v>
      </c>
      <c r="H1380" s="0" t="n">
        <v>19.26235728</v>
      </c>
    </row>
    <row r="1381" customFormat="false" ht="15" hidden="false" customHeight="false" outlineLevel="0" collapsed="false">
      <c r="A1381" s="0" t="s">
        <v>2577</v>
      </c>
      <c r="B1381" s="0" t="s">
        <v>738</v>
      </c>
      <c r="C1381" s="0" t="s">
        <v>500</v>
      </c>
      <c r="D1381" s="0" t="n">
        <v>0</v>
      </c>
      <c r="E1381" s="0" t="n">
        <v>1.204594241</v>
      </c>
      <c r="F1381" s="0" t="n">
        <v>1.215445679</v>
      </c>
      <c r="G1381" s="0" t="n">
        <v>1.169585672</v>
      </c>
      <c r="H1381" s="0" t="n">
        <v>0</v>
      </c>
    </row>
    <row r="1382" customFormat="false" ht="15" hidden="false" customHeight="false" outlineLevel="0" collapsed="false">
      <c r="A1382" s="0" t="s">
        <v>2578</v>
      </c>
      <c r="B1382" s="0" t="s">
        <v>790</v>
      </c>
      <c r="C1382" s="0" t="s">
        <v>500</v>
      </c>
      <c r="D1382" s="0" t="n">
        <v>0</v>
      </c>
      <c r="E1382" s="0" t="n">
        <v>10.74314148</v>
      </c>
      <c r="F1382" s="0" t="n">
        <v>8.492219375</v>
      </c>
      <c r="G1382" s="0" t="n">
        <v>8.578283416</v>
      </c>
      <c r="H1382" s="0" t="n">
        <v>8.528595883</v>
      </c>
    </row>
    <row r="1383" customFormat="false" ht="15" hidden="false" customHeight="false" outlineLevel="0" collapsed="false">
      <c r="A1383" s="0" t="s">
        <v>2579</v>
      </c>
      <c r="B1383" s="0" t="s">
        <v>806</v>
      </c>
      <c r="C1383" s="0" t="s">
        <v>500</v>
      </c>
      <c r="D1383" s="0" t="n">
        <v>0</v>
      </c>
      <c r="E1383" s="0" t="n">
        <v>0.8657989186</v>
      </c>
      <c r="F1383" s="0" t="n">
        <v>0.6412456026</v>
      </c>
      <c r="G1383" s="0" t="n">
        <v>0.7954834731</v>
      </c>
      <c r="H1383" s="0" t="n">
        <v>0.9519022701</v>
      </c>
    </row>
    <row r="1384" customFormat="false" ht="15" hidden="false" customHeight="false" outlineLevel="0" collapsed="false">
      <c r="A1384" s="0" t="s">
        <v>2580</v>
      </c>
      <c r="B1384" s="0" t="s">
        <v>916</v>
      </c>
      <c r="C1384" s="0" t="s">
        <v>500</v>
      </c>
      <c r="D1384" s="0" t="n">
        <v>0</v>
      </c>
      <c r="E1384" s="0" t="n">
        <v>0.0005806689447</v>
      </c>
      <c r="F1384" s="0" t="n">
        <v>0.0006042946532</v>
      </c>
      <c r="G1384" s="0" t="n">
        <v>0.000633974846</v>
      </c>
      <c r="H1384" s="0" t="n">
        <v>3.229189354E-005</v>
      </c>
    </row>
    <row r="1385" customFormat="false" ht="15" hidden="false" customHeight="false" outlineLevel="0" collapsed="false">
      <c r="A1385" s="0" t="s">
        <v>2581</v>
      </c>
      <c r="B1385" s="0" t="s">
        <v>750</v>
      </c>
      <c r="C1385" s="0" t="s">
        <v>500</v>
      </c>
      <c r="D1385" s="0" t="n">
        <v>0</v>
      </c>
      <c r="E1385" s="0" t="n">
        <v>0.08666393697</v>
      </c>
      <c r="F1385" s="0" t="n">
        <v>0.09589313551</v>
      </c>
      <c r="G1385" s="0" t="n">
        <v>0.1004361112</v>
      </c>
      <c r="H1385" s="0" t="n">
        <v>0.00511577428</v>
      </c>
    </row>
    <row r="1386" customFormat="false" ht="15" hidden="false" customHeight="false" outlineLevel="0" collapsed="false">
      <c r="A1386" s="0" t="s">
        <v>2582</v>
      </c>
      <c r="B1386" s="0" t="s">
        <v>712</v>
      </c>
      <c r="C1386" s="0" t="s">
        <v>500</v>
      </c>
      <c r="D1386" s="0" t="n">
        <v>0</v>
      </c>
      <c r="E1386" s="0" t="n">
        <v>9.655765905</v>
      </c>
      <c r="F1386" s="0" t="n">
        <v>8.957402537</v>
      </c>
      <c r="G1386" s="0" t="n">
        <v>8.089048484</v>
      </c>
      <c r="H1386" s="0" t="n">
        <v>0</v>
      </c>
    </row>
    <row r="1387" customFormat="false" ht="15" hidden="false" customHeight="false" outlineLevel="0" collapsed="false">
      <c r="A1387" s="0" t="s">
        <v>2583</v>
      </c>
      <c r="B1387" s="0" t="s">
        <v>964</v>
      </c>
      <c r="C1387" s="0" t="s">
        <v>500</v>
      </c>
      <c r="D1387" s="0" t="n">
        <v>0</v>
      </c>
      <c r="E1387" s="0" t="n">
        <v>0.01749557362</v>
      </c>
      <c r="F1387" s="0" t="n">
        <v>0.01642069526</v>
      </c>
      <c r="G1387" s="0" t="n">
        <v>0.01992410385</v>
      </c>
      <c r="H1387" s="0" t="n">
        <v>0.02384185257</v>
      </c>
    </row>
    <row r="1388" customFormat="false" ht="15" hidden="false" customHeight="false" outlineLevel="0" collapsed="false">
      <c r="A1388" s="0" t="s">
        <v>2584</v>
      </c>
      <c r="B1388" s="0" t="s">
        <v>876</v>
      </c>
      <c r="C1388" s="0" t="s">
        <v>500</v>
      </c>
      <c r="D1388" s="0" t="n">
        <v>0</v>
      </c>
      <c r="E1388" s="0" t="n">
        <v>0.1051383372</v>
      </c>
      <c r="F1388" s="0" t="n">
        <v>0.1147113954</v>
      </c>
      <c r="G1388" s="0" t="n">
        <v>0.1382952053</v>
      </c>
      <c r="H1388" s="0" t="n">
        <v>0.1654886925</v>
      </c>
    </row>
    <row r="1389" customFormat="false" ht="15" hidden="false" customHeight="false" outlineLevel="0" collapsed="false">
      <c r="A1389" s="0" t="s">
        <v>2585</v>
      </c>
      <c r="B1389" s="0" t="s">
        <v>702</v>
      </c>
      <c r="C1389" s="0" t="s">
        <v>500</v>
      </c>
      <c r="D1389" s="0" t="n">
        <v>0</v>
      </c>
      <c r="E1389" s="0" t="n">
        <v>10.97501336</v>
      </c>
      <c r="F1389" s="0" t="n">
        <v>10.47142248</v>
      </c>
      <c r="G1389" s="0" t="n">
        <v>10.02345394</v>
      </c>
      <c r="H1389" s="0" t="n">
        <v>0</v>
      </c>
    </row>
    <row r="1390" customFormat="false" ht="15" hidden="false" customHeight="false" outlineLevel="0" collapsed="false">
      <c r="A1390" s="0" t="s">
        <v>2586</v>
      </c>
      <c r="B1390" s="0" t="s">
        <v>780</v>
      </c>
      <c r="C1390" s="0" t="s">
        <v>500</v>
      </c>
      <c r="D1390" s="0" t="n">
        <v>0</v>
      </c>
      <c r="E1390" s="0" t="n">
        <v>2.051184533</v>
      </c>
      <c r="F1390" s="0" t="n">
        <v>2.174484785</v>
      </c>
      <c r="G1390" s="0" t="n">
        <v>2.266611551</v>
      </c>
      <c r="H1390" s="0" t="n">
        <v>2.372334596</v>
      </c>
    </row>
    <row r="1391" customFormat="false" ht="15" hidden="false" customHeight="false" outlineLevel="0" collapsed="false">
      <c r="A1391" s="0" t="s">
        <v>2587</v>
      </c>
      <c r="B1391" s="0" t="s">
        <v>814</v>
      </c>
      <c r="C1391" s="0" t="s">
        <v>500</v>
      </c>
      <c r="D1391" s="0" t="n">
        <v>0</v>
      </c>
      <c r="E1391" s="0" t="n">
        <v>0.07552960246</v>
      </c>
      <c r="F1391" s="0" t="n">
        <v>0.08866691287</v>
      </c>
      <c r="G1391" s="0" t="n">
        <v>0.1165048932</v>
      </c>
      <c r="H1391" s="0" t="n">
        <v>0.1509248546</v>
      </c>
    </row>
    <row r="1392" customFormat="false" ht="15" hidden="false" customHeight="false" outlineLevel="0" collapsed="false">
      <c r="A1392" s="0" t="s">
        <v>2588</v>
      </c>
      <c r="B1392" s="0" t="s">
        <v>946</v>
      </c>
      <c r="C1392" s="0" t="s">
        <v>500</v>
      </c>
      <c r="D1392" s="0" t="n">
        <v>0</v>
      </c>
      <c r="E1392" s="0" t="n">
        <v>0.1247264213</v>
      </c>
      <c r="F1392" s="0" t="n">
        <v>0.1400722601</v>
      </c>
      <c r="G1392" s="0" t="n">
        <v>0.1597145464</v>
      </c>
      <c r="H1392" s="0" t="n">
        <v>0.182452943</v>
      </c>
    </row>
    <row r="1393" customFormat="false" ht="15" hidden="false" customHeight="false" outlineLevel="0" collapsed="false">
      <c r="A1393" s="0" t="s">
        <v>2589</v>
      </c>
      <c r="B1393" s="0" t="s">
        <v>886</v>
      </c>
      <c r="C1393" s="0" t="s">
        <v>500</v>
      </c>
      <c r="D1393" s="0" t="n">
        <v>0</v>
      </c>
      <c r="E1393" s="0" t="n">
        <v>0.04586295866</v>
      </c>
      <c r="F1393" s="0" t="n">
        <v>0.05296551371</v>
      </c>
      <c r="G1393" s="0" t="n">
        <v>0.06960212472</v>
      </c>
      <c r="H1393" s="0" t="n">
        <v>0.09016523053</v>
      </c>
    </row>
    <row r="1394" customFormat="false" ht="15" hidden="false" customHeight="false" outlineLevel="0" collapsed="false">
      <c r="A1394" s="0" t="s">
        <v>2590</v>
      </c>
      <c r="B1394" s="0" t="s">
        <v>1054</v>
      </c>
      <c r="C1394" s="0" t="s">
        <v>500</v>
      </c>
      <c r="D1394" s="0" t="n">
        <v>0</v>
      </c>
      <c r="E1394" s="0" t="n">
        <v>0.0005933110176</v>
      </c>
      <c r="F1394" s="0" t="n">
        <v>0.0006206857959</v>
      </c>
      <c r="G1394" s="0" t="n">
        <v>0.0006510540495</v>
      </c>
      <c r="H1394" s="0" t="n">
        <v>0.000683038362</v>
      </c>
    </row>
    <row r="1395" customFormat="false" ht="15" hidden="false" customHeight="false" outlineLevel="0" collapsed="false">
      <c r="A1395" s="0" t="s">
        <v>2591</v>
      </c>
      <c r="B1395" s="0" t="s">
        <v>716</v>
      </c>
      <c r="C1395" s="0" t="s">
        <v>500</v>
      </c>
      <c r="D1395" s="0" t="n">
        <v>0</v>
      </c>
      <c r="E1395" s="0" t="n">
        <v>6.660879113</v>
      </c>
      <c r="F1395" s="0" t="n">
        <v>6.475523419</v>
      </c>
      <c r="G1395" s="0" t="n">
        <v>6.009058288</v>
      </c>
      <c r="H1395" s="0" t="n">
        <v>0</v>
      </c>
    </row>
    <row r="1396" customFormat="false" ht="15" hidden="false" customHeight="false" outlineLevel="0" collapsed="false">
      <c r="A1396" s="0" t="s">
        <v>2592</v>
      </c>
      <c r="B1396" s="0" t="s">
        <v>812</v>
      </c>
      <c r="C1396" s="0" t="s">
        <v>500</v>
      </c>
      <c r="D1396" s="0" t="n">
        <v>0</v>
      </c>
      <c r="E1396" s="0" t="n">
        <v>0.1067804777</v>
      </c>
      <c r="F1396" s="0" t="n">
        <v>0.1009432441</v>
      </c>
      <c r="G1396" s="0" t="n">
        <v>0.1063873693</v>
      </c>
      <c r="H1396" s="0" t="n">
        <v>0.1116138584</v>
      </c>
    </row>
    <row r="1397" customFormat="false" ht="15" hidden="false" customHeight="false" outlineLevel="0" collapsed="false">
      <c r="A1397" s="0" t="s">
        <v>2593</v>
      </c>
      <c r="B1397" s="0" t="s">
        <v>972</v>
      </c>
      <c r="C1397" s="0" t="s">
        <v>500</v>
      </c>
      <c r="D1397" s="0" t="n">
        <v>0</v>
      </c>
      <c r="E1397" s="0" t="n">
        <v>0.001525040877</v>
      </c>
      <c r="F1397" s="0" t="n">
        <v>0.001760639525</v>
      </c>
      <c r="G1397" s="0" t="n">
        <v>0.002313667753</v>
      </c>
      <c r="H1397" s="0" t="n">
        <v>0.002997212903</v>
      </c>
    </row>
    <row r="1398" customFormat="false" ht="15" hidden="false" customHeight="false" outlineLevel="0" collapsed="false">
      <c r="A1398" s="0" t="s">
        <v>2594</v>
      </c>
      <c r="B1398" s="0" t="s">
        <v>922</v>
      </c>
      <c r="C1398" s="0" t="s">
        <v>500</v>
      </c>
      <c r="D1398" s="0" t="n">
        <v>0</v>
      </c>
      <c r="E1398" s="0" t="n">
        <v>0.06250760659</v>
      </c>
      <c r="F1398" s="0" t="n">
        <v>0.06884229338</v>
      </c>
      <c r="G1398" s="0" t="n">
        <v>0.08297873423</v>
      </c>
      <c r="H1398" s="0" t="n">
        <v>0.09929514334</v>
      </c>
    </row>
    <row r="1399" customFormat="false" ht="15" hidden="false" customHeight="false" outlineLevel="0" collapsed="false">
      <c r="A1399" s="0" t="s">
        <v>2595</v>
      </c>
      <c r="B1399" s="0" t="s">
        <v>1008</v>
      </c>
      <c r="C1399" s="0" t="s">
        <v>500</v>
      </c>
      <c r="D1399" s="0" t="n">
        <v>0</v>
      </c>
      <c r="E1399" s="0" t="n">
        <v>0</v>
      </c>
      <c r="F1399" s="0" t="n">
        <v>0</v>
      </c>
      <c r="G1399" s="0" t="n">
        <v>0</v>
      </c>
      <c r="H1399" s="0" t="n">
        <v>0</v>
      </c>
    </row>
    <row r="1400" customFormat="false" ht="15" hidden="false" customHeight="false" outlineLevel="0" collapsed="false">
      <c r="A1400" s="0" t="s">
        <v>2596</v>
      </c>
      <c r="B1400" s="0" t="s">
        <v>874</v>
      </c>
      <c r="C1400" s="0" t="s">
        <v>500</v>
      </c>
      <c r="D1400" s="0" t="n">
        <v>0</v>
      </c>
      <c r="E1400" s="0" t="n">
        <v>0.09327980875</v>
      </c>
      <c r="F1400" s="0" t="n">
        <v>0.1174913793</v>
      </c>
      <c r="G1400" s="0" t="n">
        <v>0.1415536496</v>
      </c>
      <c r="H1400" s="0" t="n">
        <v>0.1693878565</v>
      </c>
    </row>
    <row r="1401" customFormat="false" ht="15" hidden="false" customHeight="false" outlineLevel="0" collapsed="false">
      <c r="A1401" s="0" t="s">
        <v>2597</v>
      </c>
      <c r="B1401" s="0" t="s">
        <v>1032</v>
      </c>
      <c r="C1401" s="0" t="s">
        <v>500</v>
      </c>
      <c r="D1401" s="0" t="n">
        <v>0</v>
      </c>
      <c r="E1401" s="0" t="n">
        <v>0.002343450553</v>
      </c>
      <c r="F1401" s="0" t="n">
        <v>0.002482508735</v>
      </c>
      <c r="G1401" s="0" t="n">
        <v>0.002995268187</v>
      </c>
      <c r="H1401" s="0" t="n">
        <v>0.003584238621</v>
      </c>
    </row>
    <row r="1402" customFormat="false" ht="15" hidden="false" customHeight="false" outlineLevel="0" collapsed="false">
      <c r="A1402" s="0" t="s">
        <v>2598</v>
      </c>
      <c r="B1402" s="0" t="s">
        <v>840</v>
      </c>
      <c r="C1402" s="0" t="s">
        <v>500</v>
      </c>
      <c r="D1402" s="0" t="n">
        <v>0</v>
      </c>
      <c r="E1402" s="0" t="n">
        <v>0.05937585359</v>
      </c>
      <c r="F1402" s="0" t="n">
        <v>0.06604886406</v>
      </c>
      <c r="G1402" s="0" t="n">
        <v>0.08683881881</v>
      </c>
      <c r="H1402" s="0" t="n">
        <v>0.1124942974</v>
      </c>
    </row>
    <row r="1403" customFormat="false" ht="15" hidden="false" customHeight="false" outlineLevel="0" collapsed="false">
      <c r="A1403" s="0" t="s">
        <v>2599</v>
      </c>
      <c r="B1403" s="0" t="s">
        <v>1034</v>
      </c>
      <c r="C1403" s="0" t="s">
        <v>500</v>
      </c>
      <c r="D1403" s="0" t="n">
        <v>0</v>
      </c>
      <c r="E1403" s="0" t="n">
        <v>0.007950394138</v>
      </c>
      <c r="F1403" s="0" t="n">
        <v>0.008238158672</v>
      </c>
      <c r="G1403" s="0" t="n">
        <v>0.01085234611</v>
      </c>
      <c r="H1403" s="0" t="n">
        <v>0.01405854049</v>
      </c>
    </row>
    <row r="1404" customFormat="false" ht="15" hidden="false" customHeight="false" outlineLevel="0" collapsed="false">
      <c r="A1404" s="0" t="s">
        <v>2600</v>
      </c>
      <c r="B1404" s="0" t="s">
        <v>856</v>
      </c>
      <c r="C1404" s="0" t="s">
        <v>500</v>
      </c>
      <c r="D1404" s="0" t="n">
        <v>0</v>
      </c>
      <c r="E1404" s="0" t="n">
        <v>0.2270316453</v>
      </c>
      <c r="F1404" s="0" t="n">
        <v>0.2240149729</v>
      </c>
      <c r="G1404" s="0" t="n">
        <v>0.2034031256</v>
      </c>
      <c r="H1404" s="0" t="n">
        <v>0</v>
      </c>
    </row>
    <row r="1405" customFormat="false" ht="15" hidden="false" customHeight="false" outlineLevel="0" collapsed="false">
      <c r="A1405" s="0" t="s">
        <v>2601</v>
      </c>
      <c r="B1405" s="0" t="s">
        <v>854</v>
      </c>
      <c r="C1405" s="0" t="s">
        <v>500</v>
      </c>
      <c r="D1405" s="0" t="n">
        <v>0</v>
      </c>
      <c r="E1405" s="0" t="n">
        <v>0.1411959185</v>
      </c>
      <c r="F1405" s="0" t="n">
        <v>0.1339261791</v>
      </c>
      <c r="G1405" s="0" t="n">
        <v>0.1196682678</v>
      </c>
      <c r="H1405" s="0" t="n">
        <v>0</v>
      </c>
    </row>
    <row r="1406" customFormat="false" ht="15" hidden="false" customHeight="false" outlineLevel="0" collapsed="false">
      <c r="A1406" s="0" t="s">
        <v>2602</v>
      </c>
      <c r="B1406" s="0" t="s">
        <v>894</v>
      </c>
      <c r="C1406" s="0" t="s">
        <v>500</v>
      </c>
      <c r="D1406" s="0" t="n">
        <v>0</v>
      </c>
      <c r="E1406" s="0" t="n">
        <v>0.09928936149</v>
      </c>
      <c r="F1406" s="0" t="n">
        <v>0.09608711219</v>
      </c>
      <c r="G1406" s="0" t="n">
        <v>0.08672935483</v>
      </c>
      <c r="H1406" s="0" t="n">
        <v>0</v>
      </c>
    </row>
    <row r="1407" customFormat="false" ht="15" hidden="false" customHeight="false" outlineLevel="0" collapsed="false">
      <c r="A1407" s="0" t="s">
        <v>2603</v>
      </c>
      <c r="B1407" s="0" t="s">
        <v>882</v>
      </c>
      <c r="C1407" s="0" t="s">
        <v>500</v>
      </c>
      <c r="D1407" s="0" t="n">
        <v>0</v>
      </c>
      <c r="E1407" s="0" t="n">
        <v>0.009427791122</v>
      </c>
      <c r="F1407" s="0" t="n">
        <v>0.009817890417</v>
      </c>
      <c r="G1407" s="0" t="n">
        <v>0.009692290558</v>
      </c>
      <c r="H1407" s="0" t="n">
        <v>0</v>
      </c>
    </row>
    <row r="1408" customFormat="false" ht="15" hidden="false" customHeight="false" outlineLevel="0" collapsed="false">
      <c r="A1408" s="0" t="s">
        <v>2604</v>
      </c>
      <c r="B1408" s="0" t="s">
        <v>808</v>
      </c>
      <c r="C1408" s="0" t="s">
        <v>500</v>
      </c>
      <c r="D1408" s="0" t="n">
        <v>0</v>
      </c>
      <c r="E1408" s="0" t="n">
        <v>0.5566281327</v>
      </c>
      <c r="F1408" s="0" t="n">
        <v>0.6624159434</v>
      </c>
      <c r="G1408" s="0" t="n">
        <v>0.8694902529</v>
      </c>
      <c r="H1408" s="0" t="n">
        <v>1.12548947</v>
      </c>
    </row>
    <row r="1409" customFormat="false" ht="15" hidden="false" customHeight="false" outlineLevel="0" collapsed="false">
      <c r="A1409" s="0" t="s">
        <v>2605</v>
      </c>
      <c r="B1409" s="0" t="s">
        <v>966</v>
      </c>
      <c r="C1409" s="0" t="s">
        <v>500</v>
      </c>
      <c r="D1409" s="0" t="n">
        <v>0</v>
      </c>
      <c r="E1409" s="0" t="n">
        <v>0.1610157164</v>
      </c>
      <c r="F1409" s="0" t="n">
        <v>0.1580127941</v>
      </c>
      <c r="G1409" s="0" t="n">
        <v>0.1688780995</v>
      </c>
      <c r="H1409" s="0" t="n">
        <v>0.1806198648</v>
      </c>
    </row>
    <row r="1410" customFormat="false" ht="15" hidden="false" customHeight="false" outlineLevel="0" collapsed="false">
      <c r="A1410" s="0" t="s">
        <v>2606</v>
      </c>
      <c r="B1410" s="0" t="s">
        <v>960</v>
      </c>
      <c r="C1410" s="0" t="s">
        <v>500</v>
      </c>
      <c r="D1410" s="0" t="n">
        <v>0</v>
      </c>
      <c r="E1410" s="0" t="n">
        <v>0.01077564867</v>
      </c>
      <c r="F1410" s="0" t="n">
        <v>0.0123306554</v>
      </c>
      <c r="G1410" s="0" t="n">
        <v>0.01689759716</v>
      </c>
      <c r="H1410" s="0" t="n">
        <v>0.02273093784</v>
      </c>
    </row>
    <row r="1411" customFormat="false" ht="15" hidden="false" customHeight="false" outlineLevel="0" collapsed="false">
      <c r="A1411" s="0" t="s">
        <v>2607</v>
      </c>
      <c r="B1411" s="0" t="s">
        <v>1002</v>
      </c>
      <c r="C1411" s="0" t="s">
        <v>500</v>
      </c>
      <c r="D1411" s="0" t="n">
        <v>0</v>
      </c>
      <c r="E1411" s="0" t="n">
        <v>0.004499811254</v>
      </c>
      <c r="F1411" s="0" t="n">
        <v>0.004959888118</v>
      </c>
      <c r="G1411" s="0" t="n">
        <v>0.005978277424</v>
      </c>
      <c r="H1411" s="0" t="n">
        <v>0.007153807771</v>
      </c>
    </row>
    <row r="1412" customFormat="false" ht="15" hidden="false" customHeight="false" outlineLevel="0" collapsed="false">
      <c r="A1412" s="0" t="s">
        <v>2608</v>
      </c>
      <c r="B1412" s="0" t="s">
        <v>720</v>
      </c>
      <c r="C1412" s="0" t="s">
        <v>500</v>
      </c>
      <c r="D1412" s="0" t="n">
        <v>0</v>
      </c>
      <c r="E1412" s="0" t="n">
        <v>2.091866698</v>
      </c>
      <c r="F1412" s="0" t="n">
        <v>2.149357873</v>
      </c>
      <c r="G1412" s="0" t="n">
        <v>2.496390159</v>
      </c>
      <c r="H1412" s="0" t="n">
        <v>2.894928417</v>
      </c>
    </row>
    <row r="1413" customFormat="false" ht="15" hidden="false" customHeight="false" outlineLevel="0" collapsed="false">
      <c r="A1413" s="0" t="s">
        <v>2609</v>
      </c>
      <c r="B1413" s="0" t="s">
        <v>970</v>
      </c>
      <c r="C1413" s="0" t="s">
        <v>500</v>
      </c>
      <c r="D1413" s="0" t="n">
        <v>0</v>
      </c>
      <c r="E1413" s="0" t="n">
        <v>0.005725820887</v>
      </c>
      <c r="F1413" s="0" t="n">
        <v>0.005828642105</v>
      </c>
      <c r="G1413" s="0" t="n">
        <v>0.006034153508</v>
      </c>
      <c r="H1413" s="0" t="n">
        <v>0.006284686528</v>
      </c>
    </row>
    <row r="1414" customFormat="false" ht="15" hidden="false" customHeight="false" outlineLevel="0" collapsed="false">
      <c r="A1414" s="0" t="s">
        <v>2610</v>
      </c>
      <c r="B1414" s="0" t="s">
        <v>918</v>
      </c>
      <c r="C1414" s="0" t="s">
        <v>500</v>
      </c>
      <c r="D1414" s="0" t="n">
        <v>0</v>
      </c>
      <c r="E1414" s="0" t="n">
        <v>0.003557653783</v>
      </c>
      <c r="F1414" s="0" t="n">
        <v>0.004353303969</v>
      </c>
      <c r="G1414" s="0" t="n">
        <v>0.005964616347</v>
      </c>
      <c r="H1414" s="0" t="n">
        <v>0.008023704325</v>
      </c>
    </row>
    <row r="1415" customFormat="false" ht="15" hidden="false" customHeight="false" outlineLevel="0" collapsed="false">
      <c r="A1415" s="0" t="s">
        <v>2611</v>
      </c>
      <c r="B1415" s="0" t="s">
        <v>936</v>
      </c>
      <c r="C1415" s="0" t="s">
        <v>500</v>
      </c>
      <c r="D1415" s="0" t="n">
        <v>0</v>
      </c>
      <c r="E1415" s="0" t="n">
        <v>0.004724146012</v>
      </c>
      <c r="F1415" s="0" t="n">
        <v>0.005260312505</v>
      </c>
      <c r="G1415" s="0" t="n">
        <v>0.005508887163</v>
      </c>
      <c r="H1415" s="0" t="n">
        <v>0.000280598511</v>
      </c>
    </row>
    <row r="1416" customFormat="false" ht="15" hidden="false" customHeight="false" outlineLevel="0" collapsed="false">
      <c r="A1416" s="0" t="s">
        <v>2612</v>
      </c>
      <c r="B1416" s="0" t="s">
        <v>862</v>
      </c>
      <c r="C1416" s="0" t="s">
        <v>500</v>
      </c>
      <c r="D1416" s="0" t="n">
        <v>0</v>
      </c>
      <c r="E1416" s="0" t="n">
        <v>0.001653070479</v>
      </c>
      <c r="F1416" s="0" t="n">
        <v>0.001667833202</v>
      </c>
      <c r="G1416" s="0" t="n">
        <v>0.00179006844</v>
      </c>
      <c r="H1416" s="0" t="n">
        <v>0.001928101575</v>
      </c>
    </row>
    <row r="1417" customFormat="false" ht="15" hidden="false" customHeight="false" outlineLevel="0" collapsed="false">
      <c r="A1417" s="0" t="s">
        <v>2613</v>
      </c>
      <c r="B1417" s="0" t="s">
        <v>996</v>
      </c>
      <c r="C1417" s="0" t="s">
        <v>500</v>
      </c>
      <c r="D1417" s="0" t="n">
        <v>0</v>
      </c>
      <c r="E1417" s="0" t="n">
        <v>0.001475411965</v>
      </c>
      <c r="F1417" s="0" t="n">
        <v>0.001551581859</v>
      </c>
      <c r="G1417" s="0" t="n">
        <v>0.001733666563</v>
      </c>
      <c r="H1417" s="0" t="n">
        <v>0.001935411593</v>
      </c>
    </row>
    <row r="1418" customFormat="false" ht="15" hidden="false" customHeight="false" outlineLevel="0" collapsed="false">
      <c r="A1418" s="0" t="s">
        <v>2614</v>
      </c>
      <c r="B1418" s="0" t="s">
        <v>928</v>
      </c>
      <c r="C1418" s="0" t="s">
        <v>500</v>
      </c>
      <c r="D1418" s="0" t="n">
        <v>0</v>
      </c>
      <c r="E1418" s="0" t="n">
        <v>0.069914658</v>
      </c>
      <c r="F1418" s="0" t="n">
        <v>0.07687899467</v>
      </c>
      <c r="G1418" s="0" t="n">
        <v>0.0875882956</v>
      </c>
      <c r="H1418" s="0" t="n">
        <v>0.09948109912</v>
      </c>
    </row>
    <row r="1419" customFormat="false" ht="15" hidden="false" customHeight="false" outlineLevel="0" collapsed="false">
      <c r="A1419" s="0" t="s">
        <v>2615</v>
      </c>
      <c r="B1419" s="0" t="s">
        <v>954</v>
      </c>
      <c r="C1419" s="0" t="s">
        <v>500</v>
      </c>
      <c r="D1419" s="0" t="n">
        <v>0</v>
      </c>
      <c r="E1419" s="0" t="n">
        <v>0.01137275111</v>
      </c>
      <c r="F1419" s="0" t="n">
        <v>0.01146050544</v>
      </c>
      <c r="G1419" s="0" t="n">
        <v>0.01530014419</v>
      </c>
      <c r="H1419" s="0" t="n">
        <v>0.02013434709</v>
      </c>
    </row>
    <row r="1420" customFormat="false" ht="15" hidden="false" customHeight="false" outlineLevel="0" collapsed="false">
      <c r="A1420" s="0" t="s">
        <v>2616</v>
      </c>
      <c r="B1420" s="0" t="s">
        <v>988</v>
      </c>
      <c r="C1420" s="0" t="s">
        <v>500</v>
      </c>
      <c r="D1420" s="0" t="n">
        <v>0</v>
      </c>
      <c r="E1420" s="0" t="n">
        <v>0.01479789991</v>
      </c>
      <c r="F1420" s="0" t="n">
        <v>0.01733605472</v>
      </c>
      <c r="G1420" s="0" t="n">
        <v>0.02277912741</v>
      </c>
      <c r="H1420" s="0" t="n">
        <v>0.02950894505</v>
      </c>
    </row>
    <row r="1421" customFormat="false" ht="15" hidden="false" customHeight="false" outlineLevel="0" collapsed="false">
      <c r="A1421" s="0" t="s">
        <v>2617</v>
      </c>
      <c r="B1421" s="0" t="s">
        <v>974</v>
      </c>
      <c r="C1421" s="0" t="s">
        <v>500</v>
      </c>
      <c r="D1421" s="0" t="n">
        <v>0</v>
      </c>
      <c r="E1421" s="0" t="n">
        <v>0.01310430769</v>
      </c>
      <c r="F1421" s="0" t="n">
        <v>0.01464782941</v>
      </c>
      <c r="G1421" s="0" t="n">
        <v>0.01765079341</v>
      </c>
      <c r="H1421" s="0" t="n">
        <v>0.02112153286</v>
      </c>
    </row>
    <row r="1422" customFormat="false" ht="15" hidden="false" customHeight="false" outlineLevel="0" collapsed="false">
      <c r="A1422" s="0" t="s">
        <v>2618</v>
      </c>
      <c r="B1422" s="0" t="s">
        <v>992</v>
      </c>
      <c r="C1422" s="0" t="s">
        <v>500</v>
      </c>
      <c r="D1422" s="0" t="n">
        <v>0</v>
      </c>
      <c r="E1422" s="0" t="n">
        <v>0.001442627884</v>
      </c>
      <c r="F1422" s="0" t="n">
        <v>0.001517732387</v>
      </c>
      <c r="G1422" s="0" t="n">
        <v>0.001899672636</v>
      </c>
      <c r="H1422" s="0" t="n">
        <v>0.002361558729</v>
      </c>
    </row>
    <row r="1423" customFormat="false" ht="15" hidden="false" customHeight="false" outlineLevel="0" collapsed="false">
      <c r="A1423" s="0" t="s">
        <v>2619</v>
      </c>
      <c r="B1423" s="0" t="s">
        <v>760</v>
      </c>
      <c r="C1423" s="0" t="s">
        <v>500</v>
      </c>
      <c r="D1423" s="0" t="n">
        <v>0</v>
      </c>
      <c r="E1423" s="0" t="n">
        <v>0.2038692852</v>
      </c>
      <c r="F1423" s="0" t="n">
        <v>0.2386070743</v>
      </c>
      <c r="G1423" s="0" t="n">
        <v>0.2867887003</v>
      </c>
      <c r="H1423" s="0" t="n">
        <v>0.3426286681</v>
      </c>
    </row>
    <row r="1424" customFormat="false" ht="15" hidden="false" customHeight="false" outlineLevel="0" collapsed="false">
      <c r="A1424" s="0" t="s">
        <v>2620</v>
      </c>
      <c r="B1424" s="0" t="s">
        <v>982</v>
      </c>
      <c r="C1424" s="0" t="s">
        <v>500</v>
      </c>
      <c r="D1424" s="0" t="n">
        <v>0</v>
      </c>
      <c r="E1424" s="0" t="n">
        <v>0.002511266583</v>
      </c>
      <c r="F1424" s="0" t="n">
        <v>0.00270405034</v>
      </c>
      <c r="G1424" s="0" t="n">
        <v>0.003261047297</v>
      </c>
      <c r="H1424" s="0" t="n">
        <v>0.00390227884</v>
      </c>
    </row>
    <row r="1425" customFormat="false" ht="15" hidden="false" customHeight="false" outlineLevel="0" collapsed="false">
      <c r="A1425" s="0" t="s">
        <v>2621</v>
      </c>
      <c r="B1425" s="0" t="s">
        <v>940</v>
      </c>
      <c r="C1425" s="0" t="s">
        <v>500</v>
      </c>
      <c r="D1425" s="0" t="n">
        <v>0</v>
      </c>
      <c r="E1425" s="0" t="n">
        <v>0.01145683659</v>
      </c>
      <c r="F1425" s="0" t="n">
        <v>0.01462228382</v>
      </c>
      <c r="G1425" s="0" t="n">
        <v>0.02002071044</v>
      </c>
      <c r="H1425" s="0" t="n">
        <v>0.02690732294</v>
      </c>
    </row>
    <row r="1426" customFormat="false" ht="15" hidden="false" customHeight="false" outlineLevel="0" collapsed="false">
      <c r="A1426" s="0" t="s">
        <v>2622</v>
      </c>
      <c r="B1426" s="0" t="s">
        <v>792</v>
      </c>
      <c r="C1426" s="0" t="s">
        <v>500</v>
      </c>
      <c r="D1426" s="0" t="n">
        <v>0</v>
      </c>
      <c r="E1426" s="0" t="n">
        <v>0.1612131969</v>
      </c>
      <c r="F1426" s="0" t="n">
        <v>0.1864218614</v>
      </c>
      <c r="G1426" s="0" t="n">
        <v>0.244971817</v>
      </c>
      <c r="H1426" s="0" t="n">
        <v>0.3173429409</v>
      </c>
    </row>
    <row r="1427" customFormat="false" ht="15" hidden="false" customHeight="false" outlineLevel="0" collapsed="false">
      <c r="A1427" s="0" t="s">
        <v>2623</v>
      </c>
      <c r="B1427" s="0" t="s">
        <v>948</v>
      </c>
      <c r="C1427" s="0" t="s">
        <v>500</v>
      </c>
      <c r="D1427" s="0" t="n">
        <v>0</v>
      </c>
      <c r="E1427" s="0" t="n">
        <v>0.01368218858</v>
      </c>
      <c r="F1427" s="0" t="n">
        <v>0.0156966848</v>
      </c>
      <c r="G1427" s="0" t="n">
        <v>0.02062835691</v>
      </c>
      <c r="H1427" s="0" t="n">
        <v>0.02672275543</v>
      </c>
    </row>
    <row r="1428" customFormat="false" ht="15" hidden="false" customHeight="false" outlineLevel="0" collapsed="false">
      <c r="A1428" s="0" t="s">
        <v>2624</v>
      </c>
      <c r="B1428" s="0" t="s">
        <v>730</v>
      </c>
      <c r="C1428" s="0" t="s">
        <v>500</v>
      </c>
      <c r="D1428" s="0" t="n">
        <v>0</v>
      </c>
      <c r="E1428" s="0" t="n">
        <v>5.140145001</v>
      </c>
      <c r="F1428" s="0" t="n">
        <v>4.834391286</v>
      </c>
      <c r="G1428" s="0" t="n">
        <v>4.322154204</v>
      </c>
      <c r="H1428" s="0" t="n">
        <v>0</v>
      </c>
    </row>
    <row r="1429" customFormat="false" ht="15" hidden="false" customHeight="false" outlineLevel="0" collapsed="false">
      <c r="A1429" s="0" t="s">
        <v>2625</v>
      </c>
      <c r="B1429" s="0" t="s">
        <v>762</v>
      </c>
      <c r="C1429" s="0" t="s">
        <v>500</v>
      </c>
      <c r="D1429" s="0" t="n">
        <v>0</v>
      </c>
      <c r="E1429" s="0" t="n">
        <v>0.03512982158</v>
      </c>
      <c r="F1429" s="0" t="n">
        <v>0.0333658285</v>
      </c>
      <c r="G1429" s="0" t="n">
        <v>0.03009882971</v>
      </c>
      <c r="H1429" s="0" t="n">
        <v>0</v>
      </c>
    </row>
    <row r="1430" customFormat="false" ht="15" hidden="false" customHeight="false" outlineLevel="0" collapsed="false">
      <c r="A1430" s="0" t="s">
        <v>2626</v>
      </c>
      <c r="B1430" s="0" t="s">
        <v>892</v>
      </c>
      <c r="C1430" s="0" t="s">
        <v>500</v>
      </c>
      <c r="D1430" s="0" t="n">
        <v>0</v>
      </c>
      <c r="E1430" s="0" t="n">
        <v>0.08088447146</v>
      </c>
      <c r="F1430" s="0" t="n">
        <v>0.09009000487</v>
      </c>
      <c r="G1430" s="0" t="n">
        <v>0.1229350918</v>
      </c>
      <c r="H1430" s="0" t="n">
        <v>0.1647718658</v>
      </c>
    </row>
    <row r="1431" customFormat="false" ht="15" hidden="false" customHeight="false" outlineLevel="0" collapsed="false">
      <c r="A1431" s="0" t="s">
        <v>2627</v>
      </c>
      <c r="B1431" s="0" t="s">
        <v>1064</v>
      </c>
      <c r="C1431" s="0" t="s">
        <v>500</v>
      </c>
      <c r="D1431" s="0" t="n">
        <v>0</v>
      </c>
      <c r="E1431" s="0" t="n">
        <v>5.42598832E-006</v>
      </c>
      <c r="F1431" s="0" t="n">
        <v>5.784332736E-006</v>
      </c>
      <c r="G1431" s="0" t="n">
        <v>6.977764815E-006</v>
      </c>
      <c r="H1431" s="0" t="n">
        <v>8.349827988E-006</v>
      </c>
    </row>
    <row r="1432" customFormat="false" ht="15" hidden="false" customHeight="false" outlineLevel="0" collapsed="false">
      <c r="A1432" s="0" t="s">
        <v>2628</v>
      </c>
      <c r="B1432" s="0" t="s">
        <v>796</v>
      </c>
      <c r="C1432" s="0" t="s">
        <v>500</v>
      </c>
      <c r="D1432" s="0" t="n">
        <v>0</v>
      </c>
      <c r="E1432" s="0" t="n">
        <v>0.4341206331</v>
      </c>
      <c r="F1432" s="0" t="n">
        <v>0.4271454667</v>
      </c>
      <c r="G1432" s="0" t="n">
        <v>0.4010808853</v>
      </c>
      <c r="H1432" s="0" t="n">
        <v>0</v>
      </c>
    </row>
    <row r="1433" customFormat="false" ht="15" hidden="false" customHeight="false" outlineLevel="0" collapsed="false">
      <c r="A1433" s="0" t="s">
        <v>2629</v>
      </c>
      <c r="B1433" s="0" t="s">
        <v>832</v>
      </c>
      <c r="C1433" s="0" t="s">
        <v>500</v>
      </c>
      <c r="D1433" s="0" t="n">
        <v>0</v>
      </c>
      <c r="E1433" s="0" t="n">
        <v>1.80124304</v>
      </c>
      <c r="F1433" s="0" t="n">
        <v>1.791367549</v>
      </c>
      <c r="G1433" s="0" t="n">
        <v>1.607963742</v>
      </c>
      <c r="H1433" s="0" t="n">
        <v>1.443676436</v>
      </c>
    </row>
    <row r="1434" customFormat="false" ht="15" hidden="false" customHeight="false" outlineLevel="0" collapsed="false">
      <c r="A1434" s="0" t="s">
        <v>2630</v>
      </c>
      <c r="B1434" s="0" t="s">
        <v>772</v>
      </c>
      <c r="C1434" s="0" t="s">
        <v>500</v>
      </c>
      <c r="D1434" s="0" t="n">
        <v>0</v>
      </c>
      <c r="E1434" s="0" t="n">
        <v>0.7290575297</v>
      </c>
      <c r="F1434" s="0" t="n">
        <v>0.7491426568</v>
      </c>
      <c r="G1434" s="0" t="n">
        <v>0.8098414086</v>
      </c>
      <c r="H1434" s="0" t="n">
        <v>0.8797295421</v>
      </c>
    </row>
    <row r="1435" customFormat="false" ht="15" hidden="false" customHeight="false" outlineLevel="0" collapsed="false">
      <c r="A1435" s="0" t="s">
        <v>2631</v>
      </c>
      <c r="B1435" s="0" t="s">
        <v>848</v>
      </c>
      <c r="C1435" s="0" t="s">
        <v>500</v>
      </c>
      <c r="D1435" s="0" t="n">
        <v>0</v>
      </c>
      <c r="E1435" s="0" t="n">
        <v>0.04753844216</v>
      </c>
      <c r="F1435" s="0" t="n">
        <v>0.05320876487</v>
      </c>
      <c r="G1435" s="0" t="n">
        <v>0.05571828802</v>
      </c>
      <c r="H1435" s="0" t="n">
        <v>0.05845555865</v>
      </c>
    </row>
    <row r="1436" customFormat="false" ht="15" hidden="false" customHeight="false" outlineLevel="0" collapsed="false">
      <c r="A1436" s="0" t="s">
        <v>2632</v>
      </c>
      <c r="B1436" s="0" t="s">
        <v>784</v>
      </c>
      <c r="C1436" s="0" t="s">
        <v>500</v>
      </c>
      <c r="D1436" s="0" t="n">
        <v>0</v>
      </c>
      <c r="E1436" s="0" t="n">
        <v>0.3303242126</v>
      </c>
      <c r="F1436" s="0" t="n">
        <v>0.350419034</v>
      </c>
      <c r="G1436" s="0" t="n">
        <v>0.3999526755</v>
      </c>
      <c r="H1436" s="0" t="n">
        <v>0.4574234957</v>
      </c>
    </row>
    <row r="1437" customFormat="false" ht="15" hidden="false" customHeight="false" outlineLevel="0" collapsed="false">
      <c r="A1437" s="0" t="s">
        <v>2633</v>
      </c>
      <c r="B1437" s="0" t="s">
        <v>754</v>
      </c>
      <c r="C1437" s="0" t="s">
        <v>500</v>
      </c>
      <c r="D1437" s="0" t="n">
        <v>0</v>
      </c>
      <c r="E1437" s="0" t="n">
        <v>0.3729138584</v>
      </c>
      <c r="F1437" s="0" t="n">
        <v>0.4276912449</v>
      </c>
      <c r="G1437" s="0" t="n">
        <v>0.5540564106</v>
      </c>
      <c r="H1437" s="0" t="n">
        <v>0.7094155416</v>
      </c>
    </row>
    <row r="1438" customFormat="false" ht="15" hidden="false" customHeight="false" outlineLevel="0" collapsed="false">
      <c r="A1438" s="0" t="s">
        <v>2634</v>
      </c>
      <c r="B1438" s="0" t="s">
        <v>1062</v>
      </c>
      <c r="C1438" s="0" t="s">
        <v>500</v>
      </c>
      <c r="D1438" s="0" t="n">
        <v>0</v>
      </c>
      <c r="E1438" s="0" t="n">
        <v>0.0005181213191</v>
      </c>
      <c r="F1438" s="0" t="n">
        <v>0.0005684109131</v>
      </c>
      <c r="G1438" s="0" t="n">
        <v>0.0005954425779</v>
      </c>
      <c r="H1438" s="0" t="n">
        <v>0.0006246948672</v>
      </c>
    </row>
    <row r="1439" customFormat="false" ht="15" hidden="false" customHeight="false" outlineLevel="0" collapsed="false">
      <c r="A1439" s="0" t="s">
        <v>2635</v>
      </c>
      <c r="B1439" s="0" t="s">
        <v>912</v>
      </c>
      <c r="C1439" s="0" t="s">
        <v>500</v>
      </c>
      <c r="D1439" s="0" t="n">
        <v>0</v>
      </c>
      <c r="E1439" s="0" t="n">
        <v>0.02563955407</v>
      </c>
      <c r="F1439" s="0" t="n">
        <v>0.02932133535</v>
      </c>
      <c r="G1439" s="0" t="n">
        <v>0.03853499429</v>
      </c>
      <c r="H1439" s="0" t="n">
        <v>0.04991969222</v>
      </c>
    </row>
    <row r="1440" customFormat="false" ht="15" hidden="false" customHeight="false" outlineLevel="0" collapsed="false">
      <c r="A1440" s="0" t="s">
        <v>2636</v>
      </c>
      <c r="B1440" s="0" t="s">
        <v>732</v>
      </c>
      <c r="C1440" s="0" t="s">
        <v>500</v>
      </c>
      <c r="D1440" s="0" t="n">
        <v>0</v>
      </c>
      <c r="E1440" s="0" t="n">
        <v>3.563982482</v>
      </c>
      <c r="F1440" s="0" t="n">
        <v>3.615069155</v>
      </c>
      <c r="G1440" s="0" t="n">
        <v>3.40852197</v>
      </c>
      <c r="H1440" s="0" t="n">
        <v>3.224696953</v>
      </c>
    </row>
    <row r="1441" customFormat="false" ht="15" hidden="false" customHeight="false" outlineLevel="0" collapsed="false">
      <c r="A1441" s="0" t="s">
        <v>2637</v>
      </c>
      <c r="B1441" s="0" t="s">
        <v>834</v>
      </c>
      <c r="C1441" s="0" t="s">
        <v>500</v>
      </c>
      <c r="D1441" s="0" t="n">
        <v>0</v>
      </c>
      <c r="E1441" s="0" t="n">
        <v>0.05712309195</v>
      </c>
      <c r="F1441" s="0" t="n">
        <v>0.05499810586</v>
      </c>
      <c r="G1441" s="0" t="n">
        <v>0.05790289188</v>
      </c>
      <c r="H1441" s="0" t="n">
        <v>0.002949318939</v>
      </c>
    </row>
    <row r="1442" customFormat="false" ht="15" hidden="false" customHeight="false" outlineLevel="0" collapsed="false">
      <c r="A1442" s="0" t="s">
        <v>2638</v>
      </c>
      <c r="B1442" s="0" t="s">
        <v>786</v>
      </c>
      <c r="C1442" s="0" t="s">
        <v>500</v>
      </c>
      <c r="D1442" s="0" t="n">
        <v>0</v>
      </c>
      <c r="E1442" s="0" t="n">
        <v>0.4097193899</v>
      </c>
      <c r="F1442" s="0" t="n">
        <v>0.401541045</v>
      </c>
      <c r="G1442" s="0" t="n">
        <v>0.3772266294</v>
      </c>
      <c r="H1442" s="0" t="n">
        <v>0</v>
      </c>
    </row>
    <row r="1443" customFormat="false" ht="15" hidden="false" customHeight="false" outlineLevel="0" collapsed="false">
      <c r="A1443" s="0" t="s">
        <v>2639</v>
      </c>
      <c r="B1443" s="0" t="s">
        <v>888</v>
      </c>
      <c r="C1443" s="0" t="s">
        <v>500</v>
      </c>
      <c r="D1443" s="0" t="n">
        <v>0</v>
      </c>
      <c r="E1443" s="0" t="n">
        <v>0.01691498324</v>
      </c>
      <c r="F1443" s="0" t="n">
        <v>0.01947057545</v>
      </c>
      <c r="G1443" s="0" t="n">
        <v>0.02345328481</v>
      </c>
      <c r="H1443" s="0" t="n">
        <v>0.02806498916</v>
      </c>
    </row>
    <row r="1444" customFormat="false" ht="15" hidden="false" customHeight="false" outlineLevel="0" collapsed="false">
      <c r="A1444" s="0" t="s">
        <v>2640</v>
      </c>
      <c r="B1444" s="0" t="s">
        <v>816</v>
      </c>
      <c r="C1444" s="0" t="s">
        <v>500</v>
      </c>
      <c r="D1444" s="0" t="n">
        <v>0</v>
      </c>
      <c r="E1444" s="0" t="n">
        <v>0.03937987851</v>
      </c>
      <c r="F1444" s="0" t="n">
        <v>0.02625726146</v>
      </c>
      <c r="G1444" s="0" t="n">
        <v>0.02872447831</v>
      </c>
      <c r="H1444" s="0" t="n">
        <v>0.03013562488</v>
      </c>
    </row>
    <row r="1445" customFormat="false" ht="15" hidden="false" customHeight="false" outlineLevel="0" collapsed="false">
      <c r="A1445" s="0" t="s">
        <v>2641</v>
      </c>
      <c r="B1445" s="0" t="s">
        <v>776</v>
      </c>
      <c r="C1445" s="0" t="s">
        <v>500</v>
      </c>
      <c r="D1445" s="0" t="n">
        <v>0</v>
      </c>
      <c r="E1445" s="0" t="n">
        <v>1.258682232</v>
      </c>
      <c r="F1445" s="0" t="n">
        <v>1.18570603</v>
      </c>
      <c r="G1445" s="0" t="n">
        <v>1.181142932</v>
      </c>
      <c r="H1445" s="0" t="n">
        <v>1.175705629</v>
      </c>
    </row>
    <row r="1446" customFormat="false" ht="15" hidden="false" customHeight="false" outlineLevel="0" collapsed="false">
      <c r="A1446" s="0" t="s">
        <v>2642</v>
      </c>
      <c r="B1446" s="0" t="s">
        <v>714</v>
      </c>
      <c r="C1446" s="0" t="s">
        <v>500</v>
      </c>
      <c r="D1446" s="0" t="n">
        <v>0</v>
      </c>
      <c r="E1446" s="0" t="n">
        <v>16.98894197</v>
      </c>
      <c r="F1446" s="0" t="n">
        <v>16.30793979</v>
      </c>
      <c r="G1446" s="0" t="n">
        <v>16.65904261</v>
      </c>
      <c r="H1446" s="0" t="n">
        <v>17.06388772</v>
      </c>
    </row>
    <row r="1447" customFormat="false" ht="15" hidden="false" customHeight="false" outlineLevel="0" collapsed="false">
      <c r="A1447" s="0" t="s">
        <v>2643</v>
      </c>
      <c r="B1447" s="0" t="s">
        <v>958</v>
      </c>
      <c r="C1447" s="0" t="s">
        <v>500</v>
      </c>
      <c r="D1447" s="0" t="n">
        <v>0</v>
      </c>
      <c r="E1447" s="0" t="n">
        <v>0.004411313098</v>
      </c>
      <c r="F1447" s="0" t="n">
        <v>0.005735144108</v>
      </c>
      <c r="G1447" s="0" t="n">
        <v>0.007864422409</v>
      </c>
      <c r="H1447" s="0" t="n">
        <v>0.01057935606</v>
      </c>
    </row>
    <row r="1448" customFormat="false" ht="15" hidden="false" customHeight="false" outlineLevel="0" collapsed="false">
      <c r="A1448" s="0" t="s">
        <v>2644</v>
      </c>
      <c r="B1448" s="0" t="s">
        <v>728</v>
      </c>
      <c r="C1448" s="0" t="s">
        <v>500</v>
      </c>
      <c r="D1448" s="0" t="n">
        <v>0</v>
      </c>
      <c r="E1448" s="0" t="n">
        <v>0.6423416171</v>
      </c>
      <c r="F1448" s="0" t="n">
        <v>0.6998355301</v>
      </c>
      <c r="G1448" s="0" t="n">
        <v>0.7332298346</v>
      </c>
      <c r="H1448" s="0" t="n">
        <v>0.7692511943</v>
      </c>
    </row>
    <row r="1449" customFormat="false" ht="15" hidden="false" customHeight="false" outlineLevel="0" collapsed="false">
      <c r="A1449" s="0" t="s">
        <v>2645</v>
      </c>
      <c r="B1449" s="0" t="s">
        <v>932</v>
      </c>
      <c r="C1449" s="0" t="s">
        <v>500</v>
      </c>
      <c r="D1449" s="0" t="n">
        <v>0</v>
      </c>
      <c r="E1449" s="0" t="n">
        <v>0.03640048454</v>
      </c>
      <c r="F1449" s="0" t="n">
        <v>0.03714754858</v>
      </c>
      <c r="G1449" s="0" t="n">
        <v>0.04896421513</v>
      </c>
      <c r="H1449" s="0" t="n">
        <v>0.06343010021</v>
      </c>
    </row>
    <row r="1450" customFormat="false" ht="15" hidden="false" customHeight="false" outlineLevel="0" collapsed="false">
      <c r="A1450" s="0" t="s">
        <v>2646</v>
      </c>
      <c r="B1450" s="0" t="s">
        <v>910</v>
      </c>
      <c r="C1450" s="0" t="s">
        <v>500</v>
      </c>
      <c r="D1450" s="0" t="n">
        <v>0</v>
      </c>
      <c r="E1450" s="0" t="n">
        <v>0.04426842905</v>
      </c>
      <c r="F1450" s="0" t="n">
        <v>0.04799201796</v>
      </c>
      <c r="G1450" s="0" t="n">
        <v>0.06583119252</v>
      </c>
      <c r="H1450" s="0" t="n">
        <v>0.08855725051</v>
      </c>
    </row>
    <row r="1451" customFormat="false" ht="15" hidden="false" customHeight="false" outlineLevel="0" collapsed="false">
      <c r="A1451" s="0" t="s">
        <v>2647</v>
      </c>
      <c r="B1451" s="0" t="s">
        <v>740</v>
      </c>
      <c r="C1451" s="0" t="s">
        <v>500</v>
      </c>
      <c r="D1451" s="0" t="n">
        <v>0</v>
      </c>
      <c r="E1451" s="0" t="n">
        <v>0.05998538543</v>
      </c>
      <c r="F1451" s="0" t="n">
        <v>0.06051043706</v>
      </c>
      <c r="G1451" s="0" t="n">
        <v>0.05548449933</v>
      </c>
      <c r="H1451" s="0" t="n">
        <v>0</v>
      </c>
    </row>
    <row r="1452" customFormat="false" ht="15" hidden="false" customHeight="false" outlineLevel="0" collapsed="false">
      <c r="A1452" s="0" t="s">
        <v>2648</v>
      </c>
      <c r="B1452" s="0" t="s">
        <v>1042</v>
      </c>
      <c r="C1452" s="0" t="s">
        <v>500</v>
      </c>
      <c r="D1452" s="0" t="n">
        <v>0</v>
      </c>
      <c r="E1452" s="0" t="n">
        <v>0.0001021389964</v>
      </c>
      <c r="F1452" s="0" t="n">
        <v>0.0001127167649</v>
      </c>
      <c r="G1452" s="0" t="n">
        <v>0.0001482189863</v>
      </c>
      <c r="H1452" s="0" t="n">
        <v>0.0001920084928</v>
      </c>
    </row>
    <row r="1453" customFormat="false" ht="15" hidden="false" customHeight="false" outlineLevel="0" collapsed="false">
      <c r="A1453" s="0" t="s">
        <v>2649</v>
      </c>
      <c r="B1453" s="0" t="s">
        <v>998</v>
      </c>
      <c r="C1453" s="0" t="s">
        <v>500</v>
      </c>
      <c r="D1453" s="0" t="n">
        <v>0</v>
      </c>
      <c r="E1453" s="0" t="n">
        <v>0.0009575333139</v>
      </c>
      <c r="F1453" s="0" t="n">
        <v>0.001132606169</v>
      </c>
      <c r="G1453" s="0" t="n">
        <v>0.00155173779</v>
      </c>
      <c r="H1453" s="0" t="n">
        <v>0.002087424319</v>
      </c>
    </row>
    <row r="1454" customFormat="false" ht="15" hidden="false" customHeight="false" outlineLevel="0" collapsed="false">
      <c r="A1454" s="0" t="s">
        <v>2650</v>
      </c>
      <c r="B1454" s="0" t="s">
        <v>908</v>
      </c>
      <c r="C1454" s="0" t="s">
        <v>500</v>
      </c>
      <c r="D1454" s="0" t="n">
        <v>0</v>
      </c>
      <c r="E1454" s="0" t="n">
        <v>0.05486111743</v>
      </c>
      <c r="F1454" s="0" t="n">
        <v>0.06170576453</v>
      </c>
      <c r="G1454" s="0" t="n">
        <v>0.0811135241</v>
      </c>
      <c r="H1454" s="0" t="n">
        <v>0.1050775336</v>
      </c>
    </row>
    <row r="1455" customFormat="false" ht="15" hidden="false" customHeight="false" outlineLevel="0" collapsed="false">
      <c r="A1455" s="0" t="s">
        <v>2651</v>
      </c>
      <c r="B1455" s="0" t="s">
        <v>984</v>
      </c>
      <c r="C1455" s="0" t="s">
        <v>500</v>
      </c>
      <c r="D1455" s="0" t="n">
        <v>0</v>
      </c>
      <c r="E1455" s="0" t="n">
        <v>0.01436767912</v>
      </c>
      <c r="F1455" s="0" t="n">
        <v>0.015825928</v>
      </c>
      <c r="G1455" s="0" t="n">
        <v>0.02170067942</v>
      </c>
      <c r="H1455" s="0" t="n">
        <v>0.02919212657</v>
      </c>
    </row>
    <row r="1456" customFormat="false" ht="15" hidden="false" customHeight="false" outlineLevel="0" collapsed="false">
      <c r="A1456" s="0" t="s">
        <v>2652</v>
      </c>
      <c r="B1456" s="0" t="s">
        <v>852</v>
      </c>
      <c r="C1456" s="0" t="s">
        <v>500</v>
      </c>
      <c r="D1456" s="0" t="n">
        <v>0</v>
      </c>
      <c r="E1456" s="0" t="n">
        <v>0.222190188</v>
      </c>
      <c r="F1456" s="0" t="n">
        <v>0.2220504172</v>
      </c>
      <c r="G1456" s="0" t="n">
        <v>0.2239101232</v>
      </c>
      <c r="H1456" s="0" t="n">
        <v>0.2262833071</v>
      </c>
    </row>
    <row r="1457" customFormat="false" ht="15" hidden="false" customHeight="false" outlineLevel="0" collapsed="false">
      <c r="A1457" s="0" t="s">
        <v>2653</v>
      </c>
      <c r="B1457" s="0" t="s">
        <v>1056</v>
      </c>
      <c r="C1457" s="0" t="s">
        <v>500</v>
      </c>
      <c r="D1457" s="0" t="n">
        <v>0</v>
      </c>
      <c r="E1457" s="0" t="n">
        <v>0.001156771648</v>
      </c>
      <c r="F1457" s="0" t="n">
        <v>0.001305886335</v>
      </c>
      <c r="G1457" s="0" t="n">
        <v>0.001716520575</v>
      </c>
      <c r="H1457" s="0" t="n">
        <v>0.002223645815</v>
      </c>
    </row>
    <row r="1458" customFormat="false" ht="15" hidden="false" customHeight="false" outlineLevel="0" collapsed="false">
      <c r="A1458" s="0" t="s">
        <v>2654</v>
      </c>
      <c r="B1458" s="0" t="s">
        <v>1016</v>
      </c>
      <c r="C1458" s="0" t="s">
        <v>500</v>
      </c>
      <c r="D1458" s="0" t="n">
        <v>0</v>
      </c>
      <c r="E1458" s="0" t="n">
        <v>0.004514664834</v>
      </c>
      <c r="F1458" s="0" t="n">
        <v>0.005145185664</v>
      </c>
      <c r="G1458" s="0" t="n">
        <v>0.006198285216</v>
      </c>
      <c r="H1458" s="0" t="n">
        <v>0.007417076491</v>
      </c>
    </row>
    <row r="1459" customFormat="false" ht="15" hidden="false" customHeight="false" outlineLevel="0" collapsed="false">
      <c r="A1459" s="0" t="s">
        <v>2655</v>
      </c>
      <c r="B1459" s="0" t="s">
        <v>822</v>
      </c>
      <c r="C1459" s="0" t="s">
        <v>500</v>
      </c>
      <c r="D1459" s="0" t="n">
        <v>0</v>
      </c>
      <c r="E1459" s="0" t="n">
        <v>0.7514327904</v>
      </c>
      <c r="F1459" s="0" t="n">
        <v>0.6984122064</v>
      </c>
      <c r="G1459" s="0" t="n">
        <v>0.629417429</v>
      </c>
      <c r="H1459" s="0" t="n">
        <v>0</v>
      </c>
    </row>
    <row r="1460" customFormat="false" ht="15" hidden="false" customHeight="false" outlineLevel="0" collapsed="false">
      <c r="A1460" s="0" t="s">
        <v>2656</v>
      </c>
      <c r="B1460" s="0" t="s">
        <v>870</v>
      </c>
      <c r="C1460" s="0" t="s">
        <v>500</v>
      </c>
      <c r="D1460" s="0" t="n">
        <v>0</v>
      </c>
      <c r="E1460" s="0" t="n">
        <v>0.07847437885</v>
      </c>
      <c r="F1460" s="0" t="n">
        <v>0.07605163562</v>
      </c>
      <c r="G1460" s="0" t="n">
        <v>0.06960329499</v>
      </c>
      <c r="H1460" s="0" t="n">
        <v>0</v>
      </c>
    </row>
    <row r="1461" customFormat="false" ht="15" hidden="false" customHeight="false" outlineLevel="0" collapsed="false">
      <c r="A1461" s="0" t="s">
        <v>2657</v>
      </c>
      <c r="B1461" s="0" t="s">
        <v>746</v>
      </c>
      <c r="C1461" s="0" t="s">
        <v>500</v>
      </c>
      <c r="D1461" s="0" t="n">
        <v>0</v>
      </c>
      <c r="E1461" s="0" t="n">
        <v>0.08411545409</v>
      </c>
      <c r="F1461" s="0" t="n">
        <v>0.08064289389</v>
      </c>
      <c r="G1461" s="0" t="n">
        <v>0.07232515719</v>
      </c>
      <c r="H1461" s="0" t="n">
        <v>0</v>
      </c>
    </row>
    <row r="1462" customFormat="false" ht="15" hidden="false" customHeight="false" outlineLevel="0" collapsed="false">
      <c r="A1462" s="0" t="s">
        <v>2658</v>
      </c>
      <c r="B1462" s="0" t="s">
        <v>1010</v>
      </c>
      <c r="C1462" s="0" t="s">
        <v>500</v>
      </c>
      <c r="D1462" s="0" t="n">
        <v>0</v>
      </c>
      <c r="E1462" s="0" t="n">
        <v>0.008059576585</v>
      </c>
      <c r="F1462" s="0" t="n">
        <v>0.008760987803</v>
      </c>
      <c r="G1462" s="0" t="n">
        <v>0.0103062086</v>
      </c>
      <c r="H1462" s="0" t="n">
        <v>0.01208926998</v>
      </c>
    </row>
    <row r="1463" customFormat="false" ht="15" hidden="false" customHeight="false" outlineLevel="0" collapsed="false">
      <c r="A1463" s="0" t="s">
        <v>2659</v>
      </c>
      <c r="B1463" s="0" t="s">
        <v>1036</v>
      </c>
      <c r="C1463" s="0" t="s">
        <v>500</v>
      </c>
      <c r="D1463" s="0" t="n">
        <v>0</v>
      </c>
      <c r="E1463" s="0" t="n">
        <v>0.00265025759</v>
      </c>
      <c r="F1463" s="0" t="n">
        <v>0.002718124298</v>
      </c>
      <c r="G1463" s="0" t="n">
        <v>0.002853165792</v>
      </c>
      <c r="H1463" s="0" t="n">
        <v>0.002993333181</v>
      </c>
    </row>
    <row r="1464" customFormat="false" ht="15" hidden="false" customHeight="false" outlineLevel="0" collapsed="false">
      <c r="A1464" s="0" t="s">
        <v>2660</v>
      </c>
      <c r="B1464" s="0" t="s">
        <v>858</v>
      </c>
      <c r="C1464" s="0" t="s">
        <v>500</v>
      </c>
      <c r="D1464" s="0" t="n">
        <v>0</v>
      </c>
      <c r="E1464" s="0" t="n">
        <v>0.1930069785</v>
      </c>
      <c r="F1464" s="0" t="n">
        <v>0.2157657929</v>
      </c>
      <c r="G1464" s="0" t="n">
        <v>0.2957770944</v>
      </c>
      <c r="H1464" s="0" t="n">
        <v>0.397884426</v>
      </c>
    </row>
    <row r="1465" customFormat="false" ht="15" hidden="false" customHeight="false" outlineLevel="0" collapsed="false">
      <c r="A1465" s="0" t="s">
        <v>2661</v>
      </c>
      <c r="B1465" s="0" t="s">
        <v>942</v>
      </c>
      <c r="C1465" s="0" t="s">
        <v>500</v>
      </c>
      <c r="D1465" s="0" t="n">
        <v>0</v>
      </c>
      <c r="E1465" s="0" t="n">
        <v>0.01481837367</v>
      </c>
      <c r="F1465" s="0" t="n">
        <v>0.01795938989</v>
      </c>
      <c r="G1465" s="0" t="n">
        <v>0.02460568118</v>
      </c>
      <c r="H1465" s="0" t="n">
        <v>0.03309998481</v>
      </c>
    </row>
    <row r="1466" customFormat="false" ht="15" hidden="false" customHeight="false" outlineLevel="0" collapsed="false">
      <c r="A1466" s="0" t="s">
        <v>2662</v>
      </c>
      <c r="B1466" s="0" t="s">
        <v>986</v>
      </c>
      <c r="C1466" s="0" t="s">
        <v>500</v>
      </c>
      <c r="D1466" s="0" t="n">
        <v>0</v>
      </c>
      <c r="E1466" s="0" t="n">
        <v>0.007981587928</v>
      </c>
      <c r="F1466" s="0" t="n">
        <v>0.009594429295</v>
      </c>
      <c r="G1466" s="0" t="n">
        <v>0.01314480548</v>
      </c>
      <c r="H1466" s="0" t="n">
        <v>0.01768261803</v>
      </c>
    </row>
    <row r="1467" customFormat="false" ht="15" hidden="false" customHeight="false" outlineLevel="0" collapsed="false">
      <c r="A1467" s="0" t="s">
        <v>2663</v>
      </c>
      <c r="B1467" s="0" t="s">
        <v>752</v>
      </c>
      <c r="C1467" s="0" t="s">
        <v>500</v>
      </c>
      <c r="D1467" s="0" t="n">
        <v>0</v>
      </c>
      <c r="E1467" s="0" t="n">
        <v>0.4299854605</v>
      </c>
      <c r="F1467" s="0" t="n">
        <v>0.4415827401</v>
      </c>
      <c r="G1467" s="0" t="n">
        <v>0.5152105625</v>
      </c>
      <c r="H1467" s="0" t="n">
        <v>0.5989246416</v>
      </c>
    </row>
    <row r="1468" customFormat="false" ht="15" hidden="false" customHeight="false" outlineLevel="0" collapsed="false">
      <c r="A1468" s="0" t="s">
        <v>2664</v>
      </c>
      <c r="B1468" s="0" t="s">
        <v>968</v>
      </c>
      <c r="C1468" s="0" t="s">
        <v>500</v>
      </c>
      <c r="D1468" s="0" t="n">
        <v>0</v>
      </c>
      <c r="E1468" s="0" t="n">
        <v>0.04101021374</v>
      </c>
      <c r="F1468" s="0" t="n">
        <v>0.04596159325</v>
      </c>
      <c r="G1468" s="0" t="n">
        <v>0.05378581459</v>
      </c>
      <c r="H1468" s="0" t="n">
        <v>0.06264861261</v>
      </c>
    </row>
    <row r="1469" customFormat="false" ht="15" hidden="false" customHeight="false" outlineLevel="0" collapsed="false">
      <c r="A1469" s="0" t="s">
        <v>2665</v>
      </c>
      <c r="B1469" s="0" t="s">
        <v>872</v>
      </c>
      <c r="C1469" s="0" t="s">
        <v>500</v>
      </c>
      <c r="D1469" s="0" t="n">
        <v>0</v>
      </c>
      <c r="E1469" s="0" t="n">
        <v>2.483775142</v>
      </c>
      <c r="F1469" s="0" t="n">
        <v>2.438711709</v>
      </c>
      <c r="G1469" s="0" t="n">
        <v>2.397217953</v>
      </c>
      <c r="H1469" s="0" t="n">
        <v>2.356840005</v>
      </c>
    </row>
    <row r="1470" customFormat="false" ht="15" hidden="false" customHeight="false" outlineLevel="0" collapsed="false">
      <c r="A1470" s="0" t="s">
        <v>2666</v>
      </c>
      <c r="B1470" s="0" t="s">
        <v>1040</v>
      </c>
      <c r="C1470" s="0" t="s">
        <v>500</v>
      </c>
      <c r="D1470" s="0" t="n">
        <v>0</v>
      </c>
      <c r="E1470" s="0" t="n">
        <v>0.0001410355565</v>
      </c>
      <c r="F1470" s="0" t="n">
        <v>0.0001633393859</v>
      </c>
      <c r="G1470" s="0" t="n">
        <v>0.0002146396763</v>
      </c>
      <c r="H1470" s="0" t="n">
        <v>0.0002780523724</v>
      </c>
    </row>
    <row r="1471" customFormat="false" ht="15" hidden="false" customHeight="false" outlineLevel="0" collapsed="false">
      <c r="A1471" s="0" t="s">
        <v>2667</v>
      </c>
      <c r="B1471" s="0" t="s">
        <v>1060</v>
      </c>
      <c r="C1471" s="0" t="s">
        <v>500</v>
      </c>
      <c r="D1471" s="0" t="n">
        <v>0</v>
      </c>
      <c r="E1471" s="0" t="n">
        <v>0.001179044589</v>
      </c>
      <c r="F1471" s="0" t="n">
        <v>0.001266079543</v>
      </c>
      <c r="G1471" s="0" t="n">
        <v>0.001526986776</v>
      </c>
      <c r="H1471" s="0" t="n">
        <v>0.001827243718</v>
      </c>
    </row>
    <row r="1472" customFormat="false" ht="15" hidden="false" customHeight="false" outlineLevel="0" collapsed="false">
      <c r="A1472" s="0" t="s">
        <v>2668</v>
      </c>
      <c r="B1472" s="0" t="s">
        <v>944</v>
      </c>
      <c r="C1472" s="0" t="s">
        <v>500</v>
      </c>
      <c r="D1472" s="0" t="n">
        <v>0</v>
      </c>
      <c r="E1472" s="0" t="n">
        <v>0.03930394405</v>
      </c>
      <c r="F1472" s="0" t="n">
        <v>0.03801093685</v>
      </c>
      <c r="G1472" s="0" t="n">
        <v>0.03743864449</v>
      </c>
      <c r="H1472" s="0" t="n">
        <v>0.03700015578</v>
      </c>
    </row>
    <row r="1473" customFormat="false" ht="15" hidden="false" customHeight="false" outlineLevel="0" collapsed="false">
      <c r="A1473" s="0" t="s">
        <v>2669</v>
      </c>
      <c r="B1473" s="0" t="s">
        <v>884</v>
      </c>
      <c r="C1473" s="0" t="s">
        <v>500</v>
      </c>
      <c r="D1473" s="0" t="n">
        <v>0</v>
      </c>
      <c r="E1473" s="0" t="n">
        <v>0.2078659196</v>
      </c>
      <c r="F1473" s="0" t="n">
        <v>0.2138818063</v>
      </c>
      <c r="G1473" s="0" t="n">
        <v>0.2550933695</v>
      </c>
      <c r="H1473" s="0" t="n">
        <v>0.3048835197</v>
      </c>
    </row>
    <row r="1474" customFormat="false" ht="15" hidden="false" customHeight="false" outlineLevel="0" collapsed="false">
      <c r="A1474" s="0" t="s">
        <v>2670</v>
      </c>
      <c r="B1474" s="0" t="s">
        <v>726</v>
      </c>
      <c r="C1474" s="0" t="s">
        <v>500</v>
      </c>
      <c r="D1474" s="0" t="n">
        <v>0</v>
      </c>
      <c r="E1474" s="0" t="n">
        <v>6.778433687</v>
      </c>
      <c r="F1474" s="0" t="n">
        <v>6.862520003</v>
      </c>
      <c r="G1474" s="0" t="n">
        <v>6.924435715</v>
      </c>
      <c r="H1474" s="0" t="n">
        <v>7.00831563</v>
      </c>
    </row>
    <row r="1475" customFormat="false" ht="15" hidden="false" customHeight="false" outlineLevel="0" collapsed="false">
      <c r="A1475" s="0" t="s">
        <v>2671</v>
      </c>
      <c r="B1475" s="0" t="s">
        <v>842</v>
      </c>
      <c r="C1475" s="0" t="s">
        <v>500</v>
      </c>
      <c r="D1475" s="0" t="n">
        <v>0</v>
      </c>
      <c r="E1475" s="0" t="n">
        <v>0.07089776295</v>
      </c>
      <c r="F1475" s="0" t="n">
        <v>0.08739646997</v>
      </c>
      <c r="G1475" s="0" t="n">
        <v>0.1184385459</v>
      </c>
      <c r="H1475" s="0" t="n">
        <v>0.1580344823</v>
      </c>
    </row>
    <row r="1476" customFormat="false" ht="15" hidden="false" customHeight="false" outlineLevel="0" collapsed="false">
      <c r="A1476" s="0" t="s">
        <v>2672</v>
      </c>
      <c r="B1476" s="0" t="s">
        <v>866</v>
      </c>
      <c r="C1476" s="0" t="s">
        <v>500</v>
      </c>
      <c r="D1476" s="0" t="n">
        <v>0</v>
      </c>
      <c r="E1476" s="0" t="n">
        <v>0.005364073118</v>
      </c>
      <c r="F1476" s="0" t="n">
        <v>0.007040196283</v>
      </c>
      <c r="G1476" s="0" t="n">
        <v>0.009656057574</v>
      </c>
      <c r="H1476" s="0" t="n">
        <v>0.01298949445</v>
      </c>
    </row>
    <row r="1477" customFormat="false" ht="15" hidden="false" customHeight="false" outlineLevel="0" collapsed="false">
      <c r="A1477" s="0" t="s">
        <v>2673</v>
      </c>
      <c r="B1477" s="0" t="s">
        <v>804</v>
      </c>
      <c r="C1477" s="0" t="s">
        <v>500</v>
      </c>
      <c r="D1477" s="0" t="n">
        <v>0</v>
      </c>
      <c r="E1477" s="0" t="n">
        <v>1.348389724</v>
      </c>
      <c r="F1477" s="0" t="n">
        <v>1.316809529</v>
      </c>
      <c r="G1477" s="0" t="n">
        <v>1.379370484</v>
      </c>
      <c r="H1477" s="0" t="n">
        <v>1.442203778</v>
      </c>
    </row>
    <row r="1478" customFormat="false" ht="15" hidden="false" customHeight="false" outlineLevel="0" collapsed="false">
      <c r="A1478" s="0" t="s">
        <v>2674</v>
      </c>
      <c r="B1478" s="0" t="s">
        <v>860</v>
      </c>
      <c r="C1478" s="0" t="s">
        <v>500</v>
      </c>
      <c r="D1478" s="0" t="n">
        <v>0</v>
      </c>
      <c r="E1478" s="0" t="n">
        <v>0.04234927617</v>
      </c>
      <c r="F1478" s="0" t="n">
        <v>0.04302668678</v>
      </c>
      <c r="G1478" s="0" t="n">
        <v>0.04358905715</v>
      </c>
      <c r="H1478" s="0" t="n">
        <v>0.04431630835</v>
      </c>
    </row>
    <row r="1479" customFormat="false" ht="15" hidden="false" customHeight="false" outlineLevel="0" collapsed="false">
      <c r="A1479" s="0" t="s">
        <v>2675</v>
      </c>
      <c r="B1479" s="0" t="s">
        <v>693</v>
      </c>
      <c r="C1479" s="0" t="s">
        <v>500</v>
      </c>
      <c r="D1479" s="0" t="n">
        <v>0</v>
      </c>
      <c r="E1479" s="0" t="n">
        <v>119.0199027</v>
      </c>
      <c r="F1479" s="0" t="n">
        <v>116.7248346</v>
      </c>
      <c r="G1479" s="0" t="n">
        <v>107.5509199</v>
      </c>
      <c r="H1479" s="0" t="n">
        <v>0</v>
      </c>
    </row>
    <row r="1480" customFormat="false" ht="15" hidden="false" customHeight="false" outlineLevel="0" collapsed="false">
      <c r="A1480" s="0" t="s">
        <v>2676</v>
      </c>
      <c r="B1480" s="0" t="s">
        <v>810</v>
      </c>
      <c r="C1480" s="0" t="s">
        <v>500</v>
      </c>
      <c r="D1480" s="0" t="n">
        <v>0</v>
      </c>
      <c r="E1480" s="0" t="n">
        <v>2.407905483</v>
      </c>
      <c r="F1480" s="0" t="n">
        <v>2.608355807</v>
      </c>
      <c r="G1480" s="0" t="n">
        <v>2.734559429</v>
      </c>
      <c r="H1480" s="0" t="n">
        <v>2.876114448</v>
      </c>
    </row>
    <row r="1481" customFormat="false" ht="15" hidden="false" customHeight="false" outlineLevel="0" collapsed="false">
      <c r="A1481" s="0" t="s">
        <v>2677</v>
      </c>
      <c r="B1481" s="0" t="s">
        <v>1052</v>
      </c>
      <c r="C1481" s="0" t="s">
        <v>500</v>
      </c>
      <c r="D1481" s="0" t="n">
        <v>0</v>
      </c>
      <c r="E1481" s="0" t="n">
        <v>0.001106149746</v>
      </c>
      <c r="F1481" s="0" t="n">
        <v>0.001218249898</v>
      </c>
      <c r="G1481" s="0" t="n">
        <v>0.001468411779</v>
      </c>
      <c r="H1481" s="0" t="n">
        <v>0.001757150906</v>
      </c>
    </row>
    <row r="1482" customFormat="false" ht="15" hidden="false" customHeight="false" outlineLevel="0" collapsed="false">
      <c r="A1482" s="0" t="s">
        <v>2678</v>
      </c>
      <c r="B1482" s="0" t="s">
        <v>820</v>
      </c>
      <c r="C1482" s="0" t="s">
        <v>500</v>
      </c>
      <c r="D1482" s="0" t="n">
        <v>0</v>
      </c>
      <c r="E1482" s="0" t="n">
        <v>0.2727828876</v>
      </c>
      <c r="F1482" s="0" t="n">
        <v>0.2916528869</v>
      </c>
      <c r="G1482" s="0" t="n">
        <v>0.3153622949</v>
      </c>
      <c r="H1482" s="0" t="n">
        <v>0.3435961439</v>
      </c>
    </row>
    <row r="1483" customFormat="false" ht="15" hidden="false" customHeight="false" outlineLevel="0" collapsed="false">
      <c r="A1483" s="0" t="s">
        <v>2679</v>
      </c>
      <c r="B1483" s="0" t="s">
        <v>744</v>
      </c>
      <c r="C1483" s="0" t="s">
        <v>500</v>
      </c>
      <c r="D1483" s="0" t="n">
        <v>0</v>
      </c>
      <c r="E1483" s="0" t="n">
        <v>0.5376931534</v>
      </c>
      <c r="F1483" s="0" t="n">
        <v>0.6783415125</v>
      </c>
      <c r="G1483" s="0" t="n">
        <v>0.8717683382</v>
      </c>
      <c r="H1483" s="0" t="n">
        <v>1.108601644</v>
      </c>
    </row>
    <row r="1484" customFormat="false" ht="15" hidden="false" customHeight="false" outlineLevel="0" collapsed="false">
      <c r="A1484" s="0" t="s">
        <v>2680</v>
      </c>
      <c r="B1484" s="0" t="s">
        <v>1048</v>
      </c>
      <c r="C1484" s="0" t="s">
        <v>500</v>
      </c>
      <c r="D1484" s="0" t="n">
        <v>0</v>
      </c>
      <c r="E1484" s="0" t="n">
        <v>0.0008093305097</v>
      </c>
      <c r="F1484" s="0" t="n">
        <v>0.0009179596495</v>
      </c>
      <c r="G1484" s="0" t="n">
        <v>0.00120653212</v>
      </c>
      <c r="H1484" s="0" t="n">
        <v>0.00156298744</v>
      </c>
    </row>
    <row r="1485" customFormat="false" ht="15" hidden="false" customHeight="false" outlineLevel="0" collapsed="false">
      <c r="A1485" s="0" t="s">
        <v>2681</v>
      </c>
      <c r="B1485" s="0" t="s">
        <v>1050</v>
      </c>
      <c r="C1485" s="0" t="s">
        <v>500</v>
      </c>
      <c r="D1485" s="0" t="n">
        <v>0</v>
      </c>
      <c r="E1485" s="0" t="n">
        <v>0.0009592624644</v>
      </c>
      <c r="F1485" s="0" t="n">
        <v>0.001064663325</v>
      </c>
      <c r="G1485" s="0" t="n">
        <v>0.001283092387</v>
      </c>
      <c r="H1485" s="0" t="n">
        <v>0.001535391491</v>
      </c>
    </row>
    <row r="1486" customFormat="false" ht="15" hidden="false" customHeight="false" outlineLevel="0" collapsed="false">
      <c r="A1486" s="0" t="s">
        <v>2682</v>
      </c>
      <c r="B1486" s="0" t="s">
        <v>990</v>
      </c>
      <c r="C1486" s="0" t="s">
        <v>500</v>
      </c>
      <c r="D1486" s="0" t="n">
        <v>0</v>
      </c>
      <c r="E1486" s="0" t="n">
        <v>0.004305141697</v>
      </c>
      <c r="F1486" s="0" t="n">
        <v>0.004631855001</v>
      </c>
      <c r="G1486" s="0" t="n">
        <v>0.00555327988</v>
      </c>
      <c r="H1486" s="0" t="n">
        <v>0.006633302075</v>
      </c>
    </row>
    <row r="1487" customFormat="false" ht="15" hidden="false" customHeight="false" outlineLevel="0" collapsed="false">
      <c r="A1487" s="0" t="s">
        <v>2683</v>
      </c>
      <c r="B1487" s="0" t="s">
        <v>1004</v>
      </c>
      <c r="C1487" s="0" t="s">
        <v>500</v>
      </c>
      <c r="D1487" s="0" t="n">
        <v>0</v>
      </c>
      <c r="E1487" s="0" t="n">
        <v>0.1263733479</v>
      </c>
      <c r="F1487" s="0" t="n">
        <v>0.1286427869</v>
      </c>
      <c r="G1487" s="0" t="n">
        <v>0.1768290046</v>
      </c>
      <c r="H1487" s="0" t="n">
        <v>0.2378734132</v>
      </c>
    </row>
    <row r="1488" customFormat="false" ht="15" hidden="false" customHeight="false" outlineLevel="0" collapsed="false">
      <c r="A1488" s="0" t="s">
        <v>2684</v>
      </c>
      <c r="B1488" s="0" t="s">
        <v>774</v>
      </c>
      <c r="C1488" s="0" t="s">
        <v>500</v>
      </c>
      <c r="D1488" s="0" t="n">
        <v>0</v>
      </c>
      <c r="E1488" s="0" t="n">
        <v>0.9283517176</v>
      </c>
      <c r="F1488" s="0" t="n">
        <v>0.9260893714</v>
      </c>
      <c r="G1488" s="0" t="n">
        <v>1.019184035</v>
      </c>
      <c r="H1488" s="0" t="n">
        <v>1.119014369</v>
      </c>
    </row>
    <row r="1489" customFormat="false" ht="15" hidden="false" customHeight="false" outlineLevel="0" collapsed="false">
      <c r="A1489" s="0" t="s">
        <v>2685</v>
      </c>
      <c r="B1489" s="0" t="s">
        <v>930</v>
      </c>
      <c r="C1489" s="0" t="s">
        <v>500</v>
      </c>
      <c r="D1489" s="0" t="n">
        <v>0</v>
      </c>
      <c r="E1489" s="0" t="n">
        <v>8.803551012E-005</v>
      </c>
      <c r="F1489" s="0" t="n">
        <v>0.0001026515747</v>
      </c>
      <c r="G1489" s="0" t="n">
        <v>0.0001348850673</v>
      </c>
      <c r="H1489" s="0" t="n">
        <v>0.0001747352288</v>
      </c>
    </row>
    <row r="1490" customFormat="false" ht="15" hidden="false" customHeight="false" outlineLevel="0" collapsed="false">
      <c r="A1490" s="0" t="s">
        <v>2686</v>
      </c>
      <c r="B1490" s="0" t="s">
        <v>878</v>
      </c>
      <c r="C1490" s="0" t="s">
        <v>500</v>
      </c>
      <c r="D1490" s="0" t="n">
        <v>0</v>
      </c>
      <c r="E1490" s="0" t="n">
        <v>0.05027076874</v>
      </c>
      <c r="F1490" s="0" t="n">
        <v>0.05777862103</v>
      </c>
      <c r="G1490" s="0" t="n">
        <v>0.07376938676</v>
      </c>
      <c r="H1490" s="0" t="n">
        <v>0.09352370806</v>
      </c>
    </row>
    <row r="1491" customFormat="false" ht="15" hidden="false" customHeight="false" outlineLevel="0" collapsed="false">
      <c r="A1491" s="0" t="s">
        <v>2687</v>
      </c>
      <c r="B1491" s="0" t="s">
        <v>1018</v>
      </c>
      <c r="C1491" s="0" t="s">
        <v>519</v>
      </c>
      <c r="D1491" s="0" t="n">
        <v>0</v>
      </c>
      <c r="E1491" s="0" t="n">
        <v>0.04693158658</v>
      </c>
      <c r="F1491" s="0" t="n">
        <v>0.0525858456</v>
      </c>
      <c r="G1491" s="0" t="n">
        <v>0.06005391658</v>
      </c>
      <c r="H1491" s="0" t="n">
        <v>0.06838292636</v>
      </c>
    </row>
    <row r="1492" customFormat="false" ht="15" hidden="false" customHeight="false" outlineLevel="0" collapsed="false">
      <c r="A1492" s="0" t="s">
        <v>2688</v>
      </c>
      <c r="B1492" s="0" t="s">
        <v>962</v>
      </c>
      <c r="C1492" s="0" t="s">
        <v>519</v>
      </c>
      <c r="D1492" s="0" t="n">
        <v>0</v>
      </c>
      <c r="E1492" s="0" t="n">
        <v>0.08408213696</v>
      </c>
      <c r="F1492" s="0" t="n">
        <v>0.09508859331</v>
      </c>
      <c r="G1492" s="0" t="n">
        <v>0.1347945093</v>
      </c>
      <c r="H1492" s="0" t="n">
        <v>0.1881383724</v>
      </c>
    </row>
    <row r="1493" customFormat="false" ht="15" hidden="false" customHeight="false" outlineLevel="0" collapsed="false">
      <c r="A1493" s="0" t="s">
        <v>2689</v>
      </c>
      <c r="B1493" s="0" t="s">
        <v>828</v>
      </c>
      <c r="C1493" s="0" t="s">
        <v>519</v>
      </c>
      <c r="D1493" s="0" t="n">
        <v>0</v>
      </c>
      <c r="E1493" s="0" t="n">
        <v>0.1771490464</v>
      </c>
      <c r="F1493" s="0" t="n">
        <v>0.2072734683</v>
      </c>
      <c r="G1493" s="0" t="n">
        <v>0.3378287901</v>
      </c>
      <c r="H1493" s="0" t="n">
        <v>0.5308290554</v>
      </c>
    </row>
    <row r="1494" customFormat="false" ht="15" hidden="false" customHeight="false" outlineLevel="0" collapsed="false">
      <c r="A1494" s="0" t="s">
        <v>2690</v>
      </c>
      <c r="B1494" s="0" t="s">
        <v>926</v>
      </c>
      <c r="C1494" s="0" t="s">
        <v>519</v>
      </c>
      <c r="D1494" s="0" t="n">
        <v>0</v>
      </c>
      <c r="E1494" s="0" t="n">
        <v>0.07726063362</v>
      </c>
      <c r="F1494" s="0" t="n">
        <v>0.09151187445</v>
      </c>
      <c r="G1494" s="0" t="n">
        <v>0.1219136395</v>
      </c>
      <c r="H1494" s="0" t="n">
        <v>0.1606070231</v>
      </c>
    </row>
    <row r="1495" customFormat="false" ht="15" hidden="false" customHeight="false" outlineLevel="0" collapsed="false">
      <c r="A1495" s="0" t="s">
        <v>2691</v>
      </c>
      <c r="B1495" s="0" t="s">
        <v>748</v>
      </c>
      <c r="C1495" s="0" t="s">
        <v>519</v>
      </c>
      <c r="D1495" s="0" t="n">
        <v>0</v>
      </c>
      <c r="E1495" s="0" t="n">
        <v>5.4841454</v>
      </c>
      <c r="F1495" s="0" t="n">
        <v>6.488711414</v>
      </c>
      <c r="G1495" s="0" t="n">
        <v>7.100169883</v>
      </c>
      <c r="H1495" s="0" t="n">
        <v>7.791423963</v>
      </c>
    </row>
    <row r="1496" customFormat="false" ht="15" hidden="false" customHeight="false" outlineLevel="0" collapsed="false">
      <c r="A1496" s="0" t="s">
        <v>2692</v>
      </c>
      <c r="B1496" s="0" t="s">
        <v>736</v>
      </c>
      <c r="C1496" s="0" t="s">
        <v>519</v>
      </c>
      <c r="D1496" s="0" t="n">
        <v>0</v>
      </c>
      <c r="E1496" s="0" t="n">
        <v>2.418303229</v>
      </c>
      <c r="F1496" s="0" t="n">
        <v>2.930416789</v>
      </c>
      <c r="G1496" s="0" t="n">
        <v>3.256009031</v>
      </c>
      <c r="H1496" s="0" t="n">
        <v>3.617609077</v>
      </c>
    </row>
    <row r="1497" customFormat="false" ht="15" hidden="false" customHeight="false" outlineLevel="0" collapsed="false">
      <c r="A1497" s="0" t="s">
        <v>2693</v>
      </c>
      <c r="B1497" s="0" t="s">
        <v>920</v>
      </c>
      <c r="C1497" s="0" t="s">
        <v>519</v>
      </c>
      <c r="D1497" s="0" t="n">
        <v>0</v>
      </c>
      <c r="E1497" s="0" t="n">
        <v>0.09721287606</v>
      </c>
      <c r="F1497" s="0" t="n">
        <v>0.1376277386</v>
      </c>
      <c r="G1497" s="0" t="n">
        <v>0.1973214814</v>
      </c>
      <c r="H1497" s="0" t="n">
        <v>0.275638413</v>
      </c>
    </row>
    <row r="1498" customFormat="false" ht="15" hidden="false" customHeight="false" outlineLevel="0" collapsed="false">
      <c r="A1498" s="0" t="s">
        <v>2694</v>
      </c>
      <c r="B1498" s="0" t="s">
        <v>1038</v>
      </c>
      <c r="C1498" s="0" t="s">
        <v>519</v>
      </c>
      <c r="D1498" s="0" t="n">
        <v>0</v>
      </c>
      <c r="E1498" s="0" t="n">
        <v>0.03425374465</v>
      </c>
      <c r="F1498" s="0" t="n">
        <v>0.03917300413</v>
      </c>
      <c r="G1498" s="0" t="n">
        <v>0.04472342352</v>
      </c>
      <c r="H1498" s="0" t="n">
        <v>0.05092621351</v>
      </c>
    </row>
    <row r="1499" customFormat="false" ht="15" hidden="false" customHeight="false" outlineLevel="0" collapsed="false">
      <c r="A1499" s="0" t="s">
        <v>2695</v>
      </c>
      <c r="B1499" s="0" t="s">
        <v>718</v>
      </c>
      <c r="C1499" s="0" t="s">
        <v>519</v>
      </c>
      <c r="D1499" s="0" t="n">
        <v>0</v>
      </c>
      <c r="E1499" s="0" t="n">
        <v>11.05833677</v>
      </c>
      <c r="F1499" s="0" t="n">
        <v>12.13225538</v>
      </c>
      <c r="G1499" s="0" t="n">
        <v>13.60181875</v>
      </c>
      <c r="H1499" s="0" t="n">
        <v>15.23326266</v>
      </c>
    </row>
    <row r="1500" customFormat="false" ht="15" hidden="false" customHeight="false" outlineLevel="0" collapsed="false">
      <c r="A1500" s="0" t="s">
        <v>2696</v>
      </c>
      <c r="B1500" s="0" t="s">
        <v>758</v>
      </c>
      <c r="C1500" s="0" t="s">
        <v>519</v>
      </c>
      <c r="D1500" s="0" t="n">
        <v>0</v>
      </c>
      <c r="E1500" s="0" t="n">
        <v>1.241116012</v>
      </c>
      <c r="F1500" s="0" t="n">
        <v>1.238319935</v>
      </c>
      <c r="G1500" s="0" t="n">
        <v>1.377234787</v>
      </c>
      <c r="H1500" s="0" t="n">
        <v>1.525514237</v>
      </c>
    </row>
    <row r="1501" customFormat="false" ht="15" hidden="false" customHeight="false" outlineLevel="0" collapsed="false">
      <c r="A1501" s="0" t="s">
        <v>2697</v>
      </c>
      <c r="B1501" s="0" t="s">
        <v>868</v>
      </c>
      <c r="C1501" s="0" t="s">
        <v>519</v>
      </c>
      <c r="D1501" s="0" t="n">
        <v>0</v>
      </c>
      <c r="E1501" s="0" t="n">
        <v>0.2046568789</v>
      </c>
      <c r="F1501" s="0" t="n">
        <v>0.2340872744</v>
      </c>
      <c r="G1501" s="0" t="n">
        <v>0.3329745898</v>
      </c>
      <c r="H1501" s="0" t="n">
        <v>0.4631840051</v>
      </c>
    </row>
    <row r="1502" customFormat="false" ht="15" hidden="false" customHeight="false" outlineLevel="0" collapsed="false">
      <c r="A1502" s="0" t="s">
        <v>2698</v>
      </c>
      <c r="B1502" s="0" t="s">
        <v>1012</v>
      </c>
      <c r="C1502" s="0" t="s">
        <v>519</v>
      </c>
      <c r="D1502" s="0" t="n">
        <v>0</v>
      </c>
      <c r="E1502" s="0" t="n">
        <v>0.004657555659</v>
      </c>
      <c r="F1502" s="0" t="n">
        <v>0.005864124945</v>
      </c>
      <c r="G1502" s="0" t="n">
        <v>0.009622574875</v>
      </c>
      <c r="H1502" s="0" t="n">
        <v>0.01527426956</v>
      </c>
    </row>
    <row r="1503" customFormat="false" ht="15" hidden="false" customHeight="false" outlineLevel="0" collapsed="false">
      <c r="A1503" s="0" t="s">
        <v>2699</v>
      </c>
      <c r="B1503" s="0" t="s">
        <v>742</v>
      </c>
      <c r="C1503" s="0" t="s">
        <v>519</v>
      </c>
      <c r="D1503" s="0" t="n">
        <v>0</v>
      </c>
      <c r="E1503" s="0" t="n">
        <v>2.022301792</v>
      </c>
      <c r="F1503" s="0" t="n">
        <v>2.027416447</v>
      </c>
      <c r="G1503" s="0" t="n">
        <v>2.277284622</v>
      </c>
      <c r="H1503" s="0" t="n">
        <v>2.546346033</v>
      </c>
    </row>
    <row r="1504" customFormat="false" ht="15" hidden="false" customHeight="false" outlineLevel="0" collapsed="false">
      <c r="A1504" s="0" t="s">
        <v>2700</v>
      </c>
      <c r="B1504" s="0" t="s">
        <v>934</v>
      </c>
      <c r="C1504" s="0" t="s">
        <v>519</v>
      </c>
      <c r="D1504" s="0" t="n">
        <v>0</v>
      </c>
      <c r="E1504" s="0" t="n">
        <v>0.02058267891</v>
      </c>
      <c r="F1504" s="0" t="n">
        <v>0.02905589051</v>
      </c>
      <c r="G1504" s="0" t="n">
        <v>0.04534885361</v>
      </c>
      <c r="H1504" s="0" t="n">
        <v>0.06889727849</v>
      </c>
    </row>
    <row r="1505" customFormat="false" ht="15" hidden="false" customHeight="false" outlineLevel="0" collapsed="false">
      <c r="A1505" s="0" t="s">
        <v>2701</v>
      </c>
      <c r="B1505" s="0" t="s">
        <v>938</v>
      </c>
      <c r="C1505" s="0" t="s">
        <v>519</v>
      </c>
      <c r="D1505" s="0" t="n">
        <v>0</v>
      </c>
      <c r="E1505" s="0" t="n">
        <v>0.06959991572</v>
      </c>
      <c r="F1505" s="0" t="n">
        <v>0.09488003143</v>
      </c>
      <c r="G1505" s="0" t="n">
        <v>0.1617260258</v>
      </c>
      <c r="H1505" s="0" t="n">
        <v>0.2638343408</v>
      </c>
    </row>
    <row r="1506" customFormat="false" ht="15" hidden="false" customHeight="false" outlineLevel="0" collapsed="false">
      <c r="A1506" s="0" t="s">
        <v>2702</v>
      </c>
      <c r="B1506" s="0" t="s">
        <v>756</v>
      </c>
      <c r="C1506" s="0" t="s">
        <v>519</v>
      </c>
      <c r="D1506" s="0" t="n">
        <v>0</v>
      </c>
      <c r="E1506" s="0" t="n">
        <v>1.132583022</v>
      </c>
      <c r="F1506" s="0" t="n">
        <v>1.513504003</v>
      </c>
      <c r="G1506" s="0" t="n">
        <v>2.415420532</v>
      </c>
      <c r="H1506" s="0" t="n">
        <v>3.739300074</v>
      </c>
    </row>
    <row r="1507" customFormat="false" ht="15" hidden="false" customHeight="false" outlineLevel="0" collapsed="false">
      <c r="A1507" s="0" t="s">
        <v>2703</v>
      </c>
      <c r="B1507" s="0" t="s">
        <v>830</v>
      </c>
      <c r="C1507" s="0" t="s">
        <v>519</v>
      </c>
      <c r="D1507" s="0" t="n">
        <v>0</v>
      </c>
      <c r="E1507" s="0" t="n">
        <v>0.4881718461</v>
      </c>
      <c r="F1507" s="0" t="n">
        <v>0.5753611592</v>
      </c>
      <c r="G1507" s="0" t="n">
        <v>0.8073920765</v>
      </c>
      <c r="H1507" s="0" t="n">
        <v>1.111285436</v>
      </c>
    </row>
    <row r="1508" customFormat="false" ht="15" hidden="false" customHeight="false" outlineLevel="0" collapsed="false">
      <c r="A1508" s="0" t="s">
        <v>2704</v>
      </c>
      <c r="B1508" s="0" t="s">
        <v>898</v>
      </c>
      <c r="C1508" s="0" t="s">
        <v>519</v>
      </c>
      <c r="D1508" s="0" t="n">
        <v>0</v>
      </c>
      <c r="E1508" s="0" t="n">
        <v>0.3813477387</v>
      </c>
      <c r="F1508" s="0" t="n">
        <v>0.3613199592</v>
      </c>
      <c r="G1508" s="0" t="n">
        <v>0.3887668309</v>
      </c>
      <c r="H1508" s="0" t="n">
        <v>0.4230015003</v>
      </c>
    </row>
    <row r="1509" customFormat="false" ht="15" hidden="false" customHeight="false" outlineLevel="0" collapsed="false">
      <c r="A1509" s="0" t="s">
        <v>2705</v>
      </c>
      <c r="B1509" s="0" t="s">
        <v>976</v>
      </c>
      <c r="C1509" s="0" t="s">
        <v>519</v>
      </c>
      <c r="D1509" s="0" t="n">
        <v>0</v>
      </c>
      <c r="E1509" s="0" t="n">
        <v>0.08686524418</v>
      </c>
      <c r="F1509" s="0" t="n">
        <v>0.09644285943</v>
      </c>
      <c r="G1509" s="0" t="n">
        <v>0.110129623</v>
      </c>
      <c r="H1509" s="0" t="n">
        <v>0.1253763687</v>
      </c>
    </row>
    <row r="1510" customFormat="false" ht="15" hidden="false" customHeight="false" outlineLevel="0" collapsed="false">
      <c r="A1510" s="0" t="s">
        <v>2706</v>
      </c>
      <c r="B1510" s="0" t="s">
        <v>924</v>
      </c>
      <c r="C1510" s="0" t="s">
        <v>519</v>
      </c>
      <c r="D1510" s="0" t="n">
        <v>0</v>
      </c>
      <c r="E1510" s="0" t="n">
        <v>0.1296480335</v>
      </c>
      <c r="F1510" s="0" t="n">
        <v>0.1439690292</v>
      </c>
      <c r="G1510" s="0" t="n">
        <v>0.1907901691</v>
      </c>
      <c r="H1510" s="0" t="n">
        <v>0.2501482201</v>
      </c>
    </row>
    <row r="1511" customFormat="false" ht="15" hidden="false" customHeight="false" outlineLevel="0" collapsed="false">
      <c r="A1511" s="0" t="s">
        <v>2707</v>
      </c>
      <c r="B1511" s="0" t="s">
        <v>864</v>
      </c>
      <c r="C1511" s="0" t="s">
        <v>519</v>
      </c>
      <c r="D1511" s="0" t="n">
        <v>0</v>
      </c>
      <c r="E1511" s="0" t="n">
        <v>0.5933482702</v>
      </c>
      <c r="F1511" s="0" t="n">
        <v>0.6313450966</v>
      </c>
      <c r="G1511" s="0" t="n">
        <v>0.8859961711</v>
      </c>
      <c r="H1511" s="0" t="n">
        <v>1.218237327</v>
      </c>
    </row>
    <row r="1512" customFormat="false" ht="15" hidden="false" customHeight="false" outlineLevel="0" collapsed="false">
      <c r="A1512" s="0" t="s">
        <v>2708</v>
      </c>
      <c r="B1512" s="0" t="s">
        <v>1022</v>
      </c>
      <c r="C1512" s="0" t="s">
        <v>519</v>
      </c>
      <c r="D1512" s="0" t="n">
        <v>0</v>
      </c>
      <c r="E1512" s="0" t="n">
        <v>0.009093447189</v>
      </c>
      <c r="F1512" s="0" t="n">
        <v>0.01040017858</v>
      </c>
      <c r="G1512" s="0" t="n">
        <v>0.01465815756</v>
      </c>
      <c r="H1512" s="0" t="n">
        <v>0.02022181443</v>
      </c>
    </row>
    <row r="1513" customFormat="false" ht="15" hidden="false" customHeight="false" outlineLevel="0" collapsed="false">
      <c r="A1513" s="0" t="s">
        <v>2709</v>
      </c>
      <c r="B1513" s="0" t="s">
        <v>896</v>
      </c>
      <c r="C1513" s="0" t="s">
        <v>519</v>
      </c>
      <c r="D1513" s="0" t="n">
        <v>0</v>
      </c>
      <c r="E1513" s="0" t="n">
        <v>0.2725568145</v>
      </c>
      <c r="F1513" s="0" t="n">
        <v>0.2101673268</v>
      </c>
      <c r="G1513" s="0" t="n">
        <v>0.3562943498</v>
      </c>
      <c r="H1513" s="0" t="n">
        <v>0.5678987294</v>
      </c>
    </row>
    <row r="1514" customFormat="false" ht="15" hidden="false" customHeight="false" outlineLevel="0" collapsed="false">
      <c r="A1514" s="0" t="s">
        <v>2710</v>
      </c>
      <c r="B1514" s="0" t="s">
        <v>710</v>
      </c>
      <c r="C1514" s="0" t="s">
        <v>519</v>
      </c>
      <c r="D1514" s="0" t="n">
        <v>0</v>
      </c>
      <c r="E1514" s="0" t="n">
        <v>7.414088111</v>
      </c>
      <c r="F1514" s="0" t="n">
        <v>8.312568152</v>
      </c>
      <c r="G1514" s="0" t="n">
        <v>11.16279401</v>
      </c>
      <c r="H1514" s="0" t="n">
        <v>14.95449859</v>
      </c>
    </row>
    <row r="1515" customFormat="false" ht="15" hidden="false" customHeight="false" outlineLevel="0" collapsed="false">
      <c r="A1515" s="0" t="s">
        <v>2711</v>
      </c>
      <c r="B1515" s="0" t="s">
        <v>1000</v>
      </c>
      <c r="C1515" s="0" t="s">
        <v>519</v>
      </c>
      <c r="D1515" s="0" t="n">
        <v>0</v>
      </c>
      <c r="E1515" s="0" t="n">
        <v>0.04159040528</v>
      </c>
      <c r="F1515" s="0" t="n">
        <v>0.0471991062</v>
      </c>
      <c r="G1515" s="0" t="n">
        <v>0.05385892686</v>
      </c>
      <c r="H1515" s="0" t="n">
        <v>0.06129485631</v>
      </c>
    </row>
    <row r="1516" customFormat="false" ht="15" hidden="false" customHeight="false" outlineLevel="0" collapsed="false">
      <c r="A1516" s="0" t="s">
        <v>2712</v>
      </c>
      <c r="B1516" s="0" t="s">
        <v>980</v>
      </c>
      <c r="C1516" s="0" t="s">
        <v>519</v>
      </c>
      <c r="D1516" s="0" t="n">
        <v>0</v>
      </c>
      <c r="E1516" s="0" t="n">
        <v>0.1652733865</v>
      </c>
      <c r="F1516" s="0" t="n">
        <v>0.187215425</v>
      </c>
      <c r="G1516" s="0" t="n">
        <v>0.2071590944</v>
      </c>
      <c r="H1516" s="0" t="n">
        <v>0.2291706846</v>
      </c>
    </row>
    <row r="1517" customFormat="false" ht="15" hidden="false" customHeight="false" outlineLevel="0" collapsed="false">
      <c r="A1517" s="0" t="s">
        <v>2713</v>
      </c>
      <c r="B1517" s="0" t="s">
        <v>1020</v>
      </c>
      <c r="C1517" s="0" t="s">
        <v>519</v>
      </c>
      <c r="D1517" s="0" t="n">
        <v>0</v>
      </c>
      <c r="E1517" s="0" t="n">
        <v>0.03388913769</v>
      </c>
      <c r="F1517" s="0" t="n">
        <v>0.04736683502</v>
      </c>
      <c r="G1517" s="0" t="n">
        <v>0.06803854781</v>
      </c>
      <c r="H1517" s="0" t="n">
        <v>0.09589179113</v>
      </c>
    </row>
    <row r="1518" customFormat="false" ht="15" hidden="false" customHeight="false" outlineLevel="0" collapsed="false">
      <c r="A1518" s="0" t="s">
        <v>2714</v>
      </c>
      <c r="B1518" s="0" t="s">
        <v>952</v>
      </c>
      <c r="C1518" s="0" t="s">
        <v>519</v>
      </c>
      <c r="D1518" s="0" t="n">
        <v>0</v>
      </c>
      <c r="E1518" s="0" t="n">
        <v>0.03022248841</v>
      </c>
      <c r="F1518" s="0" t="n">
        <v>0.0391375656</v>
      </c>
      <c r="G1518" s="0" t="n">
        <v>0.05374380501</v>
      </c>
      <c r="H1518" s="0" t="n">
        <v>0.07256935757</v>
      </c>
    </row>
    <row r="1519" customFormat="false" ht="15" hidden="false" customHeight="false" outlineLevel="0" collapsed="false">
      <c r="A1519" s="0" t="s">
        <v>2715</v>
      </c>
      <c r="B1519" s="0" t="s">
        <v>1026</v>
      </c>
      <c r="C1519" s="0" t="s">
        <v>519</v>
      </c>
      <c r="D1519" s="0" t="n">
        <v>0</v>
      </c>
      <c r="E1519" s="0" t="n">
        <v>0.002082262088</v>
      </c>
      <c r="F1519" s="0" t="n">
        <v>0.002498965536</v>
      </c>
      <c r="G1519" s="0" t="n">
        <v>0.0042505064</v>
      </c>
      <c r="H1519" s="0" t="n">
        <v>0.006934131649</v>
      </c>
    </row>
    <row r="1520" customFormat="false" ht="15" hidden="false" customHeight="false" outlineLevel="0" collapsed="false">
      <c r="A1520" s="0" t="s">
        <v>2716</v>
      </c>
      <c r="B1520" s="0" t="s">
        <v>708</v>
      </c>
      <c r="C1520" s="0" t="s">
        <v>519</v>
      </c>
      <c r="D1520" s="0" t="n">
        <v>0</v>
      </c>
      <c r="E1520" s="0" t="n">
        <v>18.84308349</v>
      </c>
      <c r="F1520" s="0" t="n">
        <v>19.92807843</v>
      </c>
      <c r="G1520" s="0" t="n">
        <v>22.17560962</v>
      </c>
      <c r="H1520" s="0" t="n">
        <v>24.6373515</v>
      </c>
    </row>
    <row r="1521" customFormat="false" ht="15" hidden="false" customHeight="false" outlineLevel="0" collapsed="false">
      <c r="A1521" s="0" t="s">
        <v>2717</v>
      </c>
      <c r="B1521" s="0" t="s">
        <v>734</v>
      </c>
      <c r="C1521" s="0" t="s">
        <v>519</v>
      </c>
      <c r="D1521" s="0" t="n">
        <v>0</v>
      </c>
      <c r="E1521" s="0" t="n">
        <v>0.9097391891</v>
      </c>
      <c r="F1521" s="0" t="n">
        <v>0.958952476</v>
      </c>
      <c r="G1521" s="0" t="n">
        <v>1.084902388</v>
      </c>
      <c r="H1521" s="0" t="n">
        <v>1.223254605</v>
      </c>
    </row>
    <row r="1522" customFormat="false" ht="15" hidden="false" customHeight="false" outlineLevel="0" collapsed="false">
      <c r="A1522" s="0" t="s">
        <v>2718</v>
      </c>
      <c r="B1522" s="0" t="s">
        <v>782</v>
      </c>
      <c r="C1522" s="0" t="s">
        <v>519</v>
      </c>
      <c r="D1522" s="0" t="n">
        <v>0</v>
      </c>
      <c r="E1522" s="0" t="n">
        <v>1.197386716</v>
      </c>
      <c r="F1522" s="0" t="n">
        <v>1.349838816</v>
      </c>
      <c r="G1522" s="0" t="n">
        <v>1.529491353</v>
      </c>
      <c r="H1522" s="0" t="n">
        <v>1.729625512</v>
      </c>
    </row>
    <row r="1523" customFormat="false" ht="15" hidden="false" customHeight="false" outlineLevel="0" collapsed="false">
      <c r="A1523" s="0" t="s">
        <v>2719</v>
      </c>
      <c r="B1523" s="0" t="s">
        <v>696</v>
      </c>
      <c r="C1523" s="0" t="s">
        <v>519</v>
      </c>
      <c r="D1523" s="0" t="n">
        <v>0</v>
      </c>
      <c r="E1523" s="0" t="n">
        <v>169.5272069</v>
      </c>
      <c r="F1523" s="0" t="n">
        <v>212.5417343</v>
      </c>
      <c r="G1523" s="0" t="n">
        <v>267.6809738</v>
      </c>
      <c r="H1523" s="0" t="n">
        <v>342.0381105</v>
      </c>
    </row>
    <row r="1524" customFormat="false" ht="15" hidden="false" customHeight="false" outlineLevel="0" collapsed="false">
      <c r="A1524" s="0" t="s">
        <v>2720</v>
      </c>
      <c r="B1524" s="0" t="s">
        <v>836</v>
      </c>
      <c r="C1524" s="0" t="s">
        <v>519</v>
      </c>
      <c r="D1524" s="0" t="n">
        <v>0</v>
      </c>
      <c r="E1524" s="0" t="n">
        <v>0.0951824722</v>
      </c>
      <c r="F1524" s="0" t="n">
        <v>0.1413055726</v>
      </c>
      <c r="G1524" s="0" t="n">
        <v>0.2311716519</v>
      </c>
      <c r="H1524" s="0" t="n">
        <v>0.362587948</v>
      </c>
    </row>
    <row r="1525" customFormat="false" ht="15" hidden="false" customHeight="false" outlineLevel="0" collapsed="false">
      <c r="A1525" s="0" t="s">
        <v>2721</v>
      </c>
      <c r="B1525" s="0" t="s">
        <v>880</v>
      </c>
      <c r="C1525" s="0" t="s">
        <v>519</v>
      </c>
      <c r="D1525" s="0" t="n">
        <v>0</v>
      </c>
      <c r="E1525" s="0" t="n">
        <v>0.01618024477</v>
      </c>
      <c r="F1525" s="0" t="n">
        <v>0.02010052077</v>
      </c>
      <c r="G1525" s="0" t="n">
        <v>0.03218417297</v>
      </c>
      <c r="H1525" s="0" t="n">
        <v>0.04975086548</v>
      </c>
    </row>
    <row r="1526" customFormat="false" ht="15" hidden="false" customHeight="false" outlineLevel="0" collapsed="false">
      <c r="A1526" s="0" t="s">
        <v>2722</v>
      </c>
      <c r="B1526" s="0" t="s">
        <v>850</v>
      </c>
      <c r="C1526" s="0" t="s">
        <v>519</v>
      </c>
      <c r="D1526" s="0" t="n">
        <v>0</v>
      </c>
      <c r="E1526" s="0" t="n">
        <v>0.0001703839226</v>
      </c>
      <c r="F1526" s="0" t="n">
        <v>0.000245975188</v>
      </c>
      <c r="G1526" s="0" t="n">
        <v>0.0004202014697</v>
      </c>
      <c r="H1526" s="0" t="n">
        <v>0.0006855023931</v>
      </c>
    </row>
    <row r="1527" customFormat="false" ht="15" hidden="false" customHeight="false" outlineLevel="0" collapsed="false">
      <c r="A1527" s="0" t="s">
        <v>2723</v>
      </c>
      <c r="B1527" s="0" t="s">
        <v>978</v>
      </c>
      <c r="C1527" s="0" t="s">
        <v>519</v>
      </c>
      <c r="D1527" s="0" t="n">
        <v>0</v>
      </c>
      <c r="E1527" s="0" t="n">
        <v>0.008050324803</v>
      </c>
      <c r="F1527" s="0" t="n">
        <v>0.009712530462</v>
      </c>
      <c r="G1527" s="0" t="n">
        <v>0.01554856495</v>
      </c>
      <c r="H1527" s="0" t="n">
        <v>0.0240352475</v>
      </c>
    </row>
    <row r="1528" customFormat="false" ht="15" hidden="false" customHeight="false" outlineLevel="0" collapsed="false">
      <c r="A1528" s="0" t="s">
        <v>2724</v>
      </c>
      <c r="B1528" s="0" t="s">
        <v>766</v>
      </c>
      <c r="C1528" s="0" t="s">
        <v>519</v>
      </c>
      <c r="D1528" s="0" t="n">
        <v>0</v>
      </c>
      <c r="E1528" s="0" t="n">
        <v>0.8800344886</v>
      </c>
      <c r="F1528" s="0" t="n">
        <v>1.001103105</v>
      </c>
      <c r="G1528" s="0" t="n">
        <v>1.380561812</v>
      </c>
      <c r="H1528" s="0" t="n">
        <v>1.873275492</v>
      </c>
    </row>
    <row r="1529" customFormat="false" ht="15" hidden="false" customHeight="false" outlineLevel="0" collapsed="false">
      <c r="A1529" s="0" t="s">
        <v>2725</v>
      </c>
      <c r="B1529" s="0" t="s">
        <v>1044</v>
      </c>
      <c r="C1529" s="0" t="s">
        <v>519</v>
      </c>
      <c r="D1529" s="0" t="n">
        <v>0</v>
      </c>
      <c r="E1529" s="0" t="n">
        <v>0.007108683073</v>
      </c>
      <c r="F1529" s="0" t="n">
        <v>0.009279606989</v>
      </c>
      <c r="G1529" s="0" t="n">
        <v>0.01579906816</v>
      </c>
      <c r="H1529" s="0" t="n">
        <v>0.02577406272</v>
      </c>
    </row>
    <row r="1530" customFormat="false" ht="15" hidden="false" customHeight="false" outlineLevel="0" collapsed="false">
      <c r="A1530" s="0" t="s">
        <v>2726</v>
      </c>
      <c r="B1530" s="0" t="s">
        <v>1024</v>
      </c>
      <c r="C1530" s="0" t="s">
        <v>519</v>
      </c>
      <c r="D1530" s="0" t="n">
        <v>0</v>
      </c>
      <c r="E1530" s="0" t="n">
        <v>0.01578834191</v>
      </c>
      <c r="F1530" s="0" t="n">
        <v>0.02128197504</v>
      </c>
      <c r="G1530" s="0" t="n">
        <v>0.03412977303</v>
      </c>
      <c r="H1530" s="0" t="n">
        <v>0.05275840857</v>
      </c>
    </row>
    <row r="1531" customFormat="false" ht="15" hidden="false" customHeight="false" outlineLevel="0" collapsed="false">
      <c r="A1531" s="0" t="s">
        <v>2727</v>
      </c>
      <c r="B1531" s="0" t="s">
        <v>838</v>
      </c>
      <c r="C1531" s="0" t="s">
        <v>519</v>
      </c>
      <c r="D1531" s="0" t="n">
        <v>0</v>
      </c>
      <c r="E1531" s="0" t="n">
        <v>0.07387128087</v>
      </c>
      <c r="F1531" s="0" t="n">
        <v>0.09126648628</v>
      </c>
      <c r="G1531" s="0" t="n">
        <v>0.1281334843</v>
      </c>
      <c r="H1531" s="0" t="n">
        <v>0.1762422778</v>
      </c>
    </row>
    <row r="1532" customFormat="false" ht="15" hidden="false" customHeight="false" outlineLevel="0" collapsed="false">
      <c r="A1532" s="0" t="s">
        <v>2728</v>
      </c>
      <c r="B1532" s="0" t="s">
        <v>906</v>
      </c>
      <c r="C1532" s="0" t="s">
        <v>519</v>
      </c>
      <c r="D1532" s="0" t="n">
        <v>0</v>
      </c>
      <c r="E1532" s="0" t="n">
        <v>0.1884930887</v>
      </c>
      <c r="F1532" s="0" t="n">
        <v>0.2194569144</v>
      </c>
      <c r="G1532" s="0" t="n">
        <v>0.2496204494</v>
      </c>
      <c r="H1532" s="0" t="n">
        <v>0.2833544694</v>
      </c>
    </row>
    <row r="1533" customFormat="false" ht="15" hidden="false" customHeight="false" outlineLevel="0" collapsed="false">
      <c r="A1533" s="0" t="s">
        <v>2729</v>
      </c>
      <c r="B1533" s="0" t="s">
        <v>778</v>
      </c>
      <c r="C1533" s="0" t="s">
        <v>519</v>
      </c>
      <c r="D1533" s="0" t="n">
        <v>0</v>
      </c>
      <c r="E1533" s="0" t="n">
        <v>1.146621759</v>
      </c>
      <c r="F1533" s="0" t="n">
        <v>1.255607257</v>
      </c>
      <c r="G1533" s="0" t="n">
        <v>1.371381885</v>
      </c>
      <c r="H1533" s="0" t="n">
        <v>1.497884056</v>
      </c>
    </row>
    <row r="1534" customFormat="false" ht="15" hidden="false" customHeight="false" outlineLevel="0" collapsed="false">
      <c r="A1534" s="0" t="s">
        <v>2730</v>
      </c>
      <c r="B1534" s="0" t="s">
        <v>700</v>
      </c>
      <c r="C1534" s="0" t="s">
        <v>519</v>
      </c>
      <c r="D1534" s="0" t="n">
        <v>0</v>
      </c>
      <c r="E1534" s="0" t="n">
        <v>13.00056451</v>
      </c>
      <c r="F1534" s="0" t="n">
        <v>13.13282084</v>
      </c>
      <c r="G1534" s="0" t="n">
        <v>14.69476057</v>
      </c>
      <c r="H1534" s="0" t="n">
        <v>16.37884699</v>
      </c>
    </row>
    <row r="1535" customFormat="false" ht="15" hidden="false" customHeight="false" outlineLevel="0" collapsed="false">
      <c r="A1535" s="0" t="s">
        <v>2731</v>
      </c>
      <c r="B1535" s="0" t="s">
        <v>1014</v>
      </c>
      <c r="C1535" s="0" t="s">
        <v>519</v>
      </c>
      <c r="D1535" s="0" t="n">
        <v>0</v>
      </c>
      <c r="E1535" s="0" t="n">
        <v>0.0082465907</v>
      </c>
      <c r="F1535" s="0" t="n">
        <v>0.01188474565</v>
      </c>
      <c r="G1535" s="0" t="n">
        <v>0.01910669048</v>
      </c>
      <c r="H1535" s="0" t="n">
        <v>0.02953546107</v>
      </c>
    </row>
    <row r="1536" customFormat="false" ht="15" hidden="false" customHeight="false" outlineLevel="0" collapsed="false">
      <c r="A1536" s="0" t="s">
        <v>2732</v>
      </c>
      <c r="B1536" s="0" t="s">
        <v>1058</v>
      </c>
      <c r="C1536" s="0" t="s">
        <v>519</v>
      </c>
      <c r="D1536" s="0" t="n">
        <v>0</v>
      </c>
      <c r="E1536" s="0" t="n">
        <v>0.004798017713</v>
      </c>
      <c r="F1536" s="0" t="n">
        <v>0.005800073372</v>
      </c>
      <c r="G1536" s="0" t="n">
        <v>0.008172858099</v>
      </c>
      <c r="H1536" s="0" t="n">
        <v>0.01127495179</v>
      </c>
    </row>
    <row r="1537" customFormat="false" ht="15" hidden="false" customHeight="false" outlineLevel="0" collapsed="false">
      <c r="A1537" s="0" t="s">
        <v>2733</v>
      </c>
      <c r="B1537" s="0" t="s">
        <v>768</v>
      </c>
      <c r="C1537" s="0" t="s">
        <v>519</v>
      </c>
      <c r="D1537" s="0" t="n">
        <v>0</v>
      </c>
      <c r="E1537" s="0" t="n">
        <v>0.6251208555</v>
      </c>
      <c r="F1537" s="0" t="n">
        <v>0.6853855628</v>
      </c>
      <c r="G1537" s="0" t="n">
        <v>0.769214091</v>
      </c>
      <c r="H1537" s="0" t="n">
        <v>0.8617608418</v>
      </c>
    </row>
    <row r="1538" customFormat="false" ht="15" hidden="false" customHeight="false" outlineLevel="0" collapsed="false">
      <c r="A1538" s="0" t="s">
        <v>2734</v>
      </c>
      <c r="B1538" s="0" t="s">
        <v>818</v>
      </c>
      <c r="C1538" s="0" t="s">
        <v>519</v>
      </c>
      <c r="D1538" s="0" t="n">
        <v>0</v>
      </c>
      <c r="E1538" s="0" t="n">
        <v>0.4666069563</v>
      </c>
      <c r="F1538" s="0" t="n">
        <v>0.582478624</v>
      </c>
      <c r="G1538" s="0" t="n">
        <v>0.8190991017</v>
      </c>
      <c r="H1538" s="0" t="n">
        <v>1.128040603</v>
      </c>
    </row>
    <row r="1539" customFormat="false" ht="15" hidden="false" customHeight="false" outlineLevel="0" collapsed="false">
      <c r="A1539" s="0" t="s">
        <v>2735</v>
      </c>
      <c r="B1539" s="0" t="s">
        <v>788</v>
      </c>
      <c r="C1539" s="0" t="s">
        <v>519</v>
      </c>
      <c r="D1539" s="0" t="n">
        <v>0</v>
      </c>
      <c r="E1539" s="0" t="n">
        <v>1.535106552</v>
      </c>
      <c r="F1539" s="0" t="n">
        <v>1.951432232</v>
      </c>
      <c r="G1539" s="0" t="n">
        <v>2.777292018</v>
      </c>
      <c r="H1539" s="0" t="n">
        <v>3.866369652</v>
      </c>
    </row>
    <row r="1540" customFormat="false" ht="15" hidden="false" customHeight="false" outlineLevel="0" collapsed="false">
      <c r="A1540" s="0" t="s">
        <v>2736</v>
      </c>
      <c r="B1540" s="0" t="s">
        <v>824</v>
      </c>
      <c r="C1540" s="0" t="s">
        <v>519</v>
      </c>
      <c r="D1540" s="0" t="n">
        <v>0</v>
      </c>
      <c r="E1540" s="0" t="n">
        <v>0.5604846707</v>
      </c>
      <c r="F1540" s="0" t="n">
        <v>0.6531805813</v>
      </c>
      <c r="G1540" s="0" t="n">
        <v>0.9205907102</v>
      </c>
      <c r="H1540" s="0" t="n">
        <v>1.270181819</v>
      </c>
    </row>
    <row r="1541" customFormat="false" ht="15" hidden="false" customHeight="false" outlineLevel="0" collapsed="false">
      <c r="A1541" s="0" t="s">
        <v>2737</v>
      </c>
      <c r="B1541" s="0" t="s">
        <v>764</v>
      </c>
      <c r="C1541" s="0" t="s">
        <v>519</v>
      </c>
      <c r="D1541" s="0" t="n">
        <v>0</v>
      </c>
      <c r="E1541" s="0" t="n">
        <v>2.705770169</v>
      </c>
      <c r="F1541" s="0" t="n">
        <v>3.560831797</v>
      </c>
      <c r="G1541" s="0" t="n">
        <v>5.501624073</v>
      </c>
      <c r="H1541" s="0" t="n">
        <v>8.424839134</v>
      </c>
    </row>
    <row r="1542" customFormat="false" ht="15" hidden="false" customHeight="false" outlineLevel="0" collapsed="false">
      <c r="A1542" s="0" t="s">
        <v>2738</v>
      </c>
      <c r="B1542" s="0" t="s">
        <v>722</v>
      </c>
      <c r="C1542" s="0" t="s">
        <v>519</v>
      </c>
      <c r="D1542" s="0" t="n">
        <v>0</v>
      </c>
      <c r="E1542" s="0" t="n">
        <v>6.097149752</v>
      </c>
      <c r="F1542" s="0" t="n">
        <v>6.722951317</v>
      </c>
      <c r="G1542" s="0" t="n">
        <v>7.531968973</v>
      </c>
      <c r="H1542" s="0" t="n">
        <v>8.425083156</v>
      </c>
    </row>
    <row r="1543" customFormat="false" ht="15" hidden="false" customHeight="false" outlineLevel="0" collapsed="false">
      <c r="A1543" s="0" t="s">
        <v>2739</v>
      </c>
      <c r="B1543" s="0" t="s">
        <v>902</v>
      </c>
      <c r="C1543" s="0" t="s">
        <v>519</v>
      </c>
      <c r="D1543" s="0" t="n">
        <v>0</v>
      </c>
      <c r="E1543" s="0" t="n">
        <v>0.07696440795</v>
      </c>
      <c r="F1543" s="0" t="n">
        <v>0.08089564666</v>
      </c>
      <c r="G1543" s="0" t="n">
        <v>0.09009721502</v>
      </c>
      <c r="H1543" s="0" t="n">
        <v>0.1001084722</v>
      </c>
    </row>
    <row r="1544" customFormat="false" ht="15" hidden="false" customHeight="false" outlineLevel="0" collapsed="false">
      <c r="A1544" s="0" t="s">
        <v>2740</v>
      </c>
      <c r="B1544" s="0" t="s">
        <v>802</v>
      </c>
      <c r="C1544" s="0" t="s">
        <v>519</v>
      </c>
      <c r="D1544" s="0" t="n">
        <v>0</v>
      </c>
      <c r="E1544" s="0" t="n">
        <v>0.3716770417</v>
      </c>
      <c r="F1544" s="0" t="n">
        <v>0.6128992963</v>
      </c>
      <c r="G1544" s="0" t="n">
        <v>1.020190308</v>
      </c>
      <c r="H1544" s="0" t="n">
        <v>1.621124516</v>
      </c>
    </row>
    <row r="1545" customFormat="false" ht="15" hidden="false" customHeight="false" outlineLevel="0" collapsed="false">
      <c r="A1545" s="0" t="s">
        <v>2741</v>
      </c>
      <c r="B1545" s="0" t="s">
        <v>794</v>
      </c>
      <c r="C1545" s="0" t="s">
        <v>519</v>
      </c>
      <c r="D1545" s="0" t="n">
        <v>0</v>
      </c>
      <c r="E1545" s="0" t="n">
        <v>1.135306299</v>
      </c>
      <c r="F1545" s="0" t="n">
        <v>1.167184039</v>
      </c>
      <c r="G1545" s="0" t="n">
        <v>1.302437798</v>
      </c>
      <c r="H1545" s="0" t="n">
        <v>1.449313192</v>
      </c>
    </row>
    <row r="1546" customFormat="false" ht="15" hidden="false" customHeight="false" outlineLevel="0" collapsed="false">
      <c r="A1546" s="0" t="s">
        <v>2742</v>
      </c>
      <c r="B1546" s="0" t="s">
        <v>1006</v>
      </c>
      <c r="C1546" s="0" t="s">
        <v>519</v>
      </c>
      <c r="D1546" s="0" t="n">
        <v>0</v>
      </c>
      <c r="E1546" s="0" t="n">
        <v>0.02050630206</v>
      </c>
      <c r="F1546" s="0" t="n">
        <v>0.02378506443</v>
      </c>
      <c r="G1546" s="0" t="n">
        <v>0.0335187054</v>
      </c>
      <c r="H1546" s="0" t="n">
        <v>0.04624108028</v>
      </c>
    </row>
    <row r="1547" customFormat="false" ht="15" hidden="false" customHeight="false" outlineLevel="0" collapsed="false">
      <c r="A1547" s="0" t="s">
        <v>2743</v>
      </c>
      <c r="B1547" s="0" t="s">
        <v>706</v>
      </c>
      <c r="C1547" s="0" t="s">
        <v>519</v>
      </c>
      <c r="D1547" s="0" t="n">
        <v>0</v>
      </c>
      <c r="E1547" s="0" t="n">
        <v>5.174008246</v>
      </c>
      <c r="F1547" s="0" t="n">
        <v>5.244733844</v>
      </c>
      <c r="G1547" s="0" t="n">
        <v>5.850147407</v>
      </c>
      <c r="H1547" s="0" t="n">
        <v>6.502926016</v>
      </c>
    </row>
    <row r="1548" customFormat="false" ht="15" hidden="false" customHeight="false" outlineLevel="0" collapsed="false">
      <c r="A1548" s="0" t="s">
        <v>2744</v>
      </c>
      <c r="B1548" s="0" t="s">
        <v>950</v>
      </c>
      <c r="C1548" s="0" t="s">
        <v>519</v>
      </c>
      <c r="D1548" s="0" t="n">
        <v>0</v>
      </c>
      <c r="E1548" s="0" t="n">
        <v>0.05046408533</v>
      </c>
      <c r="F1548" s="0" t="n">
        <v>0.05941067744</v>
      </c>
      <c r="G1548" s="0" t="n">
        <v>0.08406976735</v>
      </c>
      <c r="H1548" s="0" t="n">
        <v>0.1164222804</v>
      </c>
    </row>
    <row r="1549" customFormat="false" ht="15" hidden="false" customHeight="false" outlineLevel="0" collapsed="false">
      <c r="A1549" s="0" t="s">
        <v>2745</v>
      </c>
      <c r="B1549" s="0" t="s">
        <v>704</v>
      </c>
      <c r="C1549" s="0" t="s">
        <v>519</v>
      </c>
      <c r="D1549" s="0" t="n">
        <v>0</v>
      </c>
      <c r="E1549" s="0" t="n">
        <v>6.539079119</v>
      </c>
      <c r="F1549" s="0" t="n">
        <v>6.577709232</v>
      </c>
      <c r="G1549" s="0" t="n">
        <v>7.335599347</v>
      </c>
      <c r="H1549" s="0" t="n">
        <v>8.148325792</v>
      </c>
    </row>
    <row r="1550" customFormat="false" ht="15" hidden="false" customHeight="false" outlineLevel="0" collapsed="false">
      <c r="A1550" s="0" t="s">
        <v>2746</v>
      </c>
      <c r="B1550" s="0" t="s">
        <v>900</v>
      </c>
      <c r="C1550" s="0" t="s">
        <v>519</v>
      </c>
      <c r="D1550" s="0" t="n">
        <v>0</v>
      </c>
      <c r="E1550" s="0" t="n">
        <v>0.1086642352</v>
      </c>
      <c r="F1550" s="0" t="n">
        <v>0.1496971905</v>
      </c>
      <c r="G1550" s="0" t="n">
        <v>0.2375144519</v>
      </c>
      <c r="H1550" s="0" t="n">
        <v>0.3657652556</v>
      </c>
    </row>
    <row r="1551" customFormat="false" ht="15" hidden="false" customHeight="false" outlineLevel="0" collapsed="false">
      <c r="A1551" s="0" t="s">
        <v>2747</v>
      </c>
      <c r="B1551" s="0" t="s">
        <v>844</v>
      </c>
      <c r="C1551" s="0" t="s">
        <v>519</v>
      </c>
      <c r="D1551" s="0" t="n">
        <v>0</v>
      </c>
      <c r="E1551" s="0" t="n">
        <v>0.1174473447</v>
      </c>
      <c r="F1551" s="0" t="n">
        <v>0.1588420137</v>
      </c>
      <c r="G1551" s="0" t="n">
        <v>0.2565364106</v>
      </c>
      <c r="H1551" s="0" t="n">
        <v>0.3990986813</v>
      </c>
    </row>
    <row r="1552" customFormat="false" ht="15" hidden="false" customHeight="false" outlineLevel="0" collapsed="false">
      <c r="A1552" s="0" t="s">
        <v>2748</v>
      </c>
      <c r="B1552" s="0" t="s">
        <v>914</v>
      </c>
      <c r="C1552" s="0" t="s">
        <v>519</v>
      </c>
      <c r="D1552" s="0" t="n">
        <v>0</v>
      </c>
      <c r="E1552" s="0" t="n">
        <v>0.07342097333</v>
      </c>
      <c r="F1552" s="0" t="n">
        <v>0.1228182267</v>
      </c>
      <c r="G1552" s="0" t="n">
        <v>0.2117495527</v>
      </c>
      <c r="H1552" s="0" t="n">
        <v>0.345441022</v>
      </c>
    </row>
    <row r="1553" customFormat="false" ht="15" hidden="false" customHeight="false" outlineLevel="0" collapsed="false">
      <c r="A1553" s="0" t="s">
        <v>2749</v>
      </c>
      <c r="B1553" s="0" t="s">
        <v>1028</v>
      </c>
      <c r="C1553" s="0" t="s">
        <v>519</v>
      </c>
      <c r="D1553" s="0" t="n">
        <v>0</v>
      </c>
      <c r="E1553" s="0" t="n">
        <v>0.0226677397</v>
      </c>
      <c r="F1553" s="0" t="n">
        <v>0.03133884436</v>
      </c>
      <c r="G1553" s="0" t="n">
        <v>0.05344324618</v>
      </c>
      <c r="H1553" s="0" t="n">
        <v>0.08718549506</v>
      </c>
    </row>
    <row r="1554" customFormat="false" ht="15" hidden="false" customHeight="false" outlineLevel="0" collapsed="false">
      <c r="A1554" s="0" t="s">
        <v>2750</v>
      </c>
      <c r="B1554" s="0" t="s">
        <v>1030</v>
      </c>
      <c r="C1554" s="0" t="s">
        <v>519</v>
      </c>
      <c r="D1554" s="0" t="n">
        <v>0</v>
      </c>
      <c r="E1554" s="0" t="n">
        <v>0.01064214743</v>
      </c>
      <c r="F1554" s="0" t="n">
        <v>0.01454144384</v>
      </c>
      <c r="G1554" s="0" t="n">
        <v>0.02478820907</v>
      </c>
      <c r="H1554" s="0" t="n">
        <v>0.04043864162</v>
      </c>
    </row>
    <row r="1555" customFormat="false" ht="15" hidden="false" customHeight="false" outlineLevel="0" collapsed="false">
      <c r="A1555" s="0" t="s">
        <v>2751</v>
      </c>
      <c r="B1555" s="0" t="s">
        <v>994</v>
      </c>
      <c r="C1555" s="0" t="s">
        <v>519</v>
      </c>
      <c r="D1555" s="0" t="n">
        <v>0</v>
      </c>
      <c r="E1555" s="0" t="n">
        <v>0.07912073944</v>
      </c>
      <c r="F1555" s="0" t="n">
        <v>0.06171557339</v>
      </c>
      <c r="G1555" s="0" t="n">
        <v>0.09026834176</v>
      </c>
      <c r="H1555" s="0" t="n">
        <v>0.1262058635</v>
      </c>
    </row>
    <row r="1556" customFormat="false" ht="15" hidden="false" customHeight="false" outlineLevel="0" collapsed="false">
      <c r="A1556" s="0" t="s">
        <v>2752</v>
      </c>
      <c r="B1556" s="0" t="s">
        <v>798</v>
      </c>
      <c r="C1556" s="0" t="s">
        <v>519</v>
      </c>
      <c r="D1556" s="0" t="n">
        <v>0</v>
      </c>
      <c r="E1556" s="0" t="n">
        <v>1.083445941</v>
      </c>
      <c r="F1556" s="0" t="n">
        <v>1.176393401</v>
      </c>
      <c r="G1556" s="0" t="n">
        <v>1.33153823</v>
      </c>
      <c r="H1556" s="0" t="n">
        <v>1.503219576</v>
      </c>
    </row>
    <row r="1557" customFormat="false" ht="15" hidden="false" customHeight="false" outlineLevel="0" collapsed="false">
      <c r="A1557" s="0" t="s">
        <v>2753</v>
      </c>
      <c r="B1557" s="0" t="s">
        <v>1046</v>
      </c>
      <c r="C1557" s="0" t="s">
        <v>519</v>
      </c>
      <c r="D1557" s="0" t="n">
        <v>0</v>
      </c>
      <c r="E1557" s="0" t="n">
        <v>0.009367846427</v>
      </c>
      <c r="F1557" s="0" t="n">
        <v>0.01130787585</v>
      </c>
      <c r="G1557" s="0" t="n">
        <v>0.01593382099</v>
      </c>
      <c r="H1557" s="0" t="n">
        <v>0.02198166925</v>
      </c>
    </row>
    <row r="1558" customFormat="false" ht="15" hidden="false" customHeight="false" outlineLevel="0" collapsed="false">
      <c r="A1558" s="0" t="s">
        <v>2754</v>
      </c>
      <c r="B1558" s="0" t="s">
        <v>826</v>
      </c>
      <c r="C1558" s="0" t="s">
        <v>519</v>
      </c>
      <c r="D1558" s="0" t="n">
        <v>0</v>
      </c>
      <c r="E1558" s="0" t="n">
        <v>0.1325945551</v>
      </c>
      <c r="F1558" s="0" t="n">
        <v>0.1678701037</v>
      </c>
      <c r="G1558" s="0" t="n">
        <v>0.2366353812</v>
      </c>
      <c r="H1558" s="0" t="n">
        <v>0.3264528129</v>
      </c>
    </row>
    <row r="1559" customFormat="false" ht="15" hidden="false" customHeight="false" outlineLevel="0" collapsed="false">
      <c r="A1559" s="0" t="s">
        <v>2755</v>
      </c>
      <c r="B1559" s="0" t="s">
        <v>890</v>
      </c>
      <c r="C1559" s="0" t="s">
        <v>519</v>
      </c>
      <c r="D1559" s="0" t="n">
        <v>0</v>
      </c>
      <c r="E1559" s="0" t="n">
        <v>0.08014001949</v>
      </c>
      <c r="F1559" s="0" t="n">
        <v>0.1898167174</v>
      </c>
      <c r="G1559" s="0" t="n">
        <v>0.282506553</v>
      </c>
      <c r="H1559" s="0" t="n">
        <v>0.3897348671</v>
      </c>
    </row>
    <row r="1560" customFormat="false" ht="15" hidden="false" customHeight="false" outlineLevel="0" collapsed="false">
      <c r="A1560" s="0" t="s">
        <v>2756</v>
      </c>
      <c r="B1560" s="0" t="s">
        <v>770</v>
      </c>
      <c r="C1560" s="0" t="s">
        <v>519</v>
      </c>
      <c r="D1560" s="0" t="n">
        <v>0</v>
      </c>
      <c r="E1560" s="0" t="n">
        <v>0.3015690128</v>
      </c>
      <c r="F1560" s="0" t="n">
        <v>0.341304343</v>
      </c>
      <c r="G1560" s="0" t="n">
        <v>0.3893734484</v>
      </c>
      <c r="H1560" s="0" t="n">
        <v>0.4430248599</v>
      </c>
    </row>
    <row r="1561" customFormat="false" ht="15" hidden="false" customHeight="false" outlineLevel="0" collapsed="false">
      <c r="A1561" s="0" t="s">
        <v>2757</v>
      </c>
      <c r="B1561" s="0" t="s">
        <v>904</v>
      </c>
      <c r="C1561" s="0" t="s">
        <v>519</v>
      </c>
      <c r="D1561" s="0" t="n">
        <v>0</v>
      </c>
      <c r="E1561" s="0" t="n">
        <v>0.1011405986</v>
      </c>
      <c r="F1561" s="0" t="n">
        <v>0.1253286919</v>
      </c>
      <c r="G1561" s="0" t="n">
        <v>0.200666723</v>
      </c>
      <c r="H1561" s="0" t="n">
        <v>0.31019418</v>
      </c>
    </row>
    <row r="1562" customFormat="false" ht="15" hidden="false" customHeight="false" outlineLevel="0" collapsed="false">
      <c r="A1562" s="0" t="s">
        <v>2758</v>
      </c>
      <c r="B1562" s="0" t="s">
        <v>846</v>
      </c>
      <c r="C1562" s="0" t="s">
        <v>519</v>
      </c>
      <c r="D1562" s="0" t="n">
        <v>0</v>
      </c>
      <c r="E1562" s="0" t="n">
        <v>0.260453047</v>
      </c>
      <c r="F1562" s="0" t="n">
        <v>0.2967661907</v>
      </c>
      <c r="G1562" s="0" t="n">
        <v>0.3313802093</v>
      </c>
      <c r="H1562" s="0" t="n">
        <v>0.3697555864</v>
      </c>
    </row>
    <row r="1563" customFormat="false" ht="15" hidden="false" customHeight="false" outlineLevel="0" collapsed="false">
      <c r="A1563" s="0" t="s">
        <v>2759</v>
      </c>
      <c r="B1563" s="0" t="s">
        <v>956</v>
      </c>
      <c r="C1563" s="0" t="s">
        <v>519</v>
      </c>
      <c r="D1563" s="0" t="n">
        <v>0</v>
      </c>
      <c r="E1563" s="0" t="n">
        <v>0.05570122735</v>
      </c>
      <c r="F1563" s="0" t="n">
        <v>0.05141351092</v>
      </c>
      <c r="G1563" s="0" t="n">
        <v>0.08815591386</v>
      </c>
      <c r="H1563" s="0" t="n">
        <v>0.1438145611</v>
      </c>
    </row>
    <row r="1564" customFormat="false" ht="15" hidden="false" customHeight="false" outlineLevel="0" collapsed="false">
      <c r="A1564" s="0" t="s">
        <v>2760</v>
      </c>
      <c r="B1564" s="0" t="s">
        <v>800</v>
      </c>
      <c r="C1564" s="0" t="s">
        <v>519</v>
      </c>
      <c r="D1564" s="0" t="n">
        <v>0</v>
      </c>
      <c r="E1564" s="0" t="n">
        <v>0.5817158027</v>
      </c>
      <c r="F1564" s="0" t="n">
        <v>0.6211083311</v>
      </c>
      <c r="G1564" s="0" t="n">
        <v>0.6911471009</v>
      </c>
      <c r="H1564" s="0" t="n">
        <v>0.7676668965</v>
      </c>
    </row>
    <row r="1565" customFormat="false" ht="15" hidden="false" customHeight="false" outlineLevel="0" collapsed="false">
      <c r="A1565" s="0" t="s">
        <v>2761</v>
      </c>
      <c r="B1565" s="0" t="s">
        <v>724</v>
      </c>
      <c r="C1565" s="0" t="s">
        <v>519</v>
      </c>
      <c r="D1565" s="0" t="n">
        <v>0</v>
      </c>
      <c r="E1565" s="0" t="n">
        <v>8.616206005</v>
      </c>
      <c r="F1565" s="0" t="n">
        <v>11.50289606</v>
      </c>
      <c r="G1565" s="0" t="n">
        <v>17.18071252</v>
      </c>
      <c r="H1565" s="0" t="n">
        <v>25.52590867</v>
      </c>
    </row>
    <row r="1566" customFormat="false" ht="15" hidden="false" customHeight="false" outlineLevel="0" collapsed="false">
      <c r="A1566" s="0" t="s">
        <v>2762</v>
      </c>
      <c r="B1566" s="0" t="s">
        <v>36</v>
      </c>
      <c r="C1566" s="0" t="s">
        <v>519</v>
      </c>
      <c r="D1566" s="0" t="n">
        <v>0</v>
      </c>
      <c r="E1566" s="0" t="n">
        <v>27.17772095</v>
      </c>
      <c r="F1566" s="0" t="n">
        <v>38.67715239</v>
      </c>
      <c r="G1566" s="0" t="n">
        <v>53.65870006</v>
      </c>
      <c r="H1566" s="0" t="n">
        <v>76.17106737</v>
      </c>
    </row>
    <row r="1567" customFormat="false" ht="15" hidden="false" customHeight="false" outlineLevel="0" collapsed="false">
      <c r="A1567" s="0" t="s">
        <v>2763</v>
      </c>
      <c r="B1567" s="0" t="s">
        <v>738</v>
      </c>
      <c r="C1567" s="0" t="s">
        <v>519</v>
      </c>
      <c r="D1567" s="0" t="n">
        <v>0</v>
      </c>
      <c r="E1567" s="0" t="n">
        <v>0.5851462232</v>
      </c>
      <c r="F1567" s="0" t="n">
        <v>0.6631339419</v>
      </c>
      <c r="G1567" s="0" t="n">
        <v>0.7447284458</v>
      </c>
      <c r="H1567" s="0" t="n">
        <v>0.8353166257</v>
      </c>
    </row>
    <row r="1568" customFormat="false" ht="15" hidden="false" customHeight="false" outlineLevel="0" collapsed="false">
      <c r="A1568" s="0" t="s">
        <v>2764</v>
      </c>
      <c r="B1568" s="0" t="s">
        <v>790</v>
      </c>
      <c r="C1568" s="0" t="s">
        <v>519</v>
      </c>
      <c r="D1568" s="0" t="n">
        <v>0</v>
      </c>
      <c r="E1568" s="0" t="n">
        <v>9.040230673</v>
      </c>
      <c r="F1568" s="0" t="n">
        <v>5.522539957</v>
      </c>
      <c r="G1568" s="0" t="n">
        <v>8.125670808</v>
      </c>
      <c r="H1568" s="0" t="n">
        <v>11.14505481</v>
      </c>
    </row>
    <row r="1569" customFormat="false" ht="15" hidden="false" customHeight="false" outlineLevel="0" collapsed="false">
      <c r="A1569" s="0" t="s">
        <v>2765</v>
      </c>
      <c r="B1569" s="0" t="s">
        <v>806</v>
      </c>
      <c r="C1569" s="0" t="s">
        <v>519</v>
      </c>
      <c r="D1569" s="0" t="n">
        <v>0</v>
      </c>
      <c r="E1569" s="0" t="n">
        <v>1.38116312</v>
      </c>
      <c r="F1569" s="0" t="n">
        <v>0.8420949234</v>
      </c>
      <c r="G1569" s="0" t="n">
        <v>1.260644194</v>
      </c>
      <c r="H1569" s="0" t="n">
        <v>1.744483022</v>
      </c>
    </row>
    <row r="1570" customFormat="false" ht="15" hidden="false" customHeight="false" outlineLevel="0" collapsed="false">
      <c r="A1570" s="0" t="s">
        <v>2766</v>
      </c>
      <c r="B1570" s="0" t="s">
        <v>916</v>
      </c>
      <c r="C1570" s="0" t="s">
        <v>519</v>
      </c>
      <c r="D1570" s="0" t="n">
        <v>0</v>
      </c>
      <c r="E1570" s="0" t="n">
        <v>0.05739737609</v>
      </c>
      <c r="F1570" s="0" t="n">
        <v>0.06298294451</v>
      </c>
      <c r="G1570" s="0" t="n">
        <v>0.07195631762</v>
      </c>
      <c r="H1570" s="0" t="n">
        <v>0.08193609758</v>
      </c>
    </row>
    <row r="1571" customFormat="false" ht="15" hidden="false" customHeight="false" outlineLevel="0" collapsed="false">
      <c r="A1571" s="0" t="s">
        <v>2767</v>
      </c>
      <c r="B1571" s="0" t="s">
        <v>750</v>
      </c>
      <c r="C1571" s="0" t="s">
        <v>519</v>
      </c>
      <c r="D1571" s="0" t="n">
        <v>0</v>
      </c>
      <c r="E1571" s="0" t="n">
        <v>0.7187344137</v>
      </c>
      <c r="F1571" s="0" t="n">
        <v>0.8718617228</v>
      </c>
      <c r="G1571" s="0" t="n">
        <v>0.9776834111</v>
      </c>
      <c r="H1571" s="0" t="n">
        <v>1.095398222</v>
      </c>
    </row>
    <row r="1572" customFormat="false" ht="15" hidden="false" customHeight="false" outlineLevel="0" collapsed="false">
      <c r="A1572" s="0" t="s">
        <v>2768</v>
      </c>
      <c r="B1572" s="0" t="s">
        <v>712</v>
      </c>
      <c r="C1572" s="0" t="s">
        <v>519</v>
      </c>
      <c r="D1572" s="0" t="n">
        <v>0</v>
      </c>
      <c r="E1572" s="0" t="n">
        <v>5.6570145</v>
      </c>
      <c r="F1572" s="0" t="n">
        <v>5.593157231</v>
      </c>
      <c r="G1572" s="0" t="n">
        <v>6.265937365</v>
      </c>
      <c r="H1572" s="0" t="n">
        <v>6.9841139</v>
      </c>
    </row>
    <row r="1573" customFormat="false" ht="15" hidden="false" customHeight="false" outlineLevel="0" collapsed="false">
      <c r="A1573" s="0" t="s">
        <v>2769</v>
      </c>
      <c r="B1573" s="0" t="s">
        <v>964</v>
      </c>
      <c r="C1573" s="0" t="s">
        <v>519</v>
      </c>
      <c r="D1573" s="0" t="n">
        <v>0</v>
      </c>
      <c r="E1573" s="0" t="n">
        <v>0.162933961</v>
      </c>
      <c r="F1573" s="0" t="n">
        <v>0.1512074808</v>
      </c>
      <c r="G1573" s="0" t="n">
        <v>0.2131020397</v>
      </c>
      <c r="H1573" s="0" t="n">
        <v>0.2922453983</v>
      </c>
    </row>
    <row r="1574" customFormat="false" ht="15" hidden="false" customHeight="false" outlineLevel="0" collapsed="false">
      <c r="A1574" s="0" t="s">
        <v>2770</v>
      </c>
      <c r="B1574" s="0" t="s">
        <v>876</v>
      </c>
      <c r="C1574" s="0" t="s">
        <v>519</v>
      </c>
      <c r="D1574" s="0" t="n">
        <v>0</v>
      </c>
      <c r="E1574" s="0" t="n">
        <v>0.1458748603</v>
      </c>
      <c r="F1574" s="0" t="n">
        <v>0.1701776978</v>
      </c>
      <c r="G1574" s="0" t="n">
        <v>0.2343869701</v>
      </c>
      <c r="H1574" s="0" t="n">
        <v>0.3174881042</v>
      </c>
    </row>
    <row r="1575" customFormat="false" ht="15" hidden="false" customHeight="false" outlineLevel="0" collapsed="false">
      <c r="A1575" s="0" t="s">
        <v>2771</v>
      </c>
      <c r="B1575" s="0" t="s">
        <v>702</v>
      </c>
      <c r="C1575" s="0" t="s">
        <v>519</v>
      </c>
      <c r="D1575" s="0" t="n">
        <v>0</v>
      </c>
      <c r="E1575" s="0" t="n">
        <v>22.01016781</v>
      </c>
      <c r="F1575" s="0" t="n">
        <v>22.31737027</v>
      </c>
      <c r="G1575" s="0" t="n">
        <v>25.01699404</v>
      </c>
      <c r="H1575" s="0" t="n">
        <v>27.96226345</v>
      </c>
    </row>
    <row r="1576" customFormat="false" ht="15" hidden="false" customHeight="false" outlineLevel="0" collapsed="false">
      <c r="A1576" s="0" t="s">
        <v>2772</v>
      </c>
      <c r="B1576" s="0" t="s">
        <v>780</v>
      </c>
      <c r="C1576" s="0" t="s">
        <v>519</v>
      </c>
      <c r="D1576" s="0" t="n">
        <v>0</v>
      </c>
      <c r="E1576" s="0" t="n">
        <v>2.97681621</v>
      </c>
      <c r="F1576" s="0" t="n">
        <v>3.732991561</v>
      </c>
      <c r="G1576" s="0" t="n">
        <v>4.944245979</v>
      </c>
      <c r="H1576" s="0" t="n">
        <v>6.48019417</v>
      </c>
    </row>
    <row r="1577" customFormat="false" ht="15" hidden="false" customHeight="false" outlineLevel="0" collapsed="false">
      <c r="A1577" s="0" t="s">
        <v>2773</v>
      </c>
      <c r="B1577" s="0" t="s">
        <v>814</v>
      </c>
      <c r="C1577" s="0" t="s">
        <v>519</v>
      </c>
      <c r="D1577" s="0" t="n">
        <v>0</v>
      </c>
      <c r="E1577" s="0" t="n">
        <v>0.2352675675</v>
      </c>
      <c r="F1577" s="0" t="n">
        <v>0.300843546</v>
      </c>
      <c r="G1577" s="0" t="n">
        <v>0.4579490624</v>
      </c>
      <c r="H1577" s="0" t="n">
        <v>0.680259353</v>
      </c>
    </row>
    <row r="1578" customFormat="false" ht="15" hidden="false" customHeight="false" outlineLevel="0" collapsed="false">
      <c r="A1578" s="0" t="s">
        <v>2774</v>
      </c>
      <c r="B1578" s="0" t="s">
        <v>946</v>
      </c>
      <c r="C1578" s="0" t="s">
        <v>519</v>
      </c>
      <c r="D1578" s="0" t="n">
        <v>0</v>
      </c>
      <c r="E1578" s="0" t="n">
        <v>0.1182238813</v>
      </c>
      <c r="F1578" s="0" t="n">
        <v>0.16954855</v>
      </c>
      <c r="G1578" s="0" t="n">
        <v>0.2696380105</v>
      </c>
      <c r="H1578" s="0" t="n">
        <v>0.4137882428</v>
      </c>
    </row>
    <row r="1579" customFormat="false" ht="15" hidden="false" customHeight="false" outlineLevel="0" collapsed="false">
      <c r="A1579" s="0" t="s">
        <v>2775</v>
      </c>
      <c r="B1579" s="0" t="s">
        <v>886</v>
      </c>
      <c r="C1579" s="0" t="s">
        <v>519</v>
      </c>
      <c r="D1579" s="0" t="n">
        <v>0</v>
      </c>
      <c r="E1579" s="0" t="n">
        <v>0.1488669695</v>
      </c>
      <c r="F1579" s="0" t="n">
        <v>0.1834723061</v>
      </c>
      <c r="G1579" s="0" t="n">
        <v>0.2725931507</v>
      </c>
      <c r="H1579" s="0" t="n">
        <v>0.3969975898</v>
      </c>
    </row>
    <row r="1580" customFormat="false" ht="15" hidden="false" customHeight="false" outlineLevel="0" collapsed="false">
      <c r="A1580" s="0" t="s">
        <v>2776</v>
      </c>
      <c r="B1580" s="0" t="s">
        <v>1054</v>
      </c>
      <c r="C1580" s="0" t="s">
        <v>519</v>
      </c>
      <c r="D1580" s="0" t="n">
        <v>0</v>
      </c>
      <c r="E1580" s="0" t="n">
        <v>0.01438782544</v>
      </c>
      <c r="F1580" s="0" t="n">
        <v>0.01591864445</v>
      </c>
      <c r="G1580" s="0" t="n">
        <v>0.01818352081</v>
      </c>
      <c r="H1580" s="0" t="n">
        <v>0.02070543331</v>
      </c>
    </row>
    <row r="1581" customFormat="false" ht="15" hidden="false" customHeight="false" outlineLevel="0" collapsed="false">
      <c r="A1581" s="0" t="s">
        <v>2777</v>
      </c>
      <c r="B1581" s="0" t="s">
        <v>716</v>
      </c>
      <c r="C1581" s="0" t="s">
        <v>519</v>
      </c>
      <c r="D1581" s="0" t="n">
        <v>0</v>
      </c>
      <c r="E1581" s="0" t="n">
        <v>10.92617065</v>
      </c>
      <c r="F1581" s="0" t="n">
        <v>11.8868683</v>
      </c>
      <c r="G1581" s="0" t="n">
        <v>13.09304082</v>
      </c>
      <c r="H1581" s="0" t="n">
        <v>14.49765794</v>
      </c>
    </row>
    <row r="1582" customFormat="false" ht="15" hidden="false" customHeight="false" outlineLevel="0" collapsed="false">
      <c r="A1582" s="0" t="s">
        <v>2778</v>
      </c>
      <c r="B1582" s="0" t="s">
        <v>812</v>
      </c>
      <c r="C1582" s="0" t="s">
        <v>519</v>
      </c>
      <c r="D1582" s="0" t="n">
        <v>0</v>
      </c>
      <c r="E1582" s="0" t="n">
        <v>2.487570133</v>
      </c>
      <c r="F1582" s="0" t="n">
        <v>2.250458389</v>
      </c>
      <c r="G1582" s="0" t="n">
        <v>2.520888762</v>
      </c>
      <c r="H1582" s="0" t="n">
        <v>2.795254121</v>
      </c>
    </row>
    <row r="1583" customFormat="false" ht="15" hidden="false" customHeight="false" outlineLevel="0" collapsed="false">
      <c r="A1583" s="0" t="s">
        <v>2779</v>
      </c>
      <c r="B1583" s="0" t="s">
        <v>972</v>
      </c>
      <c r="C1583" s="0" t="s">
        <v>519</v>
      </c>
      <c r="D1583" s="0" t="n">
        <v>0</v>
      </c>
      <c r="E1583" s="0" t="n">
        <v>0.01902278691</v>
      </c>
      <c r="F1583" s="0" t="n">
        <v>0.02278442336</v>
      </c>
      <c r="G1583" s="0" t="n">
        <v>0.03218785715</v>
      </c>
      <c r="H1583" s="0" t="n">
        <v>0.04482735389</v>
      </c>
    </row>
    <row r="1584" customFormat="false" ht="15" hidden="false" customHeight="false" outlineLevel="0" collapsed="false">
      <c r="A1584" s="0" t="s">
        <v>2780</v>
      </c>
      <c r="B1584" s="0" t="s">
        <v>922</v>
      </c>
      <c r="C1584" s="0" t="s">
        <v>519</v>
      </c>
      <c r="D1584" s="0" t="n">
        <v>0</v>
      </c>
      <c r="E1584" s="0" t="n">
        <v>0.6839477819</v>
      </c>
      <c r="F1584" s="0" t="n">
        <v>0.8185389264</v>
      </c>
      <c r="G1584" s="0" t="n">
        <v>1.14950685</v>
      </c>
      <c r="H1584" s="0" t="n">
        <v>1.581618069</v>
      </c>
    </row>
    <row r="1585" customFormat="false" ht="15" hidden="false" customHeight="false" outlineLevel="0" collapsed="false">
      <c r="A1585" s="0" t="s">
        <v>2781</v>
      </c>
      <c r="B1585" s="0" t="s">
        <v>1008</v>
      </c>
      <c r="C1585" s="0" t="s">
        <v>519</v>
      </c>
      <c r="D1585" s="0" t="n">
        <v>0</v>
      </c>
      <c r="E1585" s="0" t="n">
        <v>0.01280249028</v>
      </c>
      <c r="F1585" s="0" t="n">
        <v>0.01769885715</v>
      </c>
      <c r="G1585" s="0" t="n">
        <v>0.0301824321</v>
      </c>
      <c r="H1585" s="0" t="n">
        <v>0.04923859369</v>
      </c>
    </row>
    <row r="1586" customFormat="false" ht="15" hidden="false" customHeight="false" outlineLevel="0" collapsed="false">
      <c r="A1586" s="0" t="s">
        <v>2782</v>
      </c>
      <c r="B1586" s="0" t="s">
        <v>874</v>
      </c>
      <c r="C1586" s="0" t="s">
        <v>519</v>
      </c>
      <c r="D1586" s="0" t="n">
        <v>0</v>
      </c>
      <c r="E1586" s="0" t="n">
        <v>1.056254194</v>
      </c>
      <c r="F1586" s="0" t="n">
        <v>1.575500104</v>
      </c>
      <c r="G1586" s="0" t="n">
        <v>2.238668762</v>
      </c>
      <c r="H1586" s="0" t="n">
        <v>3.095583728</v>
      </c>
    </row>
    <row r="1587" customFormat="false" ht="15" hidden="false" customHeight="false" outlineLevel="0" collapsed="false">
      <c r="A1587" s="0" t="s">
        <v>2783</v>
      </c>
      <c r="B1587" s="0" t="s">
        <v>1032</v>
      </c>
      <c r="C1587" s="0" t="s">
        <v>519</v>
      </c>
      <c r="D1587" s="0" t="n">
        <v>0</v>
      </c>
      <c r="E1587" s="0" t="n">
        <v>0.01107405908</v>
      </c>
      <c r="F1587" s="0" t="n">
        <v>0.01249441043</v>
      </c>
      <c r="G1587" s="0" t="n">
        <v>0.01761279132</v>
      </c>
      <c r="H1587" s="0" t="n">
        <v>0.02429791031</v>
      </c>
    </row>
    <row r="1588" customFormat="false" ht="15" hidden="false" customHeight="false" outlineLevel="0" collapsed="false">
      <c r="A1588" s="0" t="s">
        <v>2784</v>
      </c>
      <c r="B1588" s="0" t="s">
        <v>840</v>
      </c>
      <c r="C1588" s="0" t="s">
        <v>519</v>
      </c>
      <c r="D1588" s="0" t="n">
        <v>0</v>
      </c>
      <c r="E1588" s="0" t="n">
        <v>0.06956614208</v>
      </c>
      <c r="F1588" s="0" t="n">
        <v>0.08411470087</v>
      </c>
      <c r="G1588" s="0" t="n">
        <v>0.1328187626</v>
      </c>
      <c r="H1588" s="0" t="n">
        <v>0.2031932833</v>
      </c>
    </row>
    <row r="1589" customFormat="false" ht="15" hidden="false" customHeight="false" outlineLevel="0" collapsed="false">
      <c r="A1589" s="0" t="s">
        <v>2785</v>
      </c>
      <c r="B1589" s="0" t="s">
        <v>1034</v>
      </c>
      <c r="C1589" s="0" t="s">
        <v>519</v>
      </c>
      <c r="D1589" s="0" t="n">
        <v>0</v>
      </c>
      <c r="E1589" s="0" t="n">
        <v>0.0955158549</v>
      </c>
      <c r="F1589" s="0" t="n">
        <v>0.09931346838</v>
      </c>
      <c r="G1589" s="0" t="n">
        <v>0.1328106065</v>
      </c>
      <c r="H1589" s="0" t="n">
        <v>0.1748371302</v>
      </c>
    </row>
    <row r="1590" customFormat="false" ht="15" hidden="false" customHeight="false" outlineLevel="0" collapsed="false">
      <c r="A1590" s="0" t="s">
        <v>2786</v>
      </c>
      <c r="B1590" s="0" t="s">
        <v>856</v>
      </c>
      <c r="C1590" s="0" t="s">
        <v>519</v>
      </c>
      <c r="D1590" s="0" t="n">
        <v>0</v>
      </c>
      <c r="E1590" s="0" t="n">
        <v>0.2258309662</v>
      </c>
      <c r="F1590" s="0" t="n">
        <v>0.2616653695</v>
      </c>
      <c r="G1590" s="0" t="n">
        <v>0.2924194197</v>
      </c>
      <c r="H1590" s="0" t="n">
        <v>0.3265859319</v>
      </c>
    </row>
    <row r="1591" customFormat="false" ht="15" hidden="false" customHeight="false" outlineLevel="0" collapsed="false">
      <c r="A1591" s="0" t="s">
        <v>2787</v>
      </c>
      <c r="B1591" s="0" t="s">
        <v>854</v>
      </c>
      <c r="C1591" s="0" t="s">
        <v>519</v>
      </c>
      <c r="D1591" s="0" t="n">
        <v>0</v>
      </c>
      <c r="E1591" s="0" t="n">
        <v>0.1239453348</v>
      </c>
      <c r="F1591" s="0" t="n">
        <v>0.1319196714</v>
      </c>
      <c r="G1591" s="0" t="n">
        <v>0.1473070941</v>
      </c>
      <c r="H1591" s="0" t="n">
        <v>0.1641417575</v>
      </c>
    </row>
    <row r="1592" customFormat="false" ht="15" hidden="false" customHeight="false" outlineLevel="0" collapsed="false">
      <c r="A1592" s="0" t="s">
        <v>2788</v>
      </c>
      <c r="B1592" s="0" t="s">
        <v>894</v>
      </c>
      <c r="C1592" s="0" t="s">
        <v>519</v>
      </c>
      <c r="D1592" s="0" t="n">
        <v>0</v>
      </c>
      <c r="E1592" s="0" t="n">
        <v>0.1122970995</v>
      </c>
      <c r="F1592" s="0" t="n">
        <v>0.1249240108</v>
      </c>
      <c r="G1592" s="0" t="n">
        <v>0.1399532837</v>
      </c>
      <c r="H1592" s="0" t="n">
        <v>0.1565663524</v>
      </c>
    </row>
    <row r="1593" customFormat="false" ht="15" hidden="false" customHeight="false" outlineLevel="0" collapsed="false">
      <c r="A1593" s="0" t="s">
        <v>2789</v>
      </c>
      <c r="B1593" s="0" t="s">
        <v>882</v>
      </c>
      <c r="C1593" s="0" t="s">
        <v>519</v>
      </c>
      <c r="D1593" s="0" t="n">
        <v>0</v>
      </c>
      <c r="E1593" s="0" t="n">
        <v>0.02080311064</v>
      </c>
      <c r="F1593" s="0" t="n">
        <v>0.02436319301</v>
      </c>
      <c r="G1593" s="0" t="n">
        <v>0.02776331537</v>
      </c>
      <c r="H1593" s="0" t="n">
        <v>0.03156636613</v>
      </c>
    </row>
    <row r="1594" customFormat="false" ht="15" hidden="false" customHeight="false" outlineLevel="0" collapsed="false">
      <c r="A1594" s="0" t="s">
        <v>2790</v>
      </c>
      <c r="B1594" s="0" t="s">
        <v>808</v>
      </c>
      <c r="C1594" s="0" t="s">
        <v>519</v>
      </c>
      <c r="D1594" s="0" t="n">
        <v>0</v>
      </c>
      <c r="E1594" s="0" t="n">
        <v>0.3740714592</v>
      </c>
      <c r="F1594" s="0" t="n">
        <v>0.507062321</v>
      </c>
      <c r="G1594" s="0" t="n">
        <v>0.813872003</v>
      </c>
      <c r="H1594" s="0" t="n">
        <v>1.259175931</v>
      </c>
    </row>
    <row r="1595" customFormat="false" ht="15" hidden="false" customHeight="false" outlineLevel="0" collapsed="false">
      <c r="A1595" s="0" t="s">
        <v>2791</v>
      </c>
      <c r="B1595" s="0" t="s">
        <v>966</v>
      </c>
      <c r="C1595" s="0" t="s">
        <v>519</v>
      </c>
      <c r="D1595" s="0" t="n">
        <v>0</v>
      </c>
      <c r="E1595" s="0" t="n">
        <v>0.105587531</v>
      </c>
      <c r="F1595" s="0" t="n">
        <v>0.1200946856</v>
      </c>
      <c r="G1595" s="0" t="n">
        <v>0.1968691111</v>
      </c>
      <c r="H1595" s="0" t="n">
        <v>0.3112766301</v>
      </c>
    </row>
    <row r="1596" customFormat="false" ht="15" hidden="false" customHeight="false" outlineLevel="0" collapsed="false">
      <c r="A1596" s="0" t="s">
        <v>2792</v>
      </c>
      <c r="B1596" s="0" t="s">
        <v>960</v>
      </c>
      <c r="C1596" s="0" t="s">
        <v>519</v>
      </c>
      <c r="D1596" s="0" t="n">
        <v>0</v>
      </c>
      <c r="E1596" s="0" t="n">
        <v>0.03609107606</v>
      </c>
      <c r="F1596" s="0" t="n">
        <v>0.04446269884</v>
      </c>
      <c r="G1596" s="0" t="n">
        <v>0.07131658682</v>
      </c>
      <c r="H1596" s="0" t="n">
        <v>0.111198238</v>
      </c>
    </row>
    <row r="1597" customFormat="false" ht="15" hidden="false" customHeight="false" outlineLevel="0" collapsed="false">
      <c r="A1597" s="0" t="s">
        <v>2793</v>
      </c>
      <c r="B1597" s="0" t="s">
        <v>1002</v>
      </c>
      <c r="C1597" s="0" t="s">
        <v>519</v>
      </c>
      <c r="D1597" s="0" t="n">
        <v>0</v>
      </c>
      <c r="E1597" s="0" t="n">
        <v>0.05139188335</v>
      </c>
      <c r="F1597" s="0" t="n">
        <v>0.06171116601</v>
      </c>
      <c r="G1597" s="0" t="n">
        <v>0.08695585769</v>
      </c>
      <c r="H1597" s="0" t="n">
        <v>0.1199608621</v>
      </c>
    </row>
    <row r="1598" customFormat="false" ht="15" hidden="false" customHeight="false" outlineLevel="0" collapsed="false">
      <c r="A1598" s="0" t="s">
        <v>2794</v>
      </c>
      <c r="B1598" s="0" t="s">
        <v>720</v>
      </c>
      <c r="C1598" s="0" t="s">
        <v>519</v>
      </c>
      <c r="D1598" s="0" t="n">
        <v>0</v>
      </c>
      <c r="E1598" s="0" t="n">
        <v>7.746428807</v>
      </c>
      <c r="F1598" s="0" t="n">
        <v>8.593317142</v>
      </c>
      <c r="G1598" s="0" t="n">
        <v>11.88639068</v>
      </c>
      <c r="H1598" s="0" t="n">
        <v>16.30384431</v>
      </c>
    </row>
    <row r="1599" customFormat="false" ht="15" hidden="false" customHeight="false" outlineLevel="0" collapsed="false">
      <c r="A1599" s="0" t="s">
        <v>2795</v>
      </c>
      <c r="B1599" s="0" t="s">
        <v>970</v>
      </c>
      <c r="C1599" s="0" t="s">
        <v>519</v>
      </c>
      <c r="D1599" s="0" t="n">
        <v>0</v>
      </c>
      <c r="E1599" s="0" t="n">
        <v>0.07473759611</v>
      </c>
      <c r="F1599" s="0" t="n">
        <v>0.08896099525</v>
      </c>
      <c r="G1599" s="0" t="n">
        <v>0.1226227536</v>
      </c>
      <c r="H1599" s="0" t="n">
        <v>0.1662852684</v>
      </c>
    </row>
    <row r="1600" customFormat="false" ht="15" hidden="false" customHeight="false" outlineLevel="0" collapsed="false">
      <c r="A1600" s="0" t="s">
        <v>2796</v>
      </c>
      <c r="B1600" s="0" t="s">
        <v>918</v>
      </c>
      <c r="C1600" s="0" t="s">
        <v>519</v>
      </c>
      <c r="D1600" s="0" t="n">
        <v>0</v>
      </c>
      <c r="E1600" s="0" t="n">
        <v>0.09956789893</v>
      </c>
      <c r="F1600" s="0" t="n">
        <v>0.1392798387</v>
      </c>
      <c r="G1600" s="0" t="n">
        <v>0.2347705489</v>
      </c>
      <c r="H1600" s="0" t="n">
        <v>0.3795724993</v>
      </c>
    </row>
    <row r="1601" customFormat="false" ht="15" hidden="false" customHeight="false" outlineLevel="0" collapsed="false">
      <c r="A1601" s="0" t="s">
        <v>2797</v>
      </c>
      <c r="B1601" s="0" t="s">
        <v>936</v>
      </c>
      <c r="C1601" s="0" t="s">
        <v>519</v>
      </c>
      <c r="D1601" s="0" t="n">
        <v>0</v>
      </c>
      <c r="E1601" s="0" t="n">
        <v>0.01502039809</v>
      </c>
      <c r="F1601" s="0" t="n">
        <v>0.01833007344</v>
      </c>
      <c r="G1601" s="0" t="n">
        <v>0.02092250857</v>
      </c>
      <c r="H1601" s="0" t="n">
        <v>0.0238242973</v>
      </c>
    </row>
    <row r="1602" customFormat="false" ht="15" hidden="false" customHeight="false" outlineLevel="0" collapsed="false">
      <c r="A1602" s="0" t="s">
        <v>2798</v>
      </c>
      <c r="B1602" s="0" t="s">
        <v>862</v>
      </c>
      <c r="C1602" s="0" t="s">
        <v>519</v>
      </c>
      <c r="D1602" s="0" t="n">
        <v>0</v>
      </c>
      <c r="E1602" s="0" t="n">
        <v>0.5462633819</v>
      </c>
      <c r="F1602" s="0" t="n">
        <v>0.6641034006</v>
      </c>
      <c r="G1602" s="0" t="n">
        <v>1.063752581</v>
      </c>
      <c r="H1602" s="0" t="n">
        <v>1.647091996</v>
      </c>
    </row>
    <row r="1603" customFormat="false" ht="15" hidden="false" customHeight="false" outlineLevel="0" collapsed="false">
      <c r="A1603" s="0" t="s">
        <v>2799</v>
      </c>
      <c r="B1603" s="0" t="s">
        <v>996</v>
      </c>
      <c r="C1603" s="0" t="s">
        <v>519</v>
      </c>
      <c r="D1603" s="0" t="n">
        <v>0</v>
      </c>
      <c r="E1603" s="0" t="n">
        <v>0.01241992781</v>
      </c>
      <c r="F1603" s="0" t="n">
        <v>0.01467926246</v>
      </c>
      <c r="G1603" s="0" t="n">
        <v>0.02058130194</v>
      </c>
      <c r="H1603" s="0" t="n">
        <v>0.02828148482</v>
      </c>
    </row>
    <row r="1604" customFormat="false" ht="15" hidden="false" customHeight="false" outlineLevel="0" collapsed="false">
      <c r="A1604" s="0" t="s">
        <v>2800</v>
      </c>
      <c r="B1604" s="0" t="s">
        <v>928</v>
      </c>
      <c r="C1604" s="0" t="s">
        <v>519</v>
      </c>
      <c r="D1604" s="0" t="n">
        <v>0</v>
      </c>
      <c r="E1604" s="0" t="n">
        <v>0.1483712571</v>
      </c>
      <c r="F1604" s="0" t="n">
        <v>0.1944872335</v>
      </c>
      <c r="G1604" s="0" t="n">
        <v>0.2905450399</v>
      </c>
      <c r="H1604" s="0" t="n">
        <v>0.4247012499</v>
      </c>
    </row>
    <row r="1605" customFormat="false" ht="15" hidden="false" customHeight="false" outlineLevel="0" collapsed="false">
      <c r="A1605" s="0" t="s">
        <v>2801</v>
      </c>
      <c r="B1605" s="0" t="s">
        <v>954</v>
      </c>
      <c r="C1605" s="0" t="s">
        <v>519</v>
      </c>
      <c r="D1605" s="0" t="n">
        <v>0</v>
      </c>
      <c r="E1605" s="0" t="n">
        <v>0.06170101397</v>
      </c>
      <c r="F1605" s="0" t="n">
        <v>0.0646223568</v>
      </c>
      <c r="G1605" s="0" t="n">
        <v>0.1132707349</v>
      </c>
      <c r="H1605" s="0" t="n">
        <v>0.1896946933</v>
      </c>
    </row>
    <row r="1606" customFormat="false" ht="15" hidden="false" customHeight="false" outlineLevel="0" collapsed="false">
      <c r="A1606" s="0" t="s">
        <v>2802</v>
      </c>
      <c r="B1606" s="0" t="s">
        <v>988</v>
      </c>
      <c r="C1606" s="0" t="s">
        <v>519</v>
      </c>
      <c r="D1606" s="0" t="n">
        <v>0</v>
      </c>
      <c r="E1606" s="0" t="n">
        <v>0.08169573525</v>
      </c>
      <c r="F1606" s="0" t="n">
        <v>0.1078650253</v>
      </c>
      <c r="G1606" s="0" t="n">
        <v>0.1728871152</v>
      </c>
      <c r="H1606" s="0" t="n">
        <v>0.2672519695</v>
      </c>
    </row>
    <row r="1607" customFormat="false" ht="15" hidden="false" customHeight="false" outlineLevel="0" collapsed="false">
      <c r="A1607" s="0" t="s">
        <v>2803</v>
      </c>
      <c r="B1607" s="0" t="s">
        <v>974</v>
      </c>
      <c r="C1607" s="0" t="s">
        <v>519</v>
      </c>
      <c r="D1607" s="0" t="n">
        <v>0</v>
      </c>
      <c r="E1607" s="0" t="n">
        <v>0.02047785388</v>
      </c>
      <c r="F1607" s="0" t="n">
        <v>0.02476530818</v>
      </c>
      <c r="G1607" s="0" t="n">
        <v>0.03413060057</v>
      </c>
      <c r="H1607" s="0" t="n">
        <v>0.0462555925</v>
      </c>
    </row>
    <row r="1608" customFormat="false" ht="15" hidden="false" customHeight="false" outlineLevel="0" collapsed="false">
      <c r="A1608" s="0" t="s">
        <v>2804</v>
      </c>
      <c r="B1608" s="0" t="s">
        <v>992</v>
      </c>
      <c r="C1608" s="0" t="s">
        <v>519</v>
      </c>
      <c r="D1608" s="0" t="n">
        <v>0</v>
      </c>
      <c r="E1608" s="0" t="n">
        <v>0.01214399195</v>
      </c>
      <c r="F1608" s="0" t="n">
        <v>0.01398171861</v>
      </c>
      <c r="G1608" s="0" t="n">
        <v>0.02268064228</v>
      </c>
      <c r="H1608" s="0" t="n">
        <v>0.0356874409</v>
      </c>
    </row>
    <row r="1609" customFormat="false" ht="15" hidden="false" customHeight="false" outlineLevel="0" collapsed="false">
      <c r="A1609" s="0" t="s">
        <v>2805</v>
      </c>
      <c r="B1609" s="0" t="s">
        <v>760</v>
      </c>
      <c r="C1609" s="0" t="s">
        <v>519</v>
      </c>
      <c r="D1609" s="0" t="n">
        <v>0</v>
      </c>
      <c r="E1609" s="0" t="n">
        <v>3.07547874</v>
      </c>
      <c r="F1609" s="0" t="n">
        <v>4.155597617</v>
      </c>
      <c r="G1609" s="0" t="n">
        <v>5.897371647</v>
      </c>
      <c r="H1609" s="0" t="n">
        <v>8.191383146</v>
      </c>
    </row>
    <row r="1610" customFormat="false" ht="15" hidden="false" customHeight="false" outlineLevel="0" collapsed="false">
      <c r="A1610" s="0" t="s">
        <v>2806</v>
      </c>
      <c r="B1610" s="0" t="s">
        <v>982</v>
      </c>
      <c r="C1610" s="0" t="s">
        <v>519</v>
      </c>
      <c r="D1610" s="0" t="n">
        <v>0</v>
      </c>
      <c r="E1610" s="0" t="n">
        <v>0.05386876032</v>
      </c>
      <c r="F1610" s="0" t="n">
        <v>0.06235679021</v>
      </c>
      <c r="G1610" s="0" t="n">
        <v>0.08787661336</v>
      </c>
      <c r="H1610" s="0" t="n">
        <v>0.1212311002</v>
      </c>
    </row>
    <row r="1611" customFormat="false" ht="15" hidden="false" customHeight="false" outlineLevel="0" collapsed="false">
      <c r="A1611" s="0" t="s">
        <v>2807</v>
      </c>
      <c r="B1611" s="0" t="s">
        <v>940</v>
      </c>
      <c r="C1611" s="0" t="s">
        <v>519</v>
      </c>
      <c r="D1611" s="0" t="n">
        <v>0</v>
      </c>
      <c r="E1611" s="0" t="n">
        <v>0.02180313768</v>
      </c>
      <c r="F1611" s="0" t="n">
        <v>0.03297371401</v>
      </c>
      <c r="G1611" s="0" t="n">
        <v>0.0565640115</v>
      </c>
      <c r="H1611" s="0" t="n">
        <v>0.09243111803</v>
      </c>
    </row>
    <row r="1612" customFormat="false" ht="15" hidden="false" customHeight="false" outlineLevel="0" collapsed="false">
      <c r="A1612" s="0" t="s">
        <v>2808</v>
      </c>
      <c r="B1612" s="0" t="s">
        <v>792</v>
      </c>
      <c r="C1612" s="0" t="s">
        <v>519</v>
      </c>
      <c r="D1612" s="0" t="n">
        <v>0</v>
      </c>
      <c r="E1612" s="0" t="n">
        <v>0.5736342188</v>
      </c>
      <c r="F1612" s="0" t="n">
        <v>0.7508567486</v>
      </c>
      <c r="G1612" s="0" t="n">
        <v>1.230044365</v>
      </c>
      <c r="H1612" s="0" t="n">
        <v>1.945278809</v>
      </c>
    </row>
    <row r="1613" customFormat="false" ht="15" hidden="false" customHeight="false" outlineLevel="0" collapsed="false">
      <c r="A1613" s="0" t="s">
        <v>2809</v>
      </c>
      <c r="B1613" s="0" t="s">
        <v>948</v>
      </c>
      <c r="C1613" s="0" t="s">
        <v>519</v>
      </c>
      <c r="D1613" s="0" t="n">
        <v>0</v>
      </c>
      <c r="E1613" s="0" t="n">
        <v>0.08383065018</v>
      </c>
      <c r="F1613" s="0" t="n">
        <v>0.1071338016</v>
      </c>
      <c r="G1613" s="0" t="n">
        <v>0.1716016201</v>
      </c>
      <c r="H1613" s="0" t="n">
        <v>0.2652648283</v>
      </c>
    </row>
    <row r="1614" customFormat="false" ht="15" hidden="false" customHeight="false" outlineLevel="0" collapsed="false">
      <c r="A1614" s="0" t="s">
        <v>2810</v>
      </c>
      <c r="B1614" s="0" t="s">
        <v>730</v>
      </c>
      <c r="C1614" s="0" t="s">
        <v>519</v>
      </c>
      <c r="D1614" s="0" t="n">
        <v>0</v>
      </c>
      <c r="E1614" s="0" t="n">
        <v>2.782837355</v>
      </c>
      <c r="F1614" s="0" t="n">
        <v>2.895743942</v>
      </c>
      <c r="G1614" s="0" t="n">
        <v>3.244068604</v>
      </c>
      <c r="H1614" s="0" t="n">
        <v>3.623405495</v>
      </c>
    </row>
    <row r="1615" customFormat="false" ht="15" hidden="false" customHeight="false" outlineLevel="0" collapsed="false">
      <c r="A1615" s="0" t="s">
        <v>2811</v>
      </c>
      <c r="B1615" s="0" t="s">
        <v>762</v>
      </c>
      <c r="C1615" s="0" t="s">
        <v>519</v>
      </c>
      <c r="D1615" s="0" t="n">
        <v>0</v>
      </c>
      <c r="E1615" s="0" t="n">
        <v>1.629514408</v>
      </c>
      <c r="F1615" s="0" t="n">
        <v>1.717359955</v>
      </c>
      <c r="G1615" s="0" t="n">
        <v>1.910782275</v>
      </c>
      <c r="H1615" s="0" t="n">
        <v>2.121390701</v>
      </c>
    </row>
    <row r="1616" customFormat="false" ht="15" hidden="false" customHeight="false" outlineLevel="0" collapsed="false">
      <c r="A1616" s="0" t="s">
        <v>2812</v>
      </c>
      <c r="B1616" s="0" t="s">
        <v>892</v>
      </c>
      <c r="C1616" s="0" t="s">
        <v>519</v>
      </c>
      <c r="D1616" s="0" t="n">
        <v>0</v>
      </c>
      <c r="E1616" s="0" t="n">
        <v>0.2746988171</v>
      </c>
      <c r="F1616" s="0" t="n">
        <v>0.3201082216</v>
      </c>
      <c r="G1616" s="0" t="n">
        <v>0.4893748249</v>
      </c>
      <c r="H1616" s="0" t="n">
        <v>0.7328378872</v>
      </c>
    </row>
    <row r="1617" customFormat="false" ht="15" hidden="false" customHeight="false" outlineLevel="0" collapsed="false">
      <c r="A1617" s="0" t="s">
        <v>2813</v>
      </c>
      <c r="B1617" s="0" t="s">
        <v>1064</v>
      </c>
      <c r="C1617" s="0" t="s">
        <v>519</v>
      </c>
      <c r="D1617" s="0" t="n">
        <v>0</v>
      </c>
      <c r="E1617" s="0" t="n">
        <v>0.00446487055</v>
      </c>
      <c r="F1617" s="0" t="n">
        <v>0.005087749349</v>
      </c>
      <c r="G1617" s="0" t="n">
        <v>0.007171042735</v>
      </c>
      <c r="H1617" s="0" t="n">
        <v>0.009892886938</v>
      </c>
    </row>
    <row r="1618" customFormat="false" ht="15" hidden="false" customHeight="false" outlineLevel="0" collapsed="false">
      <c r="A1618" s="0" t="s">
        <v>2814</v>
      </c>
      <c r="B1618" s="0" t="s">
        <v>796</v>
      </c>
      <c r="C1618" s="0" t="s">
        <v>519</v>
      </c>
      <c r="D1618" s="0" t="n">
        <v>0</v>
      </c>
      <c r="E1618" s="0" t="n">
        <v>0.5427404567</v>
      </c>
      <c r="F1618" s="0" t="n">
        <v>0.599951184</v>
      </c>
      <c r="G1618" s="0" t="n">
        <v>0.6750366846</v>
      </c>
      <c r="H1618" s="0" t="n">
        <v>0.7582157504</v>
      </c>
    </row>
    <row r="1619" customFormat="false" ht="15" hidden="false" customHeight="false" outlineLevel="0" collapsed="false">
      <c r="A1619" s="0" t="s">
        <v>2815</v>
      </c>
      <c r="B1619" s="0" t="s">
        <v>832</v>
      </c>
      <c r="C1619" s="0" t="s">
        <v>519</v>
      </c>
      <c r="D1619" s="0" t="n">
        <v>0</v>
      </c>
      <c r="E1619" s="0" t="n">
        <v>1.587607197</v>
      </c>
      <c r="F1619" s="0" t="n">
        <v>1.926793363</v>
      </c>
      <c r="G1619" s="0" t="n">
        <v>2.124773571</v>
      </c>
      <c r="H1619" s="0" t="n">
        <v>2.343561457</v>
      </c>
    </row>
    <row r="1620" customFormat="false" ht="15" hidden="false" customHeight="false" outlineLevel="0" collapsed="false">
      <c r="A1620" s="0" t="s">
        <v>2816</v>
      </c>
      <c r="B1620" s="0" t="s">
        <v>772</v>
      </c>
      <c r="C1620" s="0" t="s">
        <v>519</v>
      </c>
      <c r="D1620" s="0" t="n">
        <v>0</v>
      </c>
      <c r="E1620" s="0" t="n">
        <v>1.457609997</v>
      </c>
      <c r="F1620" s="0" t="n">
        <v>1.760495516</v>
      </c>
      <c r="G1620" s="0" t="n">
        <v>2.625416517</v>
      </c>
      <c r="H1620" s="0" t="n">
        <v>3.848575874</v>
      </c>
    </row>
    <row r="1621" customFormat="false" ht="15" hidden="false" customHeight="false" outlineLevel="0" collapsed="false">
      <c r="A1621" s="0" t="s">
        <v>2817</v>
      </c>
      <c r="B1621" s="0" t="s">
        <v>848</v>
      </c>
      <c r="C1621" s="0" t="s">
        <v>519</v>
      </c>
      <c r="D1621" s="0" t="n">
        <v>0</v>
      </c>
      <c r="E1621" s="0" t="n">
        <v>0.1384330357</v>
      </c>
      <c r="F1621" s="0" t="n">
        <v>0.1703110866</v>
      </c>
      <c r="G1621" s="0" t="n">
        <v>0.194406893</v>
      </c>
      <c r="H1621" s="0" t="n">
        <v>0.2213696126</v>
      </c>
    </row>
    <row r="1622" customFormat="false" ht="15" hidden="false" customHeight="false" outlineLevel="0" collapsed="false">
      <c r="A1622" s="0" t="s">
        <v>2818</v>
      </c>
      <c r="B1622" s="0" t="s">
        <v>784</v>
      </c>
      <c r="C1622" s="0" t="s">
        <v>519</v>
      </c>
      <c r="D1622" s="0" t="n">
        <v>0</v>
      </c>
      <c r="E1622" s="0" t="n">
        <v>0.9358111389</v>
      </c>
      <c r="F1622" s="0" t="n">
        <v>1.106420861</v>
      </c>
      <c r="G1622" s="0" t="n">
        <v>1.55308359</v>
      </c>
      <c r="H1622" s="0" t="n">
        <v>2.138187515</v>
      </c>
    </row>
    <row r="1623" customFormat="false" ht="15" hidden="false" customHeight="false" outlineLevel="0" collapsed="false">
      <c r="A1623" s="0" t="s">
        <v>2819</v>
      </c>
      <c r="B1623" s="0" t="s">
        <v>754</v>
      </c>
      <c r="C1623" s="0" t="s">
        <v>519</v>
      </c>
      <c r="D1623" s="0" t="n">
        <v>0</v>
      </c>
      <c r="E1623" s="0" t="n">
        <v>0.9558144628</v>
      </c>
      <c r="F1623" s="0" t="n">
        <v>1.203736178</v>
      </c>
      <c r="G1623" s="0" t="n">
        <v>1.847641731</v>
      </c>
      <c r="H1623" s="0" t="n">
        <v>2.764146315</v>
      </c>
    </row>
    <row r="1624" customFormat="false" ht="15" hidden="false" customHeight="false" outlineLevel="0" collapsed="false">
      <c r="A1624" s="0" t="s">
        <v>2820</v>
      </c>
      <c r="B1624" s="0" t="s">
        <v>1062</v>
      </c>
      <c r="C1624" s="0" t="s">
        <v>519</v>
      </c>
      <c r="D1624" s="0" t="n">
        <v>0</v>
      </c>
      <c r="E1624" s="0" t="n">
        <v>0.005652206659</v>
      </c>
      <c r="F1624" s="0" t="n">
        <v>0.006738848517</v>
      </c>
      <c r="G1624" s="0" t="n">
        <v>0.007691639443</v>
      </c>
      <c r="H1624" s="0" t="n">
        <v>0.008758409835</v>
      </c>
    </row>
    <row r="1625" customFormat="false" ht="15" hidden="false" customHeight="false" outlineLevel="0" collapsed="false">
      <c r="A1625" s="0" t="s">
        <v>2821</v>
      </c>
      <c r="B1625" s="0" t="s">
        <v>912</v>
      </c>
      <c r="C1625" s="0" t="s">
        <v>519</v>
      </c>
      <c r="D1625" s="0" t="n">
        <v>0</v>
      </c>
      <c r="E1625" s="0" t="n">
        <v>0.2629538992</v>
      </c>
      <c r="F1625" s="0" t="n">
        <v>0.3377107407</v>
      </c>
      <c r="G1625" s="0" t="n">
        <v>0.5517681482</v>
      </c>
      <c r="H1625" s="0" t="n">
        <v>0.8683976739</v>
      </c>
    </row>
    <row r="1626" customFormat="false" ht="15" hidden="false" customHeight="false" outlineLevel="0" collapsed="false">
      <c r="A1626" s="0" t="s">
        <v>2822</v>
      </c>
      <c r="B1626" s="0" t="s">
        <v>732</v>
      </c>
      <c r="C1626" s="0" t="s">
        <v>519</v>
      </c>
      <c r="D1626" s="0" t="n">
        <v>0</v>
      </c>
      <c r="E1626" s="0" t="n">
        <v>3.094633565</v>
      </c>
      <c r="F1626" s="0" t="n">
        <v>3.606637799</v>
      </c>
      <c r="G1626" s="0" t="n">
        <v>3.963735707</v>
      </c>
      <c r="H1626" s="0" t="n">
        <v>4.359366962</v>
      </c>
    </row>
    <row r="1627" customFormat="false" ht="15" hidden="false" customHeight="false" outlineLevel="0" collapsed="false">
      <c r="A1627" s="0" t="s">
        <v>2823</v>
      </c>
      <c r="B1627" s="0" t="s">
        <v>834</v>
      </c>
      <c r="C1627" s="0" t="s">
        <v>519</v>
      </c>
      <c r="D1627" s="0" t="n">
        <v>0</v>
      </c>
      <c r="E1627" s="0" t="n">
        <v>0.07516160752</v>
      </c>
      <c r="F1627" s="0" t="n">
        <v>0.07290015823</v>
      </c>
      <c r="G1627" s="0" t="n">
        <v>0.08366910893</v>
      </c>
      <c r="H1627" s="0" t="n">
        <v>0.09527336168</v>
      </c>
    </row>
    <row r="1628" customFormat="false" ht="15" hidden="false" customHeight="false" outlineLevel="0" collapsed="false">
      <c r="A1628" s="0" t="s">
        <v>2824</v>
      </c>
      <c r="B1628" s="0" t="s">
        <v>786</v>
      </c>
      <c r="C1628" s="0" t="s">
        <v>519</v>
      </c>
      <c r="D1628" s="0" t="n">
        <v>0</v>
      </c>
      <c r="E1628" s="0" t="n">
        <v>0.6277267946</v>
      </c>
      <c r="F1628" s="0" t="n">
        <v>0.6858455095</v>
      </c>
      <c r="G1628" s="0" t="n">
        <v>0.7702140266</v>
      </c>
      <c r="H1628" s="0" t="n">
        <v>0.8632421001</v>
      </c>
    </row>
    <row r="1629" customFormat="false" ht="15" hidden="false" customHeight="false" outlineLevel="0" collapsed="false">
      <c r="A1629" s="0" t="s">
        <v>2825</v>
      </c>
      <c r="B1629" s="0" t="s">
        <v>888</v>
      </c>
      <c r="C1629" s="0" t="s">
        <v>519</v>
      </c>
      <c r="D1629" s="0" t="n">
        <v>0</v>
      </c>
      <c r="E1629" s="0" t="n">
        <v>0.2963237377</v>
      </c>
      <c r="F1629" s="0" t="n">
        <v>0.3807445785</v>
      </c>
      <c r="G1629" s="0" t="n">
        <v>0.5368179521</v>
      </c>
      <c r="H1629" s="0" t="n">
        <v>0.7405549228</v>
      </c>
    </row>
    <row r="1630" customFormat="false" ht="15" hidden="false" customHeight="false" outlineLevel="0" collapsed="false">
      <c r="A1630" s="0" t="s">
        <v>2826</v>
      </c>
      <c r="B1630" s="0" t="s">
        <v>816</v>
      </c>
      <c r="C1630" s="0" t="s">
        <v>519</v>
      </c>
      <c r="D1630" s="0" t="n">
        <v>0</v>
      </c>
      <c r="E1630" s="0" t="n">
        <v>3.108604016</v>
      </c>
      <c r="F1630" s="0" t="n">
        <v>1.32530124</v>
      </c>
      <c r="G1630" s="0" t="n">
        <v>1.673734894</v>
      </c>
      <c r="H1630" s="0" t="n">
        <v>1.843160495</v>
      </c>
    </row>
    <row r="1631" customFormat="false" ht="15" hidden="false" customHeight="false" outlineLevel="0" collapsed="false">
      <c r="A1631" s="0" t="s">
        <v>2827</v>
      </c>
      <c r="B1631" s="0" t="s">
        <v>776</v>
      </c>
      <c r="C1631" s="0" t="s">
        <v>519</v>
      </c>
      <c r="D1631" s="0" t="n">
        <v>0</v>
      </c>
      <c r="E1631" s="0" t="n">
        <v>1.250118533</v>
      </c>
      <c r="F1631" s="0" t="n">
        <v>1.289226829</v>
      </c>
      <c r="G1631" s="0" t="n">
        <v>1.809200907</v>
      </c>
      <c r="H1631" s="0" t="n">
        <v>2.484721793</v>
      </c>
    </row>
    <row r="1632" customFormat="false" ht="15" hidden="false" customHeight="false" outlineLevel="0" collapsed="false">
      <c r="A1632" s="0" t="s">
        <v>2828</v>
      </c>
      <c r="B1632" s="0" t="s">
        <v>714</v>
      </c>
      <c r="C1632" s="0" t="s">
        <v>519</v>
      </c>
      <c r="D1632" s="0" t="n">
        <v>0</v>
      </c>
      <c r="E1632" s="0" t="n">
        <v>25.52735325</v>
      </c>
      <c r="F1632" s="0" t="n">
        <v>26.8963954</v>
      </c>
      <c r="G1632" s="0" t="n">
        <v>36.67757504</v>
      </c>
      <c r="H1632" s="0" t="n">
        <v>49.45005425</v>
      </c>
    </row>
    <row r="1633" customFormat="false" ht="15" hidden="false" customHeight="false" outlineLevel="0" collapsed="false">
      <c r="A1633" s="0" t="s">
        <v>2829</v>
      </c>
      <c r="B1633" s="0" t="s">
        <v>958</v>
      </c>
      <c r="C1633" s="0" t="s">
        <v>519</v>
      </c>
      <c r="D1633" s="0" t="n">
        <v>0</v>
      </c>
      <c r="E1633" s="0" t="n">
        <v>0.0140111402</v>
      </c>
      <c r="F1633" s="0" t="n">
        <v>0.02124607599</v>
      </c>
      <c r="G1633" s="0" t="n">
        <v>0.03557457635</v>
      </c>
      <c r="H1633" s="0" t="n">
        <v>0.0570530604</v>
      </c>
    </row>
    <row r="1634" customFormat="false" ht="15" hidden="false" customHeight="false" outlineLevel="0" collapsed="false">
      <c r="A1634" s="0" t="s">
        <v>2830</v>
      </c>
      <c r="B1634" s="0" t="s">
        <v>728</v>
      </c>
      <c r="C1634" s="0" t="s">
        <v>519</v>
      </c>
      <c r="D1634" s="0" t="n">
        <v>0</v>
      </c>
      <c r="E1634" s="0" t="n">
        <v>7.347378795</v>
      </c>
      <c r="F1634" s="0" t="n">
        <v>8.753951832</v>
      </c>
      <c r="G1634" s="0" t="n">
        <v>9.644802871</v>
      </c>
      <c r="H1634" s="0" t="n">
        <v>10.71902423</v>
      </c>
    </row>
    <row r="1635" customFormat="false" ht="15" hidden="false" customHeight="false" outlineLevel="0" collapsed="false">
      <c r="A1635" s="0" t="s">
        <v>2831</v>
      </c>
      <c r="B1635" s="0" t="s">
        <v>932</v>
      </c>
      <c r="C1635" s="0" t="s">
        <v>519</v>
      </c>
      <c r="D1635" s="0" t="n">
        <v>0</v>
      </c>
      <c r="E1635" s="0" t="n">
        <v>0.1517842428</v>
      </c>
      <c r="F1635" s="0" t="n">
        <v>0.1614464158</v>
      </c>
      <c r="G1635" s="0" t="n">
        <v>0.2588721589</v>
      </c>
      <c r="H1635" s="0" t="n">
        <v>0.4001691753</v>
      </c>
    </row>
    <row r="1636" customFormat="false" ht="15" hidden="false" customHeight="false" outlineLevel="0" collapsed="false">
      <c r="A1636" s="0" t="s">
        <v>2832</v>
      </c>
      <c r="B1636" s="0" t="s">
        <v>910</v>
      </c>
      <c r="C1636" s="0" t="s">
        <v>519</v>
      </c>
      <c r="D1636" s="0" t="n">
        <v>0</v>
      </c>
      <c r="E1636" s="0" t="n">
        <v>0.07641711195</v>
      </c>
      <c r="F1636" s="0" t="n">
        <v>0.08550000189</v>
      </c>
      <c r="G1636" s="0" t="n">
        <v>0.129227871</v>
      </c>
      <c r="H1636" s="0" t="n">
        <v>0.1914993283</v>
      </c>
    </row>
    <row r="1637" customFormat="false" ht="15" hidden="false" customHeight="false" outlineLevel="0" collapsed="false">
      <c r="A1637" s="0" t="s">
        <v>2833</v>
      </c>
      <c r="B1637" s="0" t="s">
        <v>740</v>
      </c>
      <c r="C1637" s="0" t="s">
        <v>519</v>
      </c>
      <c r="D1637" s="0" t="n">
        <v>0</v>
      </c>
      <c r="E1637" s="0" t="n">
        <v>1.21357615</v>
      </c>
      <c r="F1637" s="0" t="n">
        <v>1.464434507</v>
      </c>
      <c r="G1637" s="0" t="n">
        <v>1.654687929</v>
      </c>
      <c r="H1637" s="0" t="n">
        <v>1.867013277</v>
      </c>
    </row>
    <row r="1638" customFormat="false" ht="15" hidden="false" customHeight="false" outlineLevel="0" collapsed="false">
      <c r="A1638" s="0" t="s">
        <v>2834</v>
      </c>
      <c r="B1638" s="0" t="s">
        <v>1042</v>
      </c>
      <c r="C1638" s="0" t="s">
        <v>519</v>
      </c>
      <c r="D1638" s="0" t="n">
        <v>0</v>
      </c>
      <c r="E1638" s="0" t="n">
        <v>0.006107382865</v>
      </c>
      <c r="F1638" s="0" t="n">
        <v>0.007346216668</v>
      </c>
      <c r="G1638" s="0" t="n">
        <v>0.01176031068</v>
      </c>
      <c r="H1638" s="0" t="n">
        <v>0.01817929685</v>
      </c>
    </row>
    <row r="1639" customFormat="false" ht="15" hidden="false" customHeight="false" outlineLevel="0" collapsed="false">
      <c r="A1639" s="0" t="s">
        <v>2835</v>
      </c>
      <c r="B1639" s="0" t="s">
        <v>998</v>
      </c>
      <c r="C1639" s="0" t="s">
        <v>519</v>
      </c>
      <c r="D1639" s="0" t="n">
        <v>0</v>
      </c>
      <c r="E1639" s="0" t="n">
        <v>0.0214933454</v>
      </c>
      <c r="F1639" s="0" t="n">
        <v>0.02880198964</v>
      </c>
      <c r="G1639" s="0" t="n">
        <v>0.04906879547</v>
      </c>
      <c r="H1639" s="0" t="n">
        <v>0.08004916488</v>
      </c>
    </row>
    <row r="1640" customFormat="false" ht="15" hidden="false" customHeight="false" outlineLevel="0" collapsed="false">
      <c r="A1640" s="0" t="s">
        <v>2836</v>
      </c>
      <c r="B1640" s="0" t="s">
        <v>908</v>
      </c>
      <c r="C1640" s="0" t="s">
        <v>519</v>
      </c>
      <c r="D1640" s="0" t="n">
        <v>0</v>
      </c>
      <c r="E1640" s="0" t="n">
        <v>0.1417003026</v>
      </c>
      <c r="F1640" s="0" t="n">
        <v>0.1755825067</v>
      </c>
      <c r="G1640" s="0" t="n">
        <v>0.2811127475</v>
      </c>
      <c r="H1640" s="0" t="n">
        <v>0.4345300739</v>
      </c>
    </row>
    <row r="1641" customFormat="false" ht="15" hidden="false" customHeight="false" outlineLevel="0" collapsed="false">
      <c r="A1641" s="0" t="s">
        <v>2837</v>
      </c>
      <c r="B1641" s="0" t="s">
        <v>984</v>
      </c>
      <c r="C1641" s="0" t="s">
        <v>519</v>
      </c>
      <c r="D1641" s="0" t="n">
        <v>0</v>
      </c>
      <c r="E1641" s="0" t="n">
        <v>0.01928310395</v>
      </c>
      <c r="F1641" s="0" t="n">
        <v>0.02312458712</v>
      </c>
      <c r="G1641" s="0" t="n">
        <v>0.03933271715</v>
      </c>
      <c r="H1641" s="0" t="n">
        <v>0.06416605767</v>
      </c>
    </row>
    <row r="1642" customFormat="false" ht="15" hidden="false" customHeight="false" outlineLevel="0" collapsed="false">
      <c r="A1642" s="0" t="s">
        <v>2838</v>
      </c>
      <c r="B1642" s="0" t="s">
        <v>852</v>
      </c>
      <c r="C1642" s="0" t="s">
        <v>519</v>
      </c>
      <c r="D1642" s="0" t="n">
        <v>0</v>
      </c>
      <c r="E1642" s="0" t="n">
        <v>0.3664154063</v>
      </c>
      <c r="F1642" s="0" t="n">
        <v>0.431496692</v>
      </c>
      <c r="G1642" s="0" t="n">
        <v>0.6003363984</v>
      </c>
      <c r="H1642" s="0" t="n">
        <v>0.8207650605</v>
      </c>
    </row>
    <row r="1643" customFormat="false" ht="15" hidden="false" customHeight="false" outlineLevel="0" collapsed="false">
      <c r="A1643" s="0" t="s">
        <v>2839</v>
      </c>
      <c r="B1643" s="0" t="s">
        <v>1056</v>
      </c>
      <c r="C1643" s="0" t="s">
        <v>519</v>
      </c>
      <c r="D1643" s="0" t="n">
        <v>0</v>
      </c>
      <c r="E1643" s="0" t="n">
        <v>0.004037280776</v>
      </c>
      <c r="F1643" s="0" t="n">
        <v>0.0050316015</v>
      </c>
      <c r="G1643" s="0" t="n">
        <v>0.008056663095</v>
      </c>
      <c r="H1643" s="0" t="n">
        <v>0.01245413273</v>
      </c>
    </row>
    <row r="1644" customFormat="false" ht="15" hidden="false" customHeight="false" outlineLevel="0" collapsed="false">
      <c r="A1644" s="0" t="s">
        <v>2840</v>
      </c>
      <c r="B1644" s="0" t="s">
        <v>1016</v>
      </c>
      <c r="C1644" s="0" t="s">
        <v>519</v>
      </c>
      <c r="D1644" s="0" t="n">
        <v>0</v>
      </c>
      <c r="E1644" s="0" t="n">
        <v>0.08231754464</v>
      </c>
      <c r="F1644" s="0" t="n">
        <v>0.1041589812</v>
      </c>
      <c r="G1644" s="0" t="n">
        <v>0.1468447904</v>
      </c>
      <c r="H1644" s="0" t="n">
        <v>0.202606131</v>
      </c>
    </row>
    <row r="1645" customFormat="false" ht="15" hidden="false" customHeight="false" outlineLevel="0" collapsed="false">
      <c r="A1645" s="0" t="s">
        <v>2841</v>
      </c>
      <c r="B1645" s="0" t="s">
        <v>822</v>
      </c>
      <c r="C1645" s="0" t="s">
        <v>519</v>
      </c>
      <c r="D1645" s="0" t="n">
        <v>0</v>
      </c>
      <c r="E1645" s="0" t="n">
        <v>0.6721589867</v>
      </c>
      <c r="F1645" s="0" t="n">
        <v>0.6680527109</v>
      </c>
      <c r="G1645" s="0" t="n">
        <v>0.7362269395</v>
      </c>
      <c r="H1645" s="0" t="n">
        <v>0.8086646244</v>
      </c>
    </row>
    <row r="1646" customFormat="false" ht="15" hidden="false" customHeight="false" outlineLevel="0" collapsed="false">
      <c r="A1646" s="0" t="s">
        <v>2842</v>
      </c>
      <c r="B1646" s="0" t="s">
        <v>870</v>
      </c>
      <c r="C1646" s="0" t="s">
        <v>519</v>
      </c>
      <c r="D1646" s="0" t="n">
        <v>0</v>
      </c>
      <c r="E1646" s="0" t="n">
        <v>0.1954018753</v>
      </c>
      <c r="F1646" s="0" t="n">
        <v>0.2138589362</v>
      </c>
      <c r="G1646" s="0" t="n">
        <v>0.2383263673</v>
      </c>
      <c r="H1646" s="0" t="n">
        <v>0.2652125362</v>
      </c>
    </row>
    <row r="1647" customFormat="false" ht="15" hidden="false" customHeight="false" outlineLevel="0" collapsed="false">
      <c r="A1647" s="0" t="s">
        <v>2843</v>
      </c>
      <c r="B1647" s="0" t="s">
        <v>746</v>
      </c>
      <c r="C1647" s="0" t="s">
        <v>519</v>
      </c>
      <c r="D1647" s="0" t="n">
        <v>0</v>
      </c>
      <c r="E1647" s="0" t="n">
        <v>0.939687305</v>
      </c>
      <c r="F1647" s="0" t="n">
        <v>1.024229028</v>
      </c>
      <c r="G1647" s="0" t="n">
        <v>1.150156936</v>
      </c>
      <c r="H1647" s="0" t="n">
        <v>1.289524201</v>
      </c>
    </row>
    <row r="1648" customFormat="false" ht="15" hidden="false" customHeight="false" outlineLevel="0" collapsed="false">
      <c r="A1648" s="0" t="s">
        <v>2844</v>
      </c>
      <c r="B1648" s="0" t="s">
        <v>1010</v>
      </c>
      <c r="C1648" s="0" t="s">
        <v>519</v>
      </c>
      <c r="D1648" s="0" t="n">
        <v>0</v>
      </c>
      <c r="E1648" s="0" t="n">
        <v>0.003670640232</v>
      </c>
      <c r="F1648" s="0" t="n">
        <v>0.004743702621</v>
      </c>
      <c r="G1648" s="0" t="n">
        <v>0.007599732579</v>
      </c>
      <c r="H1648" s="0" t="n">
        <v>0.01174780143</v>
      </c>
    </row>
    <row r="1649" customFormat="false" ht="15" hidden="false" customHeight="false" outlineLevel="0" collapsed="false">
      <c r="A1649" s="0" t="s">
        <v>2845</v>
      </c>
      <c r="B1649" s="0" t="s">
        <v>1036</v>
      </c>
      <c r="C1649" s="0" t="s">
        <v>519</v>
      </c>
      <c r="D1649" s="0" t="n">
        <v>0</v>
      </c>
      <c r="E1649" s="0" t="n">
        <v>0.01968634063</v>
      </c>
      <c r="F1649" s="0" t="n">
        <v>0.02110972437</v>
      </c>
      <c r="G1649" s="0" t="n">
        <v>0.02413096432</v>
      </c>
      <c r="H1649" s="0" t="n">
        <v>0.02747774084</v>
      </c>
    </row>
    <row r="1650" customFormat="false" ht="15" hidden="false" customHeight="false" outlineLevel="0" collapsed="false">
      <c r="A1650" s="0" t="s">
        <v>2846</v>
      </c>
      <c r="B1650" s="0" t="s">
        <v>858</v>
      </c>
      <c r="C1650" s="0" t="s">
        <v>519</v>
      </c>
      <c r="D1650" s="0" t="n">
        <v>0</v>
      </c>
      <c r="E1650" s="0" t="n">
        <v>0.4776341872</v>
      </c>
      <c r="F1650" s="0" t="n">
        <v>0.5870372844</v>
      </c>
      <c r="G1650" s="0" t="n">
        <v>1.004633392</v>
      </c>
      <c r="H1650" s="0" t="n">
        <v>1.648178464</v>
      </c>
    </row>
    <row r="1651" customFormat="false" ht="15" hidden="false" customHeight="false" outlineLevel="0" collapsed="false">
      <c r="A1651" s="0" t="s">
        <v>2847</v>
      </c>
      <c r="B1651" s="0" t="s">
        <v>942</v>
      </c>
      <c r="C1651" s="0" t="s">
        <v>519</v>
      </c>
      <c r="D1651" s="0" t="n">
        <v>0</v>
      </c>
      <c r="E1651" s="0" t="n">
        <v>0.05096425977</v>
      </c>
      <c r="F1651" s="0" t="n">
        <v>0.07091992319</v>
      </c>
      <c r="G1651" s="0" t="n">
        <v>0.1209705764</v>
      </c>
      <c r="H1651" s="0" t="n">
        <v>0.1973472861</v>
      </c>
    </row>
    <row r="1652" customFormat="false" ht="15" hidden="false" customHeight="false" outlineLevel="0" collapsed="false">
      <c r="A1652" s="0" t="s">
        <v>2848</v>
      </c>
      <c r="B1652" s="0" t="s">
        <v>986</v>
      </c>
      <c r="C1652" s="0" t="s">
        <v>519</v>
      </c>
      <c r="D1652" s="0" t="n">
        <v>0</v>
      </c>
      <c r="E1652" s="0" t="n">
        <v>0.008616316723</v>
      </c>
      <c r="F1652" s="0" t="n">
        <v>0.011838768</v>
      </c>
      <c r="G1652" s="0" t="n">
        <v>0.02018476518</v>
      </c>
      <c r="H1652" s="0" t="n">
        <v>0.03292873975</v>
      </c>
    </row>
    <row r="1653" customFormat="false" ht="15" hidden="false" customHeight="false" outlineLevel="0" collapsed="false">
      <c r="A1653" s="0" t="s">
        <v>2849</v>
      </c>
      <c r="B1653" s="0" t="s">
        <v>752</v>
      </c>
      <c r="C1653" s="0" t="s">
        <v>519</v>
      </c>
      <c r="D1653" s="0" t="n">
        <v>0</v>
      </c>
      <c r="E1653" s="0" t="n">
        <v>3.223278172</v>
      </c>
      <c r="F1653" s="0" t="n">
        <v>3.469530646</v>
      </c>
      <c r="G1653" s="0" t="n">
        <v>4.742346761</v>
      </c>
      <c r="H1653" s="0" t="n">
        <v>6.383490836</v>
      </c>
    </row>
    <row r="1654" customFormat="false" ht="15" hidden="false" customHeight="false" outlineLevel="0" collapsed="false">
      <c r="A1654" s="0" t="s">
        <v>2850</v>
      </c>
      <c r="B1654" s="0" t="s">
        <v>968</v>
      </c>
      <c r="C1654" s="0" t="s">
        <v>519</v>
      </c>
      <c r="D1654" s="0" t="n">
        <v>0</v>
      </c>
      <c r="E1654" s="0" t="n">
        <v>0.0862166414</v>
      </c>
      <c r="F1654" s="0" t="n">
        <v>0.1201111633</v>
      </c>
      <c r="G1654" s="0" t="n">
        <v>0.1949520097</v>
      </c>
      <c r="H1654" s="0" t="n">
        <v>0.306696042</v>
      </c>
    </row>
    <row r="1655" customFormat="false" ht="15" hidden="false" customHeight="false" outlineLevel="0" collapsed="false">
      <c r="A1655" s="0" t="s">
        <v>2851</v>
      </c>
      <c r="B1655" s="0" t="s">
        <v>872</v>
      </c>
      <c r="C1655" s="0" t="s">
        <v>519</v>
      </c>
      <c r="D1655" s="0" t="n">
        <v>0</v>
      </c>
      <c r="E1655" s="0" t="n">
        <v>2.211390489</v>
      </c>
      <c r="F1655" s="0" t="n">
        <v>2.597063853</v>
      </c>
      <c r="G1655" s="0" t="n">
        <v>3.704870451</v>
      </c>
      <c r="H1655" s="0" t="n">
        <v>5.167868971</v>
      </c>
    </row>
    <row r="1656" customFormat="false" ht="15" hidden="false" customHeight="false" outlineLevel="0" collapsed="false">
      <c r="A1656" s="0" t="s">
        <v>2852</v>
      </c>
      <c r="B1656" s="0" t="s">
        <v>1040</v>
      </c>
      <c r="C1656" s="0" t="s">
        <v>519</v>
      </c>
      <c r="D1656" s="0" t="n">
        <v>0</v>
      </c>
      <c r="E1656" s="0" t="n">
        <v>0.02561952275</v>
      </c>
      <c r="F1656" s="0" t="n">
        <v>0.033227242</v>
      </c>
      <c r="G1656" s="0" t="n">
        <v>0.05323598589</v>
      </c>
      <c r="H1656" s="0" t="n">
        <v>0.08229313132</v>
      </c>
    </row>
    <row r="1657" customFormat="false" ht="15" hidden="false" customHeight="false" outlineLevel="0" collapsed="false">
      <c r="A1657" s="0" t="s">
        <v>2853</v>
      </c>
      <c r="B1657" s="0" t="s">
        <v>1060</v>
      </c>
      <c r="C1657" s="0" t="s">
        <v>519</v>
      </c>
      <c r="D1657" s="0" t="n">
        <v>0</v>
      </c>
      <c r="E1657" s="0" t="n">
        <v>0.002195141639</v>
      </c>
      <c r="F1657" s="0" t="n">
        <v>0.002530106467</v>
      </c>
      <c r="G1657" s="0" t="n">
        <v>0.00356569428</v>
      </c>
      <c r="H1657" s="0" t="n">
        <v>0.004919090802</v>
      </c>
    </row>
    <row r="1658" customFormat="false" ht="15" hidden="false" customHeight="false" outlineLevel="0" collapsed="false">
      <c r="A1658" s="0" t="s">
        <v>2854</v>
      </c>
      <c r="B1658" s="0" t="s">
        <v>944</v>
      </c>
      <c r="C1658" s="0" t="s">
        <v>519</v>
      </c>
      <c r="D1658" s="0" t="n">
        <v>0</v>
      </c>
      <c r="E1658" s="0" t="n">
        <v>0.3151431538</v>
      </c>
      <c r="F1658" s="0" t="n">
        <v>0.3134534689</v>
      </c>
      <c r="G1658" s="0" t="n">
        <v>0.346870681</v>
      </c>
      <c r="H1658" s="0" t="n">
        <v>0.3821850554</v>
      </c>
    </row>
    <row r="1659" customFormat="false" ht="15" hidden="false" customHeight="false" outlineLevel="0" collapsed="false">
      <c r="A1659" s="0" t="s">
        <v>2855</v>
      </c>
      <c r="B1659" s="0" t="s">
        <v>884</v>
      </c>
      <c r="C1659" s="0" t="s">
        <v>519</v>
      </c>
      <c r="D1659" s="0" t="n">
        <v>0</v>
      </c>
      <c r="E1659" s="0" t="n">
        <v>0.2780633579</v>
      </c>
      <c r="F1659" s="0" t="n">
        <v>0.3215834235</v>
      </c>
      <c r="G1659" s="0" t="n">
        <v>0.5249554138</v>
      </c>
      <c r="H1659" s="0" t="n">
        <v>0.8259900996</v>
      </c>
    </row>
    <row r="1660" customFormat="false" ht="15" hidden="false" customHeight="false" outlineLevel="0" collapsed="false">
      <c r="A1660" s="0" t="s">
        <v>2856</v>
      </c>
      <c r="B1660" s="0" t="s">
        <v>726</v>
      </c>
      <c r="C1660" s="0" t="s">
        <v>519</v>
      </c>
      <c r="D1660" s="0" t="n">
        <v>0</v>
      </c>
      <c r="E1660" s="0" t="n">
        <v>5.641401763</v>
      </c>
      <c r="F1660" s="0" t="n">
        <v>6.888215738</v>
      </c>
      <c r="G1660" s="0" t="n">
        <v>9.039160732</v>
      </c>
      <c r="H1660" s="0" t="n">
        <v>11.97307021</v>
      </c>
    </row>
    <row r="1661" customFormat="false" ht="15" hidden="false" customHeight="false" outlineLevel="0" collapsed="false">
      <c r="A1661" s="0" t="s">
        <v>2857</v>
      </c>
      <c r="B1661" s="0" t="s">
        <v>842</v>
      </c>
      <c r="C1661" s="0" t="s">
        <v>519</v>
      </c>
      <c r="D1661" s="0" t="n">
        <v>0</v>
      </c>
      <c r="E1661" s="0" t="n">
        <v>0.1062564111</v>
      </c>
      <c r="F1661" s="0" t="n">
        <v>0.1481817595</v>
      </c>
      <c r="G1661" s="0" t="n">
        <v>0.2417714214</v>
      </c>
      <c r="H1661" s="0" t="n">
        <v>0.3831444646</v>
      </c>
    </row>
    <row r="1662" customFormat="false" ht="15" hidden="false" customHeight="false" outlineLevel="0" collapsed="false">
      <c r="A1662" s="0" t="s">
        <v>2858</v>
      </c>
      <c r="B1662" s="0" t="s">
        <v>866</v>
      </c>
      <c r="C1662" s="0" t="s">
        <v>519</v>
      </c>
      <c r="D1662" s="0" t="n">
        <v>0</v>
      </c>
      <c r="E1662" s="0" t="n">
        <v>0.0880026113</v>
      </c>
      <c r="F1662" s="0" t="n">
        <v>0.1354695446</v>
      </c>
      <c r="G1662" s="0" t="n">
        <v>0.2273127927</v>
      </c>
      <c r="H1662" s="0" t="n">
        <v>0.3648933494</v>
      </c>
    </row>
    <row r="1663" customFormat="false" ht="15" hidden="false" customHeight="false" outlineLevel="0" collapsed="false">
      <c r="A1663" s="0" t="s">
        <v>2859</v>
      </c>
      <c r="B1663" s="0" t="s">
        <v>804</v>
      </c>
      <c r="C1663" s="0" t="s">
        <v>519</v>
      </c>
      <c r="D1663" s="0" t="n">
        <v>0</v>
      </c>
      <c r="E1663" s="0" t="n">
        <v>2.014511664</v>
      </c>
      <c r="F1663" s="0" t="n">
        <v>2.266040815</v>
      </c>
      <c r="G1663" s="0" t="n">
        <v>3.533733112</v>
      </c>
      <c r="H1663" s="0" t="n">
        <v>5.37850807</v>
      </c>
    </row>
    <row r="1664" customFormat="false" ht="15" hidden="false" customHeight="false" outlineLevel="0" collapsed="false">
      <c r="A1664" s="0" t="s">
        <v>2860</v>
      </c>
      <c r="B1664" s="0" t="s">
        <v>860</v>
      </c>
      <c r="C1664" s="0" t="s">
        <v>519</v>
      </c>
      <c r="D1664" s="0" t="n">
        <v>0</v>
      </c>
      <c r="E1664" s="0" t="n">
        <v>0.1530002475</v>
      </c>
      <c r="F1664" s="0" t="n">
        <v>0.1667933256</v>
      </c>
      <c r="G1664" s="0" t="n">
        <v>0.1903977458</v>
      </c>
      <c r="H1664" s="0" t="n">
        <v>0.2166118342</v>
      </c>
    </row>
    <row r="1665" customFormat="false" ht="15" hidden="false" customHeight="false" outlineLevel="0" collapsed="false">
      <c r="A1665" s="0" t="s">
        <v>2861</v>
      </c>
      <c r="B1665" s="0" t="s">
        <v>693</v>
      </c>
      <c r="C1665" s="0" t="s">
        <v>519</v>
      </c>
      <c r="D1665" s="0" t="n">
        <v>0</v>
      </c>
      <c r="E1665" s="0" t="n">
        <v>82.59626701</v>
      </c>
      <c r="F1665" s="0" t="n">
        <v>92.56351657</v>
      </c>
      <c r="G1665" s="0" t="n">
        <v>102.4200802</v>
      </c>
      <c r="H1665" s="0" t="n">
        <v>113.4846673</v>
      </c>
    </row>
    <row r="1666" customFormat="false" ht="15" hidden="false" customHeight="false" outlineLevel="0" collapsed="false">
      <c r="A1666" s="0" t="s">
        <v>2862</v>
      </c>
      <c r="B1666" s="0" t="s">
        <v>810</v>
      </c>
      <c r="C1666" s="0" t="s">
        <v>519</v>
      </c>
      <c r="D1666" s="0" t="n">
        <v>0</v>
      </c>
      <c r="E1666" s="0" t="n">
        <v>1.535895935</v>
      </c>
      <c r="F1666" s="0" t="n">
        <v>2.374739784</v>
      </c>
      <c r="G1666" s="0" t="n">
        <v>3.963169758</v>
      </c>
      <c r="H1666" s="0" t="n">
        <v>6.320693815</v>
      </c>
    </row>
    <row r="1667" customFormat="false" ht="15" hidden="false" customHeight="false" outlineLevel="0" collapsed="false">
      <c r="A1667" s="0" t="s">
        <v>2863</v>
      </c>
      <c r="B1667" s="0" t="s">
        <v>1052</v>
      </c>
      <c r="C1667" s="0" t="s">
        <v>519</v>
      </c>
      <c r="D1667" s="0" t="n">
        <v>0</v>
      </c>
      <c r="E1667" s="0" t="n">
        <v>0.005002283133</v>
      </c>
      <c r="F1667" s="0" t="n">
        <v>0.005999035761</v>
      </c>
      <c r="G1667" s="0" t="n">
        <v>0.008453100816</v>
      </c>
      <c r="H1667" s="0" t="n">
        <v>0.01166156356</v>
      </c>
    </row>
    <row r="1668" customFormat="false" ht="15" hidden="false" customHeight="false" outlineLevel="0" collapsed="false">
      <c r="A1668" s="0" t="s">
        <v>2864</v>
      </c>
      <c r="B1668" s="0" t="s">
        <v>820</v>
      </c>
      <c r="C1668" s="0" t="s">
        <v>519</v>
      </c>
      <c r="D1668" s="0" t="n">
        <v>0</v>
      </c>
      <c r="E1668" s="0" t="n">
        <v>1.389385781</v>
      </c>
      <c r="F1668" s="0" t="n">
        <v>1.801247667</v>
      </c>
      <c r="G1668" s="0" t="n">
        <v>2.569622596</v>
      </c>
      <c r="H1668" s="0" t="n">
        <v>3.582690948</v>
      </c>
    </row>
    <row r="1669" customFormat="false" ht="15" hidden="false" customHeight="false" outlineLevel="0" collapsed="false">
      <c r="A1669" s="0" t="s">
        <v>2865</v>
      </c>
      <c r="B1669" s="0" t="s">
        <v>744</v>
      </c>
      <c r="C1669" s="0" t="s">
        <v>519</v>
      </c>
      <c r="D1669" s="0" t="n">
        <v>0</v>
      </c>
      <c r="E1669" s="0" t="n">
        <v>3.091655014</v>
      </c>
      <c r="F1669" s="0" t="n">
        <v>4.14473718</v>
      </c>
      <c r="G1669" s="0" t="n">
        <v>5.370413819</v>
      </c>
      <c r="H1669" s="0" t="n">
        <v>7.113709946</v>
      </c>
    </row>
    <row r="1670" customFormat="false" ht="15" hidden="false" customHeight="false" outlineLevel="0" collapsed="false">
      <c r="A1670" s="0" t="s">
        <v>2866</v>
      </c>
      <c r="B1670" s="0" t="s">
        <v>1048</v>
      </c>
      <c r="C1670" s="0" t="s">
        <v>519</v>
      </c>
      <c r="D1670" s="0" t="n">
        <v>0</v>
      </c>
      <c r="E1670" s="0" t="n">
        <v>0.002244213366</v>
      </c>
      <c r="F1670" s="0" t="n">
        <v>0.002817501756</v>
      </c>
      <c r="G1670" s="0" t="n">
        <v>0.004511790761</v>
      </c>
      <c r="H1670" s="0" t="n">
        <v>0.00697440619</v>
      </c>
    </row>
    <row r="1671" customFormat="false" ht="15" hidden="false" customHeight="false" outlineLevel="0" collapsed="false">
      <c r="A1671" s="0" t="s">
        <v>2867</v>
      </c>
      <c r="B1671" s="0" t="s">
        <v>1050</v>
      </c>
      <c r="C1671" s="0" t="s">
        <v>519</v>
      </c>
      <c r="D1671" s="0" t="n">
        <v>0</v>
      </c>
      <c r="E1671" s="0" t="n">
        <v>0.005595396195</v>
      </c>
      <c r="F1671" s="0" t="n">
        <v>0.00679189491</v>
      </c>
      <c r="G1671" s="0" t="n">
        <v>0.009570554234</v>
      </c>
      <c r="H1671" s="0" t="n">
        <v>0.0132031581</v>
      </c>
    </row>
    <row r="1672" customFormat="false" ht="15" hidden="false" customHeight="false" outlineLevel="0" collapsed="false">
      <c r="A1672" s="0" t="s">
        <v>2868</v>
      </c>
      <c r="B1672" s="0" t="s">
        <v>990</v>
      </c>
      <c r="C1672" s="0" t="s">
        <v>519</v>
      </c>
      <c r="D1672" s="0" t="n">
        <v>0</v>
      </c>
      <c r="E1672" s="0" t="n">
        <v>0.04198457116</v>
      </c>
      <c r="F1672" s="0" t="n">
        <v>0.05176166153</v>
      </c>
      <c r="G1672" s="0" t="n">
        <v>0.0821338235</v>
      </c>
      <c r="H1672" s="0" t="n">
        <v>0.1261106807</v>
      </c>
    </row>
    <row r="1673" customFormat="false" ht="15" hidden="false" customHeight="false" outlineLevel="0" collapsed="false">
      <c r="A1673" s="0" t="s">
        <v>2869</v>
      </c>
      <c r="B1673" s="0" t="s">
        <v>1004</v>
      </c>
      <c r="C1673" s="0" t="s">
        <v>519</v>
      </c>
      <c r="D1673" s="0" t="n">
        <v>0</v>
      </c>
      <c r="E1673" s="0" t="n">
        <v>0.07980830749</v>
      </c>
      <c r="F1673" s="0" t="n">
        <v>0.08423904583</v>
      </c>
      <c r="G1673" s="0" t="n">
        <v>0.1410312073</v>
      </c>
      <c r="H1673" s="0" t="n">
        <v>0.2270911799</v>
      </c>
    </row>
    <row r="1674" customFormat="false" ht="15" hidden="false" customHeight="false" outlineLevel="0" collapsed="false">
      <c r="A1674" s="0" t="s">
        <v>2870</v>
      </c>
      <c r="B1674" s="0" t="s">
        <v>774</v>
      </c>
      <c r="C1674" s="0" t="s">
        <v>519</v>
      </c>
      <c r="D1674" s="0" t="n">
        <v>0</v>
      </c>
      <c r="E1674" s="0" t="n">
        <v>3.607314834</v>
      </c>
      <c r="F1674" s="0" t="n">
        <v>3.722977774</v>
      </c>
      <c r="G1674" s="0" t="n">
        <v>4.673984995</v>
      </c>
      <c r="H1674" s="0" t="n">
        <v>5.818617862</v>
      </c>
    </row>
    <row r="1675" customFormat="false" ht="15" hidden="false" customHeight="false" outlineLevel="0" collapsed="false">
      <c r="A1675" s="0" t="s">
        <v>2871</v>
      </c>
      <c r="B1675" s="0" t="s">
        <v>930</v>
      </c>
      <c r="C1675" s="0" t="s">
        <v>519</v>
      </c>
      <c r="D1675" s="0" t="n">
        <v>0</v>
      </c>
      <c r="E1675" s="0" t="n">
        <v>0.1275502231</v>
      </c>
      <c r="F1675" s="0" t="n">
        <v>0.1613518975</v>
      </c>
      <c r="G1675" s="0" t="n">
        <v>0.2450179639</v>
      </c>
      <c r="H1675" s="0" t="n">
        <v>0.3632973899</v>
      </c>
    </row>
    <row r="1676" customFormat="false" ht="15" hidden="false" customHeight="false" outlineLevel="0" collapsed="false">
      <c r="A1676" s="0" t="s">
        <v>2872</v>
      </c>
      <c r="B1676" s="0" t="s">
        <v>878</v>
      </c>
      <c r="C1676" s="0" t="s">
        <v>519</v>
      </c>
      <c r="D1676" s="0" t="n">
        <v>0</v>
      </c>
      <c r="E1676" s="0" t="n">
        <v>0.110141429</v>
      </c>
      <c r="F1676" s="0" t="n">
        <v>0.1456627348</v>
      </c>
      <c r="G1676" s="0" t="n">
        <v>0.2355541128</v>
      </c>
      <c r="H1676" s="0" t="n">
        <v>0.3693074196</v>
      </c>
    </row>
    <row r="1677" customFormat="false" ht="15" hidden="false" customHeight="false" outlineLevel="0" collapsed="false">
      <c r="A1677" s="0" t="s">
        <v>2873</v>
      </c>
      <c r="B1677" s="0" t="s">
        <v>1018</v>
      </c>
      <c r="C1677" s="0" t="s">
        <v>632</v>
      </c>
      <c r="D1677" s="0" t="n">
        <v>0</v>
      </c>
      <c r="E1677" s="0" t="n">
        <v>0.04443429044</v>
      </c>
      <c r="F1677" s="0" t="n">
        <v>0.03011129041</v>
      </c>
      <c r="G1677" s="0" t="n">
        <v>0.02775904427</v>
      </c>
      <c r="H1677" s="0" t="n">
        <v>0.02847481268</v>
      </c>
    </row>
    <row r="1678" customFormat="false" ht="15" hidden="false" customHeight="false" outlineLevel="0" collapsed="false">
      <c r="A1678" s="0" t="s">
        <v>2874</v>
      </c>
      <c r="B1678" s="0" t="s">
        <v>962</v>
      </c>
      <c r="C1678" s="0" t="s">
        <v>632</v>
      </c>
      <c r="D1678" s="0" t="n">
        <v>0</v>
      </c>
      <c r="E1678" s="0" t="n">
        <v>0.0721347688</v>
      </c>
      <c r="F1678" s="0" t="n">
        <v>0.08480608361</v>
      </c>
      <c r="G1678" s="0" t="n">
        <v>0.1110392259</v>
      </c>
      <c r="H1678" s="0" t="n">
        <v>0.1422219194</v>
      </c>
    </row>
    <row r="1679" customFormat="false" ht="15" hidden="false" customHeight="false" outlineLevel="0" collapsed="false">
      <c r="A1679" s="0" t="s">
        <v>2875</v>
      </c>
      <c r="B1679" s="0" t="s">
        <v>828</v>
      </c>
      <c r="C1679" s="0" t="s">
        <v>632</v>
      </c>
      <c r="D1679" s="0" t="n">
        <v>0</v>
      </c>
      <c r="E1679" s="0" t="n">
        <v>0.3217439946</v>
      </c>
      <c r="F1679" s="0" t="n">
        <v>0.3243924623</v>
      </c>
      <c r="G1679" s="0" t="n">
        <v>0.4617198981</v>
      </c>
      <c r="H1679" s="0" t="n">
        <v>0.5792977772</v>
      </c>
    </row>
    <row r="1680" customFormat="false" ht="15" hidden="false" customHeight="false" outlineLevel="0" collapsed="false">
      <c r="A1680" s="0" t="s">
        <v>2876</v>
      </c>
      <c r="B1680" s="0" t="s">
        <v>926</v>
      </c>
      <c r="C1680" s="0" t="s">
        <v>632</v>
      </c>
      <c r="D1680" s="0" t="n">
        <v>0</v>
      </c>
      <c r="E1680" s="0" t="n">
        <v>0.1106263609</v>
      </c>
      <c r="F1680" s="0" t="n">
        <v>0.1115083139</v>
      </c>
      <c r="G1680" s="0" t="n">
        <v>0.1201172809</v>
      </c>
      <c r="H1680" s="0" t="n">
        <v>0.1348062129</v>
      </c>
    </row>
    <row r="1681" customFormat="false" ht="15" hidden="false" customHeight="false" outlineLevel="0" collapsed="false">
      <c r="A1681" s="0" t="s">
        <v>2877</v>
      </c>
      <c r="B1681" s="0" t="s">
        <v>748</v>
      </c>
      <c r="C1681" s="0" t="s">
        <v>632</v>
      </c>
      <c r="D1681" s="0" t="n">
        <v>0</v>
      </c>
      <c r="E1681" s="0" t="n">
        <v>7.202061178</v>
      </c>
      <c r="F1681" s="0" t="n">
        <v>5.007325652</v>
      </c>
      <c r="G1681" s="0" t="n">
        <v>4.486891218</v>
      </c>
      <c r="H1681" s="0" t="n">
        <v>5.159034679</v>
      </c>
    </row>
    <row r="1682" customFormat="false" ht="15" hidden="false" customHeight="false" outlineLevel="0" collapsed="false">
      <c r="A1682" s="0" t="s">
        <v>2878</v>
      </c>
      <c r="B1682" s="0" t="s">
        <v>736</v>
      </c>
      <c r="C1682" s="0" t="s">
        <v>632</v>
      </c>
      <c r="D1682" s="0" t="n">
        <v>0</v>
      </c>
      <c r="E1682" s="0" t="n">
        <v>3.643339211</v>
      </c>
      <c r="F1682" s="0" t="n">
        <v>3.120583162</v>
      </c>
      <c r="G1682" s="0" t="n">
        <v>2.845442229</v>
      </c>
      <c r="H1682" s="0" t="n">
        <v>3.140609473</v>
      </c>
    </row>
    <row r="1683" customFormat="false" ht="15" hidden="false" customHeight="false" outlineLevel="0" collapsed="false">
      <c r="A1683" s="0" t="s">
        <v>2879</v>
      </c>
      <c r="B1683" s="0" t="s">
        <v>920</v>
      </c>
      <c r="C1683" s="0" t="s">
        <v>632</v>
      </c>
      <c r="D1683" s="0" t="n">
        <v>0</v>
      </c>
      <c r="E1683" s="0" t="n">
        <v>0.3818198003</v>
      </c>
      <c r="F1683" s="0" t="n">
        <v>0.3304532722</v>
      </c>
      <c r="G1683" s="0" t="n">
        <v>0.3089031965</v>
      </c>
      <c r="H1683" s="0" t="n">
        <v>0.3353556114</v>
      </c>
    </row>
    <row r="1684" customFormat="false" ht="15" hidden="false" customHeight="false" outlineLevel="0" collapsed="false">
      <c r="A1684" s="0" t="s">
        <v>2880</v>
      </c>
      <c r="B1684" s="0" t="s">
        <v>1038</v>
      </c>
      <c r="C1684" s="0" t="s">
        <v>632</v>
      </c>
      <c r="D1684" s="0" t="n">
        <v>0</v>
      </c>
      <c r="E1684" s="0" t="n">
        <v>0.01218651113</v>
      </c>
      <c r="F1684" s="0" t="n">
        <v>0.01158429048</v>
      </c>
      <c r="G1684" s="0" t="n">
        <v>0.00947949885</v>
      </c>
      <c r="H1684" s="0" t="n">
        <v>0.009103687797</v>
      </c>
    </row>
    <row r="1685" customFormat="false" ht="15" hidden="false" customHeight="false" outlineLevel="0" collapsed="false">
      <c r="A1685" s="0" t="s">
        <v>2881</v>
      </c>
      <c r="B1685" s="0" t="s">
        <v>718</v>
      </c>
      <c r="C1685" s="0" t="s">
        <v>632</v>
      </c>
      <c r="D1685" s="0" t="n">
        <v>0</v>
      </c>
      <c r="E1685" s="0" t="n">
        <v>17.23192182</v>
      </c>
      <c r="F1685" s="0" t="n">
        <v>16.38357928</v>
      </c>
      <c r="G1685" s="0" t="n">
        <v>15.03728876</v>
      </c>
      <c r="H1685" s="0" t="n">
        <v>15.47036359</v>
      </c>
    </row>
    <row r="1686" customFormat="false" ht="15" hidden="false" customHeight="false" outlineLevel="0" collapsed="false">
      <c r="A1686" s="0" t="s">
        <v>2882</v>
      </c>
      <c r="B1686" s="0" t="s">
        <v>758</v>
      </c>
      <c r="C1686" s="0" t="s">
        <v>632</v>
      </c>
      <c r="D1686" s="0" t="n">
        <v>0</v>
      </c>
      <c r="E1686" s="0" t="n">
        <v>3.399389859</v>
      </c>
      <c r="F1686" s="0" t="n">
        <v>3.565783159</v>
      </c>
      <c r="G1686" s="0" t="n">
        <v>2.260060266</v>
      </c>
      <c r="H1686" s="0" t="n">
        <v>1.944116913</v>
      </c>
    </row>
    <row r="1687" customFormat="false" ht="15" hidden="false" customHeight="false" outlineLevel="0" collapsed="false">
      <c r="A1687" s="0" t="s">
        <v>2883</v>
      </c>
      <c r="B1687" s="0" t="s">
        <v>868</v>
      </c>
      <c r="C1687" s="0" t="s">
        <v>632</v>
      </c>
      <c r="D1687" s="0" t="n">
        <v>0</v>
      </c>
      <c r="E1687" s="0" t="n">
        <v>0.4849252496</v>
      </c>
      <c r="F1687" s="0" t="n">
        <v>0.6194525209</v>
      </c>
      <c r="G1687" s="0" t="n">
        <v>0.741614215</v>
      </c>
      <c r="H1687" s="0" t="n">
        <v>0.8450332502</v>
      </c>
    </row>
    <row r="1688" customFormat="false" ht="15" hidden="false" customHeight="false" outlineLevel="0" collapsed="false">
      <c r="A1688" s="0" t="s">
        <v>2884</v>
      </c>
      <c r="B1688" s="0" t="s">
        <v>1012</v>
      </c>
      <c r="C1688" s="0" t="s">
        <v>632</v>
      </c>
      <c r="D1688" s="0" t="n">
        <v>0</v>
      </c>
      <c r="E1688" s="0" t="n">
        <v>0.01494045174</v>
      </c>
      <c r="F1688" s="0" t="n">
        <v>0.01858861076</v>
      </c>
      <c r="G1688" s="0" t="n">
        <v>0.01999737701</v>
      </c>
      <c r="H1688" s="0" t="n">
        <v>0.0231550699</v>
      </c>
    </row>
    <row r="1689" customFormat="false" ht="15" hidden="false" customHeight="false" outlineLevel="0" collapsed="false">
      <c r="A1689" s="0" t="s">
        <v>2885</v>
      </c>
      <c r="B1689" s="0" t="s">
        <v>742</v>
      </c>
      <c r="C1689" s="0" t="s">
        <v>632</v>
      </c>
      <c r="D1689" s="0" t="n">
        <v>0</v>
      </c>
      <c r="E1689" s="0" t="n">
        <v>2.868258239</v>
      </c>
      <c r="F1689" s="0" t="n">
        <v>2.523475039</v>
      </c>
      <c r="G1689" s="0" t="n">
        <v>2.252859068</v>
      </c>
      <c r="H1689" s="0" t="n">
        <v>2.008231497</v>
      </c>
    </row>
    <row r="1690" customFormat="false" ht="15" hidden="false" customHeight="false" outlineLevel="0" collapsed="false">
      <c r="A1690" s="0" t="s">
        <v>2886</v>
      </c>
      <c r="B1690" s="0" t="s">
        <v>934</v>
      </c>
      <c r="C1690" s="0" t="s">
        <v>632</v>
      </c>
      <c r="D1690" s="0" t="n">
        <v>0</v>
      </c>
      <c r="E1690" s="0" t="n">
        <v>0.1057041599</v>
      </c>
      <c r="F1690" s="0" t="n">
        <v>0.1166145897</v>
      </c>
      <c r="G1690" s="0" t="n">
        <v>0.1108597478</v>
      </c>
      <c r="H1690" s="0" t="n">
        <v>0.1330151507</v>
      </c>
    </row>
    <row r="1691" customFormat="false" ht="15" hidden="false" customHeight="false" outlineLevel="0" collapsed="false">
      <c r="A1691" s="0" t="s">
        <v>2887</v>
      </c>
      <c r="B1691" s="0" t="s">
        <v>938</v>
      </c>
      <c r="C1691" s="0" t="s">
        <v>632</v>
      </c>
      <c r="D1691" s="0" t="n">
        <v>0</v>
      </c>
      <c r="E1691" s="0" t="n">
        <v>0.1050577451</v>
      </c>
      <c r="F1691" s="0" t="n">
        <v>0.1172567557</v>
      </c>
      <c r="G1691" s="0" t="n">
        <v>0.13255818</v>
      </c>
      <c r="H1691" s="0" t="n">
        <v>0.1687353934</v>
      </c>
    </row>
    <row r="1692" customFormat="false" ht="15" hidden="false" customHeight="false" outlineLevel="0" collapsed="false">
      <c r="A1692" s="0" t="s">
        <v>2888</v>
      </c>
      <c r="B1692" s="0" t="s">
        <v>756</v>
      </c>
      <c r="C1692" s="0" t="s">
        <v>632</v>
      </c>
      <c r="D1692" s="0" t="n">
        <v>0</v>
      </c>
      <c r="E1692" s="0" t="n">
        <v>2.554262177</v>
      </c>
      <c r="F1692" s="0" t="n">
        <v>3.354103496</v>
      </c>
      <c r="G1692" s="0" t="n">
        <v>4.104351511</v>
      </c>
      <c r="H1692" s="0" t="n">
        <v>5.249544331</v>
      </c>
    </row>
    <row r="1693" customFormat="false" ht="15" hidden="false" customHeight="false" outlineLevel="0" collapsed="false">
      <c r="A1693" s="0" t="s">
        <v>2889</v>
      </c>
      <c r="B1693" s="0" t="s">
        <v>830</v>
      </c>
      <c r="C1693" s="0" t="s">
        <v>632</v>
      </c>
      <c r="D1693" s="0" t="n">
        <v>0</v>
      </c>
      <c r="E1693" s="0" t="n">
        <v>1.228733361</v>
      </c>
      <c r="F1693" s="0" t="n">
        <v>1.448862063</v>
      </c>
      <c r="G1693" s="0" t="n">
        <v>1.324279851</v>
      </c>
      <c r="H1693" s="0" t="n">
        <v>1.342578293</v>
      </c>
    </row>
    <row r="1694" customFormat="false" ht="15" hidden="false" customHeight="false" outlineLevel="0" collapsed="false">
      <c r="A1694" s="0" t="s">
        <v>2890</v>
      </c>
      <c r="B1694" s="0" t="s">
        <v>898</v>
      </c>
      <c r="C1694" s="0" t="s">
        <v>632</v>
      </c>
      <c r="D1694" s="0" t="n">
        <v>0</v>
      </c>
      <c r="E1694" s="0" t="n">
        <v>0.7273934987</v>
      </c>
      <c r="F1694" s="0" t="n">
        <v>0.4045601729</v>
      </c>
      <c r="G1694" s="0" t="n">
        <v>0.5386724115</v>
      </c>
      <c r="H1694" s="0" t="n">
        <v>0.5708714703</v>
      </c>
    </row>
    <row r="1695" customFormat="false" ht="15" hidden="false" customHeight="false" outlineLevel="0" collapsed="false">
      <c r="A1695" s="0" t="s">
        <v>2891</v>
      </c>
      <c r="B1695" s="0" t="s">
        <v>976</v>
      </c>
      <c r="C1695" s="0" t="s">
        <v>632</v>
      </c>
      <c r="D1695" s="0" t="n">
        <v>0</v>
      </c>
      <c r="E1695" s="0" t="n">
        <v>0.1274354896</v>
      </c>
      <c r="F1695" s="0" t="n">
        <v>0.1201983278</v>
      </c>
      <c r="G1695" s="0" t="n">
        <v>0.115156234</v>
      </c>
      <c r="H1695" s="0" t="n">
        <v>0.1181817099</v>
      </c>
    </row>
    <row r="1696" customFormat="false" ht="15" hidden="false" customHeight="false" outlineLevel="0" collapsed="false">
      <c r="A1696" s="0" t="s">
        <v>2892</v>
      </c>
      <c r="B1696" s="0" t="s">
        <v>924</v>
      </c>
      <c r="C1696" s="0" t="s">
        <v>632</v>
      </c>
      <c r="D1696" s="0" t="n">
        <v>0</v>
      </c>
      <c r="E1696" s="0" t="n">
        <v>0.3877565049</v>
      </c>
      <c r="F1696" s="0" t="n">
        <v>0.4519133923</v>
      </c>
      <c r="G1696" s="0" t="n">
        <v>0.6459355459</v>
      </c>
      <c r="H1696" s="0" t="n">
        <v>0.8468411397</v>
      </c>
    </row>
    <row r="1697" customFormat="false" ht="15" hidden="false" customHeight="false" outlineLevel="0" collapsed="false">
      <c r="A1697" s="0" t="s">
        <v>2893</v>
      </c>
      <c r="B1697" s="0" t="s">
        <v>864</v>
      </c>
      <c r="C1697" s="0" t="s">
        <v>632</v>
      </c>
      <c r="D1697" s="0" t="n">
        <v>0</v>
      </c>
      <c r="E1697" s="0" t="n">
        <v>0.4903090909</v>
      </c>
      <c r="F1697" s="0" t="n">
        <v>0.6714165951</v>
      </c>
      <c r="G1697" s="0" t="n">
        <v>1.003196685</v>
      </c>
      <c r="H1697" s="0" t="n">
        <v>1.345385376</v>
      </c>
    </row>
    <row r="1698" customFormat="false" ht="15" hidden="false" customHeight="false" outlineLevel="0" collapsed="false">
      <c r="A1698" s="0" t="s">
        <v>2894</v>
      </c>
      <c r="B1698" s="0" t="s">
        <v>1022</v>
      </c>
      <c r="C1698" s="0" t="s">
        <v>632</v>
      </c>
      <c r="D1698" s="0" t="n">
        <v>0</v>
      </c>
      <c r="E1698" s="0" t="n">
        <v>0.01435687933</v>
      </c>
      <c r="F1698" s="0" t="n">
        <v>0.01364800833</v>
      </c>
      <c r="G1698" s="0" t="n">
        <v>0.01435029019</v>
      </c>
      <c r="H1698" s="0" t="n">
        <v>0.01677270774</v>
      </c>
    </row>
    <row r="1699" customFormat="false" ht="15" hidden="false" customHeight="false" outlineLevel="0" collapsed="false">
      <c r="A1699" s="0" t="s">
        <v>2895</v>
      </c>
      <c r="B1699" s="0" t="s">
        <v>896</v>
      </c>
      <c r="C1699" s="0" t="s">
        <v>632</v>
      </c>
      <c r="D1699" s="0" t="n">
        <v>0</v>
      </c>
      <c r="E1699" s="0" t="n">
        <v>0.1350912112</v>
      </c>
      <c r="F1699" s="0" t="n">
        <v>0.1172796413</v>
      </c>
      <c r="G1699" s="0" t="n">
        <v>0.267642912</v>
      </c>
      <c r="H1699" s="0" t="n">
        <v>0.3299160765</v>
      </c>
    </row>
    <row r="1700" customFormat="false" ht="15" hidden="false" customHeight="false" outlineLevel="0" collapsed="false">
      <c r="A1700" s="0" t="s">
        <v>2896</v>
      </c>
      <c r="B1700" s="0" t="s">
        <v>710</v>
      </c>
      <c r="C1700" s="0" t="s">
        <v>632</v>
      </c>
      <c r="D1700" s="0" t="n">
        <v>0</v>
      </c>
      <c r="E1700" s="0" t="n">
        <v>12.30498675</v>
      </c>
      <c r="F1700" s="0" t="n">
        <v>12.52501671</v>
      </c>
      <c r="G1700" s="0" t="n">
        <v>15.33093144</v>
      </c>
      <c r="H1700" s="0" t="n">
        <v>16.62902461</v>
      </c>
    </row>
    <row r="1701" customFormat="false" ht="15" hidden="false" customHeight="false" outlineLevel="0" collapsed="false">
      <c r="A1701" s="0" t="s">
        <v>2897</v>
      </c>
      <c r="B1701" s="0" t="s">
        <v>1000</v>
      </c>
      <c r="C1701" s="0" t="s">
        <v>632</v>
      </c>
      <c r="D1701" s="0" t="n">
        <v>0</v>
      </c>
      <c r="E1701" s="0" t="n">
        <v>0.04422248042</v>
      </c>
      <c r="F1701" s="0" t="n">
        <v>0.04262941737</v>
      </c>
      <c r="G1701" s="0" t="n">
        <v>0.03728620654</v>
      </c>
      <c r="H1701" s="0" t="n">
        <v>0.0366192015</v>
      </c>
    </row>
    <row r="1702" customFormat="false" ht="15" hidden="false" customHeight="false" outlineLevel="0" collapsed="false">
      <c r="A1702" s="0" t="s">
        <v>2898</v>
      </c>
      <c r="B1702" s="0" t="s">
        <v>980</v>
      </c>
      <c r="C1702" s="0" t="s">
        <v>632</v>
      </c>
      <c r="D1702" s="0" t="n">
        <v>0</v>
      </c>
      <c r="E1702" s="0" t="n">
        <v>0.06860069645</v>
      </c>
      <c r="F1702" s="0" t="n">
        <v>0.09752994002</v>
      </c>
      <c r="G1702" s="0" t="n">
        <v>0.08947957162</v>
      </c>
      <c r="H1702" s="0" t="n">
        <v>0.0940593051</v>
      </c>
    </row>
    <row r="1703" customFormat="false" ht="15" hidden="false" customHeight="false" outlineLevel="0" collapsed="false">
      <c r="A1703" s="0" t="s">
        <v>2899</v>
      </c>
      <c r="B1703" s="0" t="s">
        <v>1020</v>
      </c>
      <c r="C1703" s="0" t="s">
        <v>632</v>
      </c>
      <c r="D1703" s="0" t="n">
        <v>0</v>
      </c>
      <c r="E1703" s="0" t="n">
        <v>0.0007576785405</v>
      </c>
      <c r="F1703" s="0" t="n">
        <v>0.0007391364101</v>
      </c>
      <c r="G1703" s="0" t="n">
        <v>0.00036725389</v>
      </c>
      <c r="H1703" s="0" t="n">
        <v>0.03144747601</v>
      </c>
    </row>
    <row r="1704" customFormat="false" ht="15" hidden="false" customHeight="false" outlineLevel="0" collapsed="false">
      <c r="A1704" s="0" t="s">
        <v>2900</v>
      </c>
      <c r="B1704" s="0" t="s">
        <v>952</v>
      </c>
      <c r="C1704" s="0" t="s">
        <v>632</v>
      </c>
      <c r="D1704" s="0" t="n">
        <v>0</v>
      </c>
      <c r="E1704" s="0" t="n">
        <v>0.0478795165</v>
      </c>
      <c r="F1704" s="0" t="n">
        <v>0.1119049249</v>
      </c>
      <c r="G1704" s="0" t="n">
        <v>0.1081737607</v>
      </c>
      <c r="H1704" s="0" t="n">
        <v>0.1270275789</v>
      </c>
    </row>
    <row r="1705" customFormat="false" ht="15" hidden="false" customHeight="false" outlineLevel="0" collapsed="false">
      <c r="A1705" s="0" t="s">
        <v>2901</v>
      </c>
      <c r="B1705" s="0" t="s">
        <v>1026</v>
      </c>
      <c r="C1705" s="0" t="s">
        <v>632</v>
      </c>
      <c r="D1705" s="0" t="n">
        <v>0</v>
      </c>
      <c r="E1705" s="0" t="n">
        <v>0.002533500753</v>
      </c>
      <c r="F1705" s="0" t="n">
        <v>0.004030737399</v>
      </c>
      <c r="G1705" s="0" t="n">
        <v>0.004838208978</v>
      </c>
      <c r="H1705" s="0" t="n">
        <v>0.00585090391</v>
      </c>
    </row>
    <row r="1706" customFormat="false" ht="15" hidden="false" customHeight="false" outlineLevel="0" collapsed="false">
      <c r="A1706" s="0" t="s">
        <v>2902</v>
      </c>
      <c r="B1706" s="0" t="s">
        <v>708</v>
      </c>
      <c r="C1706" s="0" t="s">
        <v>632</v>
      </c>
      <c r="D1706" s="0" t="n">
        <v>0</v>
      </c>
      <c r="E1706" s="0" t="n">
        <v>15.98104924</v>
      </c>
      <c r="F1706" s="0" t="n">
        <v>13.60251242</v>
      </c>
      <c r="G1706" s="0" t="n">
        <v>10.76669502</v>
      </c>
      <c r="H1706" s="0" t="n">
        <v>10.34634348</v>
      </c>
    </row>
    <row r="1707" customFormat="false" ht="15" hidden="false" customHeight="false" outlineLevel="0" collapsed="false">
      <c r="A1707" s="0" t="s">
        <v>2903</v>
      </c>
      <c r="B1707" s="0" t="s">
        <v>734</v>
      </c>
      <c r="C1707" s="0" t="s">
        <v>632</v>
      </c>
      <c r="D1707" s="0" t="n">
        <v>0</v>
      </c>
      <c r="E1707" s="0" t="n">
        <v>2.141698494</v>
      </c>
      <c r="F1707" s="0" t="n">
        <v>2.131452969</v>
      </c>
      <c r="G1707" s="0" t="n">
        <v>1.89517844</v>
      </c>
      <c r="H1707" s="0" t="n">
        <v>1.741371679</v>
      </c>
    </row>
    <row r="1708" customFormat="false" ht="15" hidden="false" customHeight="false" outlineLevel="0" collapsed="false">
      <c r="A1708" s="0" t="s">
        <v>2904</v>
      </c>
      <c r="B1708" s="0" t="s">
        <v>782</v>
      </c>
      <c r="C1708" s="0" t="s">
        <v>632</v>
      </c>
      <c r="D1708" s="0" t="n">
        <v>0</v>
      </c>
      <c r="E1708" s="0" t="n">
        <v>2.581224386</v>
      </c>
      <c r="F1708" s="0" t="n">
        <v>2.880749516</v>
      </c>
      <c r="G1708" s="0" t="n">
        <v>3.019208557</v>
      </c>
      <c r="H1708" s="0" t="n">
        <v>1.786504676</v>
      </c>
    </row>
    <row r="1709" customFormat="false" ht="15" hidden="false" customHeight="false" outlineLevel="0" collapsed="false">
      <c r="A1709" s="0" t="s">
        <v>2905</v>
      </c>
      <c r="B1709" s="0" t="s">
        <v>696</v>
      </c>
      <c r="C1709" s="0" t="s">
        <v>632</v>
      </c>
      <c r="D1709" s="0" t="n">
        <v>0</v>
      </c>
      <c r="E1709" s="0" t="n">
        <v>585.3378423</v>
      </c>
      <c r="F1709" s="0" t="n">
        <v>589.0175385</v>
      </c>
      <c r="G1709" s="0" t="n">
        <v>663.7465042</v>
      </c>
      <c r="H1709" s="0" t="n">
        <v>815.0513236</v>
      </c>
    </row>
    <row r="1710" customFormat="false" ht="15" hidden="false" customHeight="false" outlineLevel="0" collapsed="false">
      <c r="A1710" s="0" t="s">
        <v>2906</v>
      </c>
      <c r="B1710" s="0" t="s">
        <v>836</v>
      </c>
      <c r="C1710" s="0" t="s">
        <v>632</v>
      </c>
      <c r="D1710" s="0" t="n">
        <v>0</v>
      </c>
      <c r="E1710" s="0" t="n">
        <v>0.3295729026</v>
      </c>
      <c r="F1710" s="0" t="n">
        <v>0.3662883652</v>
      </c>
      <c r="G1710" s="0" t="n">
        <v>0.3898823696</v>
      </c>
      <c r="H1710" s="0" t="n">
        <v>0.4611482021</v>
      </c>
    </row>
    <row r="1711" customFormat="false" ht="15" hidden="false" customHeight="false" outlineLevel="0" collapsed="false">
      <c r="A1711" s="0" t="s">
        <v>2907</v>
      </c>
      <c r="B1711" s="0" t="s">
        <v>880</v>
      </c>
      <c r="C1711" s="0" t="s">
        <v>632</v>
      </c>
      <c r="D1711" s="0" t="n">
        <v>0</v>
      </c>
      <c r="E1711" s="0" t="n">
        <v>0.1794546109</v>
      </c>
      <c r="F1711" s="0" t="n">
        <v>0.2340294651</v>
      </c>
      <c r="G1711" s="0" t="n">
        <v>0.2588470755</v>
      </c>
      <c r="H1711" s="0" t="n">
        <v>0.2940605093</v>
      </c>
    </row>
    <row r="1712" customFormat="false" ht="15" hidden="false" customHeight="false" outlineLevel="0" collapsed="false">
      <c r="A1712" s="0" t="s">
        <v>2908</v>
      </c>
      <c r="B1712" s="0" t="s">
        <v>850</v>
      </c>
      <c r="C1712" s="0" t="s">
        <v>632</v>
      </c>
      <c r="D1712" s="0" t="n">
        <v>0</v>
      </c>
      <c r="E1712" s="0" t="n">
        <v>0.3737923352</v>
      </c>
      <c r="F1712" s="0" t="n">
        <v>0.4665587873</v>
      </c>
      <c r="G1712" s="0" t="n">
        <v>0.5433510465</v>
      </c>
      <c r="H1712" s="0" t="n">
        <v>0.6545332237</v>
      </c>
    </row>
    <row r="1713" customFormat="false" ht="15" hidden="false" customHeight="false" outlineLevel="0" collapsed="false">
      <c r="A1713" s="0" t="s">
        <v>2909</v>
      </c>
      <c r="B1713" s="0" t="s">
        <v>978</v>
      </c>
      <c r="C1713" s="0" t="s">
        <v>632</v>
      </c>
      <c r="D1713" s="0" t="n">
        <v>0</v>
      </c>
      <c r="E1713" s="0" t="n">
        <v>0.02762125195</v>
      </c>
      <c r="F1713" s="0" t="n">
        <v>0.03379480975</v>
      </c>
      <c r="G1713" s="0" t="n">
        <v>0.04297806715</v>
      </c>
      <c r="H1713" s="0" t="n">
        <v>0.05647585205</v>
      </c>
    </row>
    <row r="1714" customFormat="false" ht="15" hidden="false" customHeight="false" outlineLevel="0" collapsed="false">
      <c r="A1714" s="0" t="s">
        <v>2910</v>
      </c>
      <c r="B1714" s="0" t="s">
        <v>766</v>
      </c>
      <c r="C1714" s="0" t="s">
        <v>632</v>
      </c>
      <c r="D1714" s="0" t="n">
        <v>0</v>
      </c>
      <c r="E1714" s="0" t="n">
        <v>1.021954012</v>
      </c>
      <c r="F1714" s="0" t="n">
        <v>1.005385381</v>
      </c>
      <c r="G1714" s="0" t="n">
        <v>1.273987638</v>
      </c>
      <c r="H1714" s="0" t="n">
        <v>1.552853377</v>
      </c>
    </row>
    <row r="1715" customFormat="false" ht="15" hidden="false" customHeight="false" outlineLevel="0" collapsed="false">
      <c r="A1715" s="0" t="s">
        <v>2911</v>
      </c>
      <c r="B1715" s="0" t="s">
        <v>1044</v>
      </c>
      <c r="C1715" s="0" t="s">
        <v>632</v>
      </c>
      <c r="D1715" s="0" t="n">
        <v>0</v>
      </c>
      <c r="E1715" s="0" t="n">
        <v>0.005764452748</v>
      </c>
      <c r="F1715" s="0" t="n">
        <v>0.006655331136</v>
      </c>
      <c r="G1715" s="0" t="n">
        <v>0.00720752377</v>
      </c>
      <c r="H1715" s="0" t="n">
        <v>0.009106104003</v>
      </c>
    </row>
    <row r="1716" customFormat="false" ht="15" hidden="false" customHeight="false" outlineLevel="0" collapsed="false">
      <c r="A1716" s="0" t="s">
        <v>2912</v>
      </c>
      <c r="B1716" s="0" t="s">
        <v>1024</v>
      </c>
      <c r="C1716" s="0" t="s">
        <v>632</v>
      </c>
      <c r="D1716" s="0" t="n">
        <v>0</v>
      </c>
      <c r="E1716" s="0" t="n">
        <v>0.02488374444</v>
      </c>
      <c r="F1716" s="0" t="n">
        <v>0.02509040265</v>
      </c>
      <c r="G1716" s="0" t="n">
        <v>0.02497238675</v>
      </c>
      <c r="H1716" s="0" t="n">
        <v>0.0300943886</v>
      </c>
    </row>
    <row r="1717" customFormat="false" ht="15" hidden="false" customHeight="false" outlineLevel="0" collapsed="false">
      <c r="A1717" s="0" t="s">
        <v>2913</v>
      </c>
      <c r="B1717" s="0" t="s">
        <v>838</v>
      </c>
      <c r="C1717" s="0" t="s">
        <v>632</v>
      </c>
      <c r="D1717" s="0" t="n">
        <v>0</v>
      </c>
      <c r="E1717" s="0" t="n">
        <v>0.3364379461</v>
      </c>
      <c r="F1717" s="0" t="n">
        <v>0.3079145647</v>
      </c>
      <c r="G1717" s="0" t="n">
        <v>0.3149917758</v>
      </c>
      <c r="H1717" s="0" t="n">
        <v>0.3400870408</v>
      </c>
    </row>
    <row r="1718" customFormat="false" ht="15" hidden="false" customHeight="false" outlineLevel="0" collapsed="false">
      <c r="A1718" s="0" t="s">
        <v>2914</v>
      </c>
      <c r="B1718" s="0" t="s">
        <v>906</v>
      </c>
      <c r="C1718" s="0" t="s">
        <v>632</v>
      </c>
      <c r="D1718" s="0" t="n">
        <v>0</v>
      </c>
      <c r="E1718" s="0" t="n">
        <v>0.4067792678</v>
      </c>
      <c r="F1718" s="0" t="n">
        <v>0.3652723096</v>
      </c>
      <c r="G1718" s="0" t="n">
        <v>0.2985439727</v>
      </c>
      <c r="H1718" s="0" t="n">
        <v>0.3243429985</v>
      </c>
    </row>
    <row r="1719" customFormat="false" ht="15" hidden="false" customHeight="false" outlineLevel="0" collapsed="false">
      <c r="A1719" s="0" t="s">
        <v>2915</v>
      </c>
      <c r="B1719" s="0" t="s">
        <v>778</v>
      </c>
      <c r="C1719" s="0" t="s">
        <v>632</v>
      </c>
      <c r="D1719" s="0" t="n">
        <v>0</v>
      </c>
      <c r="E1719" s="0" t="n">
        <v>3.41464774</v>
      </c>
      <c r="F1719" s="0" t="n">
        <v>3.420024756</v>
      </c>
      <c r="G1719" s="0" t="n">
        <v>3.722786122</v>
      </c>
      <c r="H1719" s="0" t="n">
        <v>2.355344427</v>
      </c>
    </row>
    <row r="1720" customFormat="false" ht="15" hidden="false" customHeight="false" outlineLevel="0" collapsed="false">
      <c r="A1720" s="0" t="s">
        <v>2916</v>
      </c>
      <c r="B1720" s="0" t="s">
        <v>700</v>
      </c>
      <c r="C1720" s="0" t="s">
        <v>632</v>
      </c>
      <c r="D1720" s="0" t="n">
        <v>0</v>
      </c>
      <c r="E1720" s="0" t="n">
        <v>31.27965596</v>
      </c>
      <c r="F1720" s="0" t="n">
        <v>33.36279835</v>
      </c>
      <c r="G1720" s="0" t="n">
        <v>35.56159798</v>
      </c>
      <c r="H1720" s="0" t="n">
        <v>22.69928004</v>
      </c>
    </row>
    <row r="1721" customFormat="false" ht="15" hidden="false" customHeight="false" outlineLevel="0" collapsed="false">
      <c r="A1721" s="0" t="s">
        <v>2917</v>
      </c>
      <c r="B1721" s="0" t="s">
        <v>1014</v>
      </c>
      <c r="C1721" s="0" t="s">
        <v>632</v>
      </c>
      <c r="D1721" s="0" t="n">
        <v>0</v>
      </c>
      <c r="E1721" s="0" t="n">
        <v>0.03495389419</v>
      </c>
      <c r="F1721" s="0" t="n">
        <v>0.03981560743</v>
      </c>
      <c r="G1721" s="0" t="n">
        <v>0.04412459687</v>
      </c>
      <c r="H1721" s="0" t="n">
        <v>0.05523893235</v>
      </c>
    </row>
    <row r="1722" customFormat="false" ht="15" hidden="false" customHeight="false" outlineLevel="0" collapsed="false">
      <c r="A1722" s="0" t="s">
        <v>2918</v>
      </c>
      <c r="B1722" s="0" t="s">
        <v>1058</v>
      </c>
      <c r="C1722" s="0" t="s">
        <v>632</v>
      </c>
      <c r="D1722" s="0" t="n">
        <v>0</v>
      </c>
      <c r="E1722" s="0" t="n">
        <v>0.003738737307</v>
      </c>
      <c r="F1722" s="0" t="n">
        <v>0.003388775772</v>
      </c>
      <c r="G1722" s="0" t="n">
        <v>0.00375187917</v>
      </c>
      <c r="H1722" s="0" t="n">
        <v>0.004423630297</v>
      </c>
    </row>
    <row r="1723" customFormat="false" ht="15" hidden="false" customHeight="false" outlineLevel="0" collapsed="false">
      <c r="A1723" s="0" t="s">
        <v>2919</v>
      </c>
      <c r="B1723" s="0" t="s">
        <v>768</v>
      </c>
      <c r="C1723" s="0" t="s">
        <v>632</v>
      </c>
      <c r="D1723" s="0" t="n">
        <v>0</v>
      </c>
      <c r="E1723" s="0" t="n">
        <v>3.513432999</v>
      </c>
      <c r="F1723" s="0" t="n">
        <v>2.234845859</v>
      </c>
      <c r="G1723" s="0" t="n">
        <v>1.683897864</v>
      </c>
      <c r="H1723" s="0" t="n">
        <v>1.412242812</v>
      </c>
    </row>
    <row r="1724" customFormat="false" ht="15" hidden="false" customHeight="false" outlineLevel="0" collapsed="false">
      <c r="A1724" s="0" t="s">
        <v>2920</v>
      </c>
      <c r="B1724" s="0" t="s">
        <v>818</v>
      </c>
      <c r="C1724" s="0" t="s">
        <v>632</v>
      </c>
      <c r="D1724" s="0" t="n">
        <v>0</v>
      </c>
      <c r="E1724" s="0" t="n">
        <v>0.585772256</v>
      </c>
      <c r="F1724" s="0" t="n">
        <v>0.7767890339</v>
      </c>
      <c r="G1724" s="0" t="n">
        <v>0.799620248</v>
      </c>
      <c r="H1724" s="0" t="n">
        <v>0.8588562987</v>
      </c>
    </row>
    <row r="1725" customFormat="false" ht="15" hidden="false" customHeight="false" outlineLevel="0" collapsed="false">
      <c r="A1725" s="0" t="s">
        <v>2921</v>
      </c>
      <c r="B1725" s="0" t="s">
        <v>788</v>
      </c>
      <c r="C1725" s="0" t="s">
        <v>632</v>
      </c>
      <c r="D1725" s="0" t="n">
        <v>0</v>
      </c>
      <c r="E1725" s="0" t="n">
        <v>2.166791999</v>
      </c>
      <c r="F1725" s="0" t="n">
        <v>2.358906618</v>
      </c>
      <c r="G1725" s="0" t="n">
        <v>2.536966388</v>
      </c>
      <c r="H1725" s="0" t="n">
        <v>2.978339312</v>
      </c>
    </row>
    <row r="1726" customFormat="false" ht="15" hidden="false" customHeight="false" outlineLevel="0" collapsed="false">
      <c r="A1726" s="0" t="s">
        <v>2922</v>
      </c>
      <c r="B1726" s="0" t="s">
        <v>824</v>
      </c>
      <c r="C1726" s="0" t="s">
        <v>632</v>
      </c>
      <c r="D1726" s="0" t="n">
        <v>0</v>
      </c>
      <c r="E1726" s="0" t="n">
        <v>1.053456997</v>
      </c>
      <c r="F1726" s="0" t="n">
        <v>0.9832452005</v>
      </c>
      <c r="G1726" s="0" t="n">
        <v>1.314751798</v>
      </c>
      <c r="H1726" s="0" t="n">
        <v>1.141850789</v>
      </c>
    </row>
    <row r="1727" customFormat="false" ht="15" hidden="false" customHeight="false" outlineLevel="0" collapsed="false">
      <c r="A1727" s="0" t="s">
        <v>2923</v>
      </c>
      <c r="B1727" s="0" t="s">
        <v>764</v>
      </c>
      <c r="C1727" s="0" t="s">
        <v>632</v>
      </c>
      <c r="D1727" s="0" t="n">
        <v>0</v>
      </c>
      <c r="E1727" s="0" t="n">
        <v>3.7686385</v>
      </c>
      <c r="F1727" s="0" t="n">
        <v>4.134817526</v>
      </c>
      <c r="G1727" s="0" t="n">
        <v>4.864814751</v>
      </c>
      <c r="H1727" s="0" t="n">
        <v>5.954523319</v>
      </c>
    </row>
    <row r="1728" customFormat="false" ht="15" hidden="false" customHeight="false" outlineLevel="0" collapsed="false">
      <c r="A1728" s="0" t="s">
        <v>2924</v>
      </c>
      <c r="B1728" s="0" t="s">
        <v>722</v>
      </c>
      <c r="C1728" s="0" t="s">
        <v>632</v>
      </c>
      <c r="D1728" s="0" t="n">
        <v>0</v>
      </c>
      <c r="E1728" s="0" t="n">
        <v>17.73264696</v>
      </c>
      <c r="F1728" s="0" t="n">
        <v>17.15781445</v>
      </c>
      <c r="G1728" s="0" t="n">
        <v>11.17080172</v>
      </c>
      <c r="H1728" s="0" t="n">
        <v>9.463142347</v>
      </c>
    </row>
    <row r="1729" customFormat="false" ht="15" hidden="false" customHeight="false" outlineLevel="0" collapsed="false">
      <c r="A1729" s="0" t="s">
        <v>2925</v>
      </c>
      <c r="B1729" s="0" t="s">
        <v>902</v>
      </c>
      <c r="C1729" s="0" t="s">
        <v>632</v>
      </c>
      <c r="D1729" s="0" t="n">
        <v>0</v>
      </c>
      <c r="E1729" s="0" t="n">
        <v>0.321900477</v>
      </c>
      <c r="F1729" s="0" t="n">
        <v>0.3480341341</v>
      </c>
      <c r="G1729" s="0" t="n">
        <v>0.3567548962</v>
      </c>
      <c r="H1729" s="0" t="n">
        <v>0.2319813361</v>
      </c>
    </row>
    <row r="1730" customFormat="false" ht="15" hidden="false" customHeight="false" outlineLevel="0" collapsed="false">
      <c r="A1730" s="0" t="s">
        <v>2926</v>
      </c>
      <c r="B1730" s="0" t="s">
        <v>802</v>
      </c>
      <c r="C1730" s="0" t="s">
        <v>632</v>
      </c>
      <c r="D1730" s="0" t="n">
        <v>0</v>
      </c>
      <c r="E1730" s="0" t="n">
        <v>0.1210456581</v>
      </c>
      <c r="F1730" s="0" t="n">
        <v>0.1168932124</v>
      </c>
      <c r="G1730" s="0" t="n">
        <v>0.7417478541</v>
      </c>
      <c r="H1730" s="0" t="n">
        <v>0.9734496091</v>
      </c>
    </row>
    <row r="1731" customFormat="false" ht="15" hidden="false" customHeight="false" outlineLevel="0" collapsed="false">
      <c r="A1731" s="0" t="s">
        <v>2927</v>
      </c>
      <c r="B1731" s="0" t="s">
        <v>794</v>
      </c>
      <c r="C1731" s="0" t="s">
        <v>632</v>
      </c>
      <c r="D1731" s="0" t="n">
        <v>0</v>
      </c>
      <c r="E1731" s="0" t="n">
        <v>2.867734851</v>
      </c>
      <c r="F1731" s="0" t="n">
        <v>1.754556599</v>
      </c>
      <c r="G1731" s="0" t="n">
        <v>1.655643237</v>
      </c>
      <c r="H1731" s="0" t="n">
        <v>1.526487659</v>
      </c>
    </row>
    <row r="1732" customFormat="false" ht="15" hidden="false" customHeight="false" outlineLevel="0" collapsed="false">
      <c r="A1732" s="0" t="s">
        <v>2928</v>
      </c>
      <c r="B1732" s="0" t="s">
        <v>1006</v>
      </c>
      <c r="C1732" s="0" t="s">
        <v>632</v>
      </c>
      <c r="D1732" s="0" t="n">
        <v>0</v>
      </c>
      <c r="E1732" s="0" t="n">
        <v>0.02871323429</v>
      </c>
      <c r="F1732" s="0" t="n">
        <v>0.02713233193</v>
      </c>
      <c r="G1732" s="0" t="n">
        <v>0.03002487593</v>
      </c>
      <c r="H1732" s="0" t="n">
        <v>0.03230309486</v>
      </c>
    </row>
    <row r="1733" customFormat="false" ht="15" hidden="false" customHeight="false" outlineLevel="0" collapsed="false">
      <c r="A1733" s="0" t="s">
        <v>2929</v>
      </c>
      <c r="B1733" s="0" t="s">
        <v>706</v>
      </c>
      <c r="C1733" s="0" t="s">
        <v>632</v>
      </c>
      <c r="D1733" s="0" t="n">
        <v>0</v>
      </c>
      <c r="E1733" s="0" t="n">
        <v>21.8924609</v>
      </c>
      <c r="F1733" s="0" t="n">
        <v>11.69306112</v>
      </c>
      <c r="G1733" s="0" t="n">
        <v>10.88621058</v>
      </c>
      <c r="H1733" s="0" t="n">
        <v>9.846123896</v>
      </c>
    </row>
    <row r="1734" customFormat="false" ht="15" hidden="false" customHeight="false" outlineLevel="0" collapsed="false">
      <c r="A1734" s="0" t="s">
        <v>2930</v>
      </c>
      <c r="B1734" s="0" t="s">
        <v>950</v>
      </c>
      <c r="C1734" s="0" t="s">
        <v>632</v>
      </c>
      <c r="D1734" s="0" t="n">
        <v>0</v>
      </c>
      <c r="E1734" s="0" t="n">
        <v>0.05071505867</v>
      </c>
      <c r="F1734" s="0" t="n">
        <v>0.05806514219</v>
      </c>
      <c r="G1734" s="0" t="n">
        <v>0.07148516687</v>
      </c>
      <c r="H1734" s="0" t="n">
        <v>0.08503001596</v>
      </c>
    </row>
    <row r="1735" customFormat="false" ht="15" hidden="false" customHeight="false" outlineLevel="0" collapsed="false">
      <c r="A1735" s="0" t="s">
        <v>2931</v>
      </c>
      <c r="B1735" s="0" t="s">
        <v>704</v>
      </c>
      <c r="C1735" s="0" t="s">
        <v>632</v>
      </c>
      <c r="D1735" s="0" t="n">
        <v>0</v>
      </c>
      <c r="E1735" s="0" t="n">
        <v>18.01817036</v>
      </c>
      <c r="F1735" s="0" t="n">
        <v>17.47329517</v>
      </c>
      <c r="G1735" s="0" t="n">
        <v>18.71073568</v>
      </c>
      <c r="H1735" s="0" t="n">
        <v>11.31543663</v>
      </c>
    </row>
    <row r="1736" customFormat="false" ht="15" hidden="false" customHeight="false" outlineLevel="0" collapsed="false">
      <c r="A1736" s="0" t="s">
        <v>2932</v>
      </c>
      <c r="B1736" s="0" t="s">
        <v>900</v>
      </c>
      <c r="C1736" s="0" t="s">
        <v>632</v>
      </c>
      <c r="D1736" s="0" t="n">
        <v>0</v>
      </c>
      <c r="E1736" s="0" t="n">
        <v>0.5408319994</v>
      </c>
      <c r="F1736" s="0" t="n">
        <v>0.4716230236</v>
      </c>
      <c r="G1736" s="0" t="n">
        <v>0.6402559242</v>
      </c>
      <c r="H1736" s="0" t="n">
        <v>0.6171145275</v>
      </c>
    </row>
    <row r="1737" customFormat="false" ht="15" hidden="false" customHeight="false" outlineLevel="0" collapsed="false">
      <c r="A1737" s="0" t="s">
        <v>2933</v>
      </c>
      <c r="B1737" s="0" t="s">
        <v>844</v>
      </c>
      <c r="C1737" s="0" t="s">
        <v>632</v>
      </c>
      <c r="D1737" s="0" t="n">
        <v>0</v>
      </c>
      <c r="E1737" s="0" t="n">
        <v>0.4022813431</v>
      </c>
      <c r="F1737" s="0" t="n">
        <v>0.5108932247</v>
      </c>
      <c r="G1737" s="0" t="n">
        <v>0.5769232323</v>
      </c>
      <c r="H1737" s="0" t="n">
        <v>0.7022226477</v>
      </c>
    </row>
    <row r="1738" customFormat="false" ht="15" hidden="false" customHeight="false" outlineLevel="0" collapsed="false">
      <c r="A1738" s="0" t="s">
        <v>2934</v>
      </c>
      <c r="B1738" s="0" t="s">
        <v>914</v>
      </c>
      <c r="C1738" s="0" t="s">
        <v>632</v>
      </c>
      <c r="D1738" s="0" t="n">
        <v>0</v>
      </c>
      <c r="E1738" s="0" t="n">
        <v>0.1367306155</v>
      </c>
      <c r="F1738" s="0" t="n">
        <v>0.1740136314</v>
      </c>
      <c r="G1738" s="0" t="n">
        <v>0.1717757086</v>
      </c>
      <c r="H1738" s="0" t="n">
        <v>0.2091527559</v>
      </c>
    </row>
    <row r="1739" customFormat="false" ht="15" hidden="false" customHeight="false" outlineLevel="0" collapsed="false">
      <c r="A1739" s="0" t="s">
        <v>2935</v>
      </c>
      <c r="B1739" s="0" t="s">
        <v>1028</v>
      </c>
      <c r="C1739" s="0" t="s">
        <v>632</v>
      </c>
      <c r="D1739" s="0" t="n">
        <v>0</v>
      </c>
      <c r="E1739" s="0" t="n">
        <v>0.01353387729</v>
      </c>
      <c r="F1739" s="0" t="n">
        <v>0.01444626459</v>
      </c>
      <c r="G1739" s="0" t="n">
        <v>0.01850567068</v>
      </c>
      <c r="H1739" s="0" t="n">
        <v>0.02486268109</v>
      </c>
    </row>
    <row r="1740" customFormat="false" ht="15" hidden="false" customHeight="false" outlineLevel="0" collapsed="false">
      <c r="A1740" s="0" t="s">
        <v>2936</v>
      </c>
      <c r="B1740" s="0" t="s">
        <v>1030</v>
      </c>
      <c r="C1740" s="0" t="s">
        <v>632</v>
      </c>
      <c r="D1740" s="0" t="n">
        <v>0</v>
      </c>
      <c r="E1740" s="0" t="n">
        <v>0.004655366582</v>
      </c>
      <c r="F1740" s="0" t="n">
        <v>0.005017110792</v>
      </c>
      <c r="G1740" s="0" t="n">
        <v>0.006105312003</v>
      </c>
      <c r="H1740" s="0" t="n">
        <v>0.008124247158</v>
      </c>
    </row>
    <row r="1741" customFormat="false" ht="15" hidden="false" customHeight="false" outlineLevel="0" collapsed="false">
      <c r="A1741" s="0" t="s">
        <v>2937</v>
      </c>
      <c r="B1741" s="0" t="s">
        <v>994</v>
      </c>
      <c r="C1741" s="0" t="s">
        <v>632</v>
      </c>
      <c r="D1741" s="0" t="n">
        <v>0</v>
      </c>
      <c r="E1741" s="0" t="n">
        <v>0.002752446194</v>
      </c>
      <c r="F1741" s="0" t="n">
        <v>0.002062544031</v>
      </c>
      <c r="G1741" s="0" t="n">
        <v>0.01956885165</v>
      </c>
      <c r="H1741" s="0" t="n">
        <v>0.02324410388</v>
      </c>
    </row>
    <row r="1742" customFormat="false" ht="15" hidden="false" customHeight="false" outlineLevel="0" collapsed="false">
      <c r="A1742" s="0" t="s">
        <v>2938</v>
      </c>
      <c r="B1742" s="0" t="s">
        <v>798</v>
      </c>
      <c r="C1742" s="0" t="s">
        <v>632</v>
      </c>
      <c r="D1742" s="0" t="n">
        <v>0</v>
      </c>
      <c r="E1742" s="0" t="n">
        <v>3.047792844</v>
      </c>
      <c r="F1742" s="0" t="n">
        <v>2.810391601</v>
      </c>
      <c r="G1742" s="0" t="n">
        <v>2.447138966</v>
      </c>
      <c r="H1742" s="0" t="n">
        <v>2.461740241</v>
      </c>
    </row>
    <row r="1743" customFormat="false" ht="15" hidden="false" customHeight="false" outlineLevel="0" collapsed="false">
      <c r="A1743" s="0" t="s">
        <v>2939</v>
      </c>
      <c r="B1743" s="0" t="s">
        <v>1046</v>
      </c>
      <c r="C1743" s="0" t="s">
        <v>632</v>
      </c>
      <c r="D1743" s="0" t="n">
        <v>0</v>
      </c>
      <c r="E1743" s="0" t="n">
        <v>0.008428152344</v>
      </c>
      <c r="F1743" s="0" t="n">
        <v>0.007917071081</v>
      </c>
      <c r="G1743" s="0" t="n">
        <v>0.00886008002</v>
      </c>
      <c r="H1743" s="0" t="n">
        <v>0.01047563602</v>
      </c>
    </row>
    <row r="1744" customFormat="false" ht="15" hidden="false" customHeight="false" outlineLevel="0" collapsed="false">
      <c r="A1744" s="0" t="s">
        <v>2940</v>
      </c>
      <c r="B1744" s="0" t="s">
        <v>826</v>
      </c>
      <c r="C1744" s="0" t="s">
        <v>632</v>
      </c>
      <c r="D1744" s="0" t="n">
        <v>0</v>
      </c>
      <c r="E1744" s="0" t="n">
        <v>0.3177983061</v>
      </c>
      <c r="F1744" s="0" t="n">
        <v>0.3277565642</v>
      </c>
      <c r="G1744" s="0" t="n">
        <v>0.3024077289</v>
      </c>
      <c r="H1744" s="0" t="n">
        <v>0.3417243286</v>
      </c>
    </row>
    <row r="1745" customFormat="false" ht="15" hidden="false" customHeight="false" outlineLevel="0" collapsed="false">
      <c r="A1745" s="0" t="s">
        <v>2941</v>
      </c>
      <c r="B1745" s="0" t="s">
        <v>890</v>
      </c>
      <c r="C1745" s="0" t="s">
        <v>632</v>
      </c>
      <c r="D1745" s="0" t="n">
        <v>0</v>
      </c>
      <c r="E1745" s="0" t="n">
        <v>0.09617477097</v>
      </c>
      <c r="F1745" s="0" t="n">
        <v>0.1159061394</v>
      </c>
      <c r="G1745" s="0" t="n">
        <v>0.08186910823</v>
      </c>
      <c r="H1745" s="0" t="n">
        <v>0.09561552347</v>
      </c>
    </row>
    <row r="1746" customFormat="false" ht="15" hidden="false" customHeight="false" outlineLevel="0" collapsed="false">
      <c r="A1746" s="0" t="s">
        <v>2942</v>
      </c>
      <c r="B1746" s="0" t="s">
        <v>770</v>
      </c>
      <c r="C1746" s="0" t="s">
        <v>632</v>
      </c>
      <c r="D1746" s="0" t="n">
        <v>0</v>
      </c>
      <c r="E1746" s="0" t="n">
        <v>1.656233317</v>
      </c>
      <c r="F1746" s="0" t="n">
        <v>1.388556912</v>
      </c>
      <c r="G1746" s="0" t="n">
        <v>1.208882591</v>
      </c>
      <c r="H1746" s="0" t="n">
        <v>1.245115423</v>
      </c>
    </row>
    <row r="1747" customFormat="false" ht="15" hidden="false" customHeight="false" outlineLevel="0" collapsed="false">
      <c r="A1747" s="0" t="s">
        <v>2943</v>
      </c>
      <c r="B1747" s="0" t="s">
        <v>904</v>
      </c>
      <c r="C1747" s="0" t="s">
        <v>632</v>
      </c>
      <c r="D1747" s="0" t="n">
        <v>0</v>
      </c>
      <c r="E1747" s="0" t="n">
        <v>0.2346974228</v>
      </c>
      <c r="F1747" s="0" t="n">
        <v>0.2481323645</v>
      </c>
      <c r="G1747" s="0" t="n">
        <v>0.2999228518</v>
      </c>
      <c r="H1747" s="0" t="n">
        <v>0.3623236515</v>
      </c>
    </row>
    <row r="1748" customFormat="false" ht="15" hidden="false" customHeight="false" outlineLevel="0" collapsed="false">
      <c r="A1748" s="0" t="s">
        <v>2944</v>
      </c>
      <c r="B1748" s="0" t="s">
        <v>846</v>
      </c>
      <c r="C1748" s="0" t="s">
        <v>632</v>
      </c>
      <c r="D1748" s="0" t="n">
        <v>0</v>
      </c>
      <c r="E1748" s="0" t="n">
        <v>0.9401621428</v>
      </c>
      <c r="F1748" s="0" t="n">
        <v>0.9409179937</v>
      </c>
      <c r="G1748" s="0" t="n">
        <v>0.5613855026</v>
      </c>
      <c r="H1748" s="0" t="n">
        <v>0.48074211</v>
      </c>
    </row>
    <row r="1749" customFormat="false" ht="15" hidden="false" customHeight="false" outlineLevel="0" collapsed="false">
      <c r="A1749" s="0" t="s">
        <v>2945</v>
      </c>
      <c r="B1749" s="0" t="s">
        <v>956</v>
      </c>
      <c r="C1749" s="0" t="s">
        <v>632</v>
      </c>
      <c r="D1749" s="0" t="n">
        <v>0</v>
      </c>
      <c r="E1749" s="0" t="n">
        <v>0.02163545658</v>
      </c>
      <c r="F1749" s="0" t="n">
        <v>0.02280928496</v>
      </c>
      <c r="G1749" s="0" t="n">
        <v>0.04431951965</v>
      </c>
      <c r="H1749" s="0" t="n">
        <v>0.0427751768</v>
      </c>
    </row>
    <row r="1750" customFormat="false" ht="15" hidden="false" customHeight="false" outlineLevel="0" collapsed="false">
      <c r="A1750" s="0" t="s">
        <v>2946</v>
      </c>
      <c r="B1750" s="0" t="s">
        <v>800</v>
      </c>
      <c r="C1750" s="0" t="s">
        <v>632</v>
      </c>
      <c r="D1750" s="0" t="n">
        <v>0</v>
      </c>
      <c r="E1750" s="0" t="n">
        <v>0.9621015313</v>
      </c>
      <c r="F1750" s="0" t="n">
        <v>1.291539036</v>
      </c>
      <c r="G1750" s="0" t="n">
        <v>0.8212382371</v>
      </c>
      <c r="H1750" s="0" t="n">
        <v>0.7102218996</v>
      </c>
    </row>
    <row r="1751" customFormat="false" ht="15" hidden="false" customHeight="false" outlineLevel="0" collapsed="false">
      <c r="A1751" s="0" t="s">
        <v>2947</v>
      </c>
      <c r="B1751" s="0" t="s">
        <v>724</v>
      </c>
      <c r="C1751" s="0" t="s">
        <v>632</v>
      </c>
      <c r="D1751" s="0" t="n">
        <v>0</v>
      </c>
      <c r="E1751" s="0" t="n">
        <v>9.318785562</v>
      </c>
      <c r="F1751" s="0" t="n">
        <v>10.37100718</v>
      </c>
      <c r="G1751" s="0" t="n">
        <v>11.83897158</v>
      </c>
      <c r="H1751" s="0" t="n">
        <v>14.96633754</v>
      </c>
    </row>
    <row r="1752" customFormat="false" ht="15" hidden="false" customHeight="false" outlineLevel="0" collapsed="false">
      <c r="A1752" s="0" t="s">
        <v>2948</v>
      </c>
      <c r="B1752" s="0" t="s">
        <v>36</v>
      </c>
      <c r="C1752" s="0" t="s">
        <v>632</v>
      </c>
      <c r="D1752" s="0" t="n">
        <v>0</v>
      </c>
      <c r="E1752" s="0" t="n">
        <v>55.1638248</v>
      </c>
      <c r="F1752" s="0" t="n">
        <v>59.58445221</v>
      </c>
      <c r="G1752" s="0" t="n">
        <v>67.54493884</v>
      </c>
      <c r="H1752" s="0" t="n">
        <v>81.97740831</v>
      </c>
    </row>
    <row r="1753" customFormat="false" ht="15" hidden="false" customHeight="false" outlineLevel="0" collapsed="false">
      <c r="A1753" s="0" t="s">
        <v>2949</v>
      </c>
      <c r="B1753" s="0" t="s">
        <v>738</v>
      </c>
      <c r="C1753" s="0" t="s">
        <v>632</v>
      </c>
      <c r="D1753" s="0" t="n">
        <v>0</v>
      </c>
      <c r="E1753" s="0" t="n">
        <v>5.278082874</v>
      </c>
      <c r="F1753" s="0" t="n">
        <v>2.514284059</v>
      </c>
      <c r="G1753" s="0" t="n">
        <v>2.439554936</v>
      </c>
      <c r="H1753" s="0" t="n">
        <v>2.354569021</v>
      </c>
    </row>
    <row r="1754" customFormat="false" ht="15" hidden="false" customHeight="false" outlineLevel="0" collapsed="false">
      <c r="A1754" s="0" t="s">
        <v>2950</v>
      </c>
      <c r="B1754" s="0" t="s">
        <v>790</v>
      </c>
      <c r="C1754" s="0" t="s">
        <v>632</v>
      </c>
      <c r="D1754" s="0" t="n">
        <v>0</v>
      </c>
      <c r="E1754" s="0" t="n">
        <v>2.267423183</v>
      </c>
      <c r="F1754" s="0" t="n">
        <v>0.5510783765</v>
      </c>
      <c r="G1754" s="0" t="n">
        <v>3.808419904</v>
      </c>
      <c r="H1754" s="0" t="n">
        <v>4.542156835</v>
      </c>
    </row>
    <row r="1755" customFormat="false" ht="15" hidden="false" customHeight="false" outlineLevel="0" collapsed="false">
      <c r="A1755" s="0" t="s">
        <v>2951</v>
      </c>
      <c r="B1755" s="0" t="s">
        <v>806</v>
      </c>
      <c r="C1755" s="0" t="s">
        <v>632</v>
      </c>
      <c r="D1755" s="0" t="n">
        <v>0</v>
      </c>
      <c r="E1755" s="0" t="n">
        <v>1.244066803</v>
      </c>
      <c r="F1755" s="0" t="n">
        <v>0.2277571642</v>
      </c>
      <c r="G1755" s="0" t="n">
        <v>1.510210501</v>
      </c>
      <c r="H1755" s="0" t="n">
        <v>1.772216067</v>
      </c>
    </row>
    <row r="1756" customFormat="false" ht="15" hidden="false" customHeight="false" outlineLevel="0" collapsed="false">
      <c r="A1756" s="0" t="s">
        <v>2952</v>
      </c>
      <c r="B1756" s="0" t="s">
        <v>916</v>
      </c>
      <c r="C1756" s="0" t="s">
        <v>632</v>
      </c>
      <c r="D1756" s="0" t="n">
        <v>0</v>
      </c>
      <c r="E1756" s="0" t="n">
        <v>0.1360600852</v>
      </c>
      <c r="F1756" s="0" t="n">
        <v>0.1940411844</v>
      </c>
      <c r="G1756" s="0" t="n">
        <v>0.1572210529</v>
      </c>
      <c r="H1756" s="0" t="n">
        <v>0.1544144837</v>
      </c>
    </row>
    <row r="1757" customFormat="false" ht="15" hidden="false" customHeight="false" outlineLevel="0" collapsed="false">
      <c r="A1757" s="0" t="s">
        <v>2953</v>
      </c>
      <c r="B1757" s="0" t="s">
        <v>750</v>
      </c>
      <c r="C1757" s="0" t="s">
        <v>632</v>
      </c>
      <c r="D1757" s="0" t="n">
        <v>0</v>
      </c>
      <c r="E1757" s="0" t="n">
        <v>4.686223947</v>
      </c>
      <c r="F1757" s="0" t="n">
        <v>4.929873074</v>
      </c>
      <c r="G1757" s="0" t="n">
        <v>4.175385338</v>
      </c>
      <c r="H1757" s="0" t="n">
        <v>4.516447076</v>
      </c>
    </row>
    <row r="1758" customFormat="false" ht="15" hidden="false" customHeight="false" outlineLevel="0" collapsed="false">
      <c r="A1758" s="0" t="s">
        <v>2954</v>
      </c>
      <c r="B1758" s="0" t="s">
        <v>712</v>
      </c>
      <c r="C1758" s="0" t="s">
        <v>632</v>
      </c>
      <c r="D1758" s="0" t="n">
        <v>0</v>
      </c>
      <c r="E1758" s="0" t="n">
        <v>12.45965385</v>
      </c>
      <c r="F1758" s="0" t="n">
        <v>12.26129714</v>
      </c>
      <c r="G1758" s="0" t="n">
        <v>13.14153928</v>
      </c>
      <c r="H1758" s="0" t="n">
        <v>12.4479296</v>
      </c>
    </row>
    <row r="1759" customFormat="false" ht="15" hidden="false" customHeight="false" outlineLevel="0" collapsed="false">
      <c r="A1759" s="0" t="s">
        <v>2955</v>
      </c>
      <c r="B1759" s="0" t="s">
        <v>964</v>
      </c>
      <c r="C1759" s="0" t="s">
        <v>632</v>
      </c>
      <c r="D1759" s="0" t="n">
        <v>0</v>
      </c>
      <c r="E1759" s="0" t="n">
        <v>0.09782426367</v>
      </c>
      <c r="F1759" s="0" t="n">
        <v>0.09468017871</v>
      </c>
      <c r="G1759" s="0" t="n">
        <v>0.1498631718</v>
      </c>
      <c r="H1759" s="0" t="n">
        <v>0.1731151709</v>
      </c>
    </row>
    <row r="1760" customFormat="false" ht="15" hidden="false" customHeight="false" outlineLevel="0" collapsed="false">
      <c r="A1760" s="0" t="s">
        <v>2956</v>
      </c>
      <c r="B1760" s="0" t="s">
        <v>876</v>
      </c>
      <c r="C1760" s="0" t="s">
        <v>632</v>
      </c>
      <c r="D1760" s="0" t="n">
        <v>0</v>
      </c>
      <c r="E1760" s="0" t="n">
        <v>0.5415380703</v>
      </c>
      <c r="F1760" s="0" t="n">
        <v>0.5761373342</v>
      </c>
      <c r="G1760" s="0" t="n">
        <v>0.6157387353</v>
      </c>
      <c r="H1760" s="0" t="n">
        <v>0.675814564</v>
      </c>
    </row>
    <row r="1761" customFormat="false" ht="15" hidden="false" customHeight="false" outlineLevel="0" collapsed="false">
      <c r="A1761" s="0" t="s">
        <v>2957</v>
      </c>
      <c r="B1761" s="0" t="s">
        <v>702</v>
      </c>
      <c r="C1761" s="0" t="s">
        <v>632</v>
      </c>
      <c r="D1761" s="0" t="n">
        <v>0</v>
      </c>
      <c r="E1761" s="0" t="n">
        <v>32.6858924</v>
      </c>
      <c r="F1761" s="0" t="n">
        <v>29.65944494</v>
      </c>
      <c r="G1761" s="0" t="n">
        <v>32.62210883</v>
      </c>
      <c r="H1761" s="0" t="n">
        <v>36.45758769</v>
      </c>
    </row>
    <row r="1762" customFormat="false" ht="15" hidden="false" customHeight="false" outlineLevel="0" collapsed="false">
      <c r="A1762" s="0" t="s">
        <v>2958</v>
      </c>
      <c r="B1762" s="0" t="s">
        <v>780</v>
      </c>
      <c r="C1762" s="0" t="s">
        <v>632</v>
      </c>
      <c r="D1762" s="0" t="n">
        <v>0</v>
      </c>
      <c r="E1762" s="0" t="n">
        <v>2.721580627</v>
      </c>
      <c r="F1762" s="0" t="n">
        <v>2.512203883</v>
      </c>
      <c r="G1762" s="0" t="n">
        <v>2.553828919</v>
      </c>
      <c r="H1762" s="0" t="n">
        <v>2.851570298</v>
      </c>
    </row>
    <row r="1763" customFormat="false" ht="15" hidden="false" customHeight="false" outlineLevel="0" collapsed="false">
      <c r="A1763" s="0" t="s">
        <v>2959</v>
      </c>
      <c r="B1763" s="0" t="s">
        <v>814</v>
      </c>
      <c r="C1763" s="0" t="s">
        <v>632</v>
      </c>
      <c r="D1763" s="0" t="n">
        <v>0</v>
      </c>
      <c r="E1763" s="0" t="n">
        <v>0.3799772635</v>
      </c>
      <c r="F1763" s="0" t="n">
        <v>0.4385360149</v>
      </c>
      <c r="G1763" s="0" t="n">
        <v>0.4518142411</v>
      </c>
      <c r="H1763" s="0" t="n">
        <v>0.5034313263</v>
      </c>
    </row>
    <row r="1764" customFormat="false" ht="15" hidden="false" customHeight="false" outlineLevel="0" collapsed="false">
      <c r="A1764" s="0" t="s">
        <v>2960</v>
      </c>
      <c r="B1764" s="0" t="s">
        <v>946</v>
      </c>
      <c r="C1764" s="0" t="s">
        <v>632</v>
      </c>
      <c r="D1764" s="0" t="n">
        <v>0</v>
      </c>
      <c r="E1764" s="0" t="n">
        <v>0.5627736733</v>
      </c>
      <c r="F1764" s="0" t="n">
        <v>0.4369768191</v>
      </c>
      <c r="G1764" s="0" t="n">
        <v>0.4291872294</v>
      </c>
      <c r="H1764" s="0" t="n">
        <v>0.4999871884</v>
      </c>
    </row>
    <row r="1765" customFormat="false" ht="15" hidden="false" customHeight="false" outlineLevel="0" collapsed="false">
      <c r="A1765" s="0" t="s">
        <v>2961</v>
      </c>
      <c r="B1765" s="0" t="s">
        <v>886</v>
      </c>
      <c r="C1765" s="0" t="s">
        <v>632</v>
      </c>
      <c r="D1765" s="0" t="n">
        <v>0</v>
      </c>
      <c r="E1765" s="0" t="n">
        <v>0.4139363463</v>
      </c>
      <c r="F1765" s="0" t="n">
        <v>0.4058284902</v>
      </c>
      <c r="G1765" s="0" t="n">
        <v>0.4658229084</v>
      </c>
      <c r="H1765" s="0" t="n">
        <v>0.5644198495</v>
      </c>
    </row>
    <row r="1766" customFormat="false" ht="15" hidden="false" customHeight="false" outlineLevel="0" collapsed="false">
      <c r="A1766" s="0" t="s">
        <v>2962</v>
      </c>
      <c r="B1766" s="0" t="s">
        <v>1054</v>
      </c>
      <c r="C1766" s="0" t="s">
        <v>632</v>
      </c>
      <c r="D1766" s="0" t="n">
        <v>0</v>
      </c>
      <c r="E1766" s="0" t="n">
        <v>0.007747830433</v>
      </c>
      <c r="F1766" s="0" t="n">
        <v>0.008414847941</v>
      </c>
      <c r="G1766" s="0" t="n">
        <v>0.007013776062</v>
      </c>
      <c r="H1766" s="0" t="n">
        <v>0.006184180462</v>
      </c>
    </row>
    <row r="1767" customFormat="false" ht="15" hidden="false" customHeight="false" outlineLevel="0" collapsed="false">
      <c r="A1767" s="0" t="s">
        <v>2963</v>
      </c>
      <c r="B1767" s="0" t="s">
        <v>716</v>
      </c>
      <c r="C1767" s="0" t="s">
        <v>632</v>
      </c>
      <c r="D1767" s="0" t="n">
        <v>0</v>
      </c>
      <c r="E1767" s="0" t="n">
        <v>15.48241067</v>
      </c>
      <c r="F1767" s="0" t="n">
        <v>17.07640142</v>
      </c>
      <c r="G1767" s="0" t="n">
        <v>15.0378936</v>
      </c>
      <c r="H1767" s="0" t="n">
        <v>14.64957561</v>
      </c>
    </row>
    <row r="1768" customFormat="false" ht="15" hidden="false" customHeight="false" outlineLevel="0" collapsed="false">
      <c r="A1768" s="0" t="s">
        <v>2964</v>
      </c>
      <c r="B1768" s="0" t="s">
        <v>812</v>
      </c>
      <c r="C1768" s="0" t="s">
        <v>632</v>
      </c>
      <c r="D1768" s="0" t="n">
        <v>0</v>
      </c>
      <c r="E1768" s="0" t="n">
        <v>2.117994358</v>
      </c>
      <c r="F1768" s="0" t="n">
        <v>1.147930453</v>
      </c>
      <c r="G1768" s="0" t="n">
        <v>1.462731762</v>
      </c>
      <c r="H1768" s="0" t="n">
        <v>1.535931472</v>
      </c>
    </row>
    <row r="1769" customFormat="false" ht="15" hidden="false" customHeight="false" outlineLevel="0" collapsed="false">
      <c r="A1769" s="0" t="s">
        <v>2965</v>
      </c>
      <c r="B1769" s="0" t="s">
        <v>972</v>
      </c>
      <c r="C1769" s="0" t="s">
        <v>632</v>
      </c>
      <c r="D1769" s="0" t="n">
        <v>0</v>
      </c>
      <c r="E1769" s="0" t="n">
        <v>0.01544571215</v>
      </c>
      <c r="F1769" s="0" t="n">
        <v>0.01330100797</v>
      </c>
      <c r="G1769" s="0" t="n">
        <v>0.007144497709</v>
      </c>
      <c r="H1769" s="0" t="n">
        <v>0.00791608861</v>
      </c>
    </row>
    <row r="1770" customFormat="false" ht="15" hidden="false" customHeight="false" outlineLevel="0" collapsed="false">
      <c r="A1770" s="0" t="s">
        <v>2966</v>
      </c>
      <c r="B1770" s="0" t="s">
        <v>922</v>
      </c>
      <c r="C1770" s="0" t="s">
        <v>632</v>
      </c>
      <c r="D1770" s="0" t="n">
        <v>0</v>
      </c>
      <c r="E1770" s="0" t="n">
        <v>0.6537487056</v>
      </c>
      <c r="F1770" s="0" t="n">
        <v>0.544430034</v>
      </c>
      <c r="G1770" s="0" t="n">
        <v>0.6107861096</v>
      </c>
      <c r="H1770" s="0" t="n">
        <v>0.7844021245</v>
      </c>
    </row>
    <row r="1771" customFormat="false" ht="15" hidden="false" customHeight="false" outlineLevel="0" collapsed="false">
      <c r="A1771" s="0" t="s">
        <v>2967</v>
      </c>
      <c r="B1771" s="0" t="s">
        <v>1008</v>
      </c>
      <c r="C1771" s="0" t="s">
        <v>632</v>
      </c>
      <c r="D1771" s="0" t="n">
        <v>0</v>
      </c>
      <c r="E1771" s="0" t="n">
        <v>0.01875988317</v>
      </c>
      <c r="F1771" s="0" t="n">
        <v>0.02044927084</v>
      </c>
      <c r="G1771" s="0" t="n">
        <v>0.02814372327</v>
      </c>
      <c r="H1771" s="0" t="n">
        <v>0.0293905597</v>
      </c>
    </row>
    <row r="1772" customFormat="false" ht="15" hidden="false" customHeight="false" outlineLevel="0" collapsed="false">
      <c r="A1772" s="0" t="s">
        <v>2968</v>
      </c>
      <c r="B1772" s="0" t="s">
        <v>874</v>
      </c>
      <c r="C1772" s="0" t="s">
        <v>632</v>
      </c>
      <c r="D1772" s="0" t="n">
        <v>0</v>
      </c>
      <c r="E1772" s="0" t="n">
        <v>3.5898838</v>
      </c>
      <c r="F1772" s="0" t="n">
        <v>2.352469576</v>
      </c>
      <c r="G1772" s="0" t="n">
        <v>2.200615542</v>
      </c>
      <c r="H1772" s="0" t="n">
        <v>2.611221199</v>
      </c>
    </row>
    <row r="1773" customFormat="false" ht="15" hidden="false" customHeight="false" outlineLevel="0" collapsed="false">
      <c r="A1773" s="0" t="s">
        <v>2969</v>
      </c>
      <c r="B1773" s="0" t="s">
        <v>1032</v>
      </c>
      <c r="C1773" s="0" t="s">
        <v>632</v>
      </c>
      <c r="D1773" s="0" t="n">
        <v>0</v>
      </c>
      <c r="E1773" s="0" t="n">
        <v>0.008020714344</v>
      </c>
      <c r="F1773" s="0" t="n">
        <v>0.009089922261</v>
      </c>
      <c r="G1773" s="0" t="n">
        <v>0.01049549464</v>
      </c>
      <c r="H1773" s="0" t="n">
        <v>0.01227555015</v>
      </c>
    </row>
    <row r="1774" customFormat="false" ht="15" hidden="false" customHeight="false" outlineLevel="0" collapsed="false">
      <c r="A1774" s="0" t="s">
        <v>2970</v>
      </c>
      <c r="B1774" s="0" t="s">
        <v>840</v>
      </c>
      <c r="C1774" s="0" t="s">
        <v>632</v>
      </c>
      <c r="D1774" s="0" t="n">
        <v>0</v>
      </c>
      <c r="E1774" s="0" t="n">
        <v>0.3378461145</v>
      </c>
      <c r="F1774" s="0" t="n">
        <v>0.404902797</v>
      </c>
      <c r="G1774" s="0" t="n">
        <v>0.5971796601</v>
      </c>
      <c r="H1774" s="0" t="n">
        <v>0.56895846</v>
      </c>
    </row>
    <row r="1775" customFormat="false" ht="15" hidden="false" customHeight="false" outlineLevel="0" collapsed="false">
      <c r="A1775" s="0" t="s">
        <v>2971</v>
      </c>
      <c r="B1775" s="0" t="s">
        <v>1034</v>
      </c>
      <c r="C1775" s="0" t="s">
        <v>632</v>
      </c>
      <c r="D1775" s="0" t="n">
        <v>0</v>
      </c>
      <c r="E1775" s="0" t="n">
        <v>0.01223594869</v>
      </c>
      <c r="F1775" s="0" t="n">
        <v>0.01379892729</v>
      </c>
      <c r="G1775" s="0" t="n">
        <v>0.01998001531</v>
      </c>
      <c r="H1775" s="0" t="n">
        <v>0.02517304109</v>
      </c>
    </row>
    <row r="1776" customFormat="false" ht="15" hidden="false" customHeight="false" outlineLevel="0" collapsed="false">
      <c r="A1776" s="0" t="s">
        <v>2972</v>
      </c>
      <c r="B1776" s="0" t="s">
        <v>856</v>
      </c>
      <c r="C1776" s="0" t="s">
        <v>632</v>
      </c>
      <c r="D1776" s="0" t="n">
        <v>0</v>
      </c>
      <c r="E1776" s="0" t="n">
        <v>0.8336114796</v>
      </c>
      <c r="F1776" s="0" t="n">
        <v>0.7918027144</v>
      </c>
      <c r="G1776" s="0" t="n">
        <v>0.6433188326</v>
      </c>
      <c r="H1776" s="0" t="n">
        <v>0.4822826877</v>
      </c>
    </row>
    <row r="1777" customFormat="false" ht="15" hidden="false" customHeight="false" outlineLevel="0" collapsed="false">
      <c r="A1777" s="0" t="s">
        <v>2973</v>
      </c>
      <c r="B1777" s="0" t="s">
        <v>854</v>
      </c>
      <c r="C1777" s="0" t="s">
        <v>632</v>
      </c>
      <c r="D1777" s="0" t="n">
        <v>0</v>
      </c>
      <c r="E1777" s="0" t="n">
        <v>0.4284397987</v>
      </c>
      <c r="F1777" s="0" t="n">
        <v>0.3489827685</v>
      </c>
      <c r="G1777" s="0" t="n">
        <v>0.2525577936</v>
      </c>
      <c r="H1777" s="0" t="n">
        <v>0.2149754656</v>
      </c>
    </row>
    <row r="1778" customFormat="false" ht="15" hidden="false" customHeight="false" outlineLevel="0" collapsed="false">
      <c r="A1778" s="0" t="s">
        <v>2974</v>
      </c>
      <c r="B1778" s="0" t="s">
        <v>894</v>
      </c>
      <c r="C1778" s="0" t="s">
        <v>632</v>
      </c>
      <c r="D1778" s="0" t="n">
        <v>0</v>
      </c>
      <c r="E1778" s="0" t="n">
        <v>0.3243899778</v>
      </c>
      <c r="F1778" s="0" t="n">
        <v>0.3077525371</v>
      </c>
      <c r="G1778" s="0" t="n">
        <v>0.2397914764</v>
      </c>
      <c r="H1778" s="0" t="n">
        <v>0.2204052369</v>
      </c>
    </row>
    <row r="1779" customFormat="false" ht="15" hidden="false" customHeight="false" outlineLevel="0" collapsed="false">
      <c r="A1779" s="0" t="s">
        <v>2975</v>
      </c>
      <c r="B1779" s="0" t="s">
        <v>882</v>
      </c>
      <c r="C1779" s="0" t="s">
        <v>632</v>
      </c>
      <c r="D1779" s="0" t="n">
        <v>0</v>
      </c>
      <c r="E1779" s="0" t="n">
        <v>0.3112016011</v>
      </c>
      <c r="F1779" s="0" t="n">
        <v>0.2478442519</v>
      </c>
      <c r="G1779" s="0" t="n">
        <v>0.219380156</v>
      </c>
      <c r="H1779" s="0" t="n">
        <v>0.2311682229</v>
      </c>
    </row>
    <row r="1780" customFormat="false" ht="15" hidden="false" customHeight="false" outlineLevel="0" collapsed="false">
      <c r="A1780" s="0" t="s">
        <v>2976</v>
      </c>
      <c r="B1780" s="0" t="s">
        <v>808</v>
      </c>
      <c r="C1780" s="0" t="s">
        <v>632</v>
      </c>
      <c r="D1780" s="0" t="n">
        <v>0</v>
      </c>
      <c r="E1780" s="0" t="n">
        <v>1.081853153</v>
      </c>
      <c r="F1780" s="0" t="n">
        <v>1.221745874</v>
      </c>
      <c r="G1780" s="0" t="n">
        <v>1.369972834</v>
      </c>
      <c r="H1780" s="0" t="n">
        <v>1.590888492</v>
      </c>
    </row>
    <row r="1781" customFormat="false" ht="15" hidden="false" customHeight="false" outlineLevel="0" collapsed="false">
      <c r="A1781" s="0" t="s">
        <v>2977</v>
      </c>
      <c r="B1781" s="0" t="s">
        <v>966</v>
      </c>
      <c r="C1781" s="0" t="s">
        <v>632</v>
      </c>
      <c r="D1781" s="0" t="n">
        <v>0</v>
      </c>
      <c r="E1781" s="0" t="n">
        <v>0.1711198995</v>
      </c>
      <c r="F1781" s="0" t="n">
        <v>0.1800630837</v>
      </c>
      <c r="G1781" s="0" t="n">
        <v>0.2484636456</v>
      </c>
      <c r="H1781" s="0" t="n">
        <v>0.3204248924</v>
      </c>
    </row>
    <row r="1782" customFormat="false" ht="15" hidden="false" customHeight="false" outlineLevel="0" collapsed="false">
      <c r="A1782" s="0" t="s">
        <v>2978</v>
      </c>
      <c r="B1782" s="0" t="s">
        <v>960</v>
      </c>
      <c r="C1782" s="0" t="s">
        <v>632</v>
      </c>
      <c r="D1782" s="0" t="n">
        <v>0</v>
      </c>
      <c r="E1782" s="0" t="n">
        <v>0.05536569354</v>
      </c>
      <c r="F1782" s="0" t="n">
        <v>0.06839343225</v>
      </c>
      <c r="G1782" s="0" t="n">
        <v>0.08386753654</v>
      </c>
      <c r="H1782" s="0" t="n">
        <v>0.1231648766</v>
      </c>
    </row>
    <row r="1783" customFormat="false" ht="15" hidden="false" customHeight="false" outlineLevel="0" collapsed="false">
      <c r="A1783" s="0" t="s">
        <v>2979</v>
      </c>
      <c r="B1783" s="0" t="s">
        <v>1002</v>
      </c>
      <c r="C1783" s="0" t="s">
        <v>632</v>
      </c>
      <c r="D1783" s="0" t="n">
        <v>0</v>
      </c>
      <c r="E1783" s="0" t="n">
        <v>0.1014506355</v>
      </c>
      <c r="F1783" s="0" t="n">
        <v>0.08772160428</v>
      </c>
      <c r="G1783" s="0" t="n">
        <v>0.09619259971</v>
      </c>
      <c r="H1783" s="0" t="n">
        <v>0.1079367981</v>
      </c>
    </row>
    <row r="1784" customFormat="false" ht="15" hidden="false" customHeight="false" outlineLevel="0" collapsed="false">
      <c r="A1784" s="0" t="s">
        <v>2980</v>
      </c>
      <c r="B1784" s="0" t="s">
        <v>720</v>
      </c>
      <c r="C1784" s="0" t="s">
        <v>632</v>
      </c>
      <c r="D1784" s="0" t="n">
        <v>0</v>
      </c>
      <c r="E1784" s="0" t="n">
        <v>6.759261413</v>
      </c>
      <c r="F1784" s="0" t="n">
        <v>9.205260067</v>
      </c>
      <c r="G1784" s="0" t="n">
        <v>11.55272311</v>
      </c>
      <c r="H1784" s="0" t="n">
        <v>13.42318326</v>
      </c>
    </row>
    <row r="1785" customFormat="false" ht="15" hidden="false" customHeight="false" outlineLevel="0" collapsed="false">
      <c r="A1785" s="0" t="s">
        <v>2981</v>
      </c>
      <c r="B1785" s="0" t="s">
        <v>970</v>
      </c>
      <c r="C1785" s="0" t="s">
        <v>632</v>
      </c>
      <c r="D1785" s="0" t="n">
        <v>0</v>
      </c>
      <c r="E1785" s="0" t="n">
        <v>0.1677487042</v>
      </c>
      <c r="F1785" s="0" t="n">
        <v>0.1647379714</v>
      </c>
      <c r="G1785" s="0" t="n">
        <v>0.201600557</v>
      </c>
      <c r="H1785" s="0" t="n">
        <v>0.1679959753</v>
      </c>
    </row>
    <row r="1786" customFormat="false" ht="15" hidden="false" customHeight="false" outlineLevel="0" collapsed="false">
      <c r="A1786" s="0" t="s">
        <v>2982</v>
      </c>
      <c r="B1786" s="0" t="s">
        <v>918</v>
      </c>
      <c r="C1786" s="0" t="s">
        <v>632</v>
      </c>
      <c r="D1786" s="0" t="n">
        <v>0</v>
      </c>
      <c r="E1786" s="0" t="n">
        <v>0.1173122997</v>
      </c>
      <c r="F1786" s="0" t="n">
        <v>0.1401776459</v>
      </c>
      <c r="G1786" s="0" t="n">
        <v>0.1488960595</v>
      </c>
      <c r="H1786" s="0" t="n">
        <v>0.1866258624</v>
      </c>
    </row>
    <row r="1787" customFormat="false" ht="15" hidden="false" customHeight="false" outlineLevel="0" collapsed="false">
      <c r="A1787" s="0" t="s">
        <v>2983</v>
      </c>
      <c r="B1787" s="0" t="s">
        <v>936</v>
      </c>
      <c r="C1787" s="0" t="s">
        <v>632</v>
      </c>
      <c r="D1787" s="0" t="n">
        <v>0</v>
      </c>
      <c r="E1787" s="0" t="n">
        <v>0.1329947155</v>
      </c>
      <c r="F1787" s="0" t="n">
        <v>0.1206581578</v>
      </c>
      <c r="G1787" s="0" t="n">
        <v>0.08895542926</v>
      </c>
      <c r="H1787" s="0" t="n">
        <v>0.08290011225</v>
      </c>
    </row>
    <row r="1788" customFormat="false" ht="15" hidden="false" customHeight="false" outlineLevel="0" collapsed="false">
      <c r="A1788" s="0" t="s">
        <v>2984</v>
      </c>
      <c r="B1788" s="0" t="s">
        <v>862</v>
      </c>
      <c r="C1788" s="0" t="s">
        <v>632</v>
      </c>
      <c r="D1788" s="0" t="n">
        <v>0</v>
      </c>
      <c r="E1788" s="0" t="n">
        <v>0.05406036541</v>
      </c>
      <c r="F1788" s="0" t="n">
        <v>0.3379638548</v>
      </c>
      <c r="G1788" s="0" t="n">
        <v>0.4594615813</v>
      </c>
      <c r="H1788" s="0" t="n">
        <v>0.5696912532</v>
      </c>
    </row>
    <row r="1789" customFormat="false" ht="15" hidden="false" customHeight="false" outlineLevel="0" collapsed="false">
      <c r="A1789" s="0" t="s">
        <v>2985</v>
      </c>
      <c r="B1789" s="0" t="s">
        <v>996</v>
      </c>
      <c r="C1789" s="0" t="s">
        <v>632</v>
      </c>
      <c r="D1789" s="0" t="n">
        <v>0</v>
      </c>
      <c r="E1789" s="0" t="n">
        <v>0.07269709701</v>
      </c>
      <c r="F1789" s="0" t="n">
        <v>0.0905498264</v>
      </c>
      <c r="G1789" s="0" t="n">
        <v>0.07891367117</v>
      </c>
      <c r="H1789" s="0" t="n">
        <v>0.08263757266</v>
      </c>
    </row>
    <row r="1790" customFormat="false" ht="15" hidden="false" customHeight="false" outlineLevel="0" collapsed="false">
      <c r="A1790" s="0" t="s">
        <v>2986</v>
      </c>
      <c r="B1790" s="0" t="s">
        <v>928</v>
      </c>
      <c r="C1790" s="0" t="s">
        <v>632</v>
      </c>
      <c r="D1790" s="0" t="n">
        <v>0</v>
      </c>
      <c r="E1790" s="0" t="n">
        <v>0.2045972552</v>
      </c>
      <c r="F1790" s="0" t="n">
        <v>0.1971032936</v>
      </c>
      <c r="G1790" s="0" t="n">
        <v>0.2168174142</v>
      </c>
      <c r="H1790" s="0" t="n">
        <v>0.272792921</v>
      </c>
    </row>
    <row r="1791" customFormat="false" ht="15" hidden="false" customHeight="false" outlineLevel="0" collapsed="false">
      <c r="A1791" s="0" t="s">
        <v>2987</v>
      </c>
      <c r="B1791" s="0" t="s">
        <v>954</v>
      </c>
      <c r="C1791" s="0" t="s">
        <v>632</v>
      </c>
      <c r="D1791" s="0" t="n">
        <v>0</v>
      </c>
      <c r="E1791" s="0" t="n">
        <v>0.0366285628</v>
      </c>
      <c r="F1791" s="0" t="n">
        <v>0.0974518321</v>
      </c>
      <c r="G1791" s="0" t="n">
        <v>0.4014343813</v>
      </c>
      <c r="H1791" s="0" t="n">
        <v>0.5497294042</v>
      </c>
    </row>
    <row r="1792" customFormat="false" ht="15" hidden="false" customHeight="false" outlineLevel="0" collapsed="false">
      <c r="A1792" s="0" t="s">
        <v>2988</v>
      </c>
      <c r="B1792" s="0" t="s">
        <v>988</v>
      </c>
      <c r="C1792" s="0" t="s">
        <v>632</v>
      </c>
      <c r="D1792" s="0" t="n">
        <v>0</v>
      </c>
      <c r="E1792" s="0" t="n">
        <v>0.06422250675</v>
      </c>
      <c r="F1792" s="0" t="n">
        <v>0.07254262665</v>
      </c>
      <c r="G1792" s="0" t="n">
        <v>0.07809165201</v>
      </c>
      <c r="H1792" s="0" t="n">
        <v>0.09348994174</v>
      </c>
    </row>
    <row r="1793" customFormat="false" ht="15" hidden="false" customHeight="false" outlineLevel="0" collapsed="false">
      <c r="A1793" s="0" t="s">
        <v>2989</v>
      </c>
      <c r="B1793" s="0" t="s">
        <v>974</v>
      </c>
      <c r="C1793" s="0" t="s">
        <v>632</v>
      </c>
      <c r="D1793" s="0" t="n">
        <v>0</v>
      </c>
      <c r="E1793" s="0" t="n">
        <v>0.06594797583</v>
      </c>
      <c r="F1793" s="0" t="n">
        <v>0.07369272948</v>
      </c>
      <c r="G1793" s="0" t="n">
        <v>0.07872193409</v>
      </c>
      <c r="H1793" s="0" t="n">
        <v>0.09096832295</v>
      </c>
    </row>
    <row r="1794" customFormat="false" ht="15" hidden="false" customHeight="false" outlineLevel="0" collapsed="false">
      <c r="A1794" s="0" t="s">
        <v>2990</v>
      </c>
      <c r="B1794" s="0" t="s">
        <v>992</v>
      </c>
      <c r="C1794" s="0" t="s">
        <v>632</v>
      </c>
      <c r="D1794" s="0" t="n">
        <v>0</v>
      </c>
      <c r="E1794" s="0" t="n">
        <v>0.02512727226</v>
      </c>
      <c r="F1794" s="0" t="n">
        <v>0.03499254121</v>
      </c>
      <c r="G1794" s="0" t="n">
        <v>0.05616195845</v>
      </c>
      <c r="H1794" s="0" t="n">
        <v>0.07295053543</v>
      </c>
    </row>
    <row r="1795" customFormat="false" ht="15" hidden="false" customHeight="false" outlineLevel="0" collapsed="false">
      <c r="A1795" s="0" t="s">
        <v>2991</v>
      </c>
      <c r="B1795" s="0" t="s">
        <v>760</v>
      </c>
      <c r="C1795" s="0" t="s">
        <v>632</v>
      </c>
      <c r="D1795" s="0" t="n">
        <v>0</v>
      </c>
      <c r="E1795" s="0" t="n">
        <v>3.868166146</v>
      </c>
      <c r="F1795" s="0" t="n">
        <v>3.97417573</v>
      </c>
      <c r="G1795" s="0" t="n">
        <v>3.885163305</v>
      </c>
      <c r="H1795" s="0" t="n">
        <v>4.383591684</v>
      </c>
    </row>
    <row r="1796" customFormat="false" ht="15" hidden="false" customHeight="false" outlineLevel="0" collapsed="false">
      <c r="A1796" s="0" t="s">
        <v>2992</v>
      </c>
      <c r="B1796" s="0" t="s">
        <v>982</v>
      </c>
      <c r="C1796" s="0" t="s">
        <v>632</v>
      </c>
      <c r="D1796" s="0" t="n">
        <v>0</v>
      </c>
      <c r="E1796" s="0" t="n">
        <v>0.04586690327</v>
      </c>
      <c r="F1796" s="0" t="n">
        <v>0.0489503595</v>
      </c>
      <c r="G1796" s="0" t="n">
        <v>0.05224743979</v>
      </c>
      <c r="H1796" s="0" t="n">
        <v>0.05813865107</v>
      </c>
    </row>
    <row r="1797" customFormat="false" ht="15" hidden="false" customHeight="false" outlineLevel="0" collapsed="false">
      <c r="A1797" s="0" t="s">
        <v>2993</v>
      </c>
      <c r="B1797" s="0" t="s">
        <v>940</v>
      </c>
      <c r="C1797" s="0" t="s">
        <v>632</v>
      </c>
      <c r="D1797" s="0" t="n">
        <v>0</v>
      </c>
      <c r="E1797" s="0" t="n">
        <v>0.09203975862</v>
      </c>
      <c r="F1797" s="0" t="n">
        <v>0.1067244727</v>
      </c>
      <c r="G1797" s="0" t="n">
        <v>0.1214262422</v>
      </c>
      <c r="H1797" s="0" t="n">
        <v>0.1583257768</v>
      </c>
    </row>
    <row r="1798" customFormat="false" ht="15" hidden="false" customHeight="false" outlineLevel="0" collapsed="false">
      <c r="A1798" s="0" t="s">
        <v>2994</v>
      </c>
      <c r="B1798" s="0" t="s">
        <v>792</v>
      </c>
      <c r="C1798" s="0" t="s">
        <v>632</v>
      </c>
      <c r="D1798" s="0" t="n">
        <v>0</v>
      </c>
      <c r="E1798" s="0" t="n">
        <v>1.070779944</v>
      </c>
      <c r="F1798" s="0" t="n">
        <v>1.2059457</v>
      </c>
      <c r="G1798" s="0" t="n">
        <v>1.333405784</v>
      </c>
      <c r="H1798" s="0" t="n">
        <v>1.717010574</v>
      </c>
    </row>
    <row r="1799" customFormat="false" ht="15" hidden="false" customHeight="false" outlineLevel="0" collapsed="false">
      <c r="A1799" s="0" t="s">
        <v>2995</v>
      </c>
      <c r="B1799" s="0" t="s">
        <v>948</v>
      </c>
      <c r="C1799" s="0" t="s">
        <v>632</v>
      </c>
      <c r="D1799" s="0" t="n">
        <v>0</v>
      </c>
      <c r="E1799" s="0" t="n">
        <v>0.1058110492</v>
      </c>
      <c r="F1799" s="0" t="n">
        <v>0.1016097135</v>
      </c>
      <c r="G1799" s="0" t="n">
        <v>0.1182360284</v>
      </c>
      <c r="H1799" s="0" t="n">
        <v>0.1425140431</v>
      </c>
    </row>
    <row r="1800" customFormat="false" ht="15" hidden="false" customHeight="false" outlineLevel="0" collapsed="false">
      <c r="A1800" s="0" t="s">
        <v>2996</v>
      </c>
      <c r="B1800" s="0" t="s">
        <v>730</v>
      </c>
      <c r="C1800" s="0" t="s">
        <v>632</v>
      </c>
      <c r="D1800" s="0" t="n">
        <v>0</v>
      </c>
      <c r="E1800" s="0" t="n">
        <v>6.884034241</v>
      </c>
      <c r="F1800" s="0" t="n">
        <v>6.611698713</v>
      </c>
      <c r="G1800" s="0" t="n">
        <v>6.734722483</v>
      </c>
      <c r="H1800" s="0" t="n">
        <v>4.438594826</v>
      </c>
    </row>
    <row r="1801" customFormat="false" ht="15" hidden="false" customHeight="false" outlineLevel="0" collapsed="false">
      <c r="A1801" s="0" t="s">
        <v>2997</v>
      </c>
      <c r="B1801" s="0" t="s">
        <v>762</v>
      </c>
      <c r="C1801" s="0" t="s">
        <v>632</v>
      </c>
      <c r="D1801" s="0" t="n">
        <v>0</v>
      </c>
      <c r="E1801" s="0" t="n">
        <v>1.861164159</v>
      </c>
      <c r="F1801" s="0" t="n">
        <v>2.314775807</v>
      </c>
      <c r="G1801" s="0" t="n">
        <v>1.988046237</v>
      </c>
      <c r="H1801" s="0" t="n">
        <v>1.900682076</v>
      </c>
    </row>
    <row r="1802" customFormat="false" ht="15" hidden="false" customHeight="false" outlineLevel="0" collapsed="false">
      <c r="A1802" s="0" t="s">
        <v>2998</v>
      </c>
      <c r="B1802" s="0" t="s">
        <v>892</v>
      </c>
      <c r="C1802" s="0" t="s">
        <v>632</v>
      </c>
      <c r="D1802" s="0" t="n">
        <v>0</v>
      </c>
      <c r="E1802" s="0" t="n">
        <v>0.230632154</v>
      </c>
      <c r="F1802" s="0" t="n">
        <v>0.1963862688</v>
      </c>
      <c r="G1802" s="0" t="n">
        <v>0.3046503229</v>
      </c>
      <c r="H1802" s="0" t="n">
        <v>0.3911853042</v>
      </c>
    </row>
    <row r="1803" customFormat="false" ht="15" hidden="false" customHeight="false" outlineLevel="0" collapsed="false">
      <c r="A1803" s="0" t="s">
        <v>2999</v>
      </c>
      <c r="B1803" s="0" t="s">
        <v>1064</v>
      </c>
      <c r="C1803" s="0" t="s">
        <v>632</v>
      </c>
      <c r="D1803" s="0" t="n">
        <v>0</v>
      </c>
      <c r="E1803" s="0" t="n">
        <v>0.002242330369</v>
      </c>
      <c r="F1803" s="0" t="n">
        <v>0.002417088691</v>
      </c>
      <c r="G1803" s="0" t="n">
        <v>0.002656457118</v>
      </c>
      <c r="H1803" s="0" t="n">
        <v>0.002974041594</v>
      </c>
    </row>
    <row r="1804" customFormat="false" ht="15" hidden="false" customHeight="false" outlineLevel="0" collapsed="false">
      <c r="A1804" s="0" t="s">
        <v>3000</v>
      </c>
      <c r="B1804" s="0" t="s">
        <v>796</v>
      </c>
      <c r="C1804" s="0" t="s">
        <v>632</v>
      </c>
      <c r="D1804" s="0" t="n">
        <v>0</v>
      </c>
      <c r="E1804" s="0" t="n">
        <v>1.110929109</v>
      </c>
      <c r="F1804" s="0" t="n">
        <v>1.585387501</v>
      </c>
      <c r="G1804" s="0" t="n">
        <v>1.296562854</v>
      </c>
      <c r="H1804" s="0" t="n">
        <v>1.026379714</v>
      </c>
    </row>
    <row r="1805" customFormat="false" ht="15" hidden="false" customHeight="false" outlineLevel="0" collapsed="false">
      <c r="A1805" s="0" t="s">
        <v>3001</v>
      </c>
      <c r="B1805" s="0" t="s">
        <v>832</v>
      </c>
      <c r="C1805" s="0" t="s">
        <v>632</v>
      </c>
      <c r="D1805" s="0" t="n">
        <v>0</v>
      </c>
      <c r="E1805" s="0" t="n">
        <v>1.137032964</v>
      </c>
      <c r="F1805" s="0" t="n">
        <v>1.332337443</v>
      </c>
      <c r="G1805" s="0" t="n">
        <v>1.139866726</v>
      </c>
      <c r="H1805" s="0" t="n">
        <v>1.188885721</v>
      </c>
    </row>
    <row r="1806" customFormat="false" ht="15" hidden="false" customHeight="false" outlineLevel="0" collapsed="false">
      <c r="A1806" s="0" t="s">
        <v>3002</v>
      </c>
      <c r="B1806" s="0" t="s">
        <v>772</v>
      </c>
      <c r="C1806" s="0" t="s">
        <v>632</v>
      </c>
      <c r="D1806" s="0" t="n">
        <v>0</v>
      </c>
      <c r="E1806" s="0" t="n">
        <v>2.593936341</v>
      </c>
      <c r="F1806" s="0" t="n">
        <v>3.426083641</v>
      </c>
      <c r="G1806" s="0" t="n">
        <v>5.081028215</v>
      </c>
      <c r="H1806" s="0" t="n">
        <v>4.579637703</v>
      </c>
    </row>
    <row r="1807" customFormat="false" ht="15" hidden="false" customHeight="false" outlineLevel="0" collapsed="false">
      <c r="A1807" s="0" t="s">
        <v>3003</v>
      </c>
      <c r="B1807" s="0" t="s">
        <v>848</v>
      </c>
      <c r="C1807" s="0" t="s">
        <v>632</v>
      </c>
      <c r="D1807" s="0" t="n">
        <v>0</v>
      </c>
      <c r="E1807" s="0" t="n">
        <v>0.4585438904</v>
      </c>
      <c r="F1807" s="0" t="n">
        <v>0.427382178</v>
      </c>
      <c r="G1807" s="0" t="n">
        <v>0.3206651176</v>
      </c>
      <c r="H1807" s="0" t="n">
        <v>0.3164986411</v>
      </c>
    </row>
    <row r="1808" customFormat="false" ht="15" hidden="false" customHeight="false" outlineLevel="0" collapsed="false">
      <c r="A1808" s="0" t="s">
        <v>3004</v>
      </c>
      <c r="B1808" s="0" t="s">
        <v>784</v>
      </c>
      <c r="C1808" s="0" t="s">
        <v>632</v>
      </c>
      <c r="D1808" s="0" t="n">
        <v>0</v>
      </c>
      <c r="E1808" s="0" t="n">
        <v>1.613236366</v>
      </c>
      <c r="F1808" s="0" t="n">
        <v>1.806571823</v>
      </c>
      <c r="G1808" s="0" t="n">
        <v>2.558877879</v>
      </c>
      <c r="H1808" s="0" t="n">
        <v>1.991498819</v>
      </c>
    </row>
    <row r="1809" customFormat="false" ht="15" hidden="false" customHeight="false" outlineLevel="0" collapsed="false">
      <c r="A1809" s="0" t="s">
        <v>3005</v>
      </c>
      <c r="B1809" s="0" t="s">
        <v>754</v>
      </c>
      <c r="C1809" s="0" t="s">
        <v>632</v>
      </c>
      <c r="D1809" s="0" t="n">
        <v>0</v>
      </c>
      <c r="E1809" s="0" t="n">
        <v>2.800924253</v>
      </c>
      <c r="F1809" s="0" t="n">
        <v>3.043986039</v>
      </c>
      <c r="G1809" s="0" t="n">
        <v>3.620916847</v>
      </c>
      <c r="H1809" s="0" t="n">
        <v>4.405720084</v>
      </c>
    </row>
    <row r="1810" customFormat="false" ht="15" hidden="false" customHeight="false" outlineLevel="0" collapsed="false">
      <c r="A1810" s="0" t="s">
        <v>3006</v>
      </c>
      <c r="B1810" s="0" t="s">
        <v>1062</v>
      </c>
      <c r="C1810" s="0" t="s">
        <v>632</v>
      </c>
      <c r="D1810" s="0" t="n">
        <v>0</v>
      </c>
      <c r="E1810" s="0" t="n">
        <v>0.005939158811</v>
      </c>
      <c r="F1810" s="0" t="n">
        <v>0.004436878934</v>
      </c>
      <c r="G1810" s="0" t="n">
        <v>0.003360311991</v>
      </c>
      <c r="H1810" s="0" t="n">
        <v>0.003357605729</v>
      </c>
    </row>
    <row r="1811" customFormat="false" ht="15" hidden="false" customHeight="false" outlineLevel="0" collapsed="false">
      <c r="A1811" s="0" t="s">
        <v>3007</v>
      </c>
      <c r="B1811" s="0" t="s">
        <v>912</v>
      </c>
      <c r="C1811" s="0" t="s">
        <v>632</v>
      </c>
      <c r="D1811" s="0" t="n">
        <v>0</v>
      </c>
      <c r="E1811" s="0" t="n">
        <v>0.1418222695</v>
      </c>
      <c r="F1811" s="0" t="n">
        <v>0.1272169525</v>
      </c>
      <c r="G1811" s="0" t="n">
        <v>0.1561879777</v>
      </c>
      <c r="H1811" s="0" t="n">
        <v>0.1968774037</v>
      </c>
    </row>
    <row r="1812" customFormat="false" ht="15" hidden="false" customHeight="false" outlineLevel="0" collapsed="false">
      <c r="A1812" s="0" t="s">
        <v>3008</v>
      </c>
      <c r="B1812" s="0" t="s">
        <v>732</v>
      </c>
      <c r="C1812" s="0" t="s">
        <v>632</v>
      </c>
      <c r="D1812" s="0" t="n">
        <v>0</v>
      </c>
      <c r="E1812" s="0" t="n">
        <v>7.468512279</v>
      </c>
      <c r="F1812" s="0" t="n">
        <v>7.719411253</v>
      </c>
      <c r="G1812" s="0" t="n">
        <v>7.326720962</v>
      </c>
      <c r="H1812" s="0" t="n">
        <v>7.941377859</v>
      </c>
    </row>
    <row r="1813" customFormat="false" ht="15" hidden="false" customHeight="false" outlineLevel="0" collapsed="false">
      <c r="A1813" s="0" t="s">
        <v>3009</v>
      </c>
      <c r="B1813" s="0" t="s">
        <v>834</v>
      </c>
      <c r="C1813" s="0" t="s">
        <v>632</v>
      </c>
      <c r="D1813" s="0" t="n">
        <v>0</v>
      </c>
      <c r="E1813" s="0" t="n">
        <v>0.5147029431</v>
      </c>
      <c r="F1813" s="0" t="n">
        <v>0.4299613263</v>
      </c>
      <c r="G1813" s="0" t="n">
        <v>0.282030696</v>
      </c>
      <c r="H1813" s="0" t="n">
        <v>0.2383647847</v>
      </c>
    </row>
    <row r="1814" customFormat="false" ht="15" hidden="false" customHeight="false" outlineLevel="0" collapsed="false">
      <c r="A1814" s="0" t="s">
        <v>3010</v>
      </c>
      <c r="B1814" s="0" t="s">
        <v>786</v>
      </c>
      <c r="C1814" s="0" t="s">
        <v>632</v>
      </c>
      <c r="D1814" s="0" t="n">
        <v>0</v>
      </c>
      <c r="E1814" s="0" t="n">
        <v>2.647058995</v>
      </c>
      <c r="F1814" s="0" t="n">
        <v>2.719851637</v>
      </c>
      <c r="G1814" s="0" t="n">
        <v>1.604683593</v>
      </c>
      <c r="H1814" s="0" t="n">
        <v>1.371517317</v>
      </c>
    </row>
    <row r="1815" customFormat="false" ht="15" hidden="false" customHeight="false" outlineLevel="0" collapsed="false">
      <c r="A1815" s="0" t="s">
        <v>3011</v>
      </c>
      <c r="B1815" s="0" t="s">
        <v>888</v>
      </c>
      <c r="C1815" s="0" t="s">
        <v>632</v>
      </c>
      <c r="D1815" s="0" t="n">
        <v>0</v>
      </c>
      <c r="E1815" s="0" t="n">
        <v>0.07010544458</v>
      </c>
      <c r="F1815" s="0" t="n">
        <v>0.05604590046</v>
      </c>
      <c r="G1815" s="0" t="n">
        <v>0.02667334812</v>
      </c>
      <c r="H1815" s="0" t="n">
        <v>0.2911916306</v>
      </c>
    </row>
    <row r="1816" customFormat="false" ht="15" hidden="false" customHeight="false" outlineLevel="0" collapsed="false">
      <c r="A1816" s="0" t="s">
        <v>3012</v>
      </c>
      <c r="B1816" s="0" t="s">
        <v>816</v>
      </c>
      <c r="C1816" s="0" t="s">
        <v>632</v>
      </c>
      <c r="D1816" s="0" t="n">
        <v>0</v>
      </c>
      <c r="E1816" s="0" t="n">
        <v>1.388685365</v>
      </c>
      <c r="F1816" s="0" t="n">
        <v>0.2620975323</v>
      </c>
      <c r="G1816" s="0" t="n">
        <v>0.2835688643</v>
      </c>
      <c r="H1816" s="0" t="n">
        <v>0.5963122347</v>
      </c>
    </row>
    <row r="1817" customFormat="false" ht="15" hidden="false" customHeight="false" outlineLevel="0" collapsed="false">
      <c r="A1817" s="0" t="s">
        <v>3013</v>
      </c>
      <c r="B1817" s="0" t="s">
        <v>776</v>
      </c>
      <c r="C1817" s="0" t="s">
        <v>632</v>
      </c>
      <c r="D1817" s="0" t="n">
        <v>0</v>
      </c>
      <c r="E1817" s="0" t="n">
        <v>1.100862083</v>
      </c>
      <c r="F1817" s="0" t="n">
        <v>1.320103647</v>
      </c>
      <c r="G1817" s="0" t="n">
        <v>1.979842768</v>
      </c>
      <c r="H1817" s="0" t="n">
        <v>1.829884857</v>
      </c>
    </row>
    <row r="1818" customFormat="false" ht="15" hidden="false" customHeight="false" outlineLevel="0" collapsed="false">
      <c r="A1818" s="0" t="s">
        <v>3014</v>
      </c>
      <c r="B1818" s="0" t="s">
        <v>714</v>
      </c>
      <c r="C1818" s="0" t="s">
        <v>632</v>
      </c>
      <c r="D1818" s="0" t="n">
        <v>0</v>
      </c>
      <c r="E1818" s="0" t="n">
        <v>8.855390931</v>
      </c>
      <c r="F1818" s="0" t="n">
        <v>11.51545095</v>
      </c>
      <c r="G1818" s="0" t="n">
        <v>17.73796188</v>
      </c>
      <c r="H1818" s="0" t="n">
        <v>20.9933957</v>
      </c>
    </row>
    <row r="1819" customFormat="false" ht="15" hidden="false" customHeight="false" outlineLevel="0" collapsed="false">
      <c r="A1819" s="0" t="s">
        <v>3015</v>
      </c>
      <c r="B1819" s="0" t="s">
        <v>958</v>
      </c>
      <c r="C1819" s="0" t="s">
        <v>632</v>
      </c>
      <c r="D1819" s="0" t="n">
        <v>0</v>
      </c>
      <c r="E1819" s="0" t="n">
        <v>0.03891025874</v>
      </c>
      <c r="F1819" s="0" t="n">
        <v>0.04677512209</v>
      </c>
      <c r="G1819" s="0" t="n">
        <v>0.05039376713</v>
      </c>
      <c r="H1819" s="0" t="n">
        <v>0.06426492055</v>
      </c>
    </row>
    <row r="1820" customFormat="false" ht="15" hidden="false" customHeight="false" outlineLevel="0" collapsed="false">
      <c r="A1820" s="0" t="s">
        <v>3016</v>
      </c>
      <c r="B1820" s="0" t="s">
        <v>728</v>
      </c>
      <c r="C1820" s="0" t="s">
        <v>632</v>
      </c>
      <c r="D1820" s="0" t="n">
        <v>0</v>
      </c>
      <c r="E1820" s="0" t="n">
        <v>11.67044069</v>
      </c>
      <c r="F1820" s="0" t="n">
        <v>10.15868876</v>
      </c>
      <c r="G1820" s="0" t="n">
        <v>8.585990873</v>
      </c>
      <c r="H1820" s="0" t="n">
        <v>8.424409499</v>
      </c>
    </row>
    <row r="1821" customFormat="false" ht="15" hidden="false" customHeight="false" outlineLevel="0" collapsed="false">
      <c r="A1821" s="0" t="s">
        <v>3017</v>
      </c>
      <c r="B1821" s="0" t="s">
        <v>932</v>
      </c>
      <c r="C1821" s="0" t="s">
        <v>632</v>
      </c>
      <c r="D1821" s="0" t="n">
        <v>0</v>
      </c>
      <c r="E1821" s="0" t="n">
        <v>0.3964043896</v>
      </c>
      <c r="F1821" s="0" t="n">
        <v>0.3433166</v>
      </c>
      <c r="G1821" s="0" t="n">
        <v>0.3975511225</v>
      </c>
      <c r="H1821" s="0" t="n">
        <v>0.4603771128</v>
      </c>
    </row>
    <row r="1822" customFormat="false" ht="15" hidden="false" customHeight="false" outlineLevel="0" collapsed="false">
      <c r="A1822" s="0" t="s">
        <v>3018</v>
      </c>
      <c r="B1822" s="0" t="s">
        <v>910</v>
      </c>
      <c r="C1822" s="0" t="s">
        <v>632</v>
      </c>
      <c r="D1822" s="0" t="n">
        <v>0</v>
      </c>
      <c r="E1822" s="0" t="n">
        <v>0.2604085738</v>
      </c>
      <c r="F1822" s="0" t="n">
        <v>0.1689946725</v>
      </c>
      <c r="G1822" s="0" t="n">
        <v>0.2288431549</v>
      </c>
      <c r="H1822" s="0" t="n">
        <v>0.2939549627</v>
      </c>
    </row>
    <row r="1823" customFormat="false" ht="15" hidden="false" customHeight="false" outlineLevel="0" collapsed="false">
      <c r="A1823" s="0" t="s">
        <v>3019</v>
      </c>
      <c r="B1823" s="0" t="s">
        <v>740</v>
      </c>
      <c r="C1823" s="0" t="s">
        <v>632</v>
      </c>
      <c r="D1823" s="0" t="n">
        <v>0</v>
      </c>
      <c r="E1823" s="0" t="n">
        <v>1.972852824</v>
      </c>
      <c r="F1823" s="0" t="n">
        <v>1.646532325</v>
      </c>
      <c r="G1823" s="0" t="n">
        <v>1.3377001</v>
      </c>
      <c r="H1823" s="0" t="n">
        <v>1.330136878</v>
      </c>
    </row>
    <row r="1824" customFormat="false" ht="15" hidden="false" customHeight="false" outlineLevel="0" collapsed="false">
      <c r="A1824" s="0" t="s">
        <v>3020</v>
      </c>
      <c r="B1824" s="0" t="s">
        <v>1042</v>
      </c>
      <c r="C1824" s="0" t="s">
        <v>632</v>
      </c>
      <c r="D1824" s="0" t="n">
        <v>0</v>
      </c>
      <c r="E1824" s="0" t="n">
        <v>0.007770225818</v>
      </c>
      <c r="F1824" s="0" t="n">
        <v>0.008680272721</v>
      </c>
      <c r="G1824" s="0" t="n">
        <v>0.008971951054</v>
      </c>
      <c r="H1824" s="0" t="n">
        <v>0.00836786894</v>
      </c>
    </row>
    <row r="1825" customFormat="false" ht="15" hidden="false" customHeight="false" outlineLevel="0" collapsed="false">
      <c r="A1825" s="0" t="s">
        <v>3021</v>
      </c>
      <c r="B1825" s="0" t="s">
        <v>998</v>
      </c>
      <c r="C1825" s="0" t="s">
        <v>632</v>
      </c>
      <c r="D1825" s="0" t="n">
        <v>0</v>
      </c>
      <c r="E1825" s="0" t="n">
        <v>0.01009141231</v>
      </c>
      <c r="F1825" s="0" t="n">
        <v>0.01168363207</v>
      </c>
      <c r="G1825" s="0" t="n">
        <v>0.01231440387</v>
      </c>
      <c r="H1825" s="0" t="n">
        <v>0.01449868602</v>
      </c>
    </row>
    <row r="1826" customFormat="false" ht="15" hidden="false" customHeight="false" outlineLevel="0" collapsed="false">
      <c r="A1826" s="0" t="s">
        <v>3022</v>
      </c>
      <c r="B1826" s="0" t="s">
        <v>908</v>
      </c>
      <c r="C1826" s="0" t="s">
        <v>632</v>
      </c>
      <c r="D1826" s="0" t="n">
        <v>0</v>
      </c>
      <c r="E1826" s="0" t="n">
        <v>0.1902405687</v>
      </c>
      <c r="F1826" s="0" t="n">
        <v>0.2039321895</v>
      </c>
      <c r="G1826" s="0" t="n">
        <v>0.2506746453</v>
      </c>
      <c r="H1826" s="0" t="n">
        <v>0.2950147472</v>
      </c>
    </row>
    <row r="1827" customFormat="false" ht="15" hidden="false" customHeight="false" outlineLevel="0" collapsed="false">
      <c r="A1827" s="0" t="s">
        <v>3023</v>
      </c>
      <c r="B1827" s="0" t="s">
        <v>984</v>
      </c>
      <c r="C1827" s="0" t="s">
        <v>632</v>
      </c>
      <c r="D1827" s="0" t="n">
        <v>0</v>
      </c>
      <c r="E1827" s="0" t="n">
        <v>0.01449399762</v>
      </c>
      <c r="F1827" s="0" t="n">
        <v>0.01577978344</v>
      </c>
      <c r="G1827" s="0" t="n">
        <v>0.01972192754</v>
      </c>
      <c r="H1827" s="0" t="n">
        <v>0.0246955832</v>
      </c>
    </row>
    <row r="1828" customFormat="false" ht="15" hidden="false" customHeight="false" outlineLevel="0" collapsed="false">
      <c r="A1828" s="0" t="s">
        <v>3024</v>
      </c>
      <c r="B1828" s="0" t="s">
        <v>852</v>
      </c>
      <c r="C1828" s="0" t="s">
        <v>632</v>
      </c>
      <c r="D1828" s="0" t="n">
        <v>0</v>
      </c>
      <c r="E1828" s="0" t="n">
        <v>0.5503523489</v>
      </c>
      <c r="F1828" s="0" t="n">
        <v>0.7113773882</v>
      </c>
      <c r="G1828" s="0" t="n">
        <v>0.8117499797</v>
      </c>
      <c r="H1828" s="0" t="n">
        <v>0.9334609869</v>
      </c>
    </row>
    <row r="1829" customFormat="false" ht="15" hidden="false" customHeight="false" outlineLevel="0" collapsed="false">
      <c r="A1829" s="0" t="s">
        <v>3025</v>
      </c>
      <c r="B1829" s="0" t="s">
        <v>1056</v>
      </c>
      <c r="C1829" s="0" t="s">
        <v>632</v>
      </c>
      <c r="D1829" s="0" t="n">
        <v>0</v>
      </c>
      <c r="E1829" s="0" t="n">
        <v>0.00160271973</v>
      </c>
      <c r="F1829" s="0" t="n">
        <v>0.002337560631</v>
      </c>
      <c r="G1829" s="0" t="n">
        <v>0.002841166969</v>
      </c>
      <c r="H1829" s="0" t="n">
        <v>0.003419354168</v>
      </c>
    </row>
    <row r="1830" customFormat="false" ht="15" hidden="false" customHeight="false" outlineLevel="0" collapsed="false">
      <c r="A1830" s="0" t="s">
        <v>3026</v>
      </c>
      <c r="B1830" s="0" t="s">
        <v>1016</v>
      </c>
      <c r="C1830" s="0" t="s">
        <v>632</v>
      </c>
      <c r="D1830" s="0" t="n">
        <v>0</v>
      </c>
      <c r="E1830" s="0" t="n">
        <v>0.0259980727</v>
      </c>
      <c r="F1830" s="0" t="n">
        <v>0.04647292382</v>
      </c>
      <c r="G1830" s="0" t="n">
        <v>0.04374236418</v>
      </c>
      <c r="H1830" s="0" t="n">
        <v>0.05622154915</v>
      </c>
    </row>
    <row r="1831" customFormat="false" ht="15" hidden="false" customHeight="false" outlineLevel="0" collapsed="false">
      <c r="A1831" s="0" t="s">
        <v>3027</v>
      </c>
      <c r="B1831" s="0" t="s">
        <v>822</v>
      </c>
      <c r="C1831" s="0" t="s">
        <v>632</v>
      </c>
      <c r="D1831" s="0" t="n">
        <v>0</v>
      </c>
      <c r="E1831" s="0" t="n">
        <v>0.692904131</v>
      </c>
      <c r="F1831" s="0" t="n">
        <v>0.6430354468</v>
      </c>
      <c r="G1831" s="0" t="n">
        <v>0.4525248383</v>
      </c>
      <c r="H1831" s="0" t="n">
        <v>0.4054587291</v>
      </c>
    </row>
    <row r="1832" customFormat="false" ht="15" hidden="false" customHeight="false" outlineLevel="0" collapsed="false">
      <c r="A1832" s="0" t="s">
        <v>3028</v>
      </c>
      <c r="B1832" s="0" t="s">
        <v>870</v>
      </c>
      <c r="C1832" s="0" t="s">
        <v>632</v>
      </c>
      <c r="D1832" s="0" t="n">
        <v>0</v>
      </c>
      <c r="E1832" s="0" t="n">
        <v>0.6102165753</v>
      </c>
      <c r="F1832" s="0" t="n">
        <v>0.6854188191</v>
      </c>
      <c r="G1832" s="0" t="n">
        <v>0.3944573729</v>
      </c>
      <c r="H1832" s="0" t="n">
        <v>0.3374062184</v>
      </c>
    </row>
    <row r="1833" customFormat="false" ht="15" hidden="false" customHeight="false" outlineLevel="0" collapsed="false">
      <c r="A1833" s="0" t="s">
        <v>3029</v>
      </c>
      <c r="B1833" s="0" t="s">
        <v>746</v>
      </c>
      <c r="C1833" s="0" t="s">
        <v>632</v>
      </c>
      <c r="D1833" s="0" t="n">
        <v>0</v>
      </c>
      <c r="E1833" s="0" t="n">
        <v>4.05372073</v>
      </c>
      <c r="F1833" s="0" t="n">
        <v>4.585028648</v>
      </c>
      <c r="G1833" s="0" t="n">
        <v>3.624469224</v>
      </c>
      <c r="H1833" s="0" t="n">
        <v>3.314189983</v>
      </c>
    </row>
    <row r="1834" customFormat="false" ht="15" hidden="false" customHeight="false" outlineLevel="0" collapsed="false">
      <c r="A1834" s="0" t="s">
        <v>3030</v>
      </c>
      <c r="B1834" s="0" t="s">
        <v>1010</v>
      </c>
      <c r="C1834" s="0" t="s">
        <v>632</v>
      </c>
      <c r="D1834" s="0" t="n">
        <v>0</v>
      </c>
      <c r="E1834" s="0" t="n">
        <v>0.02521521727</v>
      </c>
      <c r="F1834" s="0" t="n">
        <v>0.03174110391</v>
      </c>
      <c r="G1834" s="0" t="n">
        <v>0.03834442704</v>
      </c>
      <c r="H1834" s="0" t="n">
        <v>0.04570773337</v>
      </c>
    </row>
    <row r="1835" customFormat="false" ht="15" hidden="false" customHeight="false" outlineLevel="0" collapsed="false">
      <c r="A1835" s="0" t="s">
        <v>3031</v>
      </c>
      <c r="B1835" s="0" t="s">
        <v>1036</v>
      </c>
      <c r="C1835" s="0" t="s">
        <v>632</v>
      </c>
      <c r="D1835" s="0" t="n">
        <v>0</v>
      </c>
      <c r="E1835" s="0" t="n">
        <v>0.01924776293</v>
      </c>
      <c r="F1835" s="0" t="n">
        <v>0.01270124745</v>
      </c>
      <c r="G1835" s="0" t="n">
        <v>0.01194332029</v>
      </c>
      <c r="H1835" s="0" t="n">
        <v>0.01142686721</v>
      </c>
    </row>
    <row r="1836" customFormat="false" ht="15" hidden="false" customHeight="false" outlineLevel="0" collapsed="false">
      <c r="A1836" s="0" t="s">
        <v>3032</v>
      </c>
      <c r="B1836" s="0" t="s">
        <v>858</v>
      </c>
      <c r="C1836" s="0" t="s">
        <v>632</v>
      </c>
      <c r="D1836" s="0" t="n">
        <v>0</v>
      </c>
      <c r="E1836" s="0" t="n">
        <v>1.05165247</v>
      </c>
      <c r="F1836" s="0" t="n">
        <v>1.230046703</v>
      </c>
      <c r="G1836" s="0" t="n">
        <v>1.771372555</v>
      </c>
      <c r="H1836" s="0" t="n">
        <v>2.371102664</v>
      </c>
    </row>
    <row r="1837" customFormat="false" ht="15" hidden="false" customHeight="false" outlineLevel="0" collapsed="false">
      <c r="A1837" s="0" t="s">
        <v>3033</v>
      </c>
      <c r="B1837" s="0" t="s">
        <v>942</v>
      </c>
      <c r="C1837" s="0" t="s">
        <v>632</v>
      </c>
      <c r="D1837" s="0" t="n">
        <v>0</v>
      </c>
      <c r="E1837" s="0" t="n">
        <v>0.02296577088</v>
      </c>
      <c r="F1837" s="0" t="n">
        <v>0.02617439723</v>
      </c>
      <c r="G1837" s="0" t="n">
        <v>0.03157445924</v>
      </c>
      <c r="H1837" s="0" t="n">
        <v>0.04006791194</v>
      </c>
    </row>
    <row r="1838" customFormat="false" ht="15" hidden="false" customHeight="false" outlineLevel="0" collapsed="false">
      <c r="A1838" s="0" t="s">
        <v>3034</v>
      </c>
      <c r="B1838" s="0" t="s">
        <v>986</v>
      </c>
      <c r="C1838" s="0" t="s">
        <v>632</v>
      </c>
      <c r="D1838" s="0" t="n">
        <v>0</v>
      </c>
      <c r="E1838" s="0" t="n">
        <v>0.06264636136</v>
      </c>
      <c r="F1838" s="0" t="n">
        <v>0.06176288006</v>
      </c>
      <c r="G1838" s="0" t="n">
        <v>0.06229651512</v>
      </c>
      <c r="H1838" s="0" t="n">
        <v>0.07672083595</v>
      </c>
    </row>
    <row r="1839" customFormat="false" ht="15" hidden="false" customHeight="false" outlineLevel="0" collapsed="false">
      <c r="A1839" s="0" t="s">
        <v>3035</v>
      </c>
      <c r="B1839" s="0" t="s">
        <v>752</v>
      </c>
      <c r="C1839" s="0" t="s">
        <v>632</v>
      </c>
      <c r="D1839" s="0" t="n">
        <v>0</v>
      </c>
      <c r="E1839" s="0" t="n">
        <v>3.561520214</v>
      </c>
      <c r="F1839" s="0" t="n">
        <v>3.371512552</v>
      </c>
      <c r="G1839" s="0" t="n">
        <v>4.19338767</v>
      </c>
      <c r="H1839" s="0" t="n">
        <v>4.782769731</v>
      </c>
    </row>
    <row r="1840" customFormat="false" ht="15" hidden="false" customHeight="false" outlineLevel="0" collapsed="false">
      <c r="A1840" s="0" t="s">
        <v>3036</v>
      </c>
      <c r="B1840" s="0" t="s">
        <v>968</v>
      </c>
      <c r="C1840" s="0" t="s">
        <v>632</v>
      </c>
      <c r="D1840" s="0" t="n">
        <v>0</v>
      </c>
      <c r="E1840" s="0" t="n">
        <v>0.2963446294</v>
      </c>
      <c r="F1840" s="0" t="n">
        <v>0.4376869511</v>
      </c>
      <c r="G1840" s="0" t="n">
        <v>0.524394702</v>
      </c>
      <c r="H1840" s="0" t="n">
        <v>0.6631004746</v>
      </c>
    </row>
    <row r="1841" customFormat="false" ht="15" hidden="false" customHeight="false" outlineLevel="0" collapsed="false">
      <c r="A1841" s="0" t="s">
        <v>3037</v>
      </c>
      <c r="B1841" s="0" t="s">
        <v>872</v>
      </c>
      <c r="C1841" s="0" t="s">
        <v>632</v>
      </c>
      <c r="D1841" s="0" t="n">
        <v>0</v>
      </c>
      <c r="E1841" s="0" t="n">
        <v>0.3281157304</v>
      </c>
      <c r="F1841" s="0" t="n">
        <v>0.3175599477</v>
      </c>
      <c r="G1841" s="0" t="n">
        <v>0.3536920145</v>
      </c>
      <c r="H1841" s="0" t="n">
        <v>0.4142097345</v>
      </c>
    </row>
    <row r="1842" customFormat="false" ht="15" hidden="false" customHeight="false" outlineLevel="0" collapsed="false">
      <c r="A1842" s="0" t="s">
        <v>3038</v>
      </c>
      <c r="B1842" s="0" t="s">
        <v>1040</v>
      </c>
      <c r="C1842" s="0" t="s">
        <v>632</v>
      </c>
      <c r="D1842" s="0" t="n">
        <v>0</v>
      </c>
      <c r="E1842" s="0" t="n">
        <v>0.01136080195</v>
      </c>
      <c r="F1842" s="0" t="n">
        <v>0.01212902337</v>
      </c>
      <c r="G1842" s="0" t="n">
        <v>0.01326013621</v>
      </c>
      <c r="H1842" s="0" t="n">
        <v>0.01632788836</v>
      </c>
    </row>
    <row r="1843" customFormat="false" ht="15" hidden="false" customHeight="false" outlineLevel="0" collapsed="false">
      <c r="A1843" s="0" t="s">
        <v>3039</v>
      </c>
      <c r="B1843" s="0" t="s">
        <v>1060</v>
      </c>
      <c r="C1843" s="0" t="s">
        <v>632</v>
      </c>
      <c r="D1843" s="0" t="n">
        <v>0</v>
      </c>
      <c r="E1843" s="0" t="n">
        <v>0.003187868646</v>
      </c>
      <c r="F1843" s="0" t="n">
        <v>0.003165123912</v>
      </c>
      <c r="G1843" s="0" t="n">
        <v>0.003101798748</v>
      </c>
      <c r="H1843" s="0" t="n">
        <v>0.003447319463</v>
      </c>
    </row>
    <row r="1844" customFormat="false" ht="15" hidden="false" customHeight="false" outlineLevel="0" collapsed="false">
      <c r="A1844" s="0" t="s">
        <v>3040</v>
      </c>
      <c r="B1844" s="0" t="s">
        <v>944</v>
      </c>
      <c r="C1844" s="0" t="s">
        <v>632</v>
      </c>
      <c r="D1844" s="0" t="n">
        <v>0</v>
      </c>
      <c r="E1844" s="0" t="n">
        <v>0.1269575912</v>
      </c>
      <c r="F1844" s="0" t="n">
        <v>0.1317785499</v>
      </c>
      <c r="G1844" s="0" t="n">
        <v>0.1433357433</v>
      </c>
      <c r="H1844" s="0" t="n">
        <v>0.1515409611</v>
      </c>
    </row>
    <row r="1845" customFormat="false" ht="15" hidden="false" customHeight="false" outlineLevel="0" collapsed="false">
      <c r="A1845" s="0" t="s">
        <v>3041</v>
      </c>
      <c r="B1845" s="0" t="s">
        <v>884</v>
      </c>
      <c r="C1845" s="0" t="s">
        <v>632</v>
      </c>
      <c r="D1845" s="0" t="n">
        <v>0</v>
      </c>
      <c r="E1845" s="0" t="n">
        <v>0.4229414305</v>
      </c>
      <c r="F1845" s="0" t="n">
        <v>0.4584148048</v>
      </c>
      <c r="G1845" s="0" t="n">
        <v>0.6226571696</v>
      </c>
      <c r="H1845" s="0" t="n">
        <v>0.7737935804</v>
      </c>
    </row>
    <row r="1846" customFormat="false" ht="15" hidden="false" customHeight="false" outlineLevel="0" collapsed="false">
      <c r="A1846" s="0" t="s">
        <v>3042</v>
      </c>
      <c r="B1846" s="0" t="s">
        <v>726</v>
      </c>
      <c r="C1846" s="0" t="s">
        <v>632</v>
      </c>
      <c r="D1846" s="0" t="n">
        <v>0</v>
      </c>
      <c r="E1846" s="0" t="n">
        <v>8.476003356</v>
      </c>
      <c r="F1846" s="0" t="n">
        <v>8.777885675</v>
      </c>
      <c r="G1846" s="0" t="n">
        <v>9.279298536</v>
      </c>
      <c r="H1846" s="0" t="n">
        <v>10.14536352</v>
      </c>
    </row>
    <row r="1847" customFormat="false" ht="15" hidden="false" customHeight="false" outlineLevel="0" collapsed="false">
      <c r="A1847" s="0" t="s">
        <v>3043</v>
      </c>
      <c r="B1847" s="0" t="s">
        <v>842</v>
      </c>
      <c r="C1847" s="0" t="s">
        <v>632</v>
      </c>
      <c r="D1847" s="0" t="n">
        <v>0</v>
      </c>
      <c r="E1847" s="0" t="n">
        <v>0.2541716344</v>
      </c>
      <c r="F1847" s="0" t="n">
        <v>0.2902784142</v>
      </c>
      <c r="G1847" s="0" t="n">
        <v>0.3018392521</v>
      </c>
      <c r="H1847" s="0" t="n">
        <v>0.3794785511</v>
      </c>
    </row>
    <row r="1848" customFormat="false" ht="15" hidden="false" customHeight="false" outlineLevel="0" collapsed="false">
      <c r="A1848" s="0" t="s">
        <v>3044</v>
      </c>
      <c r="B1848" s="0" t="s">
        <v>866</v>
      </c>
      <c r="C1848" s="0" t="s">
        <v>632</v>
      </c>
      <c r="D1848" s="0" t="n">
        <v>0</v>
      </c>
      <c r="E1848" s="0" t="n">
        <v>0.1604578255</v>
      </c>
      <c r="F1848" s="0" t="n">
        <v>0.2133104574</v>
      </c>
      <c r="G1848" s="0" t="n">
        <v>0.2251346056</v>
      </c>
      <c r="H1848" s="0" t="n">
        <v>0.2705429525</v>
      </c>
    </row>
    <row r="1849" customFormat="false" ht="15" hidden="false" customHeight="false" outlineLevel="0" collapsed="false">
      <c r="A1849" s="0" t="s">
        <v>3045</v>
      </c>
      <c r="B1849" s="0" t="s">
        <v>804</v>
      </c>
      <c r="C1849" s="0" t="s">
        <v>632</v>
      </c>
      <c r="D1849" s="0" t="n">
        <v>0</v>
      </c>
      <c r="E1849" s="0" t="n">
        <v>2.547643703</v>
      </c>
      <c r="F1849" s="0" t="n">
        <v>3.398232931</v>
      </c>
      <c r="G1849" s="0" t="n">
        <v>4.227389652</v>
      </c>
      <c r="H1849" s="0" t="n">
        <v>4.951698236</v>
      </c>
    </row>
    <row r="1850" customFormat="false" ht="15" hidden="false" customHeight="false" outlineLevel="0" collapsed="false">
      <c r="A1850" s="0" t="s">
        <v>3046</v>
      </c>
      <c r="B1850" s="0" t="s">
        <v>860</v>
      </c>
      <c r="C1850" s="0" t="s">
        <v>632</v>
      </c>
      <c r="D1850" s="0" t="n">
        <v>0</v>
      </c>
      <c r="E1850" s="0" t="n">
        <v>0.3711009996</v>
      </c>
      <c r="F1850" s="0" t="n">
        <v>0.2301503442</v>
      </c>
      <c r="G1850" s="0" t="n">
        <v>0.1908075454</v>
      </c>
      <c r="H1850" s="0" t="n">
        <v>0.1718137515</v>
      </c>
    </row>
    <row r="1851" customFormat="false" ht="15" hidden="false" customHeight="false" outlineLevel="0" collapsed="false">
      <c r="A1851" s="0" t="s">
        <v>3047</v>
      </c>
      <c r="B1851" s="0" t="s">
        <v>693</v>
      </c>
      <c r="C1851" s="0" t="s">
        <v>632</v>
      </c>
      <c r="D1851" s="0" t="n">
        <v>0</v>
      </c>
      <c r="E1851" s="0" t="n">
        <v>223.137264</v>
      </c>
      <c r="F1851" s="0" t="n">
        <v>206.544493</v>
      </c>
      <c r="G1851" s="0" t="n">
        <v>153.2539712</v>
      </c>
      <c r="H1851" s="0" t="n">
        <v>137.0151134</v>
      </c>
    </row>
    <row r="1852" customFormat="false" ht="15" hidden="false" customHeight="false" outlineLevel="0" collapsed="false">
      <c r="A1852" s="0" t="s">
        <v>3048</v>
      </c>
      <c r="B1852" s="0" t="s">
        <v>810</v>
      </c>
      <c r="C1852" s="0" t="s">
        <v>632</v>
      </c>
      <c r="D1852" s="0" t="n">
        <v>0</v>
      </c>
      <c r="E1852" s="0" t="n">
        <v>2.784549451</v>
      </c>
      <c r="F1852" s="0" t="n">
        <v>3.021729403</v>
      </c>
      <c r="G1852" s="0" t="n">
        <v>3.524512781</v>
      </c>
      <c r="H1852" s="0" t="n">
        <v>4.370277667</v>
      </c>
    </row>
    <row r="1853" customFormat="false" ht="15" hidden="false" customHeight="false" outlineLevel="0" collapsed="false">
      <c r="A1853" s="0" t="s">
        <v>3049</v>
      </c>
      <c r="B1853" s="0" t="s">
        <v>1052</v>
      </c>
      <c r="C1853" s="0" t="s">
        <v>632</v>
      </c>
      <c r="D1853" s="0" t="n">
        <v>0</v>
      </c>
      <c r="E1853" s="0" t="n">
        <v>0.004069730523</v>
      </c>
      <c r="F1853" s="0" t="n">
        <v>0.0041693617</v>
      </c>
      <c r="G1853" s="0" t="n">
        <v>0.004327753104</v>
      </c>
      <c r="H1853" s="0" t="n">
        <v>0.005018144981</v>
      </c>
    </row>
    <row r="1854" customFormat="false" ht="15" hidden="false" customHeight="false" outlineLevel="0" collapsed="false">
      <c r="A1854" s="0" t="s">
        <v>3050</v>
      </c>
      <c r="B1854" s="0" t="s">
        <v>820</v>
      </c>
      <c r="C1854" s="0" t="s">
        <v>632</v>
      </c>
      <c r="D1854" s="0" t="n">
        <v>0</v>
      </c>
      <c r="E1854" s="0" t="n">
        <v>1.23524796</v>
      </c>
      <c r="F1854" s="0" t="n">
        <v>1.476488389</v>
      </c>
      <c r="G1854" s="0" t="n">
        <v>1.525617181</v>
      </c>
      <c r="H1854" s="0" t="n">
        <v>1.699299697</v>
      </c>
    </row>
    <row r="1855" customFormat="false" ht="15" hidden="false" customHeight="false" outlineLevel="0" collapsed="false">
      <c r="A1855" s="0" t="s">
        <v>3051</v>
      </c>
      <c r="B1855" s="0" t="s">
        <v>744</v>
      </c>
      <c r="C1855" s="0" t="s">
        <v>632</v>
      </c>
      <c r="D1855" s="0" t="n">
        <v>0</v>
      </c>
      <c r="E1855" s="0" t="n">
        <v>7.879752643</v>
      </c>
      <c r="F1855" s="0" t="n">
        <v>8.23891543</v>
      </c>
      <c r="G1855" s="0" t="n">
        <v>8.458268855</v>
      </c>
      <c r="H1855" s="0" t="n">
        <v>10.29624254</v>
      </c>
    </row>
    <row r="1856" customFormat="false" ht="15" hidden="false" customHeight="false" outlineLevel="0" collapsed="false">
      <c r="A1856" s="0" t="s">
        <v>3052</v>
      </c>
      <c r="B1856" s="0" t="s">
        <v>1048</v>
      </c>
      <c r="C1856" s="0" t="s">
        <v>632</v>
      </c>
      <c r="D1856" s="0" t="n">
        <v>0</v>
      </c>
      <c r="E1856" s="0" t="n">
        <v>0.005091214875</v>
      </c>
      <c r="F1856" s="0" t="n">
        <v>0.00578432877</v>
      </c>
      <c r="G1856" s="0" t="n">
        <v>0.005711620773</v>
      </c>
      <c r="H1856" s="0" t="n">
        <v>0.006657200725</v>
      </c>
    </row>
    <row r="1857" customFormat="false" ht="15" hidden="false" customHeight="false" outlineLevel="0" collapsed="false">
      <c r="A1857" s="0" t="s">
        <v>3053</v>
      </c>
      <c r="B1857" s="0" t="s">
        <v>1050</v>
      </c>
      <c r="C1857" s="0" t="s">
        <v>632</v>
      </c>
      <c r="D1857" s="0" t="n">
        <v>0</v>
      </c>
      <c r="E1857" s="0" t="n">
        <v>0.006677670317</v>
      </c>
      <c r="F1857" s="0" t="n">
        <v>0.00625750169</v>
      </c>
      <c r="G1857" s="0" t="n">
        <v>0.005925908901</v>
      </c>
      <c r="H1857" s="0" t="n">
        <v>0.006446094436</v>
      </c>
    </row>
    <row r="1858" customFormat="false" ht="15" hidden="false" customHeight="false" outlineLevel="0" collapsed="false">
      <c r="A1858" s="0" t="s">
        <v>3054</v>
      </c>
      <c r="B1858" s="0" t="s">
        <v>990</v>
      </c>
      <c r="C1858" s="0" t="s">
        <v>632</v>
      </c>
      <c r="D1858" s="0" t="n">
        <v>0</v>
      </c>
      <c r="E1858" s="0" t="n">
        <v>0.1325203884</v>
      </c>
      <c r="F1858" s="0" t="n">
        <v>0.1419472736</v>
      </c>
      <c r="G1858" s="0" t="n">
        <v>0.1739440725</v>
      </c>
      <c r="H1858" s="0" t="n">
        <v>0.2025899075</v>
      </c>
    </row>
    <row r="1859" customFormat="false" ht="15" hidden="false" customHeight="false" outlineLevel="0" collapsed="false">
      <c r="A1859" s="0" t="s">
        <v>3055</v>
      </c>
      <c r="B1859" s="0" t="s">
        <v>1004</v>
      </c>
      <c r="C1859" s="0" t="s">
        <v>632</v>
      </c>
      <c r="D1859" s="0" t="n">
        <v>0</v>
      </c>
      <c r="E1859" s="0" t="n">
        <v>0.0807680372</v>
      </c>
      <c r="F1859" s="0" t="n">
        <v>0.1202057274</v>
      </c>
      <c r="G1859" s="0" t="n">
        <v>0.1950171872</v>
      </c>
      <c r="H1859" s="0" t="n">
        <v>0.2529413115</v>
      </c>
    </row>
    <row r="1860" customFormat="false" ht="15" hidden="false" customHeight="false" outlineLevel="0" collapsed="false">
      <c r="A1860" s="0" t="s">
        <v>3056</v>
      </c>
      <c r="B1860" s="0" t="s">
        <v>774</v>
      </c>
      <c r="C1860" s="0" t="s">
        <v>632</v>
      </c>
      <c r="D1860" s="0" t="n">
        <v>0</v>
      </c>
      <c r="E1860" s="0" t="n">
        <v>3.859937464</v>
      </c>
      <c r="F1860" s="0" t="n">
        <v>4.151631801</v>
      </c>
      <c r="G1860" s="0" t="n">
        <v>5.31066961</v>
      </c>
      <c r="H1860" s="0" t="n">
        <v>5.689524616</v>
      </c>
    </row>
    <row r="1861" customFormat="false" ht="15" hidden="false" customHeight="false" outlineLevel="0" collapsed="false">
      <c r="A1861" s="0" t="s">
        <v>3057</v>
      </c>
      <c r="B1861" s="0" t="s">
        <v>930</v>
      </c>
      <c r="C1861" s="0" t="s">
        <v>632</v>
      </c>
      <c r="D1861" s="0" t="n">
        <v>0</v>
      </c>
      <c r="E1861" s="0" t="n">
        <v>0.2989818693</v>
      </c>
      <c r="F1861" s="0" t="n">
        <v>0.3938805419</v>
      </c>
      <c r="G1861" s="0" t="n">
        <v>0.4933459661</v>
      </c>
      <c r="H1861" s="0" t="n">
        <v>0.604845323</v>
      </c>
    </row>
    <row r="1862" customFormat="false" ht="15" hidden="false" customHeight="false" outlineLevel="0" collapsed="false">
      <c r="A1862" s="0" t="s">
        <v>3058</v>
      </c>
      <c r="B1862" s="0" t="s">
        <v>878</v>
      </c>
      <c r="C1862" s="0" t="s">
        <v>632</v>
      </c>
      <c r="D1862" s="0" t="n">
        <v>0</v>
      </c>
      <c r="E1862" s="0" t="n">
        <v>0.423590163</v>
      </c>
      <c r="F1862" s="0" t="n">
        <v>0.3601273033</v>
      </c>
      <c r="G1862" s="0" t="n">
        <v>0.4530344615</v>
      </c>
      <c r="H1862" s="0" t="n">
        <v>0.5846816177</v>
      </c>
    </row>
    <row r="1863" customFormat="false" ht="15" hidden="false" customHeight="false" outlineLevel="0" collapsed="false">
      <c r="A1863" s="0" t="s">
        <v>3059</v>
      </c>
      <c r="B1863" s="0" t="s">
        <v>1018</v>
      </c>
      <c r="C1863" s="0" t="s">
        <v>634</v>
      </c>
      <c r="D1863" s="0" t="n">
        <v>0</v>
      </c>
      <c r="E1863" s="0" t="n">
        <v>0.1350995468</v>
      </c>
      <c r="F1863" s="0" t="n">
        <v>0.1481040124</v>
      </c>
      <c r="G1863" s="0" t="n">
        <v>0.2092649205</v>
      </c>
      <c r="H1863" s="0" t="n">
        <v>0.1821928635</v>
      </c>
    </row>
    <row r="1864" customFormat="false" ht="15" hidden="false" customHeight="false" outlineLevel="0" collapsed="false">
      <c r="A1864" s="0" t="s">
        <v>3060</v>
      </c>
      <c r="B1864" s="0" t="s">
        <v>962</v>
      </c>
      <c r="C1864" s="0" t="s">
        <v>634</v>
      </c>
      <c r="D1864" s="0" t="n">
        <v>0</v>
      </c>
      <c r="E1864" s="0" t="n">
        <v>0.4290110291</v>
      </c>
      <c r="F1864" s="0" t="n">
        <v>0.8548437944</v>
      </c>
      <c r="G1864" s="0" t="n">
        <v>1.249343302</v>
      </c>
      <c r="H1864" s="0" t="n">
        <v>1.596907739</v>
      </c>
    </row>
    <row r="1865" customFormat="false" ht="15" hidden="false" customHeight="false" outlineLevel="0" collapsed="false">
      <c r="A1865" s="0" t="s">
        <v>3061</v>
      </c>
      <c r="B1865" s="0" t="s">
        <v>828</v>
      </c>
      <c r="C1865" s="0" t="s">
        <v>634</v>
      </c>
      <c r="D1865" s="0" t="n">
        <v>0</v>
      </c>
      <c r="E1865" s="0" t="n">
        <v>1.681934167</v>
      </c>
      <c r="F1865" s="0" t="n">
        <v>4.339707695</v>
      </c>
      <c r="G1865" s="0" t="n">
        <v>5.534687102</v>
      </c>
      <c r="H1865" s="0" t="n">
        <v>6.441495738</v>
      </c>
    </row>
    <row r="1866" customFormat="false" ht="15" hidden="false" customHeight="false" outlineLevel="0" collapsed="false">
      <c r="A1866" s="0" t="s">
        <v>3062</v>
      </c>
      <c r="B1866" s="0" t="s">
        <v>926</v>
      </c>
      <c r="C1866" s="0" t="s">
        <v>634</v>
      </c>
      <c r="D1866" s="0" t="n">
        <v>0</v>
      </c>
      <c r="E1866" s="0" t="n">
        <v>0.3081280548</v>
      </c>
      <c r="F1866" s="0" t="n">
        <v>0.4328962624</v>
      </c>
      <c r="G1866" s="0" t="n">
        <v>0.5726836861</v>
      </c>
      <c r="H1866" s="0" t="n">
        <v>0.6900204055</v>
      </c>
    </row>
    <row r="1867" customFormat="false" ht="15" hidden="false" customHeight="false" outlineLevel="0" collapsed="false">
      <c r="A1867" s="0" t="s">
        <v>3063</v>
      </c>
      <c r="B1867" s="0" t="s">
        <v>748</v>
      </c>
      <c r="C1867" s="0" t="s">
        <v>634</v>
      </c>
      <c r="D1867" s="0" t="n">
        <v>0</v>
      </c>
      <c r="E1867" s="0" t="n">
        <v>17.55204574</v>
      </c>
      <c r="F1867" s="0" t="n">
        <v>20.39857816</v>
      </c>
      <c r="G1867" s="0" t="n">
        <v>28.26739949</v>
      </c>
      <c r="H1867" s="0" t="n">
        <v>26.78708996</v>
      </c>
    </row>
    <row r="1868" customFormat="false" ht="15" hidden="false" customHeight="false" outlineLevel="0" collapsed="false">
      <c r="A1868" s="0" t="s">
        <v>3064</v>
      </c>
      <c r="B1868" s="0" t="s">
        <v>736</v>
      </c>
      <c r="C1868" s="0" t="s">
        <v>634</v>
      </c>
      <c r="D1868" s="0" t="n">
        <v>0</v>
      </c>
      <c r="E1868" s="0" t="n">
        <v>12.28325173</v>
      </c>
      <c r="F1868" s="0" t="n">
        <v>18.02556055</v>
      </c>
      <c r="G1868" s="0" t="n">
        <v>22.3583496</v>
      </c>
      <c r="H1868" s="0" t="n">
        <v>22.31981718</v>
      </c>
    </row>
    <row r="1869" customFormat="false" ht="15" hidden="false" customHeight="false" outlineLevel="0" collapsed="false">
      <c r="A1869" s="0" t="s">
        <v>3065</v>
      </c>
      <c r="B1869" s="0" t="s">
        <v>920</v>
      </c>
      <c r="C1869" s="0" t="s">
        <v>634</v>
      </c>
      <c r="D1869" s="0" t="n">
        <v>0</v>
      </c>
      <c r="E1869" s="0" t="n">
        <v>0.852994304</v>
      </c>
      <c r="F1869" s="0" t="n">
        <v>1.015423792</v>
      </c>
      <c r="G1869" s="0" t="n">
        <v>1.343095649</v>
      </c>
      <c r="H1869" s="0" t="n">
        <v>1.405674914</v>
      </c>
    </row>
    <row r="1870" customFormat="false" ht="15" hidden="false" customHeight="false" outlineLevel="0" collapsed="false">
      <c r="A1870" s="0" t="s">
        <v>3066</v>
      </c>
      <c r="B1870" s="0" t="s">
        <v>1038</v>
      </c>
      <c r="C1870" s="0" t="s">
        <v>634</v>
      </c>
      <c r="D1870" s="0" t="n">
        <v>0</v>
      </c>
      <c r="E1870" s="0" t="n">
        <v>0.07180809817</v>
      </c>
      <c r="F1870" s="0" t="n">
        <v>0.0942476628</v>
      </c>
      <c r="G1870" s="0" t="n">
        <v>0.1364634955</v>
      </c>
      <c r="H1870" s="0" t="n">
        <v>0.1250668046</v>
      </c>
    </row>
    <row r="1871" customFormat="false" ht="15" hidden="false" customHeight="false" outlineLevel="0" collapsed="false">
      <c r="A1871" s="0" t="s">
        <v>3067</v>
      </c>
      <c r="B1871" s="0" t="s">
        <v>718</v>
      </c>
      <c r="C1871" s="0" t="s">
        <v>634</v>
      </c>
      <c r="D1871" s="0" t="n">
        <v>0</v>
      </c>
      <c r="E1871" s="0" t="n">
        <v>45.58365611</v>
      </c>
      <c r="F1871" s="0" t="n">
        <v>64.35535537</v>
      </c>
      <c r="G1871" s="0" t="n">
        <v>53.72509617</v>
      </c>
      <c r="H1871" s="0" t="n">
        <v>50.32681493</v>
      </c>
    </row>
    <row r="1872" customFormat="false" ht="15" hidden="false" customHeight="false" outlineLevel="0" collapsed="false">
      <c r="A1872" s="0" t="s">
        <v>3068</v>
      </c>
      <c r="B1872" s="0" t="s">
        <v>758</v>
      </c>
      <c r="C1872" s="0" t="s">
        <v>634</v>
      </c>
      <c r="D1872" s="0" t="n">
        <v>0</v>
      </c>
      <c r="E1872" s="0" t="n">
        <v>7.801943925</v>
      </c>
      <c r="F1872" s="0" t="n">
        <v>9.699200835</v>
      </c>
      <c r="G1872" s="0" t="n">
        <v>9.1758661</v>
      </c>
      <c r="H1872" s="0" t="n">
        <v>8.224747216</v>
      </c>
    </row>
    <row r="1873" customFormat="false" ht="15" hidden="false" customHeight="false" outlineLevel="0" collapsed="false">
      <c r="A1873" s="0" t="s">
        <v>3069</v>
      </c>
      <c r="B1873" s="0" t="s">
        <v>868</v>
      </c>
      <c r="C1873" s="0" t="s">
        <v>634</v>
      </c>
      <c r="D1873" s="0" t="n">
        <v>0</v>
      </c>
      <c r="E1873" s="0" t="n">
        <v>2.284638144</v>
      </c>
      <c r="F1873" s="0" t="n">
        <v>3.406626351</v>
      </c>
      <c r="G1873" s="0" t="n">
        <v>5.793989707</v>
      </c>
      <c r="H1873" s="0" t="n">
        <v>5.452255202</v>
      </c>
    </row>
    <row r="1874" customFormat="false" ht="15" hidden="false" customHeight="false" outlineLevel="0" collapsed="false">
      <c r="A1874" s="0" t="s">
        <v>3070</v>
      </c>
      <c r="B1874" s="0" t="s">
        <v>1012</v>
      </c>
      <c r="C1874" s="0" t="s">
        <v>634</v>
      </c>
      <c r="D1874" s="0" t="n">
        <v>0</v>
      </c>
      <c r="E1874" s="0" t="n">
        <v>0.07254840561</v>
      </c>
      <c r="F1874" s="0" t="n">
        <v>0.301155536</v>
      </c>
      <c r="G1874" s="0" t="n">
        <v>0.3819568235</v>
      </c>
      <c r="H1874" s="0" t="n">
        <v>0.4451922199</v>
      </c>
    </row>
    <row r="1875" customFormat="false" ht="15" hidden="false" customHeight="false" outlineLevel="0" collapsed="false">
      <c r="A1875" s="0" t="s">
        <v>3071</v>
      </c>
      <c r="B1875" s="0" t="s">
        <v>742</v>
      </c>
      <c r="C1875" s="0" t="s">
        <v>634</v>
      </c>
      <c r="D1875" s="0" t="n">
        <v>0</v>
      </c>
      <c r="E1875" s="0" t="n">
        <v>11.98632922</v>
      </c>
      <c r="F1875" s="0" t="n">
        <v>14.29791752</v>
      </c>
      <c r="G1875" s="0" t="n">
        <v>13.97959423</v>
      </c>
      <c r="H1875" s="0" t="n">
        <v>10.97757608</v>
      </c>
    </row>
    <row r="1876" customFormat="false" ht="15" hidden="false" customHeight="false" outlineLevel="0" collapsed="false">
      <c r="A1876" s="0" t="s">
        <v>3072</v>
      </c>
      <c r="B1876" s="0" t="s">
        <v>934</v>
      </c>
      <c r="C1876" s="0" t="s">
        <v>634</v>
      </c>
      <c r="D1876" s="0" t="n">
        <v>0</v>
      </c>
      <c r="E1876" s="0" t="n">
        <v>0.3407202351</v>
      </c>
      <c r="F1876" s="0" t="n">
        <v>1.110547117</v>
      </c>
      <c r="G1876" s="0" t="n">
        <v>1.479217074</v>
      </c>
      <c r="H1876" s="0" t="n">
        <v>1.683539594</v>
      </c>
    </row>
    <row r="1877" customFormat="false" ht="15" hidden="false" customHeight="false" outlineLevel="0" collapsed="false">
      <c r="A1877" s="0" t="s">
        <v>3073</v>
      </c>
      <c r="B1877" s="0" t="s">
        <v>938</v>
      </c>
      <c r="C1877" s="0" t="s">
        <v>634</v>
      </c>
      <c r="D1877" s="0" t="n">
        <v>0</v>
      </c>
      <c r="E1877" s="0" t="n">
        <v>0.5824182247</v>
      </c>
      <c r="F1877" s="0" t="n">
        <v>2.104678949</v>
      </c>
      <c r="G1877" s="0" t="n">
        <v>2.750409395</v>
      </c>
      <c r="H1877" s="0" t="n">
        <v>3.094239127</v>
      </c>
    </row>
    <row r="1878" customFormat="false" ht="15" hidden="false" customHeight="false" outlineLevel="0" collapsed="false">
      <c r="A1878" s="0" t="s">
        <v>3074</v>
      </c>
      <c r="B1878" s="0" t="s">
        <v>756</v>
      </c>
      <c r="C1878" s="0" t="s">
        <v>634</v>
      </c>
      <c r="D1878" s="0" t="n">
        <v>0</v>
      </c>
      <c r="E1878" s="0" t="n">
        <v>7.464630451</v>
      </c>
      <c r="F1878" s="0" t="n">
        <v>13.19582884</v>
      </c>
      <c r="G1878" s="0" t="n">
        <v>22.99375798</v>
      </c>
      <c r="H1878" s="0" t="n">
        <v>23.44992172</v>
      </c>
    </row>
    <row r="1879" customFormat="false" ht="15" hidden="false" customHeight="false" outlineLevel="0" collapsed="false">
      <c r="A1879" s="0" t="s">
        <v>3075</v>
      </c>
      <c r="B1879" s="0" t="s">
        <v>830</v>
      </c>
      <c r="C1879" s="0" t="s">
        <v>634</v>
      </c>
      <c r="D1879" s="0" t="n">
        <v>0</v>
      </c>
      <c r="E1879" s="0" t="n">
        <v>2.474367005</v>
      </c>
      <c r="F1879" s="0" t="n">
        <v>3.64536232</v>
      </c>
      <c r="G1879" s="0" t="n">
        <v>4.878610713</v>
      </c>
      <c r="H1879" s="0" t="n">
        <v>5.841239497</v>
      </c>
    </row>
    <row r="1880" customFormat="false" ht="15" hidden="false" customHeight="false" outlineLevel="0" collapsed="false">
      <c r="A1880" s="0" t="s">
        <v>3076</v>
      </c>
      <c r="B1880" s="0" t="s">
        <v>898</v>
      </c>
      <c r="C1880" s="0" t="s">
        <v>634</v>
      </c>
      <c r="D1880" s="0" t="n">
        <v>0</v>
      </c>
      <c r="E1880" s="0" t="n">
        <v>1.696819535</v>
      </c>
      <c r="F1880" s="0" t="n">
        <v>2.144523742</v>
      </c>
      <c r="G1880" s="0" t="n">
        <v>3.287565675</v>
      </c>
      <c r="H1880" s="0" t="n">
        <v>2.951141991</v>
      </c>
    </row>
    <row r="1881" customFormat="false" ht="15" hidden="false" customHeight="false" outlineLevel="0" collapsed="false">
      <c r="A1881" s="0" t="s">
        <v>3077</v>
      </c>
      <c r="B1881" s="0" t="s">
        <v>976</v>
      </c>
      <c r="C1881" s="0" t="s">
        <v>634</v>
      </c>
      <c r="D1881" s="0" t="n">
        <v>0</v>
      </c>
      <c r="E1881" s="0" t="n">
        <v>0.3335124361</v>
      </c>
      <c r="F1881" s="0" t="n">
        <v>0.3815200256</v>
      </c>
      <c r="G1881" s="0" t="n">
        <v>0.5339960424</v>
      </c>
      <c r="H1881" s="0" t="n">
        <v>0.4429382625</v>
      </c>
    </row>
    <row r="1882" customFormat="false" ht="15" hidden="false" customHeight="false" outlineLevel="0" collapsed="false">
      <c r="A1882" s="0" t="s">
        <v>3078</v>
      </c>
      <c r="B1882" s="0" t="s">
        <v>924</v>
      </c>
      <c r="C1882" s="0" t="s">
        <v>634</v>
      </c>
      <c r="D1882" s="0" t="n">
        <v>0</v>
      </c>
      <c r="E1882" s="0" t="n">
        <v>0.8173493976</v>
      </c>
      <c r="F1882" s="0" t="n">
        <v>1.243440407</v>
      </c>
      <c r="G1882" s="0" t="n">
        <v>2.117570385</v>
      </c>
      <c r="H1882" s="0" t="n">
        <v>2.138088542</v>
      </c>
    </row>
    <row r="1883" customFormat="false" ht="15" hidden="false" customHeight="false" outlineLevel="0" collapsed="false">
      <c r="A1883" s="0" t="s">
        <v>3079</v>
      </c>
      <c r="B1883" s="0" t="s">
        <v>864</v>
      </c>
      <c r="C1883" s="0" t="s">
        <v>634</v>
      </c>
      <c r="D1883" s="0" t="n">
        <v>0</v>
      </c>
      <c r="E1883" s="0" t="n">
        <v>2.501308924</v>
      </c>
      <c r="F1883" s="0" t="n">
        <v>3.638912574</v>
      </c>
      <c r="G1883" s="0" t="n">
        <v>6.22883104</v>
      </c>
      <c r="H1883" s="0" t="n">
        <v>6.837926313</v>
      </c>
    </row>
    <row r="1884" customFormat="false" ht="15" hidden="false" customHeight="false" outlineLevel="0" collapsed="false">
      <c r="A1884" s="0" t="s">
        <v>3080</v>
      </c>
      <c r="B1884" s="0" t="s">
        <v>1022</v>
      </c>
      <c r="C1884" s="0" t="s">
        <v>634</v>
      </c>
      <c r="D1884" s="0" t="n">
        <v>0</v>
      </c>
      <c r="E1884" s="0" t="n">
        <v>0.09938549468</v>
      </c>
      <c r="F1884" s="0" t="n">
        <v>0.3455716011</v>
      </c>
      <c r="G1884" s="0" t="n">
        <v>0.3745412742</v>
      </c>
      <c r="H1884" s="0" t="n">
        <v>0.3910027118</v>
      </c>
    </row>
    <row r="1885" customFormat="false" ht="15" hidden="false" customHeight="false" outlineLevel="0" collapsed="false">
      <c r="A1885" s="0" t="s">
        <v>3081</v>
      </c>
      <c r="B1885" s="0" t="s">
        <v>896</v>
      </c>
      <c r="C1885" s="0" t="s">
        <v>634</v>
      </c>
      <c r="D1885" s="0" t="n">
        <v>0</v>
      </c>
      <c r="E1885" s="0" t="n">
        <v>1.595042093</v>
      </c>
      <c r="F1885" s="0" t="n">
        <v>4.93197898</v>
      </c>
      <c r="G1885" s="0" t="n">
        <v>6.144862019</v>
      </c>
      <c r="H1885" s="0" t="n">
        <v>6.803998435</v>
      </c>
    </row>
    <row r="1886" customFormat="false" ht="15" hidden="false" customHeight="false" outlineLevel="0" collapsed="false">
      <c r="A1886" s="0" t="s">
        <v>3082</v>
      </c>
      <c r="B1886" s="0" t="s">
        <v>710</v>
      </c>
      <c r="C1886" s="0" t="s">
        <v>634</v>
      </c>
      <c r="D1886" s="0" t="n">
        <v>0</v>
      </c>
      <c r="E1886" s="0" t="n">
        <v>37.72666795</v>
      </c>
      <c r="F1886" s="0" t="n">
        <v>74.20678974</v>
      </c>
      <c r="G1886" s="0" t="n">
        <v>98.96909012</v>
      </c>
      <c r="H1886" s="0" t="n">
        <v>113.5668684</v>
      </c>
    </row>
    <row r="1887" customFormat="false" ht="15" hidden="false" customHeight="false" outlineLevel="0" collapsed="false">
      <c r="A1887" s="0" t="s">
        <v>3083</v>
      </c>
      <c r="B1887" s="0" t="s">
        <v>1000</v>
      </c>
      <c r="C1887" s="0" t="s">
        <v>634</v>
      </c>
      <c r="D1887" s="0" t="n">
        <v>0</v>
      </c>
      <c r="E1887" s="0" t="n">
        <v>0.1317655344</v>
      </c>
      <c r="F1887" s="0" t="n">
        <v>0.1631785037</v>
      </c>
      <c r="G1887" s="0" t="n">
        <v>0.2338507666</v>
      </c>
      <c r="H1887" s="0" t="n">
        <v>0.1930128094</v>
      </c>
    </row>
    <row r="1888" customFormat="false" ht="15" hidden="false" customHeight="false" outlineLevel="0" collapsed="false">
      <c r="A1888" s="0" t="s">
        <v>3084</v>
      </c>
      <c r="B1888" s="0" t="s">
        <v>980</v>
      </c>
      <c r="C1888" s="0" t="s">
        <v>634</v>
      </c>
      <c r="D1888" s="0" t="n">
        <v>0</v>
      </c>
      <c r="E1888" s="0" t="n">
        <v>0.391013999</v>
      </c>
      <c r="F1888" s="0" t="n">
        <v>0.6090912725</v>
      </c>
      <c r="G1888" s="0" t="n">
        <v>0.9008274643</v>
      </c>
      <c r="H1888" s="0" t="n">
        <v>0.8341861272</v>
      </c>
    </row>
    <row r="1889" customFormat="false" ht="15" hidden="false" customHeight="false" outlineLevel="0" collapsed="false">
      <c r="A1889" s="0" t="s">
        <v>3085</v>
      </c>
      <c r="B1889" s="0" t="s">
        <v>1020</v>
      </c>
      <c r="C1889" s="0" t="s">
        <v>634</v>
      </c>
      <c r="D1889" s="0" t="n">
        <v>0</v>
      </c>
      <c r="E1889" s="0" t="n">
        <v>0.04304367247</v>
      </c>
      <c r="F1889" s="0" t="n">
        <v>0.08648957903</v>
      </c>
      <c r="G1889" s="0" t="n">
        <v>0.1355940942</v>
      </c>
      <c r="H1889" s="0" t="n">
        <v>0.3341498633</v>
      </c>
    </row>
    <row r="1890" customFormat="false" ht="15" hidden="false" customHeight="false" outlineLevel="0" collapsed="false">
      <c r="A1890" s="0" t="s">
        <v>3086</v>
      </c>
      <c r="B1890" s="0" t="s">
        <v>952</v>
      </c>
      <c r="C1890" s="0" t="s">
        <v>634</v>
      </c>
      <c r="D1890" s="0" t="n">
        <v>0</v>
      </c>
      <c r="E1890" s="0" t="n">
        <v>0.5418627337</v>
      </c>
      <c r="F1890" s="0" t="n">
        <v>2.396336436</v>
      </c>
      <c r="G1890" s="0" t="n">
        <v>2.685970572</v>
      </c>
      <c r="H1890" s="0" t="n">
        <v>2.596551429</v>
      </c>
    </row>
    <row r="1891" customFormat="false" ht="15" hidden="false" customHeight="false" outlineLevel="0" collapsed="false">
      <c r="A1891" s="0" t="s">
        <v>3087</v>
      </c>
      <c r="B1891" s="0" t="s">
        <v>1026</v>
      </c>
      <c r="C1891" s="0" t="s">
        <v>634</v>
      </c>
      <c r="D1891" s="0" t="n">
        <v>0</v>
      </c>
      <c r="E1891" s="0" t="n">
        <v>0.2975899949</v>
      </c>
      <c r="F1891" s="0" t="n">
        <v>1.745899516</v>
      </c>
      <c r="G1891" s="0" t="n">
        <v>1.859523302</v>
      </c>
      <c r="H1891" s="0" t="n">
        <v>1.965625609</v>
      </c>
    </row>
    <row r="1892" customFormat="false" ht="15" hidden="false" customHeight="false" outlineLevel="0" collapsed="false">
      <c r="A1892" s="0" t="s">
        <v>3088</v>
      </c>
      <c r="B1892" s="0" t="s">
        <v>708</v>
      </c>
      <c r="C1892" s="0" t="s">
        <v>634</v>
      </c>
      <c r="D1892" s="0" t="n">
        <v>0</v>
      </c>
      <c r="E1892" s="0" t="n">
        <v>69.64746412</v>
      </c>
      <c r="F1892" s="0" t="n">
        <v>83.65940685</v>
      </c>
      <c r="G1892" s="0" t="n">
        <v>81.58284475</v>
      </c>
      <c r="H1892" s="0" t="n">
        <v>70.70844586</v>
      </c>
    </row>
    <row r="1893" customFormat="false" ht="15" hidden="false" customHeight="false" outlineLevel="0" collapsed="false">
      <c r="A1893" s="0" t="s">
        <v>3089</v>
      </c>
      <c r="B1893" s="0" t="s">
        <v>734</v>
      </c>
      <c r="C1893" s="0" t="s">
        <v>634</v>
      </c>
      <c r="D1893" s="0" t="n">
        <v>0</v>
      </c>
      <c r="E1893" s="0" t="n">
        <v>6.57822627</v>
      </c>
      <c r="F1893" s="0" t="n">
        <v>7.810908356</v>
      </c>
      <c r="G1893" s="0" t="n">
        <v>8.084973957</v>
      </c>
      <c r="H1893" s="0" t="n">
        <v>6.862320309</v>
      </c>
    </row>
    <row r="1894" customFormat="false" ht="15" hidden="false" customHeight="false" outlineLevel="0" collapsed="false">
      <c r="A1894" s="0" t="s">
        <v>3090</v>
      </c>
      <c r="B1894" s="0" t="s">
        <v>782</v>
      </c>
      <c r="C1894" s="0" t="s">
        <v>634</v>
      </c>
      <c r="D1894" s="0" t="n">
        <v>0</v>
      </c>
      <c r="E1894" s="0" t="n">
        <v>5.760611313</v>
      </c>
      <c r="F1894" s="0" t="n">
        <v>7.960488922</v>
      </c>
      <c r="G1894" s="0" t="n">
        <v>10.342917</v>
      </c>
      <c r="H1894" s="0" t="n">
        <v>9.35411833</v>
      </c>
    </row>
    <row r="1895" customFormat="false" ht="15" hidden="false" customHeight="false" outlineLevel="0" collapsed="false">
      <c r="A1895" s="0" t="s">
        <v>3091</v>
      </c>
      <c r="B1895" s="0" t="s">
        <v>696</v>
      </c>
      <c r="C1895" s="0" t="s">
        <v>634</v>
      </c>
      <c r="D1895" s="0" t="n">
        <v>0</v>
      </c>
      <c r="E1895" s="0" t="n">
        <v>1056.383966</v>
      </c>
      <c r="F1895" s="0" t="n">
        <v>1410.615016</v>
      </c>
      <c r="G1895" s="0" t="n">
        <v>2205.108055</v>
      </c>
      <c r="H1895" s="0" t="n">
        <v>1869.866561</v>
      </c>
    </row>
    <row r="1896" customFormat="false" ht="15" hidden="false" customHeight="false" outlineLevel="0" collapsed="false">
      <c r="A1896" s="0" t="s">
        <v>3092</v>
      </c>
      <c r="B1896" s="0" t="s">
        <v>836</v>
      </c>
      <c r="C1896" s="0" t="s">
        <v>634</v>
      </c>
      <c r="D1896" s="0" t="n">
        <v>0</v>
      </c>
      <c r="E1896" s="0" t="n">
        <v>0.8129516078</v>
      </c>
      <c r="F1896" s="0" t="n">
        <v>1.446975961</v>
      </c>
      <c r="G1896" s="0" t="n">
        <v>2.252987556</v>
      </c>
      <c r="H1896" s="0" t="n">
        <v>2.530444043</v>
      </c>
    </row>
    <row r="1897" customFormat="false" ht="15" hidden="false" customHeight="false" outlineLevel="0" collapsed="false">
      <c r="A1897" s="0" t="s">
        <v>3093</v>
      </c>
      <c r="B1897" s="0" t="s">
        <v>880</v>
      </c>
      <c r="C1897" s="0" t="s">
        <v>634</v>
      </c>
      <c r="D1897" s="0" t="n">
        <v>0</v>
      </c>
      <c r="E1897" s="0" t="n">
        <v>0.681697583</v>
      </c>
      <c r="F1897" s="0" t="n">
        <v>2.774425513</v>
      </c>
      <c r="G1897" s="0" t="n">
        <v>3.307574756</v>
      </c>
      <c r="H1897" s="0" t="n">
        <v>3.745590802</v>
      </c>
    </row>
    <row r="1898" customFormat="false" ht="15" hidden="false" customHeight="false" outlineLevel="0" collapsed="false">
      <c r="A1898" s="0" t="s">
        <v>3094</v>
      </c>
      <c r="B1898" s="0" t="s">
        <v>850</v>
      </c>
      <c r="C1898" s="0" t="s">
        <v>634</v>
      </c>
      <c r="D1898" s="0" t="n">
        <v>0</v>
      </c>
      <c r="E1898" s="0" t="n">
        <v>5.609033308</v>
      </c>
      <c r="F1898" s="0" t="n">
        <v>31.70095592</v>
      </c>
      <c r="G1898" s="0" t="n">
        <v>32.33805297</v>
      </c>
      <c r="H1898" s="0" t="n">
        <v>32.93655706</v>
      </c>
    </row>
    <row r="1899" customFormat="false" ht="15" hidden="false" customHeight="false" outlineLevel="0" collapsed="false">
      <c r="A1899" s="0" t="s">
        <v>3095</v>
      </c>
      <c r="B1899" s="0" t="s">
        <v>978</v>
      </c>
      <c r="C1899" s="0" t="s">
        <v>634</v>
      </c>
      <c r="D1899" s="0" t="n">
        <v>0</v>
      </c>
      <c r="E1899" s="0" t="n">
        <v>0.2008045831</v>
      </c>
      <c r="F1899" s="0" t="n">
        <v>0.9836916348</v>
      </c>
      <c r="G1899" s="0" t="n">
        <v>1.386988275</v>
      </c>
      <c r="H1899" s="0" t="n">
        <v>1.669490171</v>
      </c>
    </row>
    <row r="1900" customFormat="false" ht="15" hidden="false" customHeight="false" outlineLevel="0" collapsed="false">
      <c r="A1900" s="0" t="s">
        <v>3096</v>
      </c>
      <c r="B1900" s="0" t="s">
        <v>766</v>
      </c>
      <c r="C1900" s="0" t="s">
        <v>634</v>
      </c>
      <c r="D1900" s="0" t="n">
        <v>0</v>
      </c>
      <c r="E1900" s="0" t="n">
        <v>4.602710592</v>
      </c>
      <c r="F1900" s="0" t="n">
        <v>10.53810067</v>
      </c>
      <c r="G1900" s="0" t="n">
        <v>13.48427723</v>
      </c>
      <c r="H1900" s="0" t="n">
        <v>15.40162063</v>
      </c>
    </row>
    <row r="1901" customFormat="false" ht="15" hidden="false" customHeight="false" outlineLevel="0" collapsed="false">
      <c r="A1901" s="0" t="s">
        <v>3097</v>
      </c>
      <c r="B1901" s="0" t="s">
        <v>1044</v>
      </c>
      <c r="C1901" s="0" t="s">
        <v>634</v>
      </c>
      <c r="D1901" s="0" t="n">
        <v>0</v>
      </c>
      <c r="E1901" s="0" t="n">
        <v>0.02789043275</v>
      </c>
      <c r="F1901" s="0" t="n">
        <v>0.0529758733</v>
      </c>
      <c r="G1901" s="0" t="n">
        <v>0.09275555944</v>
      </c>
      <c r="H1901" s="0" t="n">
        <v>0.1112726618</v>
      </c>
    </row>
    <row r="1902" customFormat="false" ht="15" hidden="false" customHeight="false" outlineLevel="0" collapsed="false">
      <c r="A1902" s="0" t="s">
        <v>3098</v>
      </c>
      <c r="B1902" s="0" t="s">
        <v>1024</v>
      </c>
      <c r="C1902" s="0" t="s">
        <v>634</v>
      </c>
      <c r="D1902" s="0" t="n">
        <v>0</v>
      </c>
      <c r="E1902" s="0" t="n">
        <v>0.06374944724</v>
      </c>
      <c r="F1902" s="0" t="n">
        <v>0.08913088461</v>
      </c>
      <c r="G1902" s="0" t="n">
        <v>0.1392491999</v>
      </c>
      <c r="H1902" s="0" t="n">
        <v>0.1638073518</v>
      </c>
    </row>
    <row r="1903" customFormat="false" ht="15" hidden="false" customHeight="false" outlineLevel="0" collapsed="false">
      <c r="A1903" s="0" t="s">
        <v>3099</v>
      </c>
      <c r="B1903" s="0" t="s">
        <v>838</v>
      </c>
      <c r="C1903" s="0" t="s">
        <v>634</v>
      </c>
      <c r="D1903" s="0" t="n">
        <v>0</v>
      </c>
      <c r="E1903" s="0" t="n">
        <v>0.618960854</v>
      </c>
      <c r="F1903" s="0" t="n">
        <v>0.9124117484</v>
      </c>
      <c r="G1903" s="0" t="n">
        <v>1.201341776</v>
      </c>
      <c r="H1903" s="0" t="n">
        <v>1.362964613</v>
      </c>
    </row>
    <row r="1904" customFormat="false" ht="15" hidden="false" customHeight="false" outlineLevel="0" collapsed="false">
      <c r="A1904" s="0" t="s">
        <v>3100</v>
      </c>
      <c r="B1904" s="0" t="s">
        <v>906</v>
      </c>
      <c r="C1904" s="0" t="s">
        <v>634</v>
      </c>
      <c r="D1904" s="0" t="n">
        <v>0</v>
      </c>
      <c r="E1904" s="0" t="n">
        <v>0.9251523714</v>
      </c>
      <c r="F1904" s="0" t="n">
        <v>1.396652548</v>
      </c>
      <c r="G1904" s="0" t="n">
        <v>1.188537079</v>
      </c>
      <c r="H1904" s="0" t="n">
        <v>1.160021331</v>
      </c>
    </row>
    <row r="1905" customFormat="false" ht="15" hidden="false" customHeight="false" outlineLevel="0" collapsed="false">
      <c r="A1905" s="0" t="s">
        <v>3101</v>
      </c>
      <c r="B1905" s="0" t="s">
        <v>778</v>
      </c>
      <c r="C1905" s="0" t="s">
        <v>634</v>
      </c>
      <c r="D1905" s="0" t="n">
        <v>0</v>
      </c>
      <c r="E1905" s="0" t="n">
        <v>9.423048298</v>
      </c>
      <c r="F1905" s="0" t="n">
        <v>13.26238191</v>
      </c>
      <c r="G1905" s="0" t="n">
        <v>12.07514483</v>
      </c>
      <c r="H1905" s="0" t="n">
        <v>9.863061616</v>
      </c>
    </row>
    <row r="1906" customFormat="false" ht="15" hidden="false" customHeight="false" outlineLevel="0" collapsed="false">
      <c r="A1906" s="0" t="s">
        <v>3102</v>
      </c>
      <c r="B1906" s="0" t="s">
        <v>700</v>
      </c>
      <c r="C1906" s="0" t="s">
        <v>634</v>
      </c>
      <c r="D1906" s="0" t="n">
        <v>0</v>
      </c>
      <c r="E1906" s="0" t="n">
        <v>91.51000664</v>
      </c>
      <c r="F1906" s="0" t="n">
        <v>116.4181327</v>
      </c>
      <c r="G1906" s="0" t="n">
        <v>100.554573</v>
      </c>
      <c r="H1906" s="0" t="n">
        <v>78.35814406</v>
      </c>
    </row>
    <row r="1907" customFormat="false" ht="15" hidden="false" customHeight="false" outlineLevel="0" collapsed="false">
      <c r="A1907" s="0" t="s">
        <v>3103</v>
      </c>
      <c r="B1907" s="0" t="s">
        <v>1014</v>
      </c>
      <c r="C1907" s="0" t="s">
        <v>634</v>
      </c>
      <c r="D1907" s="0" t="n">
        <v>0</v>
      </c>
      <c r="E1907" s="0" t="n">
        <v>0.06087827946</v>
      </c>
      <c r="F1907" s="0" t="n">
        <v>0.09947777309</v>
      </c>
      <c r="G1907" s="0" t="n">
        <v>0.1550916927</v>
      </c>
      <c r="H1907" s="0" t="n">
        <v>0.1768502931</v>
      </c>
    </row>
    <row r="1908" customFormat="false" ht="15" hidden="false" customHeight="false" outlineLevel="0" collapsed="false">
      <c r="A1908" s="0" t="s">
        <v>3104</v>
      </c>
      <c r="B1908" s="0" t="s">
        <v>1058</v>
      </c>
      <c r="C1908" s="0" t="s">
        <v>634</v>
      </c>
      <c r="D1908" s="0" t="n">
        <v>0</v>
      </c>
      <c r="E1908" s="0" t="n">
        <v>0.01351029427</v>
      </c>
      <c r="F1908" s="0" t="n">
        <v>0.01777744065</v>
      </c>
      <c r="G1908" s="0" t="n">
        <v>0.02925620208</v>
      </c>
      <c r="H1908" s="0" t="n">
        <v>0.03097861445</v>
      </c>
    </row>
    <row r="1909" customFormat="false" ht="15" hidden="false" customHeight="false" outlineLevel="0" collapsed="false">
      <c r="A1909" s="0" t="s">
        <v>3105</v>
      </c>
      <c r="B1909" s="0" t="s">
        <v>768</v>
      </c>
      <c r="C1909" s="0" t="s">
        <v>634</v>
      </c>
      <c r="D1909" s="0" t="n">
        <v>0</v>
      </c>
      <c r="E1909" s="0" t="n">
        <v>6.150002803</v>
      </c>
      <c r="F1909" s="0" t="n">
        <v>5.907079578</v>
      </c>
      <c r="G1909" s="0" t="n">
        <v>5.612386376</v>
      </c>
      <c r="H1909" s="0" t="n">
        <v>4.907726128</v>
      </c>
    </row>
    <row r="1910" customFormat="false" ht="15" hidden="false" customHeight="false" outlineLevel="0" collapsed="false">
      <c r="A1910" s="0" t="s">
        <v>3106</v>
      </c>
      <c r="B1910" s="0" t="s">
        <v>818</v>
      </c>
      <c r="C1910" s="0" t="s">
        <v>634</v>
      </c>
      <c r="D1910" s="0" t="n">
        <v>0</v>
      </c>
      <c r="E1910" s="0" t="n">
        <v>1.73308559</v>
      </c>
      <c r="F1910" s="0" t="n">
        <v>2.734151981</v>
      </c>
      <c r="G1910" s="0" t="n">
        <v>4.28223665</v>
      </c>
      <c r="H1910" s="0" t="n">
        <v>4.341292552</v>
      </c>
    </row>
    <row r="1911" customFormat="false" ht="15" hidden="false" customHeight="false" outlineLevel="0" collapsed="false">
      <c r="A1911" s="0" t="s">
        <v>3107</v>
      </c>
      <c r="B1911" s="0" t="s">
        <v>788</v>
      </c>
      <c r="C1911" s="0" t="s">
        <v>634</v>
      </c>
      <c r="D1911" s="0" t="n">
        <v>0</v>
      </c>
      <c r="E1911" s="0" t="n">
        <v>8.446930575</v>
      </c>
      <c r="F1911" s="0" t="n">
        <v>12.25208418</v>
      </c>
      <c r="G1911" s="0" t="n">
        <v>18.8538321</v>
      </c>
      <c r="H1911" s="0" t="n">
        <v>20.45973089</v>
      </c>
    </row>
    <row r="1912" customFormat="false" ht="15" hidden="false" customHeight="false" outlineLevel="0" collapsed="false">
      <c r="A1912" s="0" t="s">
        <v>3108</v>
      </c>
      <c r="B1912" s="0" t="s">
        <v>824</v>
      </c>
      <c r="C1912" s="0" t="s">
        <v>634</v>
      </c>
      <c r="D1912" s="0" t="n">
        <v>0</v>
      </c>
      <c r="E1912" s="0" t="n">
        <v>3.202873195</v>
      </c>
      <c r="F1912" s="0" t="n">
        <v>5.36224272</v>
      </c>
      <c r="G1912" s="0" t="n">
        <v>7.684569966</v>
      </c>
      <c r="H1912" s="0" t="n">
        <v>8.288143245</v>
      </c>
    </row>
    <row r="1913" customFormat="false" ht="15" hidden="false" customHeight="false" outlineLevel="0" collapsed="false">
      <c r="A1913" s="0" t="s">
        <v>3109</v>
      </c>
      <c r="B1913" s="0" t="s">
        <v>764</v>
      </c>
      <c r="C1913" s="0" t="s">
        <v>634</v>
      </c>
      <c r="D1913" s="0" t="n">
        <v>0</v>
      </c>
      <c r="E1913" s="0" t="n">
        <v>9.684432192</v>
      </c>
      <c r="F1913" s="0" t="n">
        <v>14.01574762</v>
      </c>
      <c r="G1913" s="0" t="n">
        <v>23.14746555</v>
      </c>
      <c r="H1913" s="0" t="n">
        <v>26.67704502</v>
      </c>
    </row>
    <row r="1914" customFormat="false" ht="15" hidden="false" customHeight="false" outlineLevel="0" collapsed="false">
      <c r="A1914" s="0" t="s">
        <v>3110</v>
      </c>
      <c r="B1914" s="0" t="s">
        <v>722</v>
      </c>
      <c r="C1914" s="0" t="s">
        <v>634</v>
      </c>
      <c r="D1914" s="0" t="n">
        <v>0</v>
      </c>
      <c r="E1914" s="0" t="n">
        <v>35.94635741</v>
      </c>
      <c r="F1914" s="0" t="n">
        <v>43.71862863</v>
      </c>
      <c r="G1914" s="0" t="n">
        <v>39.94930037</v>
      </c>
      <c r="H1914" s="0" t="n">
        <v>35.88365521</v>
      </c>
    </row>
    <row r="1915" customFormat="false" ht="15" hidden="false" customHeight="false" outlineLevel="0" collapsed="false">
      <c r="A1915" s="0" t="s">
        <v>3111</v>
      </c>
      <c r="B1915" s="0" t="s">
        <v>902</v>
      </c>
      <c r="C1915" s="0" t="s">
        <v>634</v>
      </c>
      <c r="D1915" s="0" t="n">
        <v>0</v>
      </c>
      <c r="E1915" s="0" t="n">
        <v>0.7088131898</v>
      </c>
      <c r="F1915" s="0" t="n">
        <v>1.079569388</v>
      </c>
      <c r="G1915" s="0" t="n">
        <v>1.00006125</v>
      </c>
      <c r="H1915" s="0" t="n">
        <v>0.979995109</v>
      </c>
    </row>
    <row r="1916" customFormat="false" ht="15" hidden="false" customHeight="false" outlineLevel="0" collapsed="false">
      <c r="A1916" s="0" t="s">
        <v>3112</v>
      </c>
      <c r="B1916" s="0" t="s">
        <v>802</v>
      </c>
      <c r="C1916" s="0" t="s">
        <v>634</v>
      </c>
      <c r="D1916" s="0" t="n">
        <v>0</v>
      </c>
      <c r="E1916" s="0" t="n">
        <v>1.347039418</v>
      </c>
      <c r="F1916" s="0" t="n">
        <v>6.800198648</v>
      </c>
      <c r="G1916" s="0" t="n">
        <v>9.767766117</v>
      </c>
      <c r="H1916" s="0" t="n">
        <v>12.72708952</v>
      </c>
    </row>
    <row r="1917" customFormat="false" ht="15" hidden="false" customHeight="false" outlineLevel="0" collapsed="false">
      <c r="A1917" s="0" t="s">
        <v>3113</v>
      </c>
      <c r="B1917" s="0" t="s">
        <v>794</v>
      </c>
      <c r="C1917" s="0" t="s">
        <v>634</v>
      </c>
      <c r="D1917" s="0" t="n">
        <v>0</v>
      </c>
      <c r="E1917" s="0" t="n">
        <v>5.448152889</v>
      </c>
      <c r="F1917" s="0" t="n">
        <v>5.088682765</v>
      </c>
      <c r="G1917" s="0" t="n">
        <v>5.50891347</v>
      </c>
      <c r="H1917" s="0" t="n">
        <v>5.71250275</v>
      </c>
    </row>
    <row r="1918" customFormat="false" ht="15" hidden="false" customHeight="false" outlineLevel="0" collapsed="false">
      <c r="A1918" s="0" t="s">
        <v>3114</v>
      </c>
      <c r="B1918" s="0" t="s">
        <v>1006</v>
      </c>
      <c r="C1918" s="0" t="s">
        <v>634</v>
      </c>
      <c r="D1918" s="0" t="n">
        <v>0</v>
      </c>
      <c r="E1918" s="0" t="n">
        <v>0.08614504713</v>
      </c>
      <c r="F1918" s="0" t="n">
        <v>0.1227782543</v>
      </c>
      <c r="G1918" s="0" t="n">
        <v>0.1843884532</v>
      </c>
      <c r="H1918" s="0" t="n">
        <v>0.21790069</v>
      </c>
    </row>
    <row r="1919" customFormat="false" ht="15" hidden="false" customHeight="false" outlineLevel="0" collapsed="false">
      <c r="A1919" s="0" t="s">
        <v>3115</v>
      </c>
      <c r="B1919" s="0" t="s">
        <v>706</v>
      </c>
      <c r="C1919" s="0" t="s">
        <v>634</v>
      </c>
      <c r="D1919" s="0" t="n">
        <v>0</v>
      </c>
      <c r="E1919" s="0" t="n">
        <v>49.44392369</v>
      </c>
      <c r="F1919" s="0" t="n">
        <v>46.80844724</v>
      </c>
      <c r="G1919" s="0" t="n">
        <v>49.85542155</v>
      </c>
      <c r="H1919" s="0" t="n">
        <v>40.45022928</v>
      </c>
    </row>
    <row r="1920" customFormat="false" ht="15" hidden="false" customHeight="false" outlineLevel="0" collapsed="false">
      <c r="A1920" s="0" t="s">
        <v>3116</v>
      </c>
      <c r="B1920" s="0" t="s">
        <v>950</v>
      </c>
      <c r="C1920" s="0" t="s">
        <v>634</v>
      </c>
      <c r="D1920" s="0" t="n">
        <v>0</v>
      </c>
      <c r="E1920" s="0" t="n">
        <v>0.2361153535</v>
      </c>
      <c r="F1920" s="0" t="n">
        <v>0.7317046472</v>
      </c>
      <c r="G1920" s="0" t="n">
        <v>1.022560598</v>
      </c>
      <c r="H1920" s="0" t="n">
        <v>1.234356793</v>
      </c>
    </row>
    <row r="1921" customFormat="false" ht="15" hidden="false" customHeight="false" outlineLevel="0" collapsed="false">
      <c r="A1921" s="0" t="s">
        <v>3117</v>
      </c>
      <c r="B1921" s="0" t="s">
        <v>704</v>
      </c>
      <c r="C1921" s="0" t="s">
        <v>634</v>
      </c>
      <c r="D1921" s="0" t="n">
        <v>0</v>
      </c>
      <c r="E1921" s="0" t="n">
        <v>56.88169408</v>
      </c>
      <c r="F1921" s="0" t="n">
        <v>69.85869466</v>
      </c>
      <c r="G1921" s="0" t="n">
        <v>62.79788283</v>
      </c>
      <c r="H1921" s="0" t="n">
        <v>42.92434263</v>
      </c>
    </row>
    <row r="1922" customFormat="false" ht="15" hidden="false" customHeight="false" outlineLevel="0" collapsed="false">
      <c r="A1922" s="0" t="s">
        <v>3118</v>
      </c>
      <c r="B1922" s="0" t="s">
        <v>900</v>
      </c>
      <c r="C1922" s="0" t="s">
        <v>634</v>
      </c>
      <c r="D1922" s="0" t="n">
        <v>0</v>
      </c>
      <c r="E1922" s="0" t="n">
        <v>1.195157189</v>
      </c>
      <c r="F1922" s="0" t="n">
        <v>1.448299157</v>
      </c>
      <c r="G1922" s="0" t="n">
        <v>2.108960882</v>
      </c>
      <c r="H1922" s="0" t="n">
        <v>2.392141355</v>
      </c>
    </row>
    <row r="1923" customFormat="false" ht="15" hidden="false" customHeight="false" outlineLevel="0" collapsed="false">
      <c r="A1923" s="0" t="s">
        <v>3119</v>
      </c>
      <c r="B1923" s="0" t="s">
        <v>844</v>
      </c>
      <c r="C1923" s="0" t="s">
        <v>634</v>
      </c>
      <c r="D1923" s="0" t="n">
        <v>0</v>
      </c>
      <c r="E1923" s="0" t="n">
        <v>0.8711626581</v>
      </c>
      <c r="F1923" s="0" t="n">
        <v>2.087505661</v>
      </c>
      <c r="G1923" s="0" t="n">
        <v>3.749635488</v>
      </c>
      <c r="H1923" s="0" t="n">
        <v>4.129621561</v>
      </c>
    </row>
    <row r="1924" customFormat="false" ht="15" hidden="false" customHeight="false" outlineLevel="0" collapsed="false">
      <c r="A1924" s="0" t="s">
        <v>3120</v>
      </c>
      <c r="B1924" s="0" t="s">
        <v>914</v>
      </c>
      <c r="C1924" s="0" t="s">
        <v>634</v>
      </c>
      <c r="D1924" s="0" t="n">
        <v>0</v>
      </c>
      <c r="E1924" s="0" t="n">
        <v>0.4885724314</v>
      </c>
      <c r="F1924" s="0" t="n">
        <v>1.530100573</v>
      </c>
      <c r="G1924" s="0" t="n">
        <v>2.044917954</v>
      </c>
      <c r="H1924" s="0" t="n">
        <v>2.469126185</v>
      </c>
    </row>
    <row r="1925" customFormat="false" ht="15" hidden="false" customHeight="false" outlineLevel="0" collapsed="false">
      <c r="A1925" s="0" t="s">
        <v>3121</v>
      </c>
      <c r="B1925" s="0" t="s">
        <v>1028</v>
      </c>
      <c r="C1925" s="0" t="s">
        <v>634</v>
      </c>
      <c r="D1925" s="0" t="n">
        <v>0</v>
      </c>
      <c r="E1925" s="0" t="n">
        <v>0.0643464861</v>
      </c>
      <c r="F1925" s="0" t="n">
        <v>0.1294082823</v>
      </c>
      <c r="G1925" s="0" t="n">
        <v>0.2148706462</v>
      </c>
      <c r="H1925" s="0" t="n">
        <v>0.2744218861</v>
      </c>
    </row>
    <row r="1926" customFormat="false" ht="15" hidden="false" customHeight="false" outlineLevel="0" collapsed="false">
      <c r="A1926" s="0" t="s">
        <v>3122</v>
      </c>
      <c r="B1926" s="0" t="s">
        <v>1030</v>
      </c>
      <c r="C1926" s="0" t="s">
        <v>634</v>
      </c>
      <c r="D1926" s="0" t="n">
        <v>0</v>
      </c>
      <c r="E1926" s="0" t="n">
        <v>0.04302542536</v>
      </c>
      <c r="F1926" s="0" t="n">
        <v>0.1586719963</v>
      </c>
      <c r="G1926" s="0" t="n">
        <v>0.210836072</v>
      </c>
      <c r="H1926" s="0" t="n">
        <v>0.2520955036</v>
      </c>
    </row>
    <row r="1927" customFormat="false" ht="15" hidden="false" customHeight="false" outlineLevel="0" collapsed="false">
      <c r="A1927" s="0" t="s">
        <v>3123</v>
      </c>
      <c r="B1927" s="0" t="s">
        <v>994</v>
      </c>
      <c r="C1927" s="0" t="s">
        <v>634</v>
      </c>
      <c r="D1927" s="0" t="n">
        <v>0</v>
      </c>
      <c r="E1927" s="0" t="n">
        <v>0.1928617379</v>
      </c>
      <c r="F1927" s="0" t="n">
        <v>0.4829399211</v>
      </c>
      <c r="G1927" s="0" t="n">
        <v>0.7297321484</v>
      </c>
      <c r="H1927" s="0" t="n">
        <v>0.8999542058</v>
      </c>
    </row>
    <row r="1928" customFormat="false" ht="15" hidden="false" customHeight="false" outlineLevel="0" collapsed="false">
      <c r="A1928" s="0" t="s">
        <v>3124</v>
      </c>
      <c r="B1928" s="0" t="s">
        <v>798</v>
      </c>
      <c r="C1928" s="0" t="s">
        <v>634</v>
      </c>
      <c r="D1928" s="0" t="n">
        <v>0</v>
      </c>
      <c r="E1928" s="0" t="n">
        <v>7.086104636</v>
      </c>
      <c r="F1928" s="0" t="n">
        <v>9.693054547</v>
      </c>
      <c r="G1928" s="0" t="n">
        <v>8.195837068</v>
      </c>
      <c r="H1928" s="0" t="n">
        <v>7.970850585</v>
      </c>
    </row>
    <row r="1929" customFormat="false" ht="15" hidden="false" customHeight="false" outlineLevel="0" collapsed="false">
      <c r="A1929" s="0" t="s">
        <v>3125</v>
      </c>
      <c r="B1929" s="0" t="s">
        <v>1046</v>
      </c>
      <c r="C1929" s="0" t="s">
        <v>634</v>
      </c>
      <c r="D1929" s="0" t="n">
        <v>0</v>
      </c>
      <c r="E1929" s="0" t="n">
        <v>0.02786967168</v>
      </c>
      <c r="F1929" s="0" t="n">
        <v>0.03563882822</v>
      </c>
      <c r="G1929" s="0" t="n">
        <v>0.05935221927</v>
      </c>
      <c r="H1929" s="0" t="n">
        <v>0.06123545278</v>
      </c>
    </row>
    <row r="1930" customFormat="false" ht="15" hidden="false" customHeight="false" outlineLevel="0" collapsed="false">
      <c r="A1930" s="0" t="s">
        <v>3126</v>
      </c>
      <c r="B1930" s="0" t="s">
        <v>826</v>
      </c>
      <c r="C1930" s="0" t="s">
        <v>634</v>
      </c>
      <c r="D1930" s="0" t="n">
        <v>0</v>
      </c>
      <c r="E1930" s="0" t="n">
        <v>0.8842444168</v>
      </c>
      <c r="F1930" s="0" t="n">
        <v>1.727619223</v>
      </c>
      <c r="G1930" s="0" t="n">
        <v>2.31015795</v>
      </c>
      <c r="H1930" s="0" t="n">
        <v>2.683500362</v>
      </c>
    </row>
    <row r="1931" customFormat="false" ht="15" hidden="false" customHeight="false" outlineLevel="0" collapsed="false">
      <c r="A1931" s="0" t="s">
        <v>3127</v>
      </c>
      <c r="B1931" s="0" t="s">
        <v>890</v>
      </c>
      <c r="C1931" s="0" t="s">
        <v>634</v>
      </c>
      <c r="D1931" s="0" t="n">
        <v>0</v>
      </c>
      <c r="E1931" s="0" t="n">
        <v>0.371445842</v>
      </c>
      <c r="F1931" s="0" t="n">
        <v>1.214424426</v>
      </c>
      <c r="G1931" s="0" t="n">
        <v>1.568176194</v>
      </c>
      <c r="H1931" s="0" t="n">
        <v>1.671053934</v>
      </c>
    </row>
    <row r="1932" customFormat="false" ht="15" hidden="false" customHeight="false" outlineLevel="0" collapsed="false">
      <c r="A1932" s="0" t="s">
        <v>3128</v>
      </c>
      <c r="B1932" s="0" t="s">
        <v>770</v>
      </c>
      <c r="C1932" s="0" t="s">
        <v>634</v>
      </c>
      <c r="D1932" s="0" t="n">
        <v>0</v>
      </c>
      <c r="E1932" s="0" t="n">
        <v>4.647968562</v>
      </c>
      <c r="F1932" s="0" t="n">
        <v>6.821587162</v>
      </c>
      <c r="G1932" s="0" t="n">
        <v>3.799717298</v>
      </c>
      <c r="H1932" s="0" t="n">
        <v>3.148041619</v>
      </c>
    </row>
    <row r="1933" customFormat="false" ht="15" hidden="false" customHeight="false" outlineLevel="0" collapsed="false">
      <c r="A1933" s="0" t="s">
        <v>3129</v>
      </c>
      <c r="B1933" s="0" t="s">
        <v>904</v>
      </c>
      <c r="C1933" s="0" t="s">
        <v>634</v>
      </c>
      <c r="D1933" s="0" t="n">
        <v>0</v>
      </c>
      <c r="E1933" s="0" t="n">
        <v>0.6256752216</v>
      </c>
      <c r="F1933" s="0" t="n">
        <v>1.330809854</v>
      </c>
      <c r="G1933" s="0" t="n">
        <v>1.899167833</v>
      </c>
      <c r="H1933" s="0" t="n">
        <v>2.132763359</v>
      </c>
    </row>
    <row r="1934" customFormat="false" ht="15" hidden="false" customHeight="false" outlineLevel="0" collapsed="false">
      <c r="A1934" s="0" t="s">
        <v>3130</v>
      </c>
      <c r="B1934" s="0" t="s">
        <v>846</v>
      </c>
      <c r="C1934" s="0" t="s">
        <v>634</v>
      </c>
      <c r="D1934" s="0" t="n">
        <v>0</v>
      </c>
      <c r="E1934" s="0" t="n">
        <v>1.962095567</v>
      </c>
      <c r="F1934" s="0" t="n">
        <v>2.475955822</v>
      </c>
      <c r="G1934" s="0" t="n">
        <v>2.248282043</v>
      </c>
      <c r="H1934" s="0" t="n">
        <v>1.914431833</v>
      </c>
    </row>
    <row r="1935" customFormat="false" ht="15" hidden="false" customHeight="false" outlineLevel="0" collapsed="false">
      <c r="A1935" s="0" t="s">
        <v>3131</v>
      </c>
      <c r="B1935" s="0" t="s">
        <v>956</v>
      </c>
      <c r="C1935" s="0" t="s">
        <v>634</v>
      </c>
      <c r="D1935" s="0" t="n">
        <v>0</v>
      </c>
      <c r="E1935" s="0" t="n">
        <v>0.2151284772</v>
      </c>
      <c r="F1935" s="0" t="n">
        <v>0.415541273</v>
      </c>
      <c r="G1935" s="0" t="n">
        <v>0.6458636873</v>
      </c>
      <c r="H1935" s="0" t="n">
        <v>0.8160260503</v>
      </c>
    </row>
    <row r="1936" customFormat="false" ht="15" hidden="false" customHeight="false" outlineLevel="0" collapsed="false">
      <c r="A1936" s="0" t="s">
        <v>3132</v>
      </c>
      <c r="B1936" s="0" t="s">
        <v>800</v>
      </c>
      <c r="C1936" s="0" t="s">
        <v>634</v>
      </c>
      <c r="D1936" s="0" t="n">
        <v>0</v>
      </c>
      <c r="E1936" s="0" t="n">
        <v>3.936291925</v>
      </c>
      <c r="F1936" s="0" t="n">
        <v>5.238512875</v>
      </c>
      <c r="G1936" s="0" t="n">
        <v>5.396653429</v>
      </c>
      <c r="H1936" s="0" t="n">
        <v>5.332388904</v>
      </c>
    </row>
    <row r="1937" customFormat="false" ht="15" hidden="false" customHeight="false" outlineLevel="0" collapsed="false">
      <c r="A1937" s="0" t="s">
        <v>3133</v>
      </c>
      <c r="B1937" s="0" t="s">
        <v>724</v>
      </c>
      <c r="C1937" s="0" t="s">
        <v>634</v>
      </c>
      <c r="D1937" s="0" t="n">
        <v>0</v>
      </c>
      <c r="E1937" s="0" t="n">
        <v>31.11614952</v>
      </c>
      <c r="F1937" s="0" t="n">
        <v>56.64994526</v>
      </c>
      <c r="G1937" s="0" t="n">
        <v>87.91387454</v>
      </c>
      <c r="H1937" s="0" t="n">
        <v>101.408176</v>
      </c>
    </row>
    <row r="1938" customFormat="false" ht="15" hidden="false" customHeight="false" outlineLevel="0" collapsed="false">
      <c r="A1938" s="0" t="s">
        <v>3134</v>
      </c>
      <c r="B1938" s="0" t="s">
        <v>36</v>
      </c>
      <c r="C1938" s="0" t="s">
        <v>634</v>
      </c>
      <c r="D1938" s="0" t="n">
        <v>0</v>
      </c>
      <c r="E1938" s="0" t="n">
        <v>129.9037495</v>
      </c>
      <c r="F1938" s="0" t="n">
        <v>204.6283432</v>
      </c>
      <c r="G1938" s="0" t="n">
        <v>348.0847889</v>
      </c>
      <c r="H1938" s="0" t="n">
        <v>379.8286564</v>
      </c>
    </row>
    <row r="1939" customFormat="false" ht="15" hidden="false" customHeight="false" outlineLevel="0" collapsed="false">
      <c r="A1939" s="0" t="s">
        <v>3135</v>
      </c>
      <c r="B1939" s="0" t="s">
        <v>738</v>
      </c>
      <c r="C1939" s="0" t="s">
        <v>634</v>
      </c>
      <c r="D1939" s="0" t="n">
        <v>0</v>
      </c>
      <c r="E1939" s="0" t="n">
        <v>9.049745408</v>
      </c>
      <c r="F1939" s="0" t="n">
        <v>9.131539205</v>
      </c>
      <c r="G1939" s="0" t="n">
        <v>7.582514631</v>
      </c>
      <c r="H1939" s="0" t="n">
        <v>5.971137054</v>
      </c>
    </row>
    <row r="1940" customFormat="false" ht="15" hidden="false" customHeight="false" outlineLevel="0" collapsed="false">
      <c r="A1940" s="0" t="s">
        <v>3136</v>
      </c>
      <c r="B1940" s="0" t="s">
        <v>790</v>
      </c>
      <c r="C1940" s="0" t="s">
        <v>634</v>
      </c>
      <c r="D1940" s="0" t="n">
        <v>0</v>
      </c>
      <c r="E1940" s="0" t="n">
        <v>35.57373265</v>
      </c>
      <c r="F1940" s="0" t="n">
        <v>32.74363197</v>
      </c>
      <c r="G1940" s="0" t="n">
        <v>56.86742664</v>
      </c>
      <c r="H1940" s="0" t="n">
        <v>56.67569919</v>
      </c>
    </row>
    <row r="1941" customFormat="false" ht="15" hidden="false" customHeight="false" outlineLevel="0" collapsed="false">
      <c r="A1941" s="0" t="s">
        <v>3137</v>
      </c>
      <c r="B1941" s="0" t="s">
        <v>806</v>
      </c>
      <c r="C1941" s="0" t="s">
        <v>634</v>
      </c>
      <c r="D1941" s="0" t="n">
        <v>0</v>
      </c>
      <c r="E1941" s="0" t="n">
        <v>6.142521953</v>
      </c>
      <c r="F1941" s="0" t="n">
        <v>7.707300235</v>
      </c>
      <c r="G1941" s="0" t="n">
        <v>13.69616299</v>
      </c>
      <c r="H1941" s="0" t="n">
        <v>15.49671803</v>
      </c>
    </row>
    <row r="1942" customFormat="false" ht="15" hidden="false" customHeight="false" outlineLevel="0" collapsed="false">
      <c r="A1942" s="0" t="s">
        <v>3138</v>
      </c>
      <c r="B1942" s="0" t="s">
        <v>916</v>
      </c>
      <c r="C1942" s="0" t="s">
        <v>634</v>
      </c>
      <c r="D1942" s="0" t="n">
        <v>0</v>
      </c>
      <c r="E1942" s="0" t="n">
        <v>0.3273820279</v>
      </c>
      <c r="F1942" s="0" t="n">
        <v>0.8429066711</v>
      </c>
      <c r="G1942" s="0" t="n">
        <v>0.8852641234</v>
      </c>
      <c r="H1942" s="0" t="n">
        <v>0.9725908301</v>
      </c>
    </row>
    <row r="1943" customFormat="false" ht="15" hidden="false" customHeight="false" outlineLevel="0" collapsed="false">
      <c r="A1943" s="0" t="s">
        <v>3139</v>
      </c>
      <c r="B1943" s="0" t="s">
        <v>750</v>
      </c>
      <c r="C1943" s="0" t="s">
        <v>634</v>
      </c>
      <c r="D1943" s="0" t="n">
        <v>0</v>
      </c>
      <c r="E1943" s="0" t="n">
        <v>9.588358073</v>
      </c>
      <c r="F1943" s="0" t="n">
        <v>15.22367846</v>
      </c>
      <c r="G1943" s="0" t="n">
        <v>9.558554054</v>
      </c>
      <c r="H1943" s="0" t="n">
        <v>9.09887111</v>
      </c>
    </row>
    <row r="1944" customFormat="false" ht="15" hidden="false" customHeight="false" outlineLevel="0" collapsed="false">
      <c r="A1944" s="0" t="s">
        <v>3140</v>
      </c>
      <c r="B1944" s="0" t="s">
        <v>712</v>
      </c>
      <c r="C1944" s="0" t="s">
        <v>634</v>
      </c>
      <c r="D1944" s="0" t="n">
        <v>0</v>
      </c>
      <c r="E1944" s="0" t="n">
        <v>41.99967701</v>
      </c>
      <c r="F1944" s="0" t="n">
        <v>54.42894487</v>
      </c>
      <c r="G1944" s="0" t="n">
        <v>48.01645669</v>
      </c>
      <c r="H1944" s="0" t="n">
        <v>36.79668132</v>
      </c>
    </row>
    <row r="1945" customFormat="false" ht="15" hidden="false" customHeight="false" outlineLevel="0" collapsed="false">
      <c r="A1945" s="0" t="s">
        <v>3141</v>
      </c>
      <c r="B1945" s="0" t="s">
        <v>964</v>
      </c>
      <c r="C1945" s="0" t="s">
        <v>634</v>
      </c>
      <c r="D1945" s="0" t="n">
        <v>0</v>
      </c>
      <c r="E1945" s="0" t="n">
        <v>0.4808532356</v>
      </c>
      <c r="F1945" s="0" t="n">
        <v>0.5735692291</v>
      </c>
      <c r="G1945" s="0" t="n">
        <v>1.018642336</v>
      </c>
      <c r="H1945" s="0" t="n">
        <v>1.023659558</v>
      </c>
    </row>
    <row r="1946" customFormat="false" ht="15" hidden="false" customHeight="false" outlineLevel="0" collapsed="false">
      <c r="A1946" s="0" t="s">
        <v>3142</v>
      </c>
      <c r="B1946" s="0" t="s">
        <v>876</v>
      </c>
      <c r="C1946" s="0" t="s">
        <v>634</v>
      </c>
      <c r="D1946" s="0" t="n">
        <v>0</v>
      </c>
      <c r="E1946" s="0" t="n">
        <v>1.120710922</v>
      </c>
      <c r="F1946" s="0" t="n">
        <v>1.617659291</v>
      </c>
      <c r="G1946" s="0" t="n">
        <v>2.447109573</v>
      </c>
      <c r="H1946" s="0" t="n">
        <v>2.27156119</v>
      </c>
    </row>
    <row r="1947" customFormat="false" ht="15" hidden="false" customHeight="false" outlineLevel="0" collapsed="false">
      <c r="A1947" s="0" t="s">
        <v>3143</v>
      </c>
      <c r="B1947" s="0" t="s">
        <v>702</v>
      </c>
      <c r="C1947" s="0" t="s">
        <v>634</v>
      </c>
      <c r="D1947" s="0" t="n">
        <v>0</v>
      </c>
      <c r="E1947" s="0" t="n">
        <v>108.502557</v>
      </c>
      <c r="F1947" s="0" t="n">
        <v>145.7057858</v>
      </c>
      <c r="G1947" s="0" t="n">
        <v>118.4530545</v>
      </c>
      <c r="H1947" s="0" t="n">
        <v>104.9942559</v>
      </c>
    </row>
    <row r="1948" customFormat="false" ht="15" hidden="false" customHeight="false" outlineLevel="0" collapsed="false">
      <c r="A1948" s="0" t="s">
        <v>3144</v>
      </c>
      <c r="B1948" s="0" t="s">
        <v>780</v>
      </c>
      <c r="C1948" s="0" t="s">
        <v>634</v>
      </c>
      <c r="D1948" s="0" t="n">
        <v>0</v>
      </c>
      <c r="E1948" s="0" t="n">
        <v>11.26756457</v>
      </c>
      <c r="F1948" s="0" t="n">
        <v>16.02347748</v>
      </c>
      <c r="G1948" s="0" t="n">
        <v>25.8883562</v>
      </c>
      <c r="H1948" s="0" t="n">
        <v>26.84923376</v>
      </c>
    </row>
    <row r="1949" customFormat="false" ht="15" hidden="false" customHeight="false" outlineLevel="0" collapsed="false">
      <c r="A1949" s="0" t="s">
        <v>3145</v>
      </c>
      <c r="B1949" s="0" t="s">
        <v>814</v>
      </c>
      <c r="C1949" s="0" t="s">
        <v>634</v>
      </c>
      <c r="D1949" s="0" t="n">
        <v>0</v>
      </c>
      <c r="E1949" s="0" t="n">
        <v>1.261385764</v>
      </c>
      <c r="F1949" s="0" t="n">
        <v>2.989280885</v>
      </c>
      <c r="G1949" s="0" t="n">
        <v>4.35090902</v>
      </c>
      <c r="H1949" s="0" t="n">
        <v>5.547938413</v>
      </c>
    </row>
    <row r="1950" customFormat="false" ht="15" hidden="false" customHeight="false" outlineLevel="0" collapsed="false">
      <c r="A1950" s="0" t="s">
        <v>3146</v>
      </c>
      <c r="B1950" s="0" t="s">
        <v>946</v>
      </c>
      <c r="C1950" s="0" t="s">
        <v>634</v>
      </c>
      <c r="D1950" s="0" t="n">
        <v>0</v>
      </c>
      <c r="E1950" s="0" t="n">
        <v>0.9927161233</v>
      </c>
      <c r="F1950" s="0" t="n">
        <v>1.208200276</v>
      </c>
      <c r="G1950" s="0" t="n">
        <v>1.59587698</v>
      </c>
      <c r="H1950" s="0" t="n">
        <v>2.059225609</v>
      </c>
    </row>
    <row r="1951" customFormat="false" ht="15" hidden="false" customHeight="false" outlineLevel="0" collapsed="false">
      <c r="A1951" s="0" t="s">
        <v>3147</v>
      </c>
      <c r="B1951" s="0" t="s">
        <v>886</v>
      </c>
      <c r="C1951" s="0" t="s">
        <v>634</v>
      </c>
      <c r="D1951" s="0" t="n">
        <v>0</v>
      </c>
      <c r="E1951" s="0" t="n">
        <v>1.255967657</v>
      </c>
      <c r="F1951" s="0" t="n">
        <v>3.309439098</v>
      </c>
      <c r="G1951" s="0" t="n">
        <v>4.349261365</v>
      </c>
      <c r="H1951" s="0" t="n">
        <v>4.636323336</v>
      </c>
    </row>
    <row r="1952" customFormat="false" ht="15" hidden="false" customHeight="false" outlineLevel="0" collapsed="false">
      <c r="A1952" s="0" t="s">
        <v>3148</v>
      </c>
      <c r="B1952" s="0" t="s">
        <v>1054</v>
      </c>
      <c r="C1952" s="0" t="s">
        <v>634</v>
      </c>
      <c r="D1952" s="0" t="n">
        <v>0</v>
      </c>
      <c r="E1952" s="0" t="n">
        <v>0.03773695358</v>
      </c>
      <c r="F1952" s="0" t="n">
        <v>0.04811636793</v>
      </c>
      <c r="G1952" s="0" t="n">
        <v>0.06620224074</v>
      </c>
      <c r="H1952" s="0" t="n">
        <v>0.05860883986</v>
      </c>
    </row>
    <row r="1953" customFormat="false" ht="15" hidden="false" customHeight="false" outlineLevel="0" collapsed="false">
      <c r="A1953" s="0" t="s">
        <v>3149</v>
      </c>
      <c r="B1953" s="0" t="s">
        <v>716</v>
      </c>
      <c r="C1953" s="0" t="s">
        <v>634</v>
      </c>
      <c r="D1953" s="0" t="n">
        <v>0</v>
      </c>
      <c r="E1953" s="0" t="n">
        <v>60.5449301</v>
      </c>
      <c r="F1953" s="0" t="n">
        <v>87.20269431</v>
      </c>
      <c r="G1953" s="0" t="n">
        <v>73.68885955</v>
      </c>
      <c r="H1953" s="0" t="n">
        <v>66.87975843</v>
      </c>
    </row>
    <row r="1954" customFormat="false" ht="15" hidden="false" customHeight="false" outlineLevel="0" collapsed="false">
      <c r="A1954" s="0" t="s">
        <v>3150</v>
      </c>
      <c r="B1954" s="0" t="s">
        <v>812</v>
      </c>
      <c r="C1954" s="0" t="s">
        <v>634</v>
      </c>
      <c r="D1954" s="0" t="n">
        <v>0</v>
      </c>
      <c r="E1954" s="0" t="n">
        <v>6.78576536</v>
      </c>
      <c r="F1954" s="0" t="n">
        <v>6.837536178</v>
      </c>
      <c r="G1954" s="0" t="n">
        <v>10.52907342</v>
      </c>
      <c r="H1954" s="0" t="n">
        <v>9.296460748</v>
      </c>
    </row>
    <row r="1955" customFormat="false" ht="15" hidden="false" customHeight="false" outlineLevel="0" collapsed="false">
      <c r="A1955" s="0" t="s">
        <v>3151</v>
      </c>
      <c r="B1955" s="0" t="s">
        <v>972</v>
      </c>
      <c r="C1955" s="0" t="s">
        <v>634</v>
      </c>
      <c r="D1955" s="0" t="n">
        <v>0</v>
      </c>
      <c r="E1955" s="0" t="n">
        <v>0.2924663312</v>
      </c>
      <c r="F1955" s="0" t="n">
        <v>1.511608294</v>
      </c>
      <c r="G1955" s="0" t="n">
        <v>2.153473422</v>
      </c>
      <c r="H1955" s="0" t="n">
        <v>2.813484684</v>
      </c>
    </row>
    <row r="1956" customFormat="false" ht="15" hidden="false" customHeight="false" outlineLevel="0" collapsed="false">
      <c r="A1956" s="0" t="s">
        <v>3152</v>
      </c>
      <c r="B1956" s="0" t="s">
        <v>922</v>
      </c>
      <c r="C1956" s="0" t="s">
        <v>634</v>
      </c>
      <c r="D1956" s="0" t="n">
        <v>0</v>
      </c>
      <c r="E1956" s="0" t="n">
        <v>2.067987595</v>
      </c>
      <c r="F1956" s="0" t="n">
        <v>2.566621093</v>
      </c>
      <c r="G1956" s="0" t="n">
        <v>3.753393509</v>
      </c>
      <c r="H1956" s="0" t="n">
        <v>4.2494717</v>
      </c>
    </row>
    <row r="1957" customFormat="false" ht="15" hidden="false" customHeight="false" outlineLevel="0" collapsed="false">
      <c r="A1957" s="0" t="s">
        <v>3153</v>
      </c>
      <c r="B1957" s="0" t="s">
        <v>1008</v>
      </c>
      <c r="C1957" s="0" t="s">
        <v>634</v>
      </c>
      <c r="D1957" s="0" t="n">
        <v>0</v>
      </c>
      <c r="E1957" s="0" t="n">
        <v>0.167806986</v>
      </c>
      <c r="F1957" s="0" t="n">
        <v>0.785377707</v>
      </c>
      <c r="G1957" s="0" t="n">
        <v>0.8921039789</v>
      </c>
      <c r="H1957" s="0" t="n">
        <v>0.976324048</v>
      </c>
    </row>
    <row r="1958" customFormat="false" ht="15" hidden="false" customHeight="false" outlineLevel="0" collapsed="false">
      <c r="A1958" s="0" t="s">
        <v>3154</v>
      </c>
      <c r="B1958" s="0" t="s">
        <v>874</v>
      </c>
      <c r="C1958" s="0" t="s">
        <v>634</v>
      </c>
      <c r="D1958" s="0" t="n">
        <v>0</v>
      </c>
      <c r="E1958" s="0" t="n">
        <v>5.853177147</v>
      </c>
      <c r="F1958" s="0" t="n">
        <v>6.425530496</v>
      </c>
      <c r="G1958" s="0" t="n">
        <v>9.75313131</v>
      </c>
      <c r="H1958" s="0" t="n">
        <v>10.39818357</v>
      </c>
    </row>
    <row r="1959" customFormat="false" ht="15" hidden="false" customHeight="false" outlineLevel="0" collapsed="false">
      <c r="A1959" s="0" t="s">
        <v>3155</v>
      </c>
      <c r="B1959" s="0" t="s">
        <v>1032</v>
      </c>
      <c r="C1959" s="0" t="s">
        <v>634</v>
      </c>
      <c r="D1959" s="0" t="n">
        <v>0</v>
      </c>
      <c r="E1959" s="0" t="n">
        <v>0.03324004067</v>
      </c>
      <c r="F1959" s="0" t="n">
        <v>0.0462247122</v>
      </c>
      <c r="G1959" s="0" t="n">
        <v>0.07747780501</v>
      </c>
      <c r="H1959" s="0" t="n">
        <v>0.07806640195</v>
      </c>
    </row>
    <row r="1960" customFormat="false" ht="15" hidden="false" customHeight="false" outlineLevel="0" collapsed="false">
      <c r="A1960" s="0" t="s">
        <v>3156</v>
      </c>
      <c r="B1960" s="0" t="s">
        <v>840</v>
      </c>
      <c r="C1960" s="0" t="s">
        <v>634</v>
      </c>
      <c r="D1960" s="0" t="n">
        <v>0</v>
      </c>
      <c r="E1960" s="0" t="n">
        <v>0.7054091286</v>
      </c>
      <c r="F1960" s="0" t="n">
        <v>1.343292896</v>
      </c>
      <c r="G1960" s="0" t="n">
        <v>2.082145526</v>
      </c>
      <c r="H1960" s="0" t="n">
        <v>2.285611622</v>
      </c>
    </row>
    <row r="1961" customFormat="false" ht="15" hidden="false" customHeight="false" outlineLevel="0" collapsed="false">
      <c r="A1961" s="0" t="s">
        <v>3157</v>
      </c>
      <c r="B1961" s="0" t="s">
        <v>1034</v>
      </c>
      <c r="C1961" s="0" t="s">
        <v>634</v>
      </c>
      <c r="D1961" s="0" t="n">
        <v>0</v>
      </c>
      <c r="E1961" s="0" t="n">
        <v>0.183223394</v>
      </c>
      <c r="F1961" s="0" t="n">
        <v>0.246904512</v>
      </c>
      <c r="G1961" s="0" t="n">
        <v>0.4023470497</v>
      </c>
      <c r="H1961" s="0" t="n">
        <v>0.4655492123</v>
      </c>
    </row>
    <row r="1962" customFormat="false" ht="15" hidden="false" customHeight="false" outlineLevel="0" collapsed="false">
      <c r="A1962" s="0" t="s">
        <v>3158</v>
      </c>
      <c r="B1962" s="0" t="s">
        <v>856</v>
      </c>
      <c r="C1962" s="0" t="s">
        <v>634</v>
      </c>
      <c r="D1962" s="0" t="n">
        <v>0</v>
      </c>
      <c r="E1962" s="0" t="n">
        <v>1.860300632</v>
      </c>
      <c r="F1962" s="0" t="n">
        <v>2.413326165</v>
      </c>
      <c r="G1962" s="0" t="n">
        <v>2.16938978</v>
      </c>
      <c r="H1962" s="0" t="n">
        <v>1.887414417</v>
      </c>
    </row>
    <row r="1963" customFormat="false" ht="15" hidden="false" customHeight="false" outlineLevel="0" collapsed="false">
      <c r="A1963" s="0" t="s">
        <v>3159</v>
      </c>
      <c r="B1963" s="0" t="s">
        <v>854</v>
      </c>
      <c r="C1963" s="0" t="s">
        <v>634</v>
      </c>
      <c r="D1963" s="0" t="n">
        <v>0</v>
      </c>
      <c r="E1963" s="0" t="n">
        <v>0.947240092</v>
      </c>
      <c r="F1963" s="0" t="n">
        <v>1.095163074</v>
      </c>
      <c r="G1963" s="0" t="n">
        <v>1.030892634</v>
      </c>
      <c r="H1963" s="0" t="n">
        <v>0.8391718965</v>
      </c>
    </row>
    <row r="1964" customFormat="false" ht="15" hidden="false" customHeight="false" outlineLevel="0" collapsed="false">
      <c r="A1964" s="0" t="s">
        <v>3160</v>
      </c>
      <c r="B1964" s="0" t="s">
        <v>894</v>
      </c>
      <c r="C1964" s="0" t="s">
        <v>634</v>
      </c>
      <c r="D1964" s="0" t="n">
        <v>0</v>
      </c>
      <c r="E1964" s="0" t="n">
        <v>0.8126260688</v>
      </c>
      <c r="F1964" s="0" t="n">
        <v>1.18473841</v>
      </c>
      <c r="G1964" s="0" t="n">
        <v>1.112293096</v>
      </c>
      <c r="H1964" s="0" t="n">
        <v>0.9956461585</v>
      </c>
    </row>
    <row r="1965" customFormat="false" ht="15" hidden="false" customHeight="false" outlineLevel="0" collapsed="false">
      <c r="A1965" s="0" t="s">
        <v>3161</v>
      </c>
      <c r="B1965" s="0" t="s">
        <v>882</v>
      </c>
      <c r="C1965" s="0" t="s">
        <v>634</v>
      </c>
      <c r="D1965" s="0" t="n">
        <v>0</v>
      </c>
      <c r="E1965" s="0" t="n">
        <v>0.3149641108</v>
      </c>
      <c r="F1965" s="0" t="n">
        <v>0.4088057804</v>
      </c>
      <c r="G1965" s="0" t="n">
        <v>0.2286390424</v>
      </c>
      <c r="H1965" s="0" t="n">
        <v>0.1983386501</v>
      </c>
    </row>
    <row r="1966" customFormat="false" ht="15" hidden="false" customHeight="false" outlineLevel="0" collapsed="false">
      <c r="A1966" s="0" t="s">
        <v>3162</v>
      </c>
      <c r="B1966" s="0" t="s">
        <v>808</v>
      </c>
      <c r="C1966" s="0" t="s">
        <v>634</v>
      </c>
      <c r="D1966" s="0" t="n">
        <v>0</v>
      </c>
      <c r="E1966" s="0" t="n">
        <v>2.782311143</v>
      </c>
      <c r="F1966" s="0" t="n">
        <v>4.481490088</v>
      </c>
      <c r="G1966" s="0" t="n">
        <v>7.193669785</v>
      </c>
      <c r="H1966" s="0" t="n">
        <v>8.031636091</v>
      </c>
    </row>
    <row r="1967" customFormat="false" ht="15" hidden="false" customHeight="false" outlineLevel="0" collapsed="false">
      <c r="A1967" s="0" t="s">
        <v>3163</v>
      </c>
      <c r="B1967" s="0" t="s">
        <v>966</v>
      </c>
      <c r="C1967" s="0" t="s">
        <v>634</v>
      </c>
      <c r="D1967" s="0" t="n">
        <v>0</v>
      </c>
      <c r="E1967" s="0" t="n">
        <v>0.6757597052</v>
      </c>
      <c r="F1967" s="0" t="n">
        <v>0.8953105241</v>
      </c>
      <c r="G1967" s="0" t="n">
        <v>1.524548588</v>
      </c>
      <c r="H1967" s="0" t="n">
        <v>1.710936565</v>
      </c>
    </row>
    <row r="1968" customFormat="false" ht="15" hidden="false" customHeight="false" outlineLevel="0" collapsed="false">
      <c r="A1968" s="0" t="s">
        <v>3164</v>
      </c>
      <c r="B1968" s="0" t="s">
        <v>960</v>
      </c>
      <c r="C1968" s="0" t="s">
        <v>634</v>
      </c>
      <c r="D1968" s="0" t="n">
        <v>0</v>
      </c>
      <c r="E1968" s="0" t="n">
        <v>0.3063169463</v>
      </c>
      <c r="F1968" s="0" t="n">
        <v>1.185014724</v>
      </c>
      <c r="G1968" s="0" t="n">
        <v>1.565881793</v>
      </c>
      <c r="H1968" s="0" t="n">
        <v>1.878853537</v>
      </c>
    </row>
    <row r="1969" customFormat="false" ht="15" hidden="false" customHeight="false" outlineLevel="0" collapsed="false">
      <c r="A1969" s="0" t="s">
        <v>3165</v>
      </c>
      <c r="B1969" s="0" t="s">
        <v>1002</v>
      </c>
      <c r="C1969" s="0" t="s">
        <v>634</v>
      </c>
      <c r="D1969" s="0" t="n">
        <v>0</v>
      </c>
      <c r="E1969" s="0" t="n">
        <v>0.2191245694</v>
      </c>
      <c r="F1969" s="0" t="n">
        <v>0.2567513219</v>
      </c>
      <c r="G1969" s="0" t="n">
        <v>0.4107609555</v>
      </c>
      <c r="H1969" s="0" t="n">
        <v>0.3956906058</v>
      </c>
    </row>
    <row r="1970" customFormat="false" ht="15" hidden="false" customHeight="false" outlineLevel="0" collapsed="false">
      <c r="A1970" s="0" t="s">
        <v>3166</v>
      </c>
      <c r="B1970" s="0" t="s">
        <v>720</v>
      </c>
      <c r="C1970" s="0" t="s">
        <v>634</v>
      </c>
      <c r="D1970" s="0" t="n">
        <v>0</v>
      </c>
      <c r="E1970" s="0" t="n">
        <v>24.65528399</v>
      </c>
      <c r="F1970" s="0" t="n">
        <v>39.64254075</v>
      </c>
      <c r="G1970" s="0" t="n">
        <v>65.39656058</v>
      </c>
      <c r="H1970" s="0" t="n">
        <v>75.29932855</v>
      </c>
    </row>
    <row r="1971" customFormat="false" ht="15" hidden="false" customHeight="false" outlineLevel="0" collapsed="false">
      <c r="A1971" s="0" t="s">
        <v>3167</v>
      </c>
      <c r="B1971" s="0" t="s">
        <v>970</v>
      </c>
      <c r="C1971" s="0" t="s">
        <v>634</v>
      </c>
      <c r="D1971" s="0" t="n">
        <v>0</v>
      </c>
      <c r="E1971" s="0" t="n">
        <v>0.3342528951</v>
      </c>
      <c r="F1971" s="0" t="n">
        <v>0.47215892</v>
      </c>
      <c r="G1971" s="0" t="n">
        <v>0.6928683365</v>
      </c>
      <c r="H1971" s="0" t="n">
        <v>0.7646792707</v>
      </c>
    </row>
    <row r="1972" customFormat="false" ht="15" hidden="false" customHeight="false" outlineLevel="0" collapsed="false">
      <c r="A1972" s="0" t="s">
        <v>3168</v>
      </c>
      <c r="B1972" s="0" t="s">
        <v>918</v>
      </c>
      <c r="C1972" s="0" t="s">
        <v>634</v>
      </c>
      <c r="D1972" s="0" t="n">
        <v>0</v>
      </c>
      <c r="E1972" s="0" t="n">
        <v>0.5058448704</v>
      </c>
      <c r="F1972" s="0" t="n">
        <v>1.339167447</v>
      </c>
      <c r="G1972" s="0" t="n">
        <v>2.326358757</v>
      </c>
      <c r="H1972" s="0" t="n">
        <v>2.803570783</v>
      </c>
    </row>
    <row r="1973" customFormat="false" ht="15" hidden="false" customHeight="false" outlineLevel="0" collapsed="false">
      <c r="A1973" s="0" t="s">
        <v>3169</v>
      </c>
      <c r="B1973" s="0" t="s">
        <v>936</v>
      </c>
      <c r="C1973" s="0" t="s">
        <v>634</v>
      </c>
      <c r="D1973" s="0" t="n">
        <v>0</v>
      </c>
      <c r="E1973" s="0" t="n">
        <v>0.2262458754</v>
      </c>
      <c r="F1973" s="0" t="n">
        <v>0.3397915048</v>
      </c>
      <c r="G1973" s="0" t="n">
        <v>0.1955409476</v>
      </c>
      <c r="H1973" s="0" t="n">
        <v>0.1720255665</v>
      </c>
    </row>
    <row r="1974" customFormat="false" ht="15" hidden="false" customHeight="false" outlineLevel="0" collapsed="false">
      <c r="A1974" s="0" t="s">
        <v>3170</v>
      </c>
      <c r="B1974" s="0" t="s">
        <v>862</v>
      </c>
      <c r="C1974" s="0" t="s">
        <v>634</v>
      </c>
      <c r="D1974" s="0" t="n">
        <v>0</v>
      </c>
      <c r="E1974" s="0" t="n">
        <v>2.593052074</v>
      </c>
      <c r="F1974" s="0" t="n">
        <v>10.974417</v>
      </c>
      <c r="G1974" s="0" t="n">
        <v>14.05782462</v>
      </c>
      <c r="H1974" s="0" t="n">
        <v>16.30676007</v>
      </c>
    </row>
    <row r="1975" customFormat="false" ht="15" hidden="false" customHeight="false" outlineLevel="0" collapsed="false">
      <c r="A1975" s="0" t="s">
        <v>3171</v>
      </c>
      <c r="B1975" s="0" t="s">
        <v>996</v>
      </c>
      <c r="C1975" s="0" t="s">
        <v>634</v>
      </c>
      <c r="D1975" s="0" t="n">
        <v>0</v>
      </c>
      <c r="E1975" s="0" t="n">
        <v>0.1036980336</v>
      </c>
      <c r="F1975" s="0" t="n">
        <v>0.1478502711</v>
      </c>
      <c r="G1975" s="0" t="n">
        <v>0.161731098</v>
      </c>
      <c r="H1975" s="0" t="n">
        <v>0.1737049704</v>
      </c>
    </row>
    <row r="1976" customFormat="false" ht="15" hidden="false" customHeight="false" outlineLevel="0" collapsed="false">
      <c r="A1976" s="0" t="s">
        <v>3172</v>
      </c>
      <c r="B1976" s="0" t="s">
        <v>928</v>
      </c>
      <c r="C1976" s="0" t="s">
        <v>634</v>
      </c>
      <c r="D1976" s="0" t="n">
        <v>0</v>
      </c>
      <c r="E1976" s="0" t="n">
        <v>0.8968092697</v>
      </c>
      <c r="F1976" s="0" t="n">
        <v>2.559420746</v>
      </c>
      <c r="G1976" s="0" t="n">
        <v>3.544158703</v>
      </c>
      <c r="H1976" s="0" t="n">
        <v>4.007345494</v>
      </c>
    </row>
    <row r="1977" customFormat="false" ht="15" hidden="false" customHeight="false" outlineLevel="0" collapsed="false">
      <c r="A1977" s="0" t="s">
        <v>3173</v>
      </c>
      <c r="B1977" s="0" t="s">
        <v>954</v>
      </c>
      <c r="C1977" s="0" t="s">
        <v>634</v>
      </c>
      <c r="D1977" s="0" t="n">
        <v>0</v>
      </c>
      <c r="E1977" s="0" t="n">
        <v>0.7930910974</v>
      </c>
      <c r="F1977" s="0" t="n">
        <v>4.257049153</v>
      </c>
      <c r="G1977" s="0" t="n">
        <v>5.158374479</v>
      </c>
      <c r="H1977" s="0" t="n">
        <v>5.732957975</v>
      </c>
    </row>
    <row r="1978" customFormat="false" ht="15" hidden="false" customHeight="false" outlineLevel="0" collapsed="false">
      <c r="A1978" s="0" t="s">
        <v>3174</v>
      </c>
      <c r="B1978" s="0" t="s">
        <v>988</v>
      </c>
      <c r="C1978" s="0" t="s">
        <v>634</v>
      </c>
      <c r="D1978" s="0" t="n">
        <v>0</v>
      </c>
      <c r="E1978" s="0" t="n">
        <v>0.3070172887</v>
      </c>
      <c r="F1978" s="0" t="n">
        <v>0.6330561793</v>
      </c>
      <c r="G1978" s="0" t="n">
        <v>1.13306243</v>
      </c>
      <c r="H1978" s="0" t="n">
        <v>1.342691289</v>
      </c>
    </row>
    <row r="1979" customFormat="false" ht="15" hidden="false" customHeight="false" outlineLevel="0" collapsed="false">
      <c r="A1979" s="0" t="s">
        <v>3175</v>
      </c>
      <c r="B1979" s="0" t="s">
        <v>974</v>
      </c>
      <c r="C1979" s="0" t="s">
        <v>634</v>
      </c>
      <c r="D1979" s="0" t="n">
        <v>0</v>
      </c>
      <c r="E1979" s="0" t="n">
        <v>0.1664259728</v>
      </c>
      <c r="F1979" s="0" t="n">
        <v>0.2509628776</v>
      </c>
      <c r="G1979" s="0" t="n">
        <v>0.4050688406</v>
      </c>
      <c r="H1979" s="0" t="n">
        <v>0.3662019471</v>
      </c>
    </row>
    <row r="1980" customFormat="false" ht="15" hidden="false" customHeight="false" outlineLevel="0" collapsed="false">
      <c r="A1980" s="0" t="s">
        <v>3176</v>
      </c>
      <c r="B1980" s="0" t="s">
        <v>992</v>
      </c>
      <c r="C1980" s="0" t="s">
        <v>634</v>
      </c>
      <c r="D1980" s="0" t="n">
        <v>0</v>
      </c>
      <c r="E1980" s="0" t="n">
        <v>0.1828958144</v>
      </c>
      <c r="F1980" s="0" t="n">
        <v>0.8236371687</v>
      </c>
      <c r="G1980" s="0" t="n">
        <v>1.13903253</v>
      </c>
      <c r="H1980" s="0" t="n">
        <v>1.423767324</v>
      </c>
    </row>
    <row r="1981" customFormat="false" ht="15" hidden="false" customHeight="false" outlineLevel="0" collapsed="false">
      <c r="A1981" s="0" t="s">
        <v>3177</v>
      </c>
      <c r="B1981" s="0" t="s">
        <v>760</v>
      </c>
      <c r="C1981" s="0" t="s">
        <v>634</v>
      </c>
      <c r="D1981" s="0" t="n">
        <v>0</v>
      </c>
      <c r="E1981" s="0" t="n">
        <v>11.02572675</v>
      </c>
      <c r="F1981" s="0" t="n">
        <v>18.60556183</v>
      </c>
      <c r="G1981" s="0" t="n">
        <v>28.9316899</v>
      </c>
      <c r="H1981" s="0" t="n">
        <v>30.6560632</v>
      </c>
    </row>
    <row r="1982" customFormat="false" ht="15" hidden="false" customHeight="false" outlineLevel="0" collapsed="false">
      <c r="A1982" s="0" t="s">
        <v>3178</v>
      </c>
      <c r="B1982" s="0" t="s">
        <v>982</v>
      </c>
      <c r="C1982" s="0" t="s">
        <v>634</v>
      </c>
      <c r="D1982" s="0" t="n">
        <v>0</v>
      </c>
      <c r="E1982" s="0" t="n">
        <v>0.2574433767</v>
      </c>
      <c r="F1982" s="0" t="n">
        <v>0.8578495687</v>
      </c>
      <c r="G1982" s="0" t="n">
        <v>1.010376033</v>
      </c>
      <c r="H1982" s="0" t="n">
        <v>1.146649288</v>
      </c>
    </row>
    <row r="1983" customFormat="false" ht="15" hidden="false" customHeight="false" outlineLevel="0" collapsed="false">
      <c r="A1983" s="0" t="s">
        <v>3179</v>
      </c>
      <c r="B1983" s="0" t="s">
        <v>940</v>
      </c>
      <c r="C1983" s="0" t="s">
        <v>634</v>
      </c>
      <c r="D1983" s="0" t="n">
        <v>0</v>
      </c>
      <c r="E1983" s="0" t="n">
        <v>0.2840368166</v>
      </c>
      <c r="F1983" s="0" t="n">
        <v>0.9403630304</v>
      </c>
      <c r="G1983" s="0" t="n">
        <v>1.432232091</v>
      </c>
      <c r="H1983" s="0" t="n">
        <v>1.767125717</v>
      </c>
    </row>
    <row r="1984" customFormat="false" ht="15" hidden="false" customHeight="false" outlineLevel="0" collapsed="false">
      <c r="A1984" s="0" t="s">
        <v>3180</v>
      </c>
      <c r="B1984" s="0" t="s">
        <v>792</v>
      </c>
      <c r="C1984" s="0" t="s">
        <v>634</v>
      </c>
      <c r="D1984" s="0" t="n">
        <v>0</v>
      </c>
      <c r="E1984" s="0" t="n">
        <v>4.056749096</v>
      </c>
      <c r="F1984" s="0" t="n">
        <v>11.62608713</v>
      </c>
      <c r="G1984" s="0" t="n">
        <v>17.74070826</v>
      </c>
      <c r="H1984" s="0" t="n">
        <v>21.34935377</v>
      </c>
    </row>
    <row r="1985" customFormat="false" ht="15" hidden="false" customHeight="false" outlineLevel="0" collapsed="false">
      <c r="A1985" s="0" t="s">
        <v>3181</v>
      </c>
      <c r="B1985" s="0" t="s">
        <v>948</v>
      </c>
      <c r="C1985" s="0" t="s">
        <v>634</v>
      </c>
      <c r="D1985" s="0" t="n">
        <v>0</v>
      </c>
      <c r="E1985" s="0" t="n">
        <v>0.4899468691</v>
      </c>
      <c r="F1985" s="0" t="n">
        <v>1.5828697</v>
      </c>
      <c r="G1985" s="0" t="n">
        <v>1.934128954</v>
      </c>
      <c r="H1985" s="0" t="n">
        <v>2.180262604</v>
      </c>
    </row>
    <row r="1986" customFormat="false" ht="15" hidden="false" customHeight="false" outlineLevel="0" collapsed="false">
      <c r="A1986" s="0" t="s">
        <v>3182</v>
      </c>
      <c r="B1986" s="0" t="s">
        <v>730</v>
      </c>
      <c r="C1986" s="0" t="s">
        <v>634</v>
      </c>
      <c r="D1986" s="0" t="n">
        <v>0</v>
      </c>
      <c r="E1986" s="0" t="n">
        <v>22.65314987</v>
      </c>
      <c r="F1986" s="0" t="n">
        <v>28.17976574</v>
      </c>
      <c r="G1986" s="0" t="n">
        <v>23.86100891</v>
      </c>
      <c r="H1986" s="0" t="n">
        <v>16.55883127</v>
      </c>
    </row>
    <row r="1987" customFormat="false" ht="15" hidden="false" customHeight="false" outlineLevel="0" collapsed="false">
      <c r="A1987" s="0" t="s">
        <v>3183</v>
      </c>
      <c r="B1987" s="0" t="s">
        <v>762</v>
      </c>
      <c r="C1987" s="0" t="s">
        <v>634</v>
      </c>
      <c r="D1987" s="0" t="n">
        <v>0</v>
      </c>
      <c r="E1987" s="0" t="n">
        <v>5.980390637</v>
      </c>
      <c r="F1987" s="0" t="n">
        <v>7.399357272</v>
      </c>
      <c r="G1987" s="0" t="n">
        <v>8.063706159</v>
      </c>
      <c r="H1987" s="0" t="n">
        <v>8.533951806</v>
      </c>
    </row>
    <row r="1988" customFormat="false" ht="15" hidden="false" customHeight="false" outlineLevel="0" collapsed="false">
      <c r="A1988" s="0" t="s">
        <v>3184</v>
      </c>
      <c r="B1988" s="0" t="s">
        <v>892</v>
      </c>
      <c r="C1988" s="0" t="s">
        <v>634</v>
      </c>
      <c r="D1988" s="0" t="n">
        <v>0</v>
      </c>
      <c r="E1988" s="0" t="n">
        <v>1.053895201</v>
      </c>
      <c r="F1988" s="0" t="n">
        <v>1.909030015</v>
      </c>
      <c r="G1988" s="0" t="n">
        <v>2.949571657</v>
      </c>
      <c r="H1988" s="0" t="n">
        <v>3.899484509</v>
      </c>
    </row>
    <row r="1989" customFormat="false" ht="15" hidden="false" customHeight="false" outlineLevel="0" collapsed="false">
      <c r="A1989" s="0" t="s">
        <v>3185</v>
      </c>
      <c r="B1989" s="0" t="s">
        <v>1064</v>
      </c>
      <c r="C1989" s="0" t="s">
        <v>634</v>
      </c>
      <c r="D1989" s="0" t="n">
        <v>0</v>
      </c>
      <c r="E1989" s="0" t="n">
        <v>0.01047881835</v>
      </c>
      <c r="F1989" s="0" t="n">
        <v>0.01415706834</v>
      </c>
      <c r="G1989" s="0" t="n">
        <v>0.02364963754</v>
      </c>
      <c r="H1989" s="0" t="n">
        <v>0.02533856746</v>
      </c>
    </row>
    <row r="1990" customFormat="false" ht="15" hidden="false" customHeight="false" outlineLevel="0" collapsed="false">
      <c r="A1990" s="0" t="s">
        <v>3186</v>
      </c>
      <c r="B1990" s="0" t="s">
        <v>796</v>
      </c>
      <c r="C1990" s="0" t="s">
        <v>634</v>
      </c>
      <c r="D1990" s="0" t="n">
        <v>0</v>
      </c>
      <c r="E1990" s="0" t="n">
        <v>3.339110498</v>
      </c>
      <c r="F1990" s="0" t="n">
        <v>5.266449281</v>
      </c>
      <c r="G1990" s="0" t="n">
        <v>5.104904414</v>
      </c>
      <c r="H1990" s="0" t="n">
        <v>4.805814938</v>
      </c>
    </row>
    <row r="1991" customFormat="false" ht="15" hidden="false" customHeight="false" outlineLevel="0" collapsed="false">
      <c r="A1991" s="0" t="s">
        <v>3187</v>
      </c>
      <c r="B1991" s="0" t="s">
        <v>832</v>
      </c>
      <c r="C1991" s="0" t="s">
        <v>634</v>
      </c>
      <c r="D1991" s="0" t="n">
        <v>0</v>
      </c>
      <c r="E1991" s="0" t="n">
        <v>6.740296003</v>
      </c>
      <c r="F1991" s="0" t="n">
        <v>9.234462406</v>
      </c>
      <c r="G1991" s="0" t="n">
        <v>13.05745062</v>
      </c>
      <c r="H1991" s="0" t="n">
        <v>11.98874986</v>
      </c>
    </row>
    <row r="1992" customFormat="false" ht="15" hidden="false" customHeight="false" outlineLevel="0" collapsed="false">
      <c r="A1992" s="0" t="s">
        <v>3188</v>
      </c>
      <c r="B1992" s="0" t="s">
        <v>772</v>
      </c>
      <c r="C1992" s="0" t="s">
        <v>634</v>
      </c>
      <c r="D1992" s="0" t="n">
        <v>0</v>
      </c>
      <c r="E1992" s="0" t="n">
        <v>8.100261646</v>
      </c>
      <c r="F1992" s="0" t="n">
        <v>15.66283152</v>
      </c>
      <c r="G1992" s="0" t="n">
        <v>24.16077804</v>
      </c>
      <c r="H1992" s="0" t="n">
        <v>28.5449536</v>
      </c>
    </row>
    <row r="1993" customFormat="false" ht="15" hidden="false" customHeight="false" outlineLevel="0" collapsed="false">
      <c r="A1993" s="0" t="s">
        <v>3189</v>
      </c>
      <c r="B1993" s="0" t="s">
        <v>848</v>
      </c>
      <c r="C1993" s="0" t="s">
        <v>634</v>
      </c>
      <c r="D1993" s="0" t="n">
        <v>0</v>
      </c>
      <c r="E1993" s="0" t="n">
        <v>0.8680815728</v>
      </c>
      <c r="F1993" s="0" t="n">
        <v>1.332145903</v>
      </c>
      <c r="G1993" s="0" t="n">
        <v>1.556964393</v>
      </c>
      <c r="H1993" s="0" t="n">
        <v>1.510699472</v>
      </c>
    </row>
    <row r="1994" customFormat="false" ht="15" hidden="false" customHeight="false" outlineLevel="0" collapsed="false">
      <c r="A1994" s="0" t="s">
        <v>3190</v>
      </c>
      <c r="B1994" s="0" t="s">
        <v>784</v>
      </c>
      <c r="C1994" s="0" t="s">
        <v>634</v>
      </c>
      <c r="D1994" s="0" t="n">
        <v>0</v>
      </c>
      <c r="E1994" s="0" t="n">
        <v>4.928944944</v>
      </c>
      <c r="F1994" s="0" t="n">
        <v>10.21061352</v>
      </c>
      <c r="G1994" s="0" t="n">
        <v>13.64989246</v>
      </c>
      <c r="H1994" s="0" t="n">
        <v>14.15111142</v>
      </c>
    </row>
    <row r="1995" customFormat="false" ht="15" hidden="false" customHeight="false" outlineLevel="0" collapsed="false">
      <c r="A1995" s="0" t="s">
        <v>3191</v>
      </c>
      <c r="B1995" s="0" t="s">
        <v>754</v>
      </c>
      <c r="C1995" s="0" t="s">
        <v>634</v>
      </c>
      <c r="D1995" s="0" t="n">
        <v>0</v>
      </c>
      <c r="E1995" s="0" t="n">
        <v>7.090304418</v>
      </c>
      <c r="F1995" s="0" t="n">
        <v>11.43118329</v>
      </c>
      <c r="G1995" s="0" t="n">
        <v>20.36758284</v>
      </c>
      <c r="H1995" s="0" t="n">
        <v>21.06972893</v>
      </c>
    </row>
    <row r="1996" customFormat="false" ht="15" hidden="false" customHeight="false" outlineLevel="0" collapsed="false">
      <c r="A1996" s="0" t="s">
        <v>3192</v>
      </c>
      <c r="B1996" s="0" t="s">
        <v>1062</v>
      </c>
      <c r="C1996" s="0" t="s">
        <v>634</v>
      </c>
      <c r="D1996" s="0" t="n">
        <v>0</v>
      </c>
      <c r="E1996" s="0" t="n">
        <v>0.02233618394</v>
      </c>
      <c r="F1996" s="0" t="n">
        <v>0.04455080203</v>
      </c>
      <c r="G1996" s="0" t="n">
        <v>0.08671481642</v>
      </c>
      <c r="H1996" s="0" t="n">
        <v>0.1151266117</v>
      </c>
    </row>
    <row r="1997" customFormat="false" ht="15" hidden="false" customHeight="false" outlineLevel="0" collapsed="false">
      <c r="A1997" s="0" t="s">
        <v>3193</v>
      </c>
      <c r="B1997" s="0" t="s">
        <v>912</v>
      </c>
      <c r="C1997" s="0" t="s">
        <v>634</v>
      </c>
      <c r="D1997" s="0" t="n">
        <v>0</v>
      </c>
      <c r="E1997" s="0" t="n">
        <v>0.8968698544</v>
      </c>
      <c r="F1997" s="0" t="n">
        <v>2.492096442</v>
      </c>
      <c r="G1997" s="0" t="n">
        <v>3.200717083</v>
      </c>
      <c r="H1997" s="0" t="n">
        <v>3.617670226</v>
      </c>
    </row>
    <row r="1998" customFormat="false" ht="15" hidden="false" customHeight="false" outlineLevel="0" collapsed="false">
      <c r="A1998" s="0" t="s">
        <v>3194</v>
      </c>
      <c r="B1998" s="0" t="s">
        <v>732</v>
      </c>
      <c r="C1998" s="0" t="s">
        <v>634</v>
      </c>
      <c r="D1998" s="0" t="n">
        <v>0</v>
      </c>
      <c r="E1998" s="0" t="n">
        <v>19.41385909</v>
      </c>
      <c r="F1998" s="0" t="n">
        <v>25.45864008</v>
      </c>
      <c r="G1998" s="0" t="n">
        <v>34.15169471</v>
      </c>
      <c r="H1998" s="0" t="n">
        <v>28.28722221</v>
      </c>
    </row>
    <row r="1999" customFormat="false" ht="15" hidden="false" customHeight="false" outlineLevel="0" collapsed="false">
      <c r="A1999" s="0" t="s">
        <v>3195</v>
      </c>
      <c r="B1999" s="0" t="s">
        <v>834</v>
      </c>
      <c r="C1999" s="0" t="s">
        <v>634</v>
      </c>
      <c r="D1999" s="0" t="n">
        <v>0</v>
      </c>
      <c r="E1999" s="0" t="n">
        <v>0.9350526225</v>
      </c>
      <c r="F1999" s="0" t="n">
        <v>1.463426925</v>
      </c>
      <c r="G1999" s="0" t="n">
        <v>1.465254563</v>
      </c>
      <c r="H1999" s="0" t="n">
        <v>1.350048233</v>
      </c>
    </row>
    <row r="2000" customFormat="false" ht="15" hidden="false" customHeight="false" outlineLevel="0" collapsed="false">
      <c r="A2000" s="0" t="s">
        <v>3196</v>
      </c>
      <c r="B2000" s="0" t="s">
        <v>786</v>
      </c>
      <c r="C2000" s="0" t="s">
        <v>634</v>
      </c>
      <c r="D2000" s="0" t="n">
        <v>0</v>
      </c>
      <c r="E2000" s="0" t="n">
        <v>4.541053606</v>
      </c>
      <c r="F2000" s="0" t="n">
        <v>5.745641576</v>
      </c>
      <c r="G2000" s="0" t="n">
        <v>5.161086533</v>
      </c>
      <c r="H2000" s="0" t="n">
        <v>4.949961006</v>
      </c>
    </row>
    <row r="2001" customFormat="false" ht="15" hidden="false" customHeight="false" outlineLevel="0" collapsed="false">
      <c r="A2001" s="0" t="s">
        <v>3197</v>
      </c>
      <c r="B2001" s="0" t="s">
        <v>888</v>
      </c>
      <c r="C2001" s="0" t="s">
        <v>634</v>
      </c>
      <c r="D2001" s="0" t="n">
        <v>0</v>
      </c>
      <c r="E2001" s="0" t="n">
        <v>0.9384518389</v>
      </c>
      <c r="F2001" s="0" t="n">
        <v>3.450865</v>
      </c>
      <c r="G2001" s="0" t="n">
        <v>4.873059122</v>
      </c>
      <c r="H2001" s="0" t="n">
        <v>5.732606695</v>
      </c>
    </row>
    <row r="2002" customFormat="false" ht="15" hidden="false" customHeight="false" outlineLevel="0" collapsed="false">
      <c r="A2002" s="0" t="s">
        <v>3198</v>
      </c>
      <c r="B2002" s="0" t="s">
        <v>816</v>
      </c>
      <c r="C2002" s="0" t="s">
        <v>634</v>
      </c>
      <c r="D2002" s="0" t="n">
        <v>0</v>
      </c>
      <c r="E2002" s="0" t="n">
        <v>7.189119187</v>
      </c>
      <c r="F2002" s="0" t="n">
        <v>5.476026792</v>
      </c>
      <c r="G2002" s="0" t="n">
        <v>9.31477644</v>
      </c>
      <c r="H2002" s="0" t="n">
        <v>9.722683786</v>
      </c>
    </row>
    <row r="2003" customFormat="false" ht="15" hidden="false" customHeight="false" outlineLevel="0" collapsed="false">
      <c r="A2003" s="0" t="s">
        <v>3199</v>
      </c>
      <c r="B2003" s="0" t="s">
        <v>776</v>
      </c>
      <c r="C2003" s="0" t="s">
        <v>634</v>
      </c>
      <c r="D2003" s="0" t="n">
        <v>0</v>
      </c>
      <c r="E2003" s="0" t="n">
        <v>5.73782134</v>
      </c>
      <c r="F2003" s="0" t="n">
        <v>7.520544861</v>
      </c>
      <c r="G2003" s="0" t="n">
        <v>11.34129631</v>
      </c>
      <c r="H2003" s="0" t="n">
        <v>12.60164634</v>
      </c>
    </row>
    <row r="2004" customFormat="false" ht="15" hidden="false" customHeight="false" outlineLevel="0" collapsed="false">
      <c r="A2004" s="0" t="s">
        <v>3200</v>
      </c>
      <c r="B2004" s="0" t="s">
        <v>714</v>
      </c>
      <c r="C2004" s="0" t="s">
        <v>634</v>
      </c>
      <c r="D2004" s="0" t="n">
        <v>0</v>
      </c>
      <c r="E2004" s="0" t="n">
        <v>97.41061586</v>
      </c>
      <c r="F2004" s="0" t="n">
        <v>129.5188969</v>
      </c>
      <c r="G2004" s="0" t="n">
        <v>227.6378163</v>
      </c>
      <c r="H2004" s="0" t="n">
        <v>244.9864666</v>
      </c>
    </row>
    <row r="2005" customFormat="false" ht="15" hidden="false" customHeight="false" outlineLevel="0" collapsed="false">
      <c r="A2005" s="0" t="s">
        <v>3201</v>
      </c>
      <c r="B2005" s="0" t="s">
        <v>958</v>
      </c>
      <c r="C2005" s="0" t="s">
        <v>634</v>
      </c>
      <c r="D2005" s="0" t="n">
        <v>0</v>
      </c>
      <c r="E2005" s="0" t="n">
        <v>0.1066141583</v>
      </c>
      <c r="F2005" s="0" t="n">
        <v>0.2995586355</v>
      </c>
      <c r="G2005" s="0" t="n">
        <v>0.4276077443</v>
      </c>
      <c r="H2005" s="0" t="n">
        <v>0.5243423693</v>
      </c>
    </row>
    <row r="2006" customFormat="false" ht="15" hidden="false" customHeight="false" outlineLevel="0" collapsed="false">
      <c r="A2006" s="0" t="s">
        <v>3202</v>
      </c>
      <c r="B2006" s="0" t="s">
        <v>728</v>
      </c>
      <c r="C2006" s="0" t="s">
        <v>634</v>
      </c>
      <c r="D2006" s="0" t="n">
        <v>0</v>
      </c>
      <c r="E2006" s="0" t="n">
        <v>29.50466455</v>
      </c>
      <c r="F2006" s="0" t="n">
        <v>38.01241642</v>
      </c>
      <c r="G2006" s="0" t="n">
        <v>57.000912</v>
      </c>
      <c r="H2006" s="0" t="n">
        <v>44.88781037</v>
      </c>
    </row>
    <row r="2007" customFormat="false" ht="15" hidden="false" customHeight="false" outlineLevel="0" collapsed="false">
      <c r="A2007" s="0" t="s">
        <v>3203</v>
      </c>
      <c r="B2007" s="0" t="s">
        <v>932</v>
      </c>
      <c r="C2007" s="0" t="s">
        <v>634</v>
      </c>
      <c r="D2007" s="0" t="n">
        <v>0</v>
      </c>
      <c r="E2007" s="0" t="n">
        <v>1.366427219</v>
      </c>
      <c r="F2007" s="0" t="n">
        <v>4.033271277</v>
      </c>
      <c r="G2007" s="0" t="n">
        <v>5.658001625</v>
      </c>
      <c r="H2007" s="0" t="n">
        <v>6.92117667</v>
      </c>
    </row>
    <row r="2008" customFormat="false" ht="15" hidden="false" customHeight="false" outlineLevel="0" collapsed="false">
      <c r="A2008" s="0" t="s">
        <v>3204</v>
      </c>
      <c r="B2008" s="0" t="s">
        <v>910</v>
      </c>
      <c r="C2008" s="0" t="s">
        <v>634</v>
      </c>
      <c r="D2008" s="0" t="n">
        <v>0</v>
      </c>
      <c r="E2008" s="0" t="n">
        <v>0.5980985004</v>
      </c>
      <c r="F2008" s="0" t="n">
        <v>1.041652107</v>
      </c>
      <c r="G2008" s="0" t="n">
        <v>1.561134</v>
      </c>
      <c r="H2008" s="0" t="n">
        <v>1.757605254</v>
      </c>
    </row>
    <row r="2009" customFormat="false" ht="15" hidden="false" customHeight="false" outlineLevel="0" collapsed="false">
      <c r="A2009" s="0" t="s">
        <v>3205</v>
      </c>
      <c r="B2009" s="0" t="s">
        <v>740</v>
      </c>
      <c r="C2009" s="0" t="s">
        <v>634</v>
      </c>
      <c r="D2009" s="0" t="n">
        <v>0</v>
      </c>
      <c r="E2009" s="0" t="n">
        <v>5.896594745</v>
      </c>
      <c r="F2009" s="0" t="n">
        <v>9.948552515</v>
      </c>
      <c r="G2009" s="0" t="n">
        <v>7.547900248</v>
      </c>
      <c r="H2009" s="0" t="n">
        <v>7.712423841</v>
      </c>
    </row>
    <row r="2010" customFormat="false" ht="15" hidden="false" customHeight="false" outlineLevel="0" collapsed="false">
      <c r="A2010" s="0" t="s">
        <v>3206</v>
      </c>
      <c r="B2010" s="0" t="s">
        <v>1042</v>
      </c>
      <c r="C2010" s="0" t="s">
        <v>634</v>
      </c>
      <c r="D2010" s="0" t="n">
        <v>0</v>
      </c>
      <c r="E2010" s="0" t="n">
        <v>0.3836798522</v>
      </c>
      <c r="F2010" s="0" t="n">
        <v>2.19486362</v>
      </c>
      <c r="G2010" s="0" t="n">
        <v>2.214114628</v>
      </c>
      <c r="H2010" s="0" t="n">
        <v>2.221642241</v>
      </c>
    </row>
    <row r="2011" customFormat="false" ht="15" hidden="false" customHeight="false" outlineLevel="0" collapsed="false">
      <c r="A2011" s="0" t="s">
        <v>3207</v>
      </c>
      <c r="B2011" s="0" t="s">
        <v>998</v>
      </c>
      <c r="C2011" s="0" t="s">
        <v>634</v>
      </c>
      <c r="D2011" s="0" t="n">
        <v>0</v>
      </c>
      <c r="E2011" s="0" t="n">
        <v>0.09487431194</v>
      </c>
      <c r="F2011" s="0" t="n">
        <v>0.337740287</v>
      </c>
      <c r="G2011" s="0" t="n">
        <v>0.4324578876</v>
      </c>
      <c r="H2011" s="0" t="n">
        <v>0.526473863</v>
      </c>
    </row>
    <row r="2012" customFormat="false" ht="15" hidden="false" customHeight="false" outlineLevel="0" collapsed="false">
      <c r="A2012" s="0" t="s">
        <v>3208</v>
      </c>
      <c r="B2012" s="0" t="s">
        <v>908</v>
      </c>
      <c r="C2012" s="0" t="s">
        <v>634</v>
      </c>
      <c r="D2012" s="0" t="n">
        <v>0</v>
      </c>
      <c r="E2012" s="0" t="n">
        <v>0.5693305497</v>
      </c>
      <c r="F2012" s="0" t="n">
        <v>0.8845358916</v>
      </c>
      <c r="G2012" s="0" t="n">
        <v>1.29301187</v>
      </c>
      <c r="H2012" s="0" t="n">
        <v>1.628546232</v>
      </c>
    </row>
    <row r="2013" customFormat="false" ht="15" hidden="false" customHeight="false" outlineLevel="0" collapsed="false">
      <c r="A2013" s="0" t="s">
        <v>3209</v>
      </c>
      <c r="B2013" s="0" t="s">
        <v>984</v>
      </c>
      <c r="C2013" s="0" t="s">
        <v>634</v>
      </c>
      <c r="D2013" s="0" t="n">
        <v>0</v>
      </c>
      <c r="E2013" s="0" t="n">
        <v>0.2898685197</v>
      </c>
      <c r="F2013" s="0" t="n">
        <v>1.43372082</v>
      </c>
      <c r="G2013" s="0" t="n">
        <v>1.762179732</v>
      </c>
      <c r="H2013" s="0" t="n">
        <v>2.058060117</v>
      </c>
    </row>
    <row r="2014" customFormat="false" ht="15" hidden="false" customHeight="false" outlineLevel="0" collapsed="false">
      <c r="A2014" s="0" t="s">
        <v>3210</v>
      </c>
      <c r="B2014" s="0" t="s">
        <v>852</v>
      </c>
      <c r="C2014" s="0" t="s">
        <v>634</v>
      </c>
      <c r="D2014" s="0" t="n">
        <v>0</v>
      </c>
      <c r="E2014" s="0" t="n">
        <v>2.294305374</v>
      </c>
      <c r="F2014" s="0" t="n">
        <v>3.571808112</v>
      </c>
      <c r="G2014" s="0" t="n">
        <v>6.318739872</v>
      </c>
      <c r="H2014" s="0" t="n">
        <v>6.369408302</v>
      </c>
    </row>
    <row r="2015" customFormat="false" ht="15" hidden="false" customHeight="false" outlineLevel="0" collapsed="false">
      <c r="A2015" s="0" t="s">
        <v>3211</v>
      </c>
      <c r="B2015" s="0" t="s">
        <v>1056</v>
      </c>
      <c r="C2015" s="0" t="s">
        <v>634</v>
      </c>
      <c r="D2015" s="0" t="n">
        <v>0</v>
      </c>
      <c r="E2015" s="0" t="n">
        <v>0.01272981085</v>
      </c>
      <c r="F2015" s="0" t="n">
        <v>0.02739751332</v>
      </c>
      <c r="G2015" s="0" t="n">
        <v>0.04183022958</v>
      </c>
      <c r="H2015" s="0" t="n">
        <v>0.04843598068</v>
      </c>
    </row>
    <row r="2016" customFormat="false" ht="15" hidden="false" customHeight="false" outlineLevel="0" collapsed="false">
      <c r="A2016" s="0" t="s">
        <v>3212</v>
      </c>
      <c r="B2016" s="0" t="s">
        <v>1016</v>
      </c>
      <c r="C2016" s="0" t="s">
        <v>634</v>
      </c>
      <c r="D2016" s="0" t="n">
        <v>0</v>
      </c>
      <c r="E2016" s="0" t="n">
        <v>0.2530248653</v>
      </c>
      <c r="F2016" s="0" t="n">
        <v>0.70603518</v>
      </c>
      <c r="G2016" s="0" t="n">
        <v>0.823267513</v>
      </c>
      <c r="H2016" s="0" t="n">
        <v>0.896538837</v>
      </c>
    </row>
    <row r="2017" customFormat="false" ht="15" hidden="false" customHeight="false" outlineLevel="0" collapsed="false">
      <c r="A2017" s="0" t="s">
        <v>3213</v>
      </c>
      <c r="B2017" s="0" t="s">
        <v>822</v>
      </c>
      <c r="C2017" s="0" t="s">
        <v>634</v>
      </c>
      <c r="D2017" s="0" t="n">
        <v>0</v>
      </c>
      <c r="E2017" s="0" t="n">
        <v>3.185043653</v>
      </c>
      <c r="F2017" s="0" t="n">
        <v>3.736034578</v>
      </c>
      <c r="G2017" s="0" t="n">
        <v>4.051787251</v>
      </c>
      <c r="H2017" s="0" t="n">
        <v>3.564151081</v>
      </c>
    </row>
    <row r="2018" customFormat="false" ht="15" hidden="false" customHeight="false" outlineLevel="0" collapsed="false">
      <c r="A2018" s="0" t="s">
        <v>3214</v>
      </c>
      <c r="B2018" s="0" t="s">
        <v>870</v>
      </c>
      <c r="C2018" s="0" t="s">
        <v>634</v>
      </c>
      <c r="D2018" s="0" t="n">
        <v>0</v>
      </c>
      <c r="E2018" s="0" t="n">
        <v>1.132337706</v>
      </c>
      <c r="F2018" s="0" t="n">
        <v>1.529267146</v>
      </c>
      <c r="G2018" s="0" t="n">
        <v>1.339539222</v>
      </c>
      <c r="H2018" s="0" t="n">
        <v>1.255680974</v>
      </c>
    </row>
    <row r="2019" customFormat="false" ht="15" hidden="false" customHeight="false" outlineLevel="0" collapsed="false">
      <c r="A2019" s="0" t="s">
        <v>3215</v>
      </c>
      <c r="B2019" s="0" t="s">
        <v>746</v>
      </c>
      <c r="C2019" s="0" t="s">
        <v>634</v>
      </c>
      <c r="D2019" s="0" t="n">
        <v>0</v>
      </c>
      <c r="E2019" s="0" t="n">
        <v>6.751048393</v>
      </c>
      <c r="F2019" s="0" t="n">
        <v>8.434453061</v>
      </c>
      <c r="G2019" s="0" t="n">
        <v>7.867577243</v>
      </c>
      <c r="H2019" s="0" t="n">
        <v>7.628951892</v>
      </c>
    </row>
    <row r="2020" customFormat="false" ht="15" hidden="false" customHeight="false" outlineLevel="0" collapsed="false">
      <c r="A2020" s="0" t="s">
        <v>3216</v>
      </c>
      <c r="B2020" s="0" t="s">
        <v>1010</v>
      </c>
      <c r="C2020" s="0" t="s">
        <v>634</v>
      </c>
      <c r="D2020" s="0" t="n">
        <v>0</v>
      </c>
      <c r="E2020" s="0" t="n">
        <v>0.05651990313</v>
      </c>
      <c r="F2020" s="0" t="n">
        <v>0.1122804189</v>
      </c>
      <c r="G2020" s="0" t="n">
        <v>0.1604621062</v>
      </c>
      <c r="H2020" s="0" t="n">
        <v>0.1979959055</v>
      </c>
    </row>
    <row r="2021" customFormat="false" ht="15" hidden="false" customHeight="false" outlineLevel="0" collapsed="false">
      <c r="A2021" s="0" t="s">
        <v>3217</v>
      </c>
      <c r="B2021" s="0" t="s">
        <v>1036</v>
      </c>
      <c r="C2021" s="0" t="s">
        <v>634</v>
      </c>
      <c r="D2021" s="0" t="n">
        <v>0</v>
      </c>
      <c r="E2021" s="0" t="n">
        <v>0.06016745281</v>
      </c>
      <c r="F2021" s="0" t="n">
        <v>0.06736046902</v>
      </c>
      <c r="G2021" s="0" t="n">
        <v>0.09913818074</v>
      </c>
      <c r="H2021" s="0" t="n">
        <v>0.08495860801</v>
      </c>
    </row>
    <row r="2022" customFormat="false" ht="15" hidden="false" customHeight="false" outlineLevel="0" collapsed="false">
      <c r="A2022" s="0" t="s">
        <v>3218</v>
      </c>
      <c r="B2022" s="0" t="s">
        <v>858</v>
      </c>
      <c r="C2022" s="0" t="s">
        <v>634</v>
      </c>
      <c r="D2022" s="0" t="n">
        <v>0</v>
      </c>
      <c r="E2022" s="0" t="n">
        <v>2.594892306</v>
      </c>
      <c r="F2022" s="0" t="n">
        <v>3.629320502</v>
      </c>
      <c r="G2022" s="0" t="n">
        <v>7.064895678</v>
      </c>
      <c r="H2022" s="0" t="n">
        <v>7.493963729</v>
      </c>
    </row>
    <row r="2023" customFormat="false" ht="15" hidden="false" customHeight="false" outlineLevel="0" collapsed="false">
      <c r="A2023" s="0" t="s">
        <v>3219</v>
      </c>
      <c r="B2023" s="0" t="s">
        <v>942</v>
      </c>
      <c r="C2023" s="0" t="s">
        <v>634</v>
      </c>
      <c r="D2023" s="0" t="n">
        <v>0</v>
      </c>
      <c r="E2023" s="0" t="n">
        <v>0.589152381</v>
      </c>
      <c r="F2023" s="0" t="n">
        <v>2.753450281</v>
      </c>
      <c r="G2023" s="0" t="n">
        <v>3.565925317</v>
      </c>
      <c r="H2023" s="0" t="n">
        <v>4.370996102</v>
      </c>
    </row>
    <row r="2024" customFormat="false" ht="15" hidden="false" customHeight="false" outlineLevel="0" collapsed="false">
      <c r="A2024" s="0" t="s">
        <v>3220</v>
      </c>
      <c r="B2024" s="0" t="s">
        <v>986</v>
      </c>
      <c r="C2024" s="0" t="s">
        <v>634</v>
      </c>
      <c r="D2024" s="0" t="n">
        <v>0</v>
      </c>
      <c r="E2024" s="0" t="n">
        <v>0.1311908232</v>
      </c>
      <c r="F2024" s="0" t="n">
        <v>0.3145042142</v>
      </c>
      <c r="G2024" s="0" t="n">
        <v>0.4501988618</v>
      </c>
      <c r="H2024" s="0" t="n">
        <v>0.5327779082</v>
      </c>
    </row>
    <row r="2025" customFormat="false" ht="15" hidden="false" customHeight="false" outlineLevel="0" collapsed="false">
      <c r="A2025" s="0" t="s">
        <v>3221</v>
      </c>
      <c r="B2025" s="0" t="s">
        <v>752</v>
      </c>
      <c r="C2025" s="0" t="s">
        <v>634</v>
      </c>
      <c r="D2025" s="0" t="n">
        <v>0</v>
      </c>
      <c r="E2025" s="0" t="n">
        <v>11.25687521</v>
      </c>
      <c r="F2025" s="0" t="n">
        <v>16.81572423</v>
      </c>
      <c r="G2025" s="0" t="n">
        <v>27.90172074</v>
      </c>
      <c r="H2025" s="0" t="n">
        <v>29.57827947</v>
      </c>
    </row>
    <row r="2026" customFormat="false" ht="15" hidden="false" customHeight="false" outlineLevel="0" collapsed="false">
      <c r="A2026" s="0" t="s">
        <v>3222</v>
      </c>
      <c r="B2026" s="0" t="s">
        <v>968</v>
      </c>
      <c r="C2026" s="0" t="s">
        <v>634</v>
      </c>
      <c r="D2026" s="0" t="n">
        <v>0</v>
      </c>
      <c r="E2026" s="0" t="n">
        <v>0.6180963209</v>
      </c>
      <c r="F2026" s="0" t="n">
        <v>1.088039989</v>
      </c>
      <c r="G2026" s="0" t="n">
        <v>1.648851499</v>
      </c>
      <c r="H2026" s="0" t="n">
        <v>2.24408723</v>
      </c>
    </row>
    <row r="2027" customFormat="false" ht="15" hidden="false" customHeight="false" outlineLevel="0" collapsed="false">
      <c r="A2027" s="0" t="s">
        <v>3223</v>
      </c>
      <c r="B2027" s="0" t="s">
        <v>872</v>
      </c>
      <c r="C2027" s="0" t="s">
        <v>634</v>
      </c>
      <c r="D2027" s="0" t="n">
        <v>0</v>
      </c>
      <c r="E2027" s="0" t="n">
        <v>7.414330667</v>
      </c>
      <c r="F2027" s="0" t="n">
        <v>9.81054183</v>
      </c>
      <c r="G2027" s="0" t="n">
        <v>15.60036345</v>
      </c>
      <c r="H2027" s="0" t="n">
        <v>17.32821334</v>
      </c>
    </row>
    <row r="2028" customFormat="false" ht="15" hidden="false" customHeight="false" outlineLevel="0" collapsed="false">
      <c r="A2028" s="0" t="s">
        <v>3224</v>
      </c>
      <c r="B2028" s="0" t="s">
        <v>1040</v>
      </c>
      <c r="C2028" s="0" t="s">
        <v>634</v>
      </c>
      <c r="D2028" s="0" t="n">
        <v>0</v>
      </c>
      <c r="E2028" s="0" t="n">
        <v>0.0666419945</v>
      </c>
      <c r="F2028" s="0" t="n">
        <v>0.1370444889</v>
      </c>
      <c r="G2028" s="0" t="n">
        <v>0.219487955</v>
      </c>
      <c r="H2028" s="0" t="n">
        <v>0.2691251468</v>
      </c>
    </row>
    <row r="2029" customFormat="false" ht="15" hidden="false" customHeight="false" outlineLevel="0" collapsed="false">
      <c r="A2029" s="0" t="s">
        <v>3225</v>
      </c>
      <c r="B2029" s="0" t="s">
        <v>1060</v>
      </c>
      <c r="C2029" s="0" t="s">
        <v>634</v>
      </c>
      <c r="D2029" s="0" t="n">
        <v>0</v>
      </c>
      <c r="E2029" s="0" t="n">
        <v>0.01059585008</v>
      </c>
      <c r="F2029" s="0" t="n">
        <v>0.01639490053</v>
      </c>
      <c r="G2029" s="0" t="n">
        <v>0.02522538128</v>
      </c>
      <c r="H2029" s="0" t="n">
        <v>0.02517433774</v>
      </c>
    </row>
    <row r="2030" customFormat="false" ht="15" hidden="false" customHeight="false" outlineLevel="0" collapsed="false">
      <c r="A2030" s="0" t="s">
        <v>3226</v>
      </c>
      <c r="B2030" s="0" t="s">
        <v>944</v>
      </c>
      <c r="C2030" s="0" t="s">
        <v>634</v>
      </c>
      <c r="D2030" s="0" t="n">
        <v>0</v>
      </c>
      <c r="E2030" s="0" t="n">
        <v>0.8363159019</v>
      </c>
      <c r="F2030" s="0" t="n">
        <v>1.405468267</v>
      </c>
      <c r="G2030" s="0" t="n">
        <v>2.47995321</v>
      </c>
      <c r="H2030" s="0" t="n">
        <v>2.873214583</v>
      </c>
    </row>
    <row r="2031" customFormat="false" ht="15" hidden="false" customHeight="false" outlineLevel="0" collapsed="false">
      <c r="A2031" s="0" t="s">
        <v>3227</v>
      </c>
      <c r="B2031" s="0" t="s">
        <v>884</v>
      </c>
      <c r="C2031" s="0" t="s">
        <v>634</v>
      </c>
      <c r="D2031" s="0" t="n">
        <v>0</v>
      </c>
      <c r="E2031" s="0" t="n">
        <v>1.70423663</v>
      </c>
      <c r="F2031" s="0" t="n">
        <v>2.604058999</v>
      </c>
      <c r="G2031" s="0" t="n">
        <v>5.296660935</v>
      </c>
      <c r="H2031" s="0" t="n">
        <v>5.67991334</v>
      </c>
    </row>
    <row r="2032" customFormat="false" ht="15" hidden="false" customHeight="false" outlineLevel="0" collapsed="false">
      <c r="A2032" s="0" t="s">
        <v>3228</v>
      </c>
      <c r="B2032" s="0" t="s">
        <v>726</v>
      </c>
      <c r="C2032" s="0" t="s">
        <v>634</v>
      </c>
      <c r="D2032" s="0" t="n">
        <v>0</v>
      </c>
      <c r="E2032" s="0" t="n">
        <v>28.19549542</v>
      </c>
      <c r="F2032" s="0" t="n">
        <v>36.36615964</v>
      </c>
      <c r="G2032" s="0" t="n">
        <v>51.8741221</v>
      </c>
      <c r="H2032" s="0" t="n">
        <v>53.03479268</v>
      </c>
    </row>
    <row r="2033" customFormat="false" ht="15" hidden="false" customHeight="false" outlineLevel="0" collapsed="false">
      <c r="A2033" s="0" t="s">
        <v>3229</v>
      </c>
      <c r="B2033" s="0" t="s">
        <v>842</v>
      </c>
      <c r="C2033" s="0" t="s">
        <v>634</v>
      </c>
      <c r="D2033" s="0" t="n">
        <v>0</v>
      </c>
      <c r="E2033" s="0" t="n">
        <v>1.395125552</v>
      </c>
      <c r="F2033" s="0" t="n">
        <v>5.445654661</v>
      </c>
      <c r="G2033" s="0" t="n">
        <v>6.675580648</v>
      </c>
      <c r="H2033" s="0" t="n">
        <v>7.434679598</v>
      </c>
    </row>
    <row r="2034" customFormat="false" ht="15" hidden="false" customHeight="false" outlineLevel="0" collapsed="false">
      <c r="A2034" s="0" t="s">
        <v>3230</v>
      </c>
      <c r="B2034" s="0" t="s">
        <v>866</v>
      </c>
      <c r="C2034" s="0" t="s">
        <v>634</v>
      </c>
      <c r="D2034" s="0" t="n">
        <v>0</v>
      </c>
      <c r="E2034" s="0" t="n">
        <v>0.624581433</v>
      </c>
      <c r="F2034" s="0" t="n">
        <v>2.137080865</v>
      </c>
      <c r="G2034" s="0" t="n">
        <v>2.86991099</v>
      </c>
      <c r="H2034" s="0" t="n">
        <v>3.554644684</v>
      </c>
    </row>
    <row r="2035" customFormat="false" ht="15" hidden="false" customHeight="false" outlineLevel="0" collapsed="false">
      <c r="A2035" s="0" t="s">
        <v>3231</v>
      </c>
      <c r="B2035" s="0" t="s">
        <v>804</v>
      </c>
      <c r="C2035" s="0" t="s">
        <v>634</v>
      </c>
      <c r="D2035" s="0" t="n">
        <v>0</v>
      </c>
      <c r="E2035" s="0" t="n">
        <v>10.31312101</v>
      </c>
      <c r="F2035" s="0" t="n">
        <v>15.96437766</v>
      </c>
      <c r="G2035" s="0" t="n">
        <v>24.70367356</v>
      </c>
      <c r="H2035" s="0" t="n">
        <v>31.6653863</v>
      </c>
    </row>
    <row r="2036" customFormat="false" ht="15" hidden="false" customHeight="false" outlineLevel="0" collapsed="false">
      <c r="A2036" s="0" t="s">
        <v>3232</v>
      </c>
      <c r="B2036" s="0" t="s">
        <v>860</v>
      </c>
      <c r="C2036" s="0" t="s">
        <v>634</v>
      </c>
      <c r="D2036" s="0" t="n">
        <v>0</v>
      </c>
      <c r="E2036" s="0" t="n">
        <v>0.8344621689</v>
      </c>
      <c r="F2036" s="0" t="n">
        <v>1.264863758</v>
      </c>
      <c r="G2036" s="0" t="n">
        <v>1.592869193</v>
      </c>
      <c r="H2036" s="0" t="n">
        <v>1.856301811</v>
      </c>
    </row>
    <row r="2037" customFormat="false" ht="15" hidden="false" customHeight="false" outlineLevel="0" collapsed="false">
      <c r="A2037" s="0" t="s">
        <v>3233</v>
      </c>
      <c r="B2037" s="0" t="s">
        <v>693</v>
      </c>
      <c r="C2037" s="0" t="s">
        <v>634</v>
      </c>
      <c r="D2037" s="0" t="n">
        <v>0</v>
      </c>
      <c r="E2037" s="0" t="n">
        <v>577.6514108</v>
      </c>
      <c r="F2037" s="0" t="n">
        <v>780.279192</v>
      </c>
      <c r="G2037" s="0" t="n">
        <v>642.0742423</v>
      </c>
      <c r="H2037" s="0" t="n">
        <v>502.2933066</v>
      </c>
    </row>
    <row r="2038" customFormat="false" ht="15" hidden="false" customHeight="false" outlineLevel="0" collapsed="false">
      <c r="A2038" s="0" t="s">
        <v>3234</v>
      </c>
      <c r="B2038" s="0" t="s">
        <v>810</v>
      </c>
      <c r="C2038" s="0" t="s">
        <v>634</v>
      </c>
      <c r="D2038" s="0" t="n">
        <v>0</v>
      </c>
      <c r="E2038" s="0" t="n">
        <v>9.359984059</v>
      </c>
      <c r="F2038" s="0" t="n">
        <v>14.57552373</v>
      </c>
      <c r="G2038" s="0" t="n">
        <v>25.16801789</v>
      </c>
      <c r="H2038" s="0" t="n">
        <v>29.09493209</v>
      </c>
    </row>
    <row r="2039" customFormat="false" ht="15" hidden="false" customHeight="false" outlineLevel="0" collapsed="false">
      <c r="A2039" s="0" t="s">
        <v>3235</v>
      </c>
      <c r="B2039" s="0" t="s">
        <v>1052</v>
      </c>
      <c r="C2039" s="0" t="s">
        <v>634</v>
      </c>
      <c r="D2039" s="0" t="n">
        <v>0</v>
      </c>
      <c r="E2039" s="0" t="n">
        <v>0.01573740129</v>
      </c>
      <c r="F2039" s="0" t="n">
        <v>0.02230737176</v>
      </c>
      <c r="G2039" s="0" t="n">
        <v>0.03592139121</v>
      </c>
      <c r="H2039" s="0" t="n">
        <v>0.03726830005</v>
      </c>
    </row>
    <row r="2040" customFormat="false" ht="15" hidden="false" customHeight="false" outlineLevel="0" collapsed="false">
      <c r="A2040" s="0" t="s">
        <v>3236</v>
      </c>
      <c r="B2040" s="0" t="s">
        <v>820</v>
      </c>
      <c r="C2040" s="0" t="s">
        <v>634</v>
      </c>
      <c r="D2040" s="0" t="n">
        <v>0</v>
      </c>
      <c r="E2040" s="0" t="n">
        <v>4.778535543</v>
      </c>
      <c r="F2040" s="0" t="n">
        <v>10.09310941</v>
      </c>
      <c r="G2040" s="0" t="n">
        <v>14.64467162</v>
      </c>
      <c r="H2040" s="0" t="n">
        <v>19.15248452</v>
      </c>
    </row>
    <row r="2041" customFormat="false" ht="15" hidden="false" customHeight="false" outlineLevel="0" collapsed="false">
      <c r="A2041" s="0" t="s">
        <v>3237</v>
      </c>
      <c r="B2041" s="0" t="s">
        <v>744</v>
      </c>
      <c r="C2041" s="0" t="s">
        <v>634</v>
      </c>
      <c r="D2041" s="0" t="n">
        <v>0</v>
      </c>
      <c r="E2041" s="0" t="n">
        <v>15.33044027</v>
      </c>
      <c r="F2041" s="0" t="n">
        <v>22.42479674</v>
      </c>
      <c r="G2041" s="0" t="n">
        <v>34.08234847</v>
      </c>
      <c r="H2041" s="0" t="n">
        <v>37.02792349</v>
      </c>
    </row>
    <row r="2042" customFormat="false" ht="15" hidden="false" customHeight="false" outlineLevel="0" collapsed="false">
      <c r="A2042" s="0" t="s">
        <v>3238</v>
      </c>
      <c r="B2042" s="0" t="s">
        <v>1048</v>
      </c>
      <c r="C2042" s="0" t="s">
        <v>634</v>
      </c>
      <c r="D2042" s="0" t="n">
        <v>0</v>
      </c>
      <c r="E2042" s="0" t="n">
        <v>0.01510719279</v>
      </c>
      <c r="F2042" s="0" t="n">
        <v>0.03031158811</v>
      </c>
      <c r="G2042" s="0" t="n">
        <v>0.04821459412</v>
      </c>
      <c r="H2042" s="0" t="n">
        <v>0.05190244758</v>
      </c>
    </row>
    <row r="2043" customFormat="false" ht="15" hidden="false" customHeight="false" outlineLevel="0" collapsed="false">
      <c r="A2043" s="0" t="s">
        <v>3239</v>
      </c>
      <c r="B2043" s="0" t="s">
        <v>1050</v>
      </c>
      <c r="C2043" s="0" t="s">
        <v>634</v>
      </c>
      <c r="D2043" s="0" t="n">
        <v>0</v>
      </c>
      <c r="E2043" s="0" t="n">
        <v>0.02196591433</v>
      </c>
      <c r="F2043" s="0" t="n">
        <v>0.03722253403</v>
      </c>
      <c r="G2043" s="0" t="n">
        <v>0.05288591639</v>
      </c>
      <c r="H2043" s="0" t="n">
        <v>0.05581358212</v>
      </c>
    </row>
    <row r="2044" customFormat="false" ht="15" hidden="false" customHeight="false" outlineLevel="0" collapsed="false">
      <c r="A2044" s="0" t="s">
        <v>3240</v>
      </c>
      <c r="B2044" s="0" t="s">
        <v>990</v>
      </c>
      <c r="C2044" s="0" t="s">
        <v>634</v>
      </c>
      <c r="D2044" s="0" t="n">
        <v>0</v>
      </c>
      <c r="E2044" s="0" t="n">
        <v>0.2352353303</v>
      </c>
      <c r="F2044" s="0" t="n">
        <v>0.3058288925</v>
      </c>
      <c r="G2044" s="0" t="n">
        <v>0.5468231383</v>
      </c>
      <c r="H2044" s="0" t="n">
        <v>0.5212931445</v>
      </c>
    </row>
    <row r="2045" customFormat="false" ht="15" hidden="false" customHeight="false" outlineLevel="0" collapsed="false">
      <c r="A2045" s="0" t="s">
        <v>3241</v>
      </c>
      <c r="B2045" s="0" t="s">
        <v>1004</v>
      </c>
      <c r="C2045" s="0" t="s">
        <v>634</v>
      </c>
      <c r="D2045" s="0" t="n">
        <v>0</v>
      </c>
      <c r="E2045" s="0" t="n">
        <v>0.537594853</v>
      </c>
      <c r="F2045" s="0" t="n">
        <v>1.027837137</v>
      </c>
      <c r="G2045" s="0" t="n">
        <v>1.704281884</v>
      </c>
      <c r="H2045" s="0" t="n">
        <v>2.148598797</v>
      </c>
    </row>
    <row r="2046" customFormat="false" ht="15" hidden="false" customHeight="false" outlineLevel="0" collapsed="false">
      <c r="A2046" s="0" t="s">
        <v>3242</v>
      </c>
      <c r="B2046" s="0" t="s">
        <v>774</v>
      </c>
      <c r="C2046" s="0" t="s">
        <v>634</v>
      </c>
      <c r="D2046" s="0" t="n">
        <v>0</v>
      </c>
      <c r="E2046" s="0" t="n">
        <v>12.70767506</v>
      </c>
      <c r="F2046" s="0" t="n">
        <v>17.2402121</v>
      </c>
      <c r="G2046" s="0" t="n">
        <v>28.03660319</v>
      </c>
      <c r="H2046" s="0" t="n">
        <v>26.82947926</v>
      </c>
    </row>
    <row r="2047" customFormat="false" ht="15" hidden="false" customHeight="false" outlineLevel="0" collapsed="false">
      <c r="A2047" s="0" t="s">
        <v>3243</v>
      </c>
      <c r="B2047" s="0" t="s">
        <v>930</v>
      </c>
      <c r="C2047" s="0" t="s">
        <v>634</v>
      </c>
      <c r="D2047" s="0" t="n">
        <v>0</v>
      </c>
      <c r="E2047" s="0" t="n">
        <v>1.092684672</v>
      </c>
      <c r="F2047" s="0" t="n">
        <v>3.692278398</v>
      </c>
      <c r="G2047" s="0" t="n">
        <v>4.395981067</v>
      </c>
      <c r="H2047" s="0" t="n">
        <v>4.907944029</v>
      </c>
    </row>
    <row r="2048" customFormat="false" ht="15" hidden="false" customHeight="false" outlineLevel="0" collapsed="false">
      <c r="A2048" s="0" t="s">
        <v>3244</v>
      </c>
      <c r="B2048" s="0" t="s">
        <v>878</v>
      </c>
      <c r="C2048" s="0" t="s">
        <v>634</v>
      </c>
      <c r="D2048" s="0" t="n">
        <v>0</v>
      </c>
      <c r="E2048" s="0" t="n">
        <v>1.50124207</v>
      </c>
      <c r="F2048" s="0" t="n">
        <v>5.303826241</v>
      </c>
      <c r="G2048" s="0" t="n">
        <v>6.038909337</v>
      </c>
      <c r="H2048" s="0" t="n">
        <v>6.43902917</v>
      </c>
    </row>
    <row r="2049" customFormat="false" ht="15" hidden="false" customHeight="false" outlineLevel="0" collapsed="false">
      <c r="A2049" s="0" t="s">
        <v>3245</v>
      </c>
      <c r="B2049" s="0" t="s">
        <v>1018</v>
      </c>
      <c r="C2049" s="0" t="s">
        <v>603</v>
      </c>
      <c r="D2049" s="0" t="n">
        <v>1.876477097</v>
      </c>
      <c r="E2049" s="0" t="n">
        <v>1.945040954</v>
      </c>
      <c r="F2049" s="0" t="n">
        <v>2.049349291</v>
      </c>
      <c r="G2049" s="0" t="n">
        <v>2.207963927</v>
      </c>
      <c r="H2049" s="0" t="n">
        <v>2.340120192</v>
      </c>
    </row>
    <row r="2050" customFormat="false" ht="15" hidden="false" customHeight="false" outlineLevel="0" collapsed="false">
      <c r="A2050" s="0" t="s">
        <v>3246</v>
      </c>
      <c r="B2050" s="0" t="s">
        <v>962</v>
      </c>
      <c r="C2050" s="0" t="s">
        <v>603</v>
      </c>
      <c r="D2050" s="0" t="n">
        <v>34.96403144</v>
      </c>
      <c r="E2050" s="0" t="n">
        <v>35.06841983</v>
      </c>
      <c r="F2050" s="0" t="n">
        <v>35.63540928</v>
      </c>
      <c r="G2050" s="0" t="n">
        <v>37.38046374</v>
      </c>
      <c r="H2050" s="0" t="n">
        <v>40.03897923</v>
      </c>
    </row>
    <row r="2051" customFormat="false" ht="15" hidden="false" customHeight="false" outlineLevel="0" collapsed="false">
      <c r="A2051" s="0" t="s">
        <v>3247</v>
      </c>
      <c r="B2051" s="0" t="s">
        <v>828</v>
      </c>
      <c r="C2051" s="0" t="s">
        <v>603</v>
      </c>
      <c r="D2051" s="0" t="n">
        <v>113.459</v>
      </c>
      <c r="E2051" s="0" t="n">
        <v>113.7221296</v>
      </c>
      <c r="F2051" s="0" t="n">
        <v>114.6307776</v>
      </c>
      <c r="G2051" s="0" t="n">
        <v>117.9513383</v>
      </c>
      <c r="H2051" s="0" t="n">
        <v>123.2180235</v>
      </c>
    </row>
    <row r="2052" customFormat="false" ht="15" hidden="false" customHeight="false" outlineLevel="0" collapsed="false">
      <c r="A2052" s="0" t="s">
        <v>3248</v>
      </c>
      <c r="B2052" s="0" t="s">
        <v>926</v>
      </c>
      <c r="C2052" s="0" t="s">
        <v>603</v>
      </c>
      <c r="D2052" s="0" t="n">
        <v>8.074</v>
      </c>
      <c r="E2052" s="0" t="n">
        <v>8.134634859</v>
      </c>
      <c r="F2052" s="0" t="n">
        <v>8.387738961</v>
      </c>
      <c r="G2052" s="0" t="n">
        <v>8.849444978</v>
      </c>
      <c r="H2052" s="0" t="n">
        <v>9.404733344</v>
      </c>
    </row>
    <row r="2053" customFormat="false" ht="15" hidden="false" customHeight="false" outlineLevel="0" collapsed="false">
      <c r="A2053" s="0" t="s">
        <v>3249</v>
      </c>
      <c r="B2053" s="0" t="s">
        <v>748</v>
      </c>
      <c r="C2053" s="0" t="s">
        <v>603</v>
      </c>
      <c r="D2053" s="0" t="n">
        <v>313.523</v>
      </c>
      <c r="E2053" s="0" t="n">
        <v>319.10766</v>
      </c>
      <c r="F2053" s="0" t="n">
        <v>324.166547</v>
      </c>
      <c r="G2053" s="0" t="n">
        <v>315.0022476</v>
      </c>
      <c r="H2053" s="0" t="n">
        <v>294.3427338</v>
      </c>
    </row>
    <row r="2054" customFormat="false" ht="15" hidden="false" customHeight="false" outlineLevel="0" collapsed="false">
      <c r="A2054" s="0" t="s">
        <v>3250</v>
      </c>
      <c r="B2054" s="0" t="s">
        <v>736</v>
      </c>
      <c r="C2054" s="0" t="s">
        <v>603</v>
      </c>
      <c r="D2054" s="0" t="n">
        <v>404.174</v>
      </c>
      <c r="E2054" s="0" t="n">
        <v>406.1793215</v>
      </c>
      <c r="F2054" s="0" t="n">
        <v>409.7732647</v>
      </c>
      <c r="G2054" s="0" t="n">
        <v>402.734389</v>
      </c>
      <c r="H2054" s="0" t="n">
        <v>387.4177444</v>
      </c>
    </row>
    <row r="2055" customFormat="false" ht="15" hidden="false" customHeight="false" outlineLevel="0" collapsed="false">
      <c r="A2055" s="0" t="s">
        <v>3251</v>
      </c>
      <c r="B2055" s="0" t="s">
        <v>920</v>
      </c>
      <c r="C2055" s="0" t="s">
        <v>603</v>
      </c>
      <c r="D2055" s="0" t="n">
        <v>9.609</v>
      </c>
      <c r="E2055" s="0" t="n">
        <v>9.843977413</v>
      </c>
      <c r="F2055" s="0" t="n">
        <v>10.63281407</v>
      </c>
      <c r="G2055" s="0" t="n">
        <v>11.81976246</v>
      </c>
      <c r="H2055" s="0" t="n">
        <v>12.79069718</v>
      </c>
    </row>
    <row r="2056" customFormat="false" ht="15" hidden="false" customHeight="false" outlineLevel="0" collapsed="false">
      <c r="A2056" s="0" t="s">
        <v>3252</v>
      </c>
      <c r="B2056" s="0" t="s">
        <v>1038</v>
      </c>
      <c r="C2056" s="0" t="s">
        <v>603</v>
      </c>
      <c r="D2056" s="0" t="n">
        <v>1.309959336</v>
      </c>
      <c r="E2056" s="0" t="n">
        <v>1.328384733</v>
      </c>
      <c r="F2056" s="0" t="n">
        <v>1.394122209</v>
      </c>
      <c r="G2056" s="0" t="n">
        <v>1.470660045</v>
      </c>
      <c r="H2056" s="0" t="n">
        <v>1.513974055</v>
      </c>
    </row>
    <row r="2057" customFormat="false" ht="15" hidden="false" customHeight="false" outlineLevel="0" collapsed="false">
      <c r="A2057" s="0" t="s">
        <v>3253</v>
      </c>
      <c r="B2057" s="0" t="s">
        <v>718</v>
      </c>
      <c r="C2057" s="0" t="s">
        <v>603</v>
      </c>
      <c r="D2057" s="0" t="n">
        <v>523.8276845</v>
      </c>
      <c r="E2057" s="0" t="n">
        <v>522.2055806</v>
      </c>
      <c r="F2057" s="0" t="n">
        <v>510.5496071</v>
      </c>
      <c r="G2057" s="0" t="n">
        <v>467.730382</v>
      </c>
      <c r="H2057" s="0" t="n">
        <v>419.8260281</v>
      </c>
    </row>
    <row r="2058" customFormat="false" ht="15" hidden="false" customHeight="false" outlineLevel="0" collapsed="false">
      <c r="A2058" s="0" t="s">
        <v>3254</v>
      </c>
      <c r="B2058" s="0" t="s">
        <v>758</v>
      </c>
      <c r="C2058" s="0" t="s">
        <v>603</v>
      </c>
      <c r="D2058" s="0" t="n">
        <v>76.658</v>
      </c>
      <c r="E2058" s="0" t="n">
        <v>75.60491434</v>
      </c>
      <c r="F2058" s="0" t="n">
        <v>70.10941441</v>
      </c>
      <c r="G2058" s="0" t="n">
        <v>63.52345841</v>
      </c>
      <c r="H2058" s="0" t="n">
        <v>62.04506163</v>
      </c>
    </row>
    <row r="2059" customFormat="false" ht="15" hidden="false" customHeight="false" outlineLevel="0" collapsed="false">
      <c r="A2059" s="0" t="s">
        <v>3255</v>
      </c>
      <c r="B2059" s="0" t="s">
        <v>868</v>
      </c>
      <c r="C2059" s="0" t="s">
        <v>603</v>
      </c>
      <c r="D2059" s="0" t="n">
        <v>70.588</v>
      </c>
      <c r="E2059" s="0" t="n">
        <v>70.49125771</v>
      </c>
      <c r="F2059" s="0" t="n">
        <v>70.9168871</v>
      </c>
      <c r="G2059" s="0" t="n">
        <v>72.56333791</v>
      </c>
      <c r="H2059" s="0" t="n">
        <v>74.87146838</v>
      </c>
    </row>
    <row r="2060" customFormat="false" ht="15" hidden="false" customHeight="false" outlineLevel="0" collapsed="false">
      <c r="A2060" s="0" t="s">
        <v>3256</v>
      </c>
      <c r="B2060" s="0" t="s">
        <v>1012</v>
      </c>
      <c r="C2060" s="0" t="s">
        <v>603</v>
      </c>
      <c r="D2060" s="0" t="n">
        <v>10.53</v>
      </c>
      <c r="E2060" s="0" t="n">
        <v>10.53593322</v>
      </c>
      <c r="F2060" s="0" t="n">
        <v>10.55613441</v>
      </c>
      <c r="G2060" s="0" t="n">
        <v>10.61961501</v>
      </c>
      <c r="H2060" s="0" t="n">
        <v>10.81233217</v>
      </c>
    </row>
    <row r="2061" customFormat="false" ht="15" hidden="false" customHeight="false" outlineLevel="0" collapsed="false">
      <c r="A2061" s="0" t="s">
        <v>3257</v>
      </c>
      <c r="B2061" s="0" t="s">
        <v>742</v>
      </c>
      <c r="C2061" s="0" t="s">
        <v>603</v>
      </c>
      <c r="D2061" s="0" t="n">
        <v>111.259</v>
      </c>
      <c r="E2061" s="0" t="n">
        <v>110.7823992</v>
      </c>
      <c r="F2061" s="0" t="n">
        <v>107.4835675</v>
      </c>
      <c r="G2061" s="0" t="n">
        <v>102.4189603</v>
      </c>
      <c r="H2061" s="0" t="n">
        <v>100.7179071</v>
      </c>
    </row>
    <row r="2062" customFormat="false" ht="15" hidden="false" customHeight="false" outlineLevel="0" collapsed="false">
      <c r="A2062" s="0" t="s">
        <v>3258</v>
      </c>
      <c r="B2062" s="0" t="s">
        <v>934</v>
      </c>
      <c r="C2062" s="0" t="s">
        <v>603</v>
      </c>
      <c r="D2062" s="0" t="n">
        <v>31.288</v>
      </c>
      <c r="E2062" s="0" t="n">
        <v>31.53958317</v>
      </c>
      <c r="F2062" s="0" t="n">
        <v>32.70978363</v>
      </c>
      <c r="G2062" s="0" t="n">
        <v>34.74590772</v>
      </c>
      <c r="H2062" s="0" t="n">
        <v>36.78270554</v>
      </c>
    </row>
    <row r="2063" customFormat="false" ht="15" hidden="false" customHeight="false" outlineLevel="0" collapsed="false">
      <c r="A2063" s="0" t="s">
        <v>3259</v>
      </c>
      <c r="B2063" s="0" t="s">
        <v>938</v>
      </c>
      <c r="C2063" s="0" t="s">
        <v>603</v>
      </c>
      <c r="D2063" s="0" t="n">
        <v>61.87404452</v>
      </c>
      <c r="E2063" s="0" t="n">
        <v>62.08514223</v>
      </c>
      <c r="F2063" s="0" t="n">
        <v>63.16563432</v>
      </c>
      <c r="G2063" s="0" t="n">
        <v>65.65073103</v>
      </c>
      <c r="H2063" s="0" t="n">
        <v>68.86032841</v>
      </c>
    </row>
    <row r="2064" customFormat="false" ht="15" hidden="false" customHeight="false" outlineLevel="0" collapsed="false">
      <c r="A2064" s="0" t="s">
        <v>3260</v>
      </c>
      <c r="B2064" s="0" t="s">
        <v>756</v>
      </c>
      <c r="C2064" s="0" t="s">
        <v>603</v>
      </c>
      <c r="D2064" s="0" t="n">
        <v>353.0374777</v>
      </c>
      <c r="E2064" s="0" t="n">
        <v>355.988423</v>
      </c>
      <c r="F2064" s="0" t="n">
        <v>378.884629</v>
      </c>
      <c r="G2064" s="0" t="n">
        <v>429.2318135</v>
      </c>
      <c r="H2064" s="0" t="n">
        <v>489.8414286</v>
      </c>
    </row>
    <row r="2065" customFormat="false" ht="15" hidden="false" customHeight="false" outlineLevel="0" collapsed="false">
      <c r="A2065" s="0" t="s">
        <v>3261</v>
      </c>
      <c r="B2065" s="0" t="s">
        <v>830</v>
      </c>
      <c r="C2065" s="0" t="s">
        <v>603</v>
      </c>
      <c r="D2065" s="0" t="n">
        <v>59.772</v>
      </c>
      <c r="E2065" s="0" t="n">
        <v>59.36566915</v>
      </c>
      <c r="F2065" s="0" t="n">
        <v>56.48159138</v>
      </c>
      <c r="G2065" s="0" t="n">
        <v>50.67690368</v>
      </c>
      <c r="H2065" s="0" t="n">
        <v>53.9989993</v>
      </c>
    </row>
    <row r="2066" customFormat="false" ht="15" hidden="false" customHeight="false" outlineLevel="0" collapsed="false">
      <c r="A2066" s="0" t="s">
        <v>3262</v>
      </c>
      <c r="B2066" s="0" t="s">
        <v>898</v>
      </c>
      <c r="C2066" s="0" t="s">
        <v>603</v>
      </c>
      <c r="D2066" s="0" t="n">
        <v>74.727</v>
      </c>
      <c r="E2066" s="0" t="n">
        <v>75.41866654</v>
      </c>
      <c r="F2066" s="0" t="n">
        <v>74.29763878</v>
      </c>
      <c r="G2066" s="0" t="n">
        <v>74.31617428</v>
      </c>
      <c r="H2066" s="0" t="n">
        <v>76.17862457</v>
      </c>
    </row>
    <row r="2067" customFormat="false" ht="15" hidden="false" customHeight="false" outlineLevel="0" collapsed="false">
      <c r="A2067" s="0" t="s">
        <v>3263</v>
      </c>
      <c r="B2067" s="0" t="s">
        <v>976</v>
      </c>
      <c r="C2067" s="0" t="s">
        <v>603</v>
      </c>
      <c r="D2067" s="0" t="n">
        <v>4.892279399</v>
      </c>
      <c r="E2067" s="0" t="n">
        <v>4.956755159</v>
      </c>
      <c r="F2067" s="0" t="n">
        <v>5.155759855</v>
      </c>
      <c r="G2067" s="0" t="n">
        <v>5.461766293</v>
      </c>
      <c r="H2067" s="0" t="n">
        <v>5.708920224</v>
      </c>
    </row>
    <row r="2068" customFormat="false" ht="15" hidden="false" customHeight="false" outlineLevel="0" collapsed="false">
      <c r="A2068" s="0" t="s">
        <v>3264</v>
      </c>
      <c r="B2068" s="0" t="s">
        <v>924</v>
      </c>
      <c r="C2068" s="0" t="s">
        <v>603</v>
      </c>
      <c r="D2068" s="0" t="n">
        <v>31.12</v>
      </c>
      <c r="E2068" s="0" t="n">
        <v>30.88547034</v>
      </c>
      <c r="F2068" s="0" t="n">
        <v>29.77854296</v>
      </c>
      <c r="G2068" s="0" t="n">
        <v>27.16874873</v>
      </c>
      <c r="H2068" s="0" t="n">
        <v>23.33656813</v>
      </c>
    </row>
    <row r="2069" customFormat="false" ht="15" hidden="false" customHeight="false" outlineLevel="0" collapsed="false">
      <c r="A2069" s="0" t="s">
        <v>3265</v>
      </c>
      <c r="B2069" s="0" t="s">
        <v>864</v>
      </c>
      <c r="C2069" s="0" t="s">
        <v>603</v>
      </c>
      <c r="D2069" s="0" t="n">
        <v>88.447</v>
      </c>
      <c r="E2069" s="0" t="n">
        <v>88.52996078</v>
      </c>
      <c r="F2069" s="0" t="n">
        <v>86.2397438</v>
      </c>
      <c r="G2069" s="0" t="n">
        <v>83.75959352</v>
      </c>
      <c r="H2069" s="0" t="n">
        <v>81.53712791</v>
      </c>
    </row>
    <row r="2070" customFormat="false" ht="15" hidden="false" customHeight="false" outlineLevel="0" collapsed="false">
      <c r="A2070" s="0" t="s">
        <v>3266</v>
      </c>
      <c r="B2070" s="0" t="s">
        <v>1022</v>
      </c>
      <c r="C2070" s="0" t="s">
        <v>603</v>
      </c>
      <c r="D2070" s="0" t="n">
        <v>7.008720665</v>
      </c>
      <c r="E2070" s="0" t="n">
        <v>7.015376863</v>
      </c>
      <c r="F2070" s="0" t="n">
        <v>7.030359221</v>
      </c>
      <c r="G2070" s="0" t="n">
        <v>7.077184594</v>
      </c>
      <c r="H2070" s="0" t="n">
        <v>7.158186293</v>
      </c>
    </row>
    <row r="2071" customFormat="false" ht="15" hidden="false" customHeight="false" outlineLevel="0" collapsed="false">
      <c r="A2071" s="0" t="s">
        <v>3267</v>
      </c>
      <c r="B2071" s="0" t="s">
        <v>896</v>
      </c>
      <c r="C2071" s="0" t="s">
        <v>603</v>
      </c>
      <c r="D2071" s="0" t="n">
        <v>127.921</v>
      </c>
      <c r="E2071" s="0" t="n">
        <v>127.5321556</v>
      </c>
      <c r="F2071" s="0" t="n">
        <v>124.9049511</v>
      </c>
      <c r="G2071" s="0" t="n">
        <v>125.2002379</v>
      </c>
      <c r="H2071" s="0" t="n">
        <v>129.2995185</v>
      </c>
    </row>
    <row r="2072" customFormat="false" ht="15" hidden="false" customHeight="false" outlineLevel="0" collapsed="false">
      <c r="A2072" s="0" t="s">
        <v>3268</v>
      </c>
      <c r="B2072" s="0" t="s">
        <v>710</v>
      </c>
      <c r="C2072" s="0" t="s">
        <v>603</v>
      </c>
      <c r="D2072" s="0" t="n">
        <v>1767.337</v>
      </c>
      <c r="E2072" s="0" t="n">
        <v>1770.989363</v>
      </c>
      <c r="F2072" s="0" t="n">
        <v>1785.189316</v>
      </c>
      <c r="G2072" s="0" t="n">
        <v>1823.410455</v>
      </c>
      <c r="H2072" s="0" t="n">
        <v>1885.733494</v>
      </c>
    </row>
    <row r="2073" customFormat="false" ht="15" hidden="false" customHeight="false" outlineLevel="0" collapsed="false">
      <c r="A2073" s="0" t="s">
        <v>3269</v>
      </c>
      <c r="B2073" s="0" t="s">
        <v>1000</v>
      </c>
      <c r="C2073" s="0" t="s">
        <v>603</v>
      </c>
      <c r="D2073" s="0" t="n">
        <v>2.124769047</v>
      </c>
      <c r="E2073" s="0" t="n">
        <v>2.147808416</v>
      </c>
      <c r="F2073" s="0" t="n">
        <v>2.235237466</v>
      </c>
      <c r="G2073" s="0" t="n">
        <v>2.336361969</v>
      </c>
      <c r="H2073" s="0" t="n">
        <v>2.393711552</v>
      </c>
    </row>
    <row r="2074" customFormat="false" ht="15" hidden="false" customHeight="false" outlineLevel="0" collapsed="false">
      <c r="A2074" s="0" t="s">
        <v>3270</v>
      </c>
      <c r="B2074" s="0" t="s">
        <v>980</v>
      </c>
      <c r="C2074" s="0" t="s">
        <v>603</v>
      </c>
      <c r="D2074" s="0" t="n">
        <v>15.977</v>
      </c>
      <c r="E2074" s="0" t="n">
        <v>15.95598988</v>
      </c>
      <c r="F2074" s="0" t="n">
        <v>16.52108074</v>
      </c>
      <c r="G2074" s="0" t="n">
        <v>17.27019847</v>
      </c>
      <c r="H2074" s="0" t="n">
        <v>17.79198994</v>
      </c>
    </row>
    <row r="2075" customFormat="false" ht="15" hidden="false" customHeight="false" outlineLevel="0" collapsed="false">
      <c r="A2075" s="0" t="s">
        <v>3271</v>
      </c>
      <c r="B2075" s="0" t="s">
        <v>1020</v>
      </c>
      <c r="C2075" s="0" t="s">
        <v>603</v>
      </c>
      <c r="D2075" s="0" t="n">
        <v>3.509</v>
      </c>
      <c r="E2075" s="0" t="n">
        <v>3.559592709</v>
      </c>
      <c r="F2075" s="0" t="n">
        <v>3.835903394</v>
      </c>
      <c r="G2075" s="0" t="n">
        <v>4.318896218</v>
      </c>
      <c r="H2075" s="0" t="n">
        <v>4.774505328</v>
      </c>
    </row>
    <row r="2076" customFormat="false" ht="15" hidden="false" customHeight="false" outlineLevel="0" collapsed="false">
      <c r="A2076" s="0" t="s">
        <v>3272</v>
      </c>
      <c r="B2076" s="0" t="s">
        <v>952</v>
      </c>
      <c r="C2076" s="0" t="s">
        <v>603</v>
      </c>
      <c r="D2076" s="0" t="n">
        <v>52.44311049</v>
      </c>
      <c r="E2076" s="0" t="n">
        <v>52.33142828</v>
      </c>
      <c r="F2076" s="0" t="n">
        <v>53.52035288</v>
      </c>
      <c r="G2076" s="0" t="n">
        <v>55.63388287</v>
      </c>
      <c r="H2076" s="0" t="n">
        <v>57.65919274</v>
      </c>
    </row>
    <row r="2077" customFormat="false" ht="15" hidden="false" customHeight="false" outlineLevel="0" collapsed="false">
      <c r="A2077" s="0" t="s">
        <v>3273</v>
      </c>
      <c r="B2077" s="0" t="s">
        <v>1026</v>
      </c>
      <c r="C2077" s="0" t="s">
        <v>603</v>
      </c>
      <c r="D2077" s="0" t="n">
        <v>44.02568045</v>
      </c>
      <c r="E2077" s="0" t="n">
        <v>44.03294624</v>
      </c>
      <c r="F2077" s="0" t="n">
        <v>44.04521691</v>
      </c>
      <c r="G2077" s="0" t="n">
        <v>44.09238657</v>
      </c>
      <c r="H2077" s="0" t="n">
        <v>44.1776348</v>
      </c>
    </row>
    <row r="2078" customFormat="false" ht="15" hidden="false" customHeight="false" outlineLevel="0" collapsed="false">
      <c r="A2078" s="0" t="s">
        <v>3274</v>
      </c>
      <c r="B2078" s="0" t="s">
        <v>708</v>
      </c>
      <c r="C2078" s="0" t="s">
        <v>603</v>
      </c>
      <c r="D2078" s="0" t="n">
        <v>692.775</v>
      </c>
      <c r="E2078" s="0" t="n">
        <v>693.6964137</v>
      </c>
      <c r="F2078" s="0" t="n">
        <v>690.5560607</v>
      </c>
      <c r="G2078" s="0" t="n">
        <v>678.8765332</v>
      </c>
      <c r="H2078" s="0" t="n">
        <v>682.7100172</v>
      </c>
    </row>
    <row r="2079" customFormat="false" ht="15" hidden="false" customHeight="false" outlineLevel="0" collapsed="false">
      <c r="A2079" s="0" t="s">
        <v>3275</v>
      </c>
      <c r="B2079" s="0" t="s">
        <v>734</v>
      </c>
      <c r="C2079" s="0" t="s">
        <v>603</v>
      </c>
      <c r="D2079" s="0" t="n">
        <v>45.202</v>
      </c>
      <c r="E2079" s="0" t="n">
        <v>44.99837178</v>
      </c>
      <c r="F2079" s="0" t="n">
        <v>43.73750094</v>
      </c>
      <c r="G2079" s="0" t="n">
        <v>40.81244933</v>
      </c>
      <c r="H2079" s="0" t="n">
        <v>39.4942926</v>
      </c>
    </row>
    <row r="2080" customFormat="false" ht="15" hidden="false" customHeight="false" outlineLevel="0" collapsed="false">
      <c r="A2080" s="0" t="s">
        <v>3276</v>
      </c>
      <c r="B2080" s="0" t="s">
        <v>782</v>
      </c>
      <c r="C2080" s="0" t="s">
        <v>603</v>
      </c>
      <c r="D2080" s="0" t="n">
        <v>138.572</v>
      </c>
      <c r="E2080" s="0" t="n">
        <v>138.0455431</v>
      </c>
      <c r="F2080" s="0" t="n">
        <v>134.7123933</v>
      </c>
      <c r="G2080" s="0" t="n">
        <v>122.8340631</v>
      </c>
      <c r="H2080" s="0" t="n">
        <v>122.8552809</v>
      </c>
    </row>
    <row r="2081" customFormat="false" ht="15" hidden="false" customHeight="false" outlineLevel="0" collapsed="false">
      <c r="A2081" s="0" t="s">
        <v>3277</v>
      </c>
      <c r="B2081" s="0" t="s">
        <v>696</v>
      </c>
      <c r="C2081" s="0" t="s">
        <v>603</v>
      </c>
      <c r="D2081" s="0" t="n">
        <v>16257.103</v>
      </c>
      <c r="E2081" s="0" t="n">
        <v>16382.4174</v>
      </c>
      <c r="F2081" s="0" t="n">
        <v>16649.52914</v>
      </c>
      <c r="G2081" s="0" t="n">
        <v>15607.64838</v>
      </c>
      <c r="H2081" s="0" t="n">
        <v>13349.6881</v>
      </c>
    </row>
    <row r="2082" customFormat="false" ht="15" hidden="false" customHeight="false" outlineLevel="0" collapsed="false">
      <c r="A2082" s="0" t="s">
        <v>3278</v>
      </c>
      <c r="B2082" s="0" t="s">
        <v>836</v>
      </c>
      <c r="C2082" s="0" t="s">
        <v>603</v>
      </c>
      <c r="D2082" s="0" t="n">
        <v>37.30257411</v>
      </c>
      <c r="E2082" s="0" t="n">
        <v>37.73687041</v>
      </c>
      <c r="F2082" s="0" t="n">
        <v>39.68027335</v>
      </c>
      <c r="G2082" s="0" t="n">
        <v>42.34288094</v>
      </c>
      <c r="H2082" s="0" t="n">
        <v>44.17344705</v>
      </c>
    </row>
    <row r="2083" customFormat="false" ht="15" hidden="false" customHeight="false" outlineLevel="0" collapsed="false">
      <c r="A2083" s="0" t="s">
        <v>3279</v>
      </c>
      <c r="B2083" s="0" t="s">
        <v>880</v>
      </c>
      <c r="C2083" s="0" t="s">
        <v>603</v>
      </c>
      <c r="D2083" s="0" t="n">
        <v>78.489</v>
      </c>
      <c r="E2083" s="0" t="n">
        <v>78.44980885</v>
      </c>
      <c r="F2083" s="0" t="n">
        <v>78.23565122</v>
      </c>
      <c r="G2083" s="0" t="n">
        <v>77.85182917</v>
      </c>
      <c r="H2083" s="0" t="n">
        <v>78.5925295</v>
      </c>
    </row>
    <row r="2084" customFormat="false" ht="15" hidden="false" customHeight="false" outlineLevel="0" collapsed="false">
      <c r="A2084" s="0" t="s">
        <v>3280</v>
      </c>
      <c r="B2084" s="0" t="s">
        <v>850</v>
      </c>
      <c r="C2084" s="0" t="s">
        <v>603</v>
      </c>
      <c r="D2084" s="0" t="n">
        <v>669.183</v>
      </c>
      <c r="E2084" s="0" t="n">
        <v>669.2634964</v>
      </c>
      <c r="F2084" s="0" t="n">
        <v>669.6522195</v>
      </c>
      <c r="G2084" s="0" t="n">
        <v>670.2543864</v>
      </c>
      <c r="H2084" s="0" t="n">
        <v>670.9739664</v>
      </c>
    </row>
    <row r="2085" customFormat="false" ht="15" hidden="false" customHeight="false" outlineLevel="0" collapsed="false">
      <c r="A2085" s="0" t="s">
        <v>3281</v>
      </c>
      <c r="B2085" s="0" t="s">
        <v>978</v>
      </c>
      <c r="C2085" s="0" t="s">
        <v>603</v>
      </c>
      <c r="D2085" s="0" t="n">
        <v>36.275</v>
      </c>
      <c r="E2085" s="0" t="n">
        <v>36.3068308</v>
      </c>
      <c r="F2085" s="0" t="n">
        <v>36.54679544</v>
      </c>
      <c r="G2085" s="0" t="n">
        <v>37.26597712</v>
      </c>
      <c r="H2085" s="0" t="n">
        <v>38.29887684</v>
      </c>
    </row>
    <row r="2086" customFormat="false" ht="15" hidden="false" customHeight="false" outlineLevel="0" collapsed="false">
      <c r="A2086" s="0" t="s">
        <v>3282</v>
      </c>
      <c r="B2086" s="0" t="s">
        <v>766</v>
      </c>
      <c r="C2086" s="0" t="s">
        <v>603</v>
      </c>
      <c r="D2086" s="0" t="n">
        <v>293.577</v>
      </c>
      <c r="E2086" s="0" t="n">
        <v>293.7343386</v>
      </c>
      <c r="F2086" s="0" t="n">
        <v>293.6139809</v>
      </c>
      <c r="G2086" s="0" t="n">
        <v>293.5734949</v>
      </c>
      <c r="H2086" s="0" t="n">
        <v>293.9581159</v>
      </c>
    </row>
    <row r="2087" customFormat="false" ht="15" hidden="false" customHeight="false" outlineLevel="0" collapsed="false">
      <c r="A2087" s="0" t="s">
        <v>3283</v>
      </c>
      <c r="B2087" s="0" t="s">
        <v>1044</v>
      </c>
      <c r="C2087" s="0" t="s">
        <v>603</v>
      </c>
      <c r="D2087" s="0" t="n">
        <v>1.29666381</v>
      </c>
      <c r="E2087" s="0" t="n">
        <v>1.308985124</v>
      </c>
      <c r="F2087" s="0" t="n">
        <v>1.383732206</v>
      </c>
      <c r="G2087" s="0" t="n">
        <v>1.576145221</v>
      </c>
      <c r="H2087" s="0" t="n">
        <v>1.833605779</v>
      </c>
    </row>
    <row r="2088" customFormat="false" ht="15" hidden="false" customHeight="false" outlineLevel="0" collapsed="false">
      <c r="A2088" s="0" t="s">
        <v>3284</v>
      </c>
      <c r="B2088" s="0" t="s">
        <v>1024</v>
      </c>
      <c r="C2088" s="0" t="s">
        <v>603</v>
      </c>
      <c r="D2088" s="0" t="n">
        <v>1.331</v>
      </c>
      <c r="E2088" s="0" t="n">
        <v>1.354504531</v>
      </c>
      <c r="F2088" s="0" t="n">
        <v>1.445108394</v>
      </c>
      <c r="G2088" s="0" t="n">
        <v>1.593524571</v>
      </c>
      <c r="H2088" s="0" t="n">
        <v>1.714310406</v>
      </c>
    </row>
    <row r="2089" customFormat="false" ht="15" hidden="false" customHeight="false" outlineLevel="0" collapsed="false">
      <c r="A2089" s="0" t="s">
        <v>3285</v>
      </c>
      <c r="B2089" s="0" t="s">
        <v>838</v>
      </c>
      <c r="C2089" s="0" t="s">
        <v>603</v>
      </c>
      <c r="D2089" s="0" t="n">
        <v>16.028</v>
      </c>
      <c r="E2089" s="0" t="n">
        <v>16.16971879</v>
      </c>
      <c r="F2089" s="0" t="n">
        <v>16.59105944</v>
      </c>
      <c r="G2089" s="0" t="n">
        <v>17.23617025</v>
      </c>
      <c r="H2089" s="0" t="n">
        <v>18.07026318</v>
      </c>
    </row>
    <row r="2090" customFormat="false" ht="15" hidden="false" customHeight="false" outlineLevel="0" collapsed="false">
      <c r="A2090" s="0" t="s">
        <v>3286</v>
      </c>
      <c r="B2090" s="0" t="s">
        <v>906</v>
      </c>
      <c r="C2090" s="0" t="s">
        <v>603</v>
      </c>
      <c r="D2090" s="0" t="n">
        <v>10.98015756</v>
      </c>
      <c r="E2090" s="0" t="n">
        <v>11.07681297</v>
      </c>
      <c r="F2090" s="0" t="n">
        <v>11.15725706</v>
      </c>
      <c r="G2090" s="0" t="n">
        <v>10.48320123</v>
      </c>
      <c r="H2090" s="0" t="n">
        <v>9.334380615</v>
      </c>
    </row>
    <row r="2091" customFormat="false" ht="15" hidden="false" customHeight="false" outlineLevel="0" collapsed="false">
      <c r="A2091" s="0" t="s">
        <v>3287</v>
      </c>
      <c r="B2091" s="0" t="s">
        <v>778</v>
      </c>
      <c r="C2091" s="0" t="s">
        <v>603</v>
      </c>
      <c r="D2091" s="0" t="n">
        <v>118.786</v>
      </c>
      <c r="E2091" s="0" t="n">
        <v>118.2511287</v>
      </c>
      <c r="F2091" s="0" t="n">
        <v>113.6553476</v>
      </c>
      <c r="G2091" s="0" t="n">
        <v>99.38710793</v>
      </c>
      <c r="H2091" s="0" t="n">
        <v>91.65237051</v>
      </c>
    </row>
    <row r="2092" customFormat="false" ht="15" hidden="false" customHeight="false" outlineLevel="0" collapsed="false">
      <c r="A2092" s="0" t="s">
        <v>3288</v>
      </c>
      <c r="B2092" s="0" t="s">
        <v>700</v>
      </c>
      <c r="C2092" s="0" t="s">
        <v>603</v>
      </c>
      <c r="D2092" s="0" t="n">
        <v>744.658</v>
      </c>
      <c r="E2092" s="0" t="n">
        <v>733.7234248</v>
      </c>
      <c r="F2092" s="0" t="n">
        <v>688.065164</v>
      </c>
      <c r="G2092" s="0" t="n">
        <v>598.2084373</v>
      </c>
      <c r="H2092" s="0" t="n">
        <v>559.867244</v>
      </c>
    </row>
    <row r="2093" customFormat="false" ht="15" hidden="false" customHeight="false" outlineLevel="0" collapsed="false">
      <c r="A2093" s="0" t="s">
        <v>3289</v>
      </c>
      <c r="B2093" s="0" t="s">
        <v>1014</v>
      </c>
      <c r="C2093" s="0" t="s">
        <v>603</v>
      </c>
      <c r="D2093" s="0" t="n">
        <v>2.266</v>
      </c>
      <c r="E2093" s="0" t="n">
        <v>2.293385265</v>
      </c>
      <c r="F2093" s="0" t="n">
        <v>2.437225725</v>
      </c>
      <c r="G2093" s="0" t="n">
        <v>2.72064236</v>
      </c>
      <c r="H2093" s="0" t="n">
        <v>3.033299785</v>
      </c>
    </row>
    <row r="2094" customFormat="false" ht="15" hidden="false" customHeight="false" outlineLevel="0" collapsed="false">
      <c r="A2094" s="0" t="s">
        <v>3290</v>
      </c>
      <c r="B2094" s="0" t="s">
        <v>1058</v>
      </c>
      <c r="C2094" s="0" t="s">
        <v>603</v>
      </c>
      <c r="D2094" s="0" t="n">
        <v>0.3502023483</v>
      </c>
      <c r="E2094" s="0" t="n">
        <v>0.3579610648</v>
      </c>
      <c r="F2094" s="0" t="n">
        <v>0.3835403823</v>
      </c>
      <c r="G2094" s="0" t="n">
        <v>0.4400160516</v>
      </c>
      <c r="H2094" s="0" t="n">
        <v>0.5069313313</v>
      </c>
    </row>
    <row r="2095" customFormat="false" ht="15" hidden="false" customHeight="false" outlineLevel="0" collapsed="false">
      <c r="A2095" s="0" t="s">
        <v>3291</v>
      </c>
      <c r="B2095" s="0" t="s">
        <v>768</v>
      </c>
      <c r="C2095" s="0" t="s">
        <v>603</v>
      </c>
      <c r="D2095" s="0" t="n">
        <v>49.102</v>
      </c>
      <c r="E2095" s="0" t="n">
        <v>48.6409261</v>
      </c>
      <c r="F2095" s="0" t="n">
        <v>46.97376341</v>
      </c>
      <c r="G2095" s="0" t="n">
        <v>44.98800523</v>
      </c>
      <c r="H2095" s="0" t="n">
        <v>44.14978776</v>
      </c>
    </row>
    <row r="2096" customFormat="false" ht="15" hidden="false" customHeight="false" outlineLevel="0" collapsed="false">
      <c r="A2096" s="0" t="s">
        <v>3292</v>
      </c>
      <c r="B2096" s="0" t="s">
        <v>818</v>
      </c>
      <c r="C2096" s="0" t="s">
        <v>603</v>
      </c>
      <c r="D2096" s="0" t="n">
        <v>54.89325574</v>
      </c>
      <c r="E2096" s="0" t="n">
        <v>54.89238257</v>
      </c>
      <c r="F2096" s="0" t="n">
        <v>56.80322791</v>
      </c>
      <c r="G2096" s="0" t="n">
        <v>59.12881571</v>
      </c>
      <c r="H2096" s="0" t="n">
        <v>60.14392145</v>
      </c>
    </row>
    <row r="2097" customFormat="false" ht="15" hidden="false" customHeight="false" outlineLevel="0" collapsed="false">
      <c r="A2097" s="0" t="s">
        <v>3293</v>
      </c>
      <c r="B2097" s="0" t="s">
        <v>788</v>
      </c>
      <c r="C2097" s="0" t="s">
        <v>603</v>
      </c>
      <c r="D2097" s="0" t="n">
        <v>287.012</v>
      </c>
      <c r="E2097" s="0" t="n">
        <v>289.5318537</v>
      </c>
      <c r="F2097" s="0" t="n">
        <v>302.0573367</v>
      </c>
      <c r="G2097" s="0" t="n">
        <v>325.9158421</v>
      </c>
      <c r="H2097" s="0" t="n">
        <v>351.695899</v>
      </c>
    </row>
    <row r="2098" customFormat="false" ht="15" hidden="false" customHeight="false" outlineLevel="0" collapsed="false">
      <c r="A2098" s="0" t="s">
        <v>3294</v>
      </c>
      <c r="B2098" s="0" t="s">
        <v>824</v>
      </c>
      <c r="C2098" s="0" t="s">
        <v>603</v>
      </c>
      <c r="D2098" s="0" t="n">
        <v>101.698</v>
      </c>
      <c r="E2098" s="0" t="n">
        <v>102.1197332</v>
      </c>
      <c r="F2098" s="0" t="n">
        <v>102.2684634</v>
      </c>
      <c r="G2098" s="0" t="n">
        <v>102.2791908</v>
      </c>
      <c r="H2098" s="0" t="n">
        <v>106.5785508</v>
      </c>
    </row>
    <row r="2099" customFormat="false" ht="15" hidden="false" customHeight="false" outlineLevel="0" collapsed="false">
      <c r="A2099" s="0" t="s">
        <v>3295</v>
      </c>
      <c r="B2099" s="0" t="s">
        <v>764</v>
      </c>
      <c r="C2099" s="0" t="s">
        <v>603</v>
      </c>
      <c r="D2099" s="0" t="n">
        <v>402.239</v>
      </c>
      <c r="E2099" s="0" t="n">
        <v>409.2843589</v>
      </c>
      <c r="F2099" s="0" t="n">
        <v>444.8409444</v>
      </c>
      <c r="G2099" s="0" t="n">
        <v>516.4495819</v>
      </c>
      <c r="H2099" s="0" t="n">
        <v>605.276518</v>
      </c>
    </row>
    <row r="2100" customFormat="false" ht="15" hidden="false" customHeight="false" outlineLevel="0" collapsed="false">
      <c r="A2100" s="0" t="s">
        <v>3296</v>
      </c>
      <c r="B2100" s="0" t="s">
        <v>722</v>
      </c>
      <c r="C2100" s="0" t="s">
        <v>603</v>
      </c>
      <c r="D2100" s="0" t="n">
        <v>339.165</v>
      </c>
      <c r="E2100" s="0" t="n">
        <v>338.6376636</v>
      </c>
      <c r="F2100" s="0" t="n">
        <v>326.476155</v>
      </c>
      <c r="G2100" s="0" t="n">
        <v>297.8525962</v>
      </c>
      <c r="H2100" s="0" t="n">
        <v>293.9645237</v>
      </c>
    </row>
    <row r="2101" customFormat="false" ht="15" hidden="false" customHeight="false" outlineLevel="0" collapsed="false">
      <c r="A2101" s="0" t="s">
        <v>3297</v>
      </c>
      <c r="B2101" s="0" t="s">
        <v>902</v>
      </c>
      <c r="C2101" s="0" t="s">
        <v>603</v>
      </c>
      <c r="D2101" s="0" t="n">
        <v>13.753</v>
      </c>
      <c r="E2101" s="0" t="n">
        <v>13.60981413</v>
      </c>
      <c r="F2101" s="0" t="n">
        <v>13.00081958</v>
      </c>
      <c r="G2101" s="0" t="n">
        <v>11.53238012</v>
      </c>
      <c r="H2101" s="0" t="n">
        <v>10.87288766</v>
      </c>
    </row>
    <row r="2102" customFormat="false" ht="15" hidden="false" customHeight="false" outlineLevel="0" collapsed="false">
      <c r="A2102" s="0" t="s">
        <v>3298</v>
      </c>
      <c r="B2102" s="0" t="s">
        <v>802</v>
      </c>
      <c r="C2102" s="0" t="s">
        <v>603</v>
      </c>
      <c r="D2102" s="0" t="n">
        <v>234.697</v>
      </c>
      <c r="E2102" s="0" t="n">
        <v>235.755962</v>
      </c>
      <c r="F2102" s="0" t="n">
        <v>241.3587447</v>
      </c>
      <c r="G2102" s="0" t="n">
        <v>250.9881426</v>
      </c>
      <c r="H2102" s="0" t="n">
        <v>260.3081758</v>
      </c>
    </row>
    <row r="2103" customFormat="false" ht="15" hidden="false" customHeight="false" outlineLevel="0" collapsed="false">
      <c r="A2103" s="0" t="s">
        <v>3299</v>
      </c>
      <c r="B2103" s="0" t="s">
        <v>794</v>
      </c>
      <c r="C2103" s="0" t="s">
        <v>603</v>
      </c>
      <c r="D2103" s="0" t="n">
        <v>47.19</v>
      </c>
      <c r="E2103" s="0" t="n">
        <v>45.55019559</v>
      </c>
      <c r="F2103" s="0" t="n">
        <v>43.59914761</v>
      </c>
      <c r="G2103" s="0" t="n">
        <v>41.99304573</v>
      </c>
      <c r="H2103" s="0" t="n">
        <v>41.93215435</v>
      </c>
    </row>
    <row r="2104" customFormat="false" ht="15" hidden="false" customHeight="false" outlineLevel="0" collapsed="false">
      <c r="A2104" s="0" t="s">
        <v>3300</v>
      </c>
      <c r="B2104" s="0" t="s">
        <v>1006</v>
      </c>
      <c r="C2104" s="0" t="s">
        <v>603</v>
      </c>
      <c r="D2104" s="0" t="n">
        <v>3.104</v>
      </c>
      <c r="E2104" s="0" t="n">
        <v>3.123748384</v>
      </c>
      <c r="F2104" s="0" t="n">
        <v>3.183237896</v>
      </c>
      <c r="G2104" s="0" t="n">
        <v>3.336944431</v>
      </c>
      <c r="H2104" s="0" t="n">
        <v>3.544334454</v>
      </c>
    </row>
    <row r="2105" customFormat="false" ht="15" hidden="false" customHeight="false" outlineLevel="0" collapsed="false">
      <c r="A2105" s="0" t="s">
        <v>3301</v>
      </c>
      <c r="B2105" s="0" t="s">
        <v>706</v>
      </c>
      <c r="C2105" s="0" t="s">
        <v>603</v>
      </c>
      <c r="D2105" s="0" t="n">
        <v>423.894</v>
      </c>
      <c r="E2105" s="0" t="n">
        <v>415.306792</v>
      </c>
      <c r="F2105" s="0" t="n">
        <v>391.7834159</v>
      </c>
      <c r="G2105" s="0" t="n">
        <v>366.6903238</v>
      </c>
      <c r="H2105" s="0" t="n">
        <v>357.4589507</v>
      </c>
    </row>
    <row r="2106" customFormat="false" ht="15" hidden="false" customHeight="false" outlineLevel="0" collapsed="false">
      <c r="A2106" s="0" t="s">
        <v>3302</v>
      </c>
      <c r="B2106" s="0" t="s">
        <v>950</v>
      </c>
      <c r="C2106" s="0" t="s">
        <v>603</v>
      </c>
      <c r="D2106" s="0" t="n">
        <v>25.777</v>
      </c>
      <c r="E2106" s="0" t="n">
        <v>25.81530004</v>
      </c>
      <c r="F2106" s="0" t="n">
        <v>26.03774875</v>
      </c>
      <c r="G2106" s="0" t="n">
        <v>26.5874292</v>
      </c>
      <c r="H2106" s="0" t="n">
        <v>27.28141839</v>
      </c>
    </row>
    <row r="2107" customFormat="false" ht="15" hidden="false" customHeight="false" outlineLevel="0" collapsed="false">
      <c r="A2107" s="0" t="s">
        <v>3303</v>
      </c>
      <c r="B2107" s="0" t="s">
        <v>704</v>
      </c>
      <c r="C2107" s="0" t="s">
        <v>603</v>
      </c>
      <c r="D2107" s="0" t="n">
        <v>454.233</v>
      </c>
      <c r="E2107" s="0" t="n">
        <v>450.5221376</v>
      </c>
      <c r="F2107" s="0" t="n">
        <v>424.7508502</v>
      </c>
      <c r="G2107" s="0" t="n">
        <v>373.2317185</v>
      </c>
      <c r="H2107" s="0" t="n">
        <v>358.0893169</v>
      </c>
    </row>
    <row r="2108" customFormat="false" ht="15" hidden="false" customHeight="false" outlineLevel="0" collapsed="false">
      <c r="A2108" s="0" t="s">
        <v>3304</v>
      </c>
      <c r="B2108" s="0" t="s">
        <v>900</v>
      </c>
      <c r="C2108" s="0" t="s">
        <v>603</v>
      </c>
      <c r="D2108" s="0" t="n">
        <v>18.98</v>
      </c>
      <c r="E2108" s="0" t="n">
        <v>19.27406309</v>
      </c>
      <c r="F2108" s="0" t="n">
        <v>20.03638059</v>
      </c>
      <c r="G2108" s="0" t="n">
        <v>20.99412515</v>
      </c>
      <c r="H2108" s="0" t="n">
        <v>22.688376</v>
      </c>
    </row>
    <row r="2109" customFormat="false" ht="15" hidden="false" customHeight="false" outlineLevel="0" collapsed="false">
      <c r="A2109" s="0" t="s">
        <v>3305</v>
      </c>
      <c r="B2109" s="0" t="s">
        <v>844</v>
      </c>
      <c r="C2109" s="0" t="s">
        <v>603</v>
      </c>
      <c r="D2109" s="0" t="n">
        <v>52.092</v>
      </c>
      <c r="E2109" s="0" t="n">
        <v>52.79058847</v>
      </c>
      <c r="F2109" s="0" t="n">
        <v>55.28909616</v>
      </c>
      <c r="G2109" s="0" t="n">
        <v>59.28353239</v>
      </c>
      <c r="H2109" s="0" t="n">
        <v>63.94841343</v>
      </c>
    </row>
    <row r="2110" customFormat="false" ht="15" hidden="false" customHeight="false" outlineLevel="0" collapsed="false">
      <c r="A2110" s="0" t="s">
        <v>3306</v>
      </c>
      <c r="B2110" s="0" t="s">
        <v>914</v>
      </c>
      <c r="C2110" s="0" t="s">
        <v>603</v>
      </c>
      <c r="D2110" s="0" t="n">
        <v>42.40931189</v>
      </c>
      <c r="E2110" s="0" t="n">
        <v>42.73183115</v>
      </c>
      <c r="F2110" s="0" t="n">
        <v>44.14912033</v>
      </c>
      <c r="G2110" s="0" t="n">
        <v>46.29308559</v>
      </c>
      <c r="H2110" s="0" t="n">
        <v>48.12172068</v>
      </c>
    </row>
    <row r="2111" customFormat="false" ht="15" hidden="false" customHeight="false" outlineLevel="0" collapsed="false">
      <c r="A2111" s="0" t="s">
        <v>3307</v>
      </c>
      <c r="B2111" s="0" t="s">
        <v>1028</v>
      </c>
      <c r="C2111" s="0" t="s">
        <v>603</v>
      </c>
      <c r="D2111" s="0" t="n">
        <v>3.537484405</v>
      </c>
      <c r="E2111" s="0" t="n">
        <v>3.588809609</v>
      </c>
      <c r="F2111" s="0" t="n">
        <v>3.822903297</v>
      </c>
      <c r="G2111" s="0" t="n">
        <v>4.376457096</v>
      </c>
      <c r="H2111" s="0" t="n">
        <v>5.091432902</v>
      </c>
    </row>
    <row r="2112" customFormat="false" ht="15" hidden="false" customHeight="false" outlineLevel="0" collapsed="false">
      <c r="A2112" s="0" t="s">
        <v>3308</v>
      </c>
      <c r="B2112" s="0" t="s">
        <v>1030</v>
      </c>
      <c r="C2112" s="0" t="s">
        <v>603</v>
      </c>
      <c r="D2112" s="0" t="n">
        <v>5.155259012</v>
      </c>
      <c r="E2112" s="0" t="n">
        <v>5.174302071</v>
      </c>
      <c r="F2112" s="0" t="n">
        <v>5.264773744</v>
      </c>
      <c r="G2112" s="0" t="n">
        <v>5.480514935</v>
      </c>
      <c r="H2112" s="0" t="n">
        <v>5.762422588</v>
      </c>
    </row>
    <row r="2113" customFormat="false" ht="15" hidden="false" customHeight="false" outlineLevel="0" collapsed="false">
      <c r="A2113" s="0" t="s">
        <v>3309</v>
      </c>
      <c r="B2113" s="0" t="s">
        <v>994</v>
      </c>
      <c r="C2113" s="0" t="s">
        <v>603</v>
      </c>
      <c r="D2113" s="0" t="n">
        <v>16.133</v>
      </c>
      <c r="E2113" s="0" t="n">
        <v>15.95208501</v>
      </c>
      <c r="F2113" s="0" t="n">
        <v>15.6395747</v>
      </c>
      <c r="G2113" s="0" t="n">
        <v>15.67492534</v>
      </c>
      <c r="H2113" s="0" t="n">
        <v>16.11497457</v>
      </c>
    </row>
    <row r="2114" customFormat="false" ht="15" hidden="false" customHeight="false" outlineLevel="0" collapsed="false">
      <c r="A2114" s="0" t="s">
        <v>3310</v>
      </c>
      <c r="B2114" s="0" t="s">
        <v>798</v>
      </c>
      <c r="C2114" s="0" t="s">
        <v>603</v>
      </c>
      <c r="D2114" s="0" t="n">
        <v>91.748</v>
      </c>
      <c r="E2114" s="0" t="n">
        <v>91.62301264</v>
      </c>
      <c r="F2114" s="0" t="n">
        <v>89.89619886</v>
      </c>
      <c r="G2114" s="0" t="n">
        <v>84.50040712</v>
      </c>
      <c r="H2114" s="0" t="n">
        <v>79.6147334</v>
      </c>
    </row>
    <row r="2115" customFormat="false" ht="15" hidden="false" customHeight="false" outlineLevel="0" collapsed="false">
      <c r="A2115" s="0" t="s">
        <v>3311</v>
      </c>
      <c r="B2115" s="0" t="s">
        <v>1046</v>
      </c>
      <c r="C2115" s="0" t="s">
        <v>603</v>
      </c>
      <c r="D2115" s="0" t="n">
        <v>0.5818259461</v>
      </c>
      <c r="E2115" s="0" t="n">
        <v>0.5958635629</v>
      </c>
      <c r="F2115" s="0" t="n">
        <v>0.6435308846</v>
      </c>
      <c r="G2115" s="0" t="n">
        <v>0.7497163416</v>
      </c>
      <c r="H2115" s="0" t="n">
        <v>0.8749375753</v>
      </c>
    </row>
    <row r="2116" customFormat="false" ht="15" hidden="false" customHeight="false" outlineLevel="0" collapsed="false">
      <c r="A2116" s="0" t="s">
        <v>3312</v>
      </c>
      <c r="B2116" s="0" t="s">
        <v>826</v>
      </c>
      <c r="C2116" s="0" t="s">
        <v>603</v>
      </c>
      <c r="D2116" s="0" t="n">
        <v>53.762</v>
      </c>
      <c r="E2116" s="0" t="n">
        <v>54.19384765</v>
      </c>
      <c r="F2116" s="0" t="n">
        <v>56.16443033</v>
      </c>
      <c r="G2116" s="0" t="n">
        <v>59.59577687</v>
      </c>
      <c r="H2116" s="0" t="n">
        <v>63.33101498</v>
      </c>
    </row>
    <row r="2117" customFormat="false" ht="15" hidden="false" customHeight="false" outlineLevel="0" collapsed="false">
      <c r="A2117" s="0" t="s">
        <v>3313</v>
      </c>
      <c r="B2117" s="0" t="s">
        <v>890</v>
      </c>
      <c r="C2117" s="0" t="s">
        <v>603</v>
      </c>
      <c r="D2117" s="0" t="n">
        <v>21.47124684</v>
      </c>
      <c r="E2117" s="0" t="n">
        <v>22.03721785</v>
      </c>
      <c r="F2117" s="0" t="n">
        <v>24.91993787</v>
      </c>
      <c r="G2117" s="0" t="n">
        <v>29.47422101</v>
      </c>
      <c r="H2117" s="0" t="n">
        <v>31.68128757</v>
      </c>
    </row>
    <row r="2118" customFormat="false" ht="15" hidden="false" customHeight="false" outlineLevel="0" collapsed="false">
      <c r="A2118" s="0" t="s">
        <v>3314</v>
      </c>
      <c r="B2118" s="0" t="s">
        <v>770</v>
      </c>
      <c r="C2118" s="0" t="s">
        <v>603</v>
      </c>
      <c r="D2118" s="0" t="n">
        <v>47.0750993</v>
      </c>
      <c r="E2118" s="0" t="n">
        <v>47.80080418</v>
      </c>
      <c r="F2118" s="0" t="n">
        <v>49.62636648</v>
      </c>
      <c r="G2118" s="0" t="n">
        <v>51.76284568</v>
      </c>
      <c r="H2118" s="0" t="n">
        <v>53.49431604</v>
      </c>
    </row>
    <row r="2119" customFormat="false" ht="15" hidden="false" customHeight="false" outlineLevel="0" collapsed="false">
      <c r="A2119" s="0" t="s">
        <v>3315</v>
      </c>
      <c r="B2119" s="0" t="s">
        <v>904</v>
      </c>
      <c r="C2119" s="0" t="s">
        <v>603</v>
      </c>
      <c r="D2119" s="0" t="n">
        <v>33.489</v>
      </c>
      <c r="E2119" s="0" t="n">
        <v>33.725949</v>
      </c>
      <c r="F2119" s="0" t="n">
        <v>34.81540274</v>
      </c>
      <c r="G2119" s="0" t="n">
        <v>37.70892605</v>
      </c>
      <c r="H2119" s="0" t="n">
        <v>41.74555417</v>
      </c>
    </row>
    <row r="2120" customFormat="false" ht="15" hidden="false" customHeight="false" outlineLevel="0" collapsed="false">
      <c r="A2120" s="0" t="s">
        <v>3316</v>
      </c>
      <c r="B2120" s="0" t="s">
        <v>846</v>
      </c>
      <c r="C2120" s="0" t="s">
        <v>603</v>
      </c>
      <c r="D2120" s="0" t="n">
        <v>26.337</v>
      </c>
      <c r="E2120" s="0" t="n">
        <v>26.25920815</v>
      </c>
      <c r="F2120" s="0" t="n">
        <v>25.25381855</v>
      </c>
      <c r="G2120" s="0" t="n">
        <v>22.94773439</v>
      </c>
      <c r="H2120" s="0" t="n">
        <v>22.46976271</v>
      </c>
    </row>
    <row r="2121" customFormat="false" ht="15" hidden="false" customHeight="false" outlineLevel="0" collapsed="false">
      <c r="A2121" s="0" t="s">
        <v>3317</v>
      </c>
      <c r="B2121" s="0" t="s">
        <v>956</v>
      </c>
      <c r="C2121" s="0" t="s">
        <v>603</v>
      </c>
      <c r="D2121" s="0" t="n">
        <v>15.32050381</v>
      </c>
      <c r="E2121" s="0" t="n">
        <v>15.21529499</v>
      </c>
      <c r="F2121" s="0" t="n">
        <v>14.931237</v>
      </c>
      <c r="G2121" s="0" t="n">
        <v>15.06676829</v>
      </c>
      <c r="H2121" s="0" t="n">
        <v>15.684459</v>
      </c>
    </row>
    <row r="2122" customFormat="false" ht="15" hidden="false" customHeight="false" outlineLevel="0" collapsed="false">
      <c r="A2122" s="0" t="s">
        <v>3318</v>
      </c>
      <c r="B2122" s="0" t="s">
        <v>800</v>
      </c>
      <c r="C2122" s="0" t="s">
        <v>603</v>
      </c>
      <c r="D2122" s="0" t="n">
        <v>65.467</v>
      </c>
      <c r="E2122" s="0" t="n">
        <v>64.74564043</v>
      </c>
      <c r="F2122" s="0" t="n">
        <v>62.58299005</v>
      </c>
      <c r="G2122" s="0" t="n">
        <v>59.01564441</v>
      </c>
      <c r="H2122" s="0" t="n">
        <v>58.60468383</v>
      </c>
    </row>
    <row r="2123" customFormat="false" ht="15" hidden="false" customHeight="false" outlineLevel="0" collapsed="false">
      <c r="A2123" s="0" t="s">
        <v>3319</v>
      </c>
      <c r="B2123" s="0" t="s">
        <v>724</v>
      </c>
      <c r="C2123" s="0" t="s">
        <v>603</v>
      </c>
      <c r="D2123" s="0" t="n">
        <v>1416.823</v>
      </c>
      <c r="E2123" s="0" t="n">
        <v>1437.038054</v>
      </c>
      <c r="F2123" s="0" t="n">
        <v>1539.976103</v>
      </c>
      <c r="G2123" s="0" t="n">
        <v>1738.554177</v>
      </c>
      <c r="H2123" s="0" t="n">
        <v>1973.091243</v>
      </c>
    </row>
    <row r="2124" customFormat="false" ht="15" hidden="false" customHeight="false" outlineLevel="0" collapsed="false">
      <c r="A2124" s="0" t="s">
        <v>3320</v>
      </c>
      <c r="B2124" s="0" t="s">
        <v>36</v>
      </c>
      <c r="C2124" s="0" t="s">
        <v>603</v>
      </c>
      <c r="D2124" s="0" t="n">
        <v>4131.845</v>
      </c>
      <c r="E2124" s="0" t="n">
        <v>4236.583261</v>
      </c>
      <c r="F2124" s="0" t="n">
        <v>4680.061572</v>
      </c>
      <c r="G2124" s="0" t="n">
        <v>5220.035561</v>
      </c>
      <c r="H2124" s="0" t="n">
        <v>5596.830355</v>
      </c>
    </row>
    <row r="2125" customFormat="false" ht="15" hidden="false" customHeight="false" outlineLevel="0" collapsed="false">
      <c r="A2125" s="0" t="s">
        <v>3321</v>
      </c>
      <c r="B2125" s="0" t="s">
        <v>738</v>
      </c>
      <c r="C2125" s="0" t="s">
        <v>603</v>
      </c>
      <c r="D2125" s="0" t="n">
        <v>73.71</v>
      </c>
      <c r="E2125" s="0" t="n">
        <v>75.73190584</v>
      </c>
      <c r="F2125" s="0" t="n">
        <v>74.85359123</v>
      </c>
      <c r="G2125" s="0" t="n">
        <v>70.79827216</v>
      </c>
      <c r="H2125" s="0" t="n">
        <v>66.83465856</v>
      </c>
    </row>
    <row r="2126" customFormat="false" ht="15" hidden="false" customHeight="false" outlineLevel="0" collapsed="false">
      <c r="A2126" s="0" t="s">
        <v>3322</v>
      </c>
      <c r="B2126" s="0" t="s">
        <v>790</v>
      </c>
      <c r="C2126" s="0" t="s">
        <v>603</v>
      </c>
      <c r="D2126" s="0" t="n">
        <v>1024.852</v>
      </c>
      <c r="E2126" s="0" t="n">
        <v>1010.848301</v>
      </c>
      <c r="F2126" s="0" t="n">
        <v>869.8954648</v>
      </c>
      <c r="G2126" s="0" t="n">
        <v>823.5257843</v>
      </c>
      <c r="H2126" s="0" t="n">
        <v>897.5730577</v>
      </c>
    </row>
    <row r="2127" customFormat="false" ht="15" hidden="false" customHeight="false" outlineLevel="0" collapsed="false">
      <c r="A2127" s="0" t="s">
        <v>3323</v>
      </c>
      <c r="B2127" s="0" t="s">
        <v>806</v>
      </c>
      <c r="C2127" s="0" t="s">
        <v>603</v>
      </c>
      <c r="D2127" s="0" t="n">
        <v>351.508</v>
      </c>
      <c r="E2127" s="0" t="n">
        <v>350.0589479</v>
      </c>
      <c r="F2127" s="0" t="n">
        <v>318.4597753</v>
      </c>
      <c r="G2127" s="0" t="n">
        <v>309.7163199</v>
      </c>
      <c r="H2127" s="0" t="n">
        <v>327.9391559</v>
      </c>
    </row>
    <row r="2128" customFormat="false" ht="15" hidden="false" customHeight="false" outlineLevel="0" collapsed="false">
      <c r="A2128" s="0" t="s">
        <v>3324</v>
      </c>
      <c r="B2128" s="0" t="s">
        <v>916</v>
      </c>
      <c r="C2128" s="0" t="s">
        <v>603</v>
      </c>
      <c r="D2128" s="0" t="n">
        <v>13.867</v>
      </c>
      <c r="E2128" s="0" t="n">
        <v>13.85858133</v>
      </c>
      <c r="F2128" s="0" t="n">
        <v>13.82860676</v>
      </c>
      <c r="G2128" s="0" t="n">
        <v>13.70654969</v>
      </c>
      <c r="H2128" s="0" t="n">
        <v>13.67511149</v>
      </c>
    </row>
    <row r="2129" customFormat="false" ht="15" hidden="false" customHeight="false" outlineLevel="0" collapsed="false">
      <c r="A2129" s="0" t="s">
        <v>3325</v>
      </c>
      <c r="B2129" s="0" t="s">
        <v>750</v>
      </c>
      <c r="C2129" s="0" t="s">
        <v>603</v>
      </c>
      <c r="D2129" s="0" t="n">
        <v>91.067</v>
      </c>
      <c r="E2129" s="0" t="n">
        <v>91.10046282</v>
      </c>
      <c r="F2129" s="0" t="n">
        <v>91.25858877</v>
      </c>
      <c r="G2129" s="0" t="n">
        <v>84.91650027</v>
      </c>
      <c r="H2129" s="0" t="n">
        <v>76.38135711</v>
      </c>
    </row>
    <row r="2130" customFormat="false" ht="15" hidden="false" customHeight="false" outlineLevel="0" collapsed="false">
      <c r="A2130" s="0" t="s">
        <v>3326</v>
      </c>
      <c r="B2130" s="0" t="s">
        <v>712</v>
      </c>
      <c r="C2130" s="0" t="s">
        <v>603</v>
      </c>
      <c r="D2130" s="0" t="n">
        <v>447.538</v>
      </c>
      <c r="E2130" s="0" t="n">
        <v>442.973719</v>
      </c>
      <c r="F2130" s="0" t="n">
        <v>419.3618941</v>
      </c>
      <c r="G2130" s="0" t="n">
        <v>376.8372226</v>
      </c>
      <c r="H2130" s="0" t="n">
        <v>346.3421326</v>
      </c>
    </row>
    <row r="2131" customFormat="false" ht="15" hidden="false" customHeight="false" outlineLevel="0" collapsed="false">
      <c r="A2131" s="0" t="s">
        <v>3327</v>
      </c>
      <c r="B2131" s="0" t="s">
        <v>964</v>
      </c>
      <c r="C2131" s="0" t="s">
        <v>603</v>
      </c>
      <c r="D2131" s="0" t="n">
        <v>10.04412373</v>
      </c>
      <c r="E2131" s="0" t="n">
        <v>9.983190491</v>
      </c>
      <c r="F2131" s="0" t="n">
        <v>9.52934057</v>
      </c>
      <c r="G2131" s="0" t="n">
        <v>9.928900941</v>
      </c>
      <c r="H2131" s="0" t="n">
        <v>11.29284787</v>
      </c>
    </row>
    <row r="2132" customFormat="false" ht="15" hidden="false" customHeight="false" outlineLevel="0" collapsed="false">
      <c r="A2132" s="0" t="s">
        <v>3328</v>
      </c>
      <c r="B2132" s="0" t="s">
        <v>876</v>
      </c>
      <c r="C2132" s="0" t="s">
        <v>603</v>
      </c>
      <c r="D2132" s="0" t="n">
        <v>36.495</v>
      </c>
      <c r="E2132" s="0" t="n">
        <v>36.73907404</v>
      </c>
      <c r="F2132" s="0" t="n">
        <v>38.04122035</v>
      </c>
      <c r="G2132" s="0" t="n">
        <v>41.01889553</v>
      </c>
      <c r="H2132" s="0" t="n">
        <v>44.71212632</v>
      </c>
    </row>
    <row r="2133" customFormat="false" ht="15" hidden="false" customHeight="false" outlineLevel="0" collapsed="false">
      <c r="A2133" s="0" t="s">
        <v>3329</v>
      </c>
      <c r="B2133" s="0" t="s">
        <v>702</v>
      </c>
      <c r="C2133" s="0" t="s">
        <v>603</v>
      </c>
      <c r="D2133" s="0" t="n">
        <v>1316.091</v>
      </c>
      <c r="E2133" s="0" t="n">
        <v>1304.580956</v>
      </c>
      <c r="F2133" s="0" t="n">
        <v>1228.434561</v>
      </c>
      <c r="G2133" s="0" t="n">
        <v>1089.348887</v>
      </c>
      <c r="H2133" s="0" t="n">
        <v>961.5563608</v>
      </c>
    </row>
    <row r="2134" customFormat="false" ht="15" hidden="false" customHeight="false" outlineLevel="0" collapsed="false">
      <c r="A2134" s="0" t="s">
        <v>3330</v>
      </c>
      <c r="B2134" s="0" t="s">
        <v>780</v>
      </c>
      <c r="C2134" s="0" t="s">
        <v>603</v>
      </c>
      <c r="D2134" s="0" t="n">
        <v>322.744</v>
      </c>
      <c r="E2134" s="0" t="n">
        <v>329.3310577</v>
      </c>
      <c r="F2134" s="0" t="n">
        <v>349.432736</v>
      </c>
      <c r="G2134" s="0" t="n">
        <v>379.5847692</v>
      </c>
      <c r="H2134" s="0" t="n">
        <v>402.8143532</v>
      </c>
    </row>
    <row r="2135" customFormat="false" ht="15" hidden="false" customHeight="false" outlineLevel="0" collapsed="false">
      <c r="A2135" s="0" t="s">
        <v>3331</v>
      </c>
      <c r="B2135" s="0" t="s">
        <v>814</v>
      </c>
      <c r="C2135" s="0" t="s">
        <v>603</v>
      </c>
      <c r="D2135" s="0" t="n">
        <v>119.389</v>
      </c>
      <c r="E2135" s="0" t="n">
        <v>119.7628944</v>
      </c>
      <c r="F2135" s="0" t="n">
        <v>121.2662937</v>
      </c>
      <c r="G2135" s="0" t="n">
        <v>124.1650162</v>
      </c>
      <c r="H2135" s="0" t="n">
        <v>128.7845292</v>
      </c>
    </row>
    <row r="2136" customFormat="false" ht="15" hidden="false" customHeight="false" outlineLevel="0" collapsed="false">
      <c r="A2136" s="0" t="s">
        <v>3332</v>
      </c>
      <c r="B2136" s="0" t="s">
        <v>946</v>
      </c>
      <c r="C2136" s="0" t="s">
        <v>603</v>
      </c>
      <c r="D2136" s="0" t="n">
        <v>22.672</v>
      </c>
      <c r="E2136" s="0" t="n">
        <v>23.05088506</v>
      </c>
      <c r="F2136" s="0" t="n">
        <v>23.26270878</v>
      </c>
      <c r="G2136" s="0" t="n">
        <v>24.02315907</v>
      </c>
      <c r="H2136" s="0" t="n">
        <v>26.19470539</v>
      </c>
    </row>
    <row r="2137" customFormat="false" ht="15" hidden="false" customHeight="false" outlineLevel="0" collapsed="false">
      <c r="A2137" s="0" t="s">
        <v>3333</v>
      </c>
      <c r="B2137" s="0" t="s">
        <v>886</v>
      </c>
      <c r="C2137" s="0" t="s">
        <v>603</v>
      </c>
      <c r="D2137" s="0" t="n">
        <v>84.73636614</v>
      </c>
      <c r="E2137" s="0" t="n">
        <v>85.26248165</v>
      </c>
      <c r="F2137" s="0" t="n">
        <v>87.34300987</v>
      </c>
      <c r="G2137" s="0" t="n">
        <v>92.15063293</v>
      </c>
      <c r="H2137" s="0" t="n">
        <v>98.33364175</v>
      </c>
    </row>
    <row r="2138" customFormat="false" ht="15" hidden="false" customHeight="false" outlineLevel="0" collapsed="false">
      <c r="A2138" s="0" t="s">
        <v>3334</v>
      </c>
      <c r="B2138" s="0" t="s">
        <v>1054</v>
      </c>
      <c r="C2138" s="0" t="s">
        <v>603</v>
      </c>
      <c r="D2138" s="0" t="n">
        <v>0.7058460644</v>
      </c>
      <c r="E2138" s="0" t="n">
        <v>0.7063337907</v>
      </c>
      <c r="F2138" s="0" t="n">
        <v>0.7195282014</v>
      </c>
      <c r="G2138" s="0" t="n">
        <v>0.7281836525</v>
      </c>
      <c r="H2138" s="0" t="n">
        <v>0.7261361563</v>
      </c>
    </row>
    <row r="2139" customFormat="false" ht="15" hidden="false" customHeight="false" outlineLevel="0" collapsed="false">
      <c r="A2139" s="0" t="s">
        <v>3335</v>
      </c>
      <c r="B2139" s="0" t="s">
        <v>716</v>
      </c>
      <c r="C2139" s="0" t="s">
        <v>603</v>
      </c>
      <c r="D2139" s="0" t="n">
        <v>825.612</v>
      </c>
      <c r="E2139" s="0" t="n">
        <v>821.8051273</v>
      </c>
      <c r="F2139" s="0" t="n">
        <v>818.0975408</v>
      </c>
      <c r="G2139" s="0" t="n">
        <v>787.473669</v>
      </c>
      <c r="H2139" s="0" t="n">
        <v>754.549093</v>
      </c>
    </row>
    <row r="2140" customFormat="false" ht="15" hidden="false" customHeight="false" outlineLevel="0" collapsed="false">
      <c r="A2140" s="0" t="s">
        <v>3336</v>
      </c>
      <c r="B2140" s="0" t="s">
        <v>812</v>
      </c>
      <c r="C2140" s="0" t="s">
        <v>603</v>
      </c>
      <c r="D2140" s="0" t="n">
        <v>184.7446653</v>
      </c>
      <c r="E2140" s="0" t="n">
        <v>187.3611176</v>
      </c>
      <c r="F2140" s="0" t="n">
        <v>181.6019475</v>
      </c>
      <c r="G2140" s="0" t="n">
        <v>181.2494725</v>
      </c>
      <c r="H2140" s="0" t="n">
        <v>187.7125985</v>
      </c>
    </row>
    <row r="2141" customFormat="false" ht="15" hidden="false" customHeight="false" outlineLevel="0" collapsed="false">
      <c r="A2141" s="0" t="s">
        <v>3337</v>
      </c>
      <c r="B2141" s="0" t="s">
        <v>972</v>
      </c>
      <c r="C2141" s="0" t="s">
        <v>603</v>
      </c>
      <c r="D2141" s="0" t="n">
        <v>53.894</v>
      </c>
      <c r="E2141" s="0" t="n">
        <v>53.94615416</v>
      </c>
      <c r="F2141" s="0" t="n">
        <v>54.13036647</v>
      </c>
      <c r="G2141" s="0" t="n">
        <v>54.48768317</v>
      </c>
      <c r="H2141" s="0" t="n">
        <v>54.98294554</v>
      </c>
    </row>
    <row r="2142" customFormat="false" ht="15" hidden="false" customHeight="false" outlineLevel="0" collapsed="false">
      <c r="A2142" s="0" t="s">
        <v>3338</v>
      </c>
      <c r="B2142" s="0" t="s">
        <v>922</v>
      </c>
      <c r="C2142" s="0" t="s">
        <v>603</v>
      </c>
      <c r="D2142" s="0" t="n">
        <v>46.29</v>
      </c>
      <c r="E2142" s="0" t="n">
        <v>46.78566718</v>
      </c>
      <c r="F2142" s="0" t="n">
        <v>47.84934372</v>
      </c>
      <c r="G2142" s="0" t="n">
        <v>49.39918616</v>
      </c>
      <c r="H2142" s="0" t="n">
        <v>50.39529892</v>
      </c>
    </row>
    <row r="2143" customFormat="false" ht="15" hidden="false" customHeight="false" outlineLevel="0" collapsed="false">
      <c r="A2143" s="0" t="s">
        <v>3339</v>
      </c>
      <c r="B2143" s="0" t="s">
        <v>1008</v>
      </c>
      <c r="C2143" s="0" t="s">
        <v>603</v>
      </c>
      <c r="D2143" s="0" t="n">
        <v>18.246</v>
      </c>
      <c r="E2143" s="0" t="n">
        <v>18.27100481</v>
      </c>
      <c r="F2143" s="0" t="n">
        <v>18.35282224</v>
      </c>
      <c r="G2143" s="0" t="n">
        <v>18.47873993</v>
      </c>
      <c r="H2143" s="0" t="n">
        <v>18.63705716</v>
      </c>
    </row>
    <row r="2144" customFormat="false" ht="15" hidden="false" customHeight="false" outlineLevel="0" collapsed="false">
      <c r="A2144" s="0" t="s">
        <v>3340</v>
      </c>
      <c r="B2144" s="0" t="s">
        <v>874</v>
      </c>
      <c r="C2144" s="0" t="s">
        <v>603</v>
      </c>
      <c r="D2144" s="0" t="n">
        <v>108.974</v>
      </c>
      <c r="E2144" s="0" t="n">
        <v>115.8643648</v>
      </c>
      <c r="F2144" s="0" t="n">
        <v>130.6501719</v>
      </c>
      <c r="G2144" s="0" t="n">
        <v>153.8151536</v>
      </c>
      <c r="H2144" s="0" t="n">
        <v>172.613309</v>
      </c>
    </row>
    <row r="2145" customFormat="false" ht="15" hidden="false" customHeight="false" outlineLevel="0" collapsed="false">
      <c r="A2145" s="0" t="s">
        <v>3341</v>
      </c>
      <c r="B2145" s="0" t="s">
        <v>1032</v>
      </c>
      <c r="C2145" s="0" t="s">
        <v>603</v>
      </c>
      <c r="D2145" s="0" t="n">
        <v>1.008347719</v>
      </c>
      <c r="E2145" s="0" t="n">
        <v>1.01320982</v>
      </c>
      <c r="F2145" s="0" t="n">
        <v>1.052269576</v>
      </c>
      <c r="G2145" s="0" t="n">
        <v>1.176197963</v>
      </c>
      <c r="H2145" s="0" t="n">
        <v>1.35022578</v>
      </c>
    </row>
    <row r="2146" customFormat="false" ht="15" hidden="false" customHeight="false" outlineLevel="0" collapsed="false">
      <c r="A2146" s="0" t="s">
        <v>3342</v>
      </c>
      <c r="B2146" s="0" t="s">
        <v>840</v>
      </c>
      <c r="C2146" s="0" t="s">
        <v>603</v>
      </c>
      <c r="D2146" s="0" t="n">
        <v>41.94789409</v>
      </c>
      <c r="E2146" s="0" t="n">
        <v>41.85094652</v>
      </c>
      <c r="F2146" s="0" t="n">
        <v>41.23904291</v>
      </c>
      <c r="G2146" s="0" t="n">
        <v>39.31555883</v>
      </c>
      <c r="H2146" s="0" t="n">
        <v>38.39124106</v>
      </c>
    </row>
    <row r="2147" customFormat="false" ht="15" hidden="false" customHeight="false" outlineLevel="0" collapsed="false">
      <c r="A2147" s="0" t="s">
        <v>3343</v>
      </c>
      <c r="B2147" s="0" t="s">
        <v>1034</v>
      </c>
      <c r="C2147" s="0" t="s">
        <v>603</v>
      </c>
      <c r="D2147" s="0" t="n">
        <v>6.80587711</v>
      </c>
      <c r="E2147" s="0" t="n">
        <v>6.815678516</v>
      </c>
      <c r="F2147" s="0" t="n">
        <v>6.881515515</v>
      </c>
      <c r="G2147" s="0" t="n">
        <v>7.438418894</v>
      </c>
      <c r="H2147" s="0" t="n">
        <v>8.383263694</v>
      </c>
    </row>
    <row r="2148" customFormat="false" ht="15" hidden="false" customHeight="false" outlineLevel="0" collapsed="false">
      <c r="A2148" s="0" t="s">
        <v>3344</v>
      </c>
      <c r="B2148" s="0" t="s">
        <v>856</v>
      </c>
      <c r="C2148" s="0" t="s">
        <v>603</v>
      </c>
      <c r="D2148" s="0" t="n">
        <v>21.85</v>
      </c>
      <c r="E2148" s="0" t="n">
        <v>21.87622313</v>
      </c>
      <c r="F2148" s="0" t="n">
        <v>21.79237166</v>
      </c>
      <c r="G2148" s="0" t="n">
        <v>20.64298728</v>
      </c>
      <c r="H2148" s="0" t="n">
        <v>19.80215254</v>
      </c>
    </row>
    <row r="2149" customFormat="false" ht="15" hidden="false" customHeight="false" outlineLevel="0" collapsed="false">
      <c r="A2149" s="0" t="s">
        <v>3345</v>
      </c>
      <c r="B2149" s="0" t="s">
        <v>854</v>
      </c>
      <c r="C2149" s="0" t="s">
        <v>603</v>
      </c>
      <c r="D2149" s="0" t="n">
        <v>8.861</v>
      </c>
      <c r="E2149" s="0" t="n">
        <v>8.712546576</v>
      </c>
      <c r="F2149" s="0" t="n">
        <v>8.155485224</v>
      </c>
      <c r="G2149" s="0" t="n">
        <v>7.310059435</v>
      </c>
      <c r="H2149" s="0" t="n">
        <v>6.927116575</v>
      </c>
    </row>
    <row r="2150" customFormat="false" ht="15" hidden="false" customHeight="false" outlineLevel="0" collapsed="false">
      <c r="A2150" s="0" t="s">
        <v>3346</v>
      </c>
      <c r="B2150" s="0" t="s">
        <v>894</v>
      </c>
      <c r="C2150" s="0" t="s">
        <v>603</v>
      </c>
      <c r="D2150" s="0" t="n">
        <v>12.693</v>
      </c>
      <c r="E2150" s="0" t="n">
        <v>12.69865735</v>
      </c>
      <c r="F2150" s="0" t="n">
        <v>12.65692232</v>
      </c>
      <c r="G2150" s="0" t="n">
        <v>12.3019046</v>
      </c>
      <c r="H2150" s="0" t="n">
        <v>12.16541419</v>
      </c>
    </row>
    <row r="2151" customFormat="false" ht="15" hidden="false" customHeight="false" outlineLevel="0" collapsed="false">
      <c r="A2151" s="0" t="s">
        <v>3347</v>
      </c>
      <c r="B2151" s="0" t="s">
        <v>882</v>
      </c>
      <c r="C2151" s="0" t="s">
        <v>603</v>
      </c>
      <c r="D2151" s="0" t="n">
        <v>2.695576093</v>
      </c>
      <c r="E2151" s="0" t="n">
        <v>2.767207857</v>
      </c>
      <c r="F2151" s="0" t="n">
        <v>2.948445862</v>
      </c>
      <c r="G2151" s="0" t="n">
        <v>3.157224139</v>
      </c>
      <c r="H2151" s="0" t="n">
        <v>3.309409069</v>
      </c>
    </row>
    <row r="2152" customFormat="false" ht="15" hidden="false" customHeight="false" outlineLevel="0" collapsed="false">
      <c r="A2152" s="0" t="s">
        <v>3348</v>
      </c>
      <c r="B2152" s="0" t="s">
        <v>808</v>
      </c>
      <c r="C2152" s="0" t="s">
        <v>603</v>
      </c>
      <c r="D2152" s="0" t="n">
        <v>104.079</v>
      </c>
      <c r="E2152" s="0" t="n">
        <v>105.1035942</v>
      </c>
      <c r="F2152" s="0" t="n">
        <v>109.9405443</v>
      </c>
      <c r="G2152" s="0" t="n">
        <v>117.188381</v>
      </c>
      <c r="H2152" s="0" t="n">
        <v>122.1860547</v>
      </c>
    </row>
    <row r="2153" customFormat="false" ht="15" hidden="false" customHeight="false" outlineLevel="0" collapsed="false">
      <c r="A2153" s="0" t="s">
        <v>3349</v>
      </c>
      <c r="B2153" s="0" t="s">
        <v>966</v>
      </c>
      <c r="C2153" s="0" t="s">
        <v>603</v>
      </c>
      <c r="D2153" s="0" t="n">
        <v>14.178</v>
      </c>
      <c r="E2153" s="0" t="n">
        <v>14.18434966</v>
      </c>
      <c r="F2153" s="0" t="n">
        <v>14.12849879</v>
      </c>
      <c r="G2153" s="0" t="n">
        <v>14.52397059</v>
      </c>
      <c r="H2153" s="0" t="n">
        <v>15.26126382</v>
      </c>
    </row>
    <row r="2154" customFormat="false" ht="15" hidden="false" customHeight="false" outlineLevel="0" collapsed="false">
      <c r="A2154" s="0" t="s">
        <v>3350</v>
      </c>
      <c r="B2154" s="0" t="s">
        <v>960</v>
      </c>
      <c r="C2154" s="0" t="s">
        <v>603</v>
      </c>
      <c r="D2154" s="0" t="n">
        <v>48.36041459</v>
      </c>
      <c r="E2154" s="0" t="n">
        <v>48.36078659</v>
      </c>
      <c r="F2154" s="0" t="n">
        <v>48.47759579</v>
      </c>
      <c r="G2154" s="0" t="n">
        <v>48.68829391</v>
      </c>
      <c r="H2154" s="0" t="n">
        <v>48.73755244</v>
      </c>
    </row>
    <row r="2155" customFormat="false" ht="15" hidden="false" customHeight="false" outlineLevel="0" collapsed="false">
      <c r="A2155" s="0" t="s">
        <v>3351</v>
      </c>
      <c r="B2155" s="0" t="s">
        <v>1002</v>
      </c>
      <c r="C2155" s="0" t="s">
        <v>603</v>
      </c>
      <c r="D2155" s="0" t="n">
        <v>3.698208539</v>
      </c>
      <c r="E2155" s="0" t="n">
        <v>3.796816445</v>
      </c>
      <c r="F2155" s="0" t="n">
        <v>4.048036083</v>
      </c>
      <c r="G2155" s="0" t="n">
        <v>4.596021671</v>
      </c>
      <c r="H2155" s="0" t="n">
        <v>5.243894098</v>
      </c>
    </row>
    <row r="2156" customFormat="false" ht="15" hidden="false" customHeight="false" outlineLevel="0" collapsed="false">
      <c r="A2156" s="0" t="s">
        <v>3352</v>
      </c>
      <c r="B2156" s="0" t="s">
        <v>720</v>
      </c>
      <c r="C2156" s="0" t="s">
        <v>603</v>
      </c>
      <c r="D2156" s="0" t="n">
        <v>959.826</v>
      </c>
      <c r="E2156" s="0" t="n">
        <v>959.0425597</v>
      </c>
      <c r="F2156" s="0" t="n">
        <v>973.627468</v>
      </c>
      <c r="G2156" s="0" t="n">
        <v>1020.554446</v>
      </c>
      <c r="H2156" s="0" t="n">
        <v>1094.078125</v>
      </c>
    </row>
    <row r="2157" customFormat="false" ht="15" hidden="false" customHeight="false" outlineLevel="0" collapsed="false">
      <c r="A2157" s="0" t="s">
        <v>3353</v>
      </c>
      <c r="B2157" s="0" t="s">
        <v>970</v>
      </c>
      <c r="C2157" s="0" t="s">
        <v>603</v>
      </c>
      <c r="D2157" s="0" t="n">
        <v>12.22</v>
      </c>
      <c r="E2157" s="0" t="n">
        <v>12.23809747</v>
      </c>
      <c r="F2157" s="0" t="n">
        <v>12.16377769</v>
      </c>
      <c r="G2157" s="0" t="n">
        <v>11.67365983</v>
      </c>
      <c r="H2157" s="0" t="n">
        <v>11.25558053</v>
      </c>
    </row>
    <row r="2158" customFormat="false" ht="15" hidden="false" customHeight="false" outlineLevel="0" collapsed="false">
      <c r="A2158" s="0" t="s">
        <v>3354</v>
      </c>
      <c r="B2158" s="0" t="s">
        <v>918</v>
      </c>
      <c r="C2158" s="0" t="s">
        <v>603</v>
      </c>
      <c r="D2158" s="0" t="n">
        <v>55.06081625</v>
      </c>
      <c r="E2158" s="0" t="n">
        <v>55.37360119</v>
      </c>
      <c r="F2158" s="0" t="n">
        <v>57.28772137</v>
      </c>
      <c r="G2158" s="0" t="n">
        <v>61.50513724</v>
      </c>
      <c r="H2158" s="0" t="n">
        <v>66.65497136</v>
      </c>
    </row>
    <row r="2159" customFormat="false" ht="15" hidden="false" customHeight="false" outlineLevel="0" collapsed="false">
      <c r="A2159" s="0" t="s">
        <v>3355</v>
      </c>
      <c r="B2159" s="0" t="s">
        <v>936</v>
      </c>
      <c r="C2159" s="0" t="s">
        <v>603</v>
      </c>
      <c r="D2159" s="0" t="n">
        <v>2.658025093</v>
      </c>
      <c r="E2159" s="0" t="n">
        <v>2.686285708</v>
      </c>
      <c r="F2159" s="0" t="n">
        <v>2.770834126</v>
      </c>
      <c r="G2159" s="0" t="n">
        <v>2.708800477</v>
      </c>
      <c r="H2159" s="0" t="n">
        <v>2.569227336</v>
      </c>
    </row>
    <row r="2160" customFormat="false" ht="15" hidden="false" customHeight="false" outlineLevel="0" collapsed="false">
      <c r="A2160" s="0" t="s">
        <v>3356</v>
      </c>
      <c r="B2160" s="0" t="s">
        <v>862</v>
      </c>
      <c r="C2160" s="0" t="s">
        <v>603</v>
      </c>
      <c r="D2160" s="0" t="n">
        <v>310.039</v>
      </c>
      <c r="E2160" s="0" t="n">
        <v>309.3677327</v>
      </c>
      <c r="F2160" s="0" t="n">
        <v>312.0291022</v>
      </c>
      <c r="G2160" s="0" t="n">
        <v>319.5515713</v>
      </c>
      <c r="H2160" s="0" t="n">
        <v>330.3510311</v>
      </c>
    </row>
    <row r="2161" customFormat="false" ht="15" hidden="false" customHeight="false" outlineLevel="0" collapsed="false">
      <c r="A2161" s="0" t="s">
        <v>3357</v>
      </c>
      <c r="B2161" s="0" t="s">
        <v>996</v>
      </c>
      <c r="C2161" s="0" t="s">
        <v>603</v>
      </c>
      <c r="D2161" s="0" t="n">
        <v>2.312309182</v>
      </c>
      <c r="E2161" s="0" t="n">
        <v>2.251225198</v>
      </c>
      <c r="F2161" s="0" t="n">
        <v>1.905994516</v>
      </c>
      <c r="G2161" s="0" t="n">
        <v>1.391441343</v>
      </c>
      <c r="H2161" s="0" t="n">
        <v>1.524416997</v>
      </c>
    </row>
    <row r="2162" customFormat="false" ht="15" hidden="false" customHeight="false" outlineLevel="0" collapsed="false">
      <c r="A2162" s="0" t="s">
        <v>3358</v>
      </c>
      <c r="B2162" s="0" t="s">
        <v>928</v>
      </c>
      <c r="C2162" s="0" t="s">
        <v>603</v>
      </c>
      <c r="D2162" s="0" t="n">
        <v>86.509</v>
      </c>
      <c r="E2162" s="0" t="n">
        <v>87.38117927</v>
      </c>
      <c r="F2162" s="0" t="n">
        <v>90.8373169</v>
      </c>
      <c r="G2162" s="0" t="n">
        <v>98.11560069</v>
      </c>
      <c r="H2162" s="0" t="n">
        <v>106.5128476</v>
      </c>
    </row>
    <row r="2163" customFormat="false" ht="15" hidden="false" customHeight="false" outlineLevel="0" collapsed="false">
      <c r="A2163" s="0" t="s">
        <v>3359</v>
      </c>
      <c r="B2163" s="0" t="s">
        <v>954</v>
      </c>
      <c r="C2163" s="0" t="s">
        <v>603</v>
      </c>
      <c r="D2163" s="0" t="n">
        <v>104.042</v>
      </c>
      <c r="E2163" s="0" t="n">
        <v>103.9000395</v>
      </c>
      <c r="F2163" s="0" t="n">
        <v>103.9007941</v>
      </c>
      <c r="G2163" s="0" t="n">
        <v>104.7138133</v>
      </c>
      <c r="H2163" s="0" t="n">
        <v>106.3442585</v>
      </c>
    </row>
    <row r="2164" customFormat="false" ht="15" hidden="false" customHeight="false" outlineLevel="0" collapsed="false">
      <c r="A2164" s="0" t="s">
        <v>3360</v>
      </c>
      <c r="B2164" s="0" t="s">
        <v>988</v>
      </c>
      <c r="C2164" s="0" t="s">
        <v>603</v>
      </c>
      <c r="D2164" s="0" t="n">
        <v>19.12408036</v>
      </c>
      <c r="E2164" s="0" t="n">
        <v>19.26652299</v>
      </c>
      <c r="F2164" s="0" t="n">
        <v>20.06056317</v>
      </c>
      <c r="G2164" s="0" t="n">
        <v>21.83189645</v>
      </c>
      <c r="H2164" s="0" t="n">
        <v>24.03144977</v>
      </c>
    </row>
    <row r="2165" customFormat="false" ht="15" hidden="false" customHeight="false" outlineLevel="0" collapsed="false">
      <c r="A2165" s="0" t="s">
        <v>3361</v>
      </c>
      <c r="B2165" s="0" t="s">
        <v>974</v>
      </c>
      <c r="C2165" s="0" t="s">
        <v>603</v>
      </c>
      <c r="D2165" s="0" t="n">
        <v>6.966</v>
      </c>
      <c r="E2165" s="0" t="n">
        <v>7.046157343</v>
      </c>
      <c r="F2165" s="0" t="n">
        <v>7.514005863</v>
      </c>
      <c r="G2165" s="0" t="n">
        <v>8.496262802</v>
      </c>
      <c r="H2165" s="0" t="n">
        <v>9.613048769</v>
      </c>
    </row>
    <row r="2166" customFormat="false" ht="15" hidden="false" customHeight="false" outlineLevel="0" collapsed="false">
      <c r="A2166" s="0" t="s">
        <v>3362</v>
      </c>
      <c r="B2166" s="0" t="s">
        <v>992</v>
      </c>
      <c r="C2166" s="0" t="s">
        <v>603</v>
      </c>
      <c r="D2166" s="0" t="n">
        <v>29.604</v>
      </c>
      <c r="E2166" s="0" t="n">
        <v>29.61007241</v>
      </c>
      <c r="F2166" s="0" t="n">
        <v>29.65659979</v>
      </c>
      <c r="G2166" s="0" t="n">
        <v>29.88616774</v>
      </c>
      <c r="H2166" s="0" t="n">
        <v>30.31863308</v>
      </c>
    </row>
    <row r="2167" customFormat="false" ht="15" hidden="false" customHeight="false" outlineLevel="0" collapsed="false">
      <c r="A2167" s="0" t="s">
        <v>3363</v>
      </c>
      <c r="B2167" s="0" t="s">
        <v>760</v>
      </c>
      <c r="C2167" s="0" t="s">
        <v>603</v>
      </c>
      <c r="D2167" s="0" t="n">
        <v>409.34</v>
      </c>
      <c r="E2167" s="0" t="n">
        <v>416.8531009</v>
      </c>
      <c r="F2167" s="0" t="n">
        <v>450.1256695</v>
      </c>
      <c r="G2167" s="0" t="n">
        <v>505.0055879</v>
      </c>
      <c r="H2167" s="0" t="n">
        <v>555.2783407</v>
      </c>
    </row>
    <row r="2168" customFormat="false" ht="15" hidden="false" customHeight="false" outlineLevel="0" collapsed="false">
      <c r="A2168" s="0" t="s">
        <v>3364</v>
      </c>
      <c r="B2168" s="0" t="s">
        <v>982</v>
      </c>
      <c r="C2168" s="0" t="s">
        <v>603</v>
      </c>
      <c r="D2168" s="0" t="n">
        <v>23.616</v>
      </c>
      <c r="E2168" s="0" t="n">
        <v>23.64219153</v>
      </c>
      <c r="F2168" s="0" t="n">
        <v>23.76230672</v>
      </c>
      <c r="G2168" s="0" t="n">
        <v>24.07081381</v>
      </c>
      <c r="H2168" s="0" t="n">
        <v>24.55832595</v>
      </c>
    </row>
    <row r="2169" customFormat="false" ht="15" hidden="false" customHeight="false" outlineLevel="0" collapsed="false">
      <c r="A2169" s="0" t="s">
        <v>3365</v>
      </c>
      <c r="B2169" s="0" t="s">
        <v>940</v>
      </c>
      <c r="C2169" s="0" t="s">
        <v>603</v>
      </c>
      <c r="D2169" s="0" t="n">
        <v>46.64930443</v>
      </c>
      <c r="E2169" s="0" t="n">
        <v>46.79023162</v>
      </c>
      <c r="F2169" s="0" t="n">
        <v>47.51742148</v>
      </c>
      <c r="G2169" s="0" t="n">
        <v>48.97753414</v>
      </c>
      <c r="H2169" s="0" t="n">
        <v>50.61216918</v>
      </c>
    </row>
    <row r="2170" customFormat="false" ht="15" hidden="false" customHeight="false" outlineLevel="0" collapsed="false">
      <c r="A2170" s="0" t="s">
        <v>3366</v>
      </c>
      <c r="B2170" s="0" t="s">
        <v>792</v>
      </c>
      <c r="C2170" s="0" t="s">
        <v>603</v>
      </c>
      <c r="D2170" s="0" t="n">
        <v>468.575</v>
      </c>
      <c r="E2170" s="0" t="n">
        <v>470.0692035</v>
      </c>
      <c r="F2170" s="0" t="n">
        <v>477.4580887</v>
      </c>
      <c r="G2170" s="0" t="n">
        <v>491.0054918</v>
      </c>
      <c r="H2170" s="0" t="n">
        <v>505.3777363</v>
      </c>
    </row>
    <row r="2171" customFormat="false" ht="15" hidden="false" customHeight="false" outlineLevel="0" collapsed="false">
      <c r="A2171" s="0" t="s">
        <v>3367</v>
      </c>
      <c r="B2171" s="0" t="s">
        <v>948</v>
      </c>
      <c r="C2171" s="0" t="s">
        <v>603</v>
      </c>
      <c r="D2171" s="0" t="n">
        <v>41.17907489</v>
      </c>
      <c r="E2171" s="0" t="n">
        <v>41.36128476</v>
      </c>
      <c r="F2171" s="0" t="n">
        <v>42.05531492</v>
      </c>
      <c r="G2171" s="0" t="n">
        <v>43.70810113</v>
      </c>
      <c r="H2171" s="0" t="n">
        <v>45.91424376</v>
      </c>
    </row>
    <row r="2172" customFormat="false" ht="15" hidden="false" customHeight="false" outlineLevel="0" collapsed="false">
      <c r="A2172" s="0" t="s">
        <v>3368</v>
      </c>
      <c r="B2172" s="0" t="s">
        <v>730</v>
      </c>
      <c r="C2172" s="0" t="s">
        <v>603</v>
      </c>
      <c r="D2172" s="0" t="n">
        <v>155.8126752</v>
      </c>
      <c r="E2172" s="0" t="n">
        <v>154.9953545</v>
      </c>
      <c r="F2172" s="0" t="n">
        <v>147.899806</v>
      </c>
      <c r="G2172" s="0" t="n">
        <v>132.3626936</v>
      </c>
      <c r="H2172" s="0" t="n">
        <v>121.9199985</v>
      </c>
    </row>
    <row r="2173" customFormat="false" ht="15" hidden="false" customHeight="false" outlineLevel="0" collapsed="false">
      <c r="A2173" s="0" t="s">
        <v>3369</v>
      </c>
      <c r="B2173" s="0" t="s">
        <v>762</v>
      </c>
      <c r="C2173" s="0" t="s">
        <v>603</v>
      </c>
      <c r="D2173" s="0" t="n">
        <v>49.318</v>
      </c>
      <c r="E2173" s="0" t="n">
        <v>49.09332782</v>
      </c>
      <c r="F2173" s="0" t="n">
        <v>48.21308266</v>
      </c>
      <c r="G2173" s="0" t="n">
        <v>46.77109228</v>
      </c>
      <c r="H2173" s="0" t="n">
        <v>46.95162543</v>
      </c>
    </row>
    <row r="2174" customFormat="false" ht="15" hidden="false" customHeight="false" outlineLevel="0" collapsed="false">
      <c r="A2174" s="0" t="s">
        <v>3370</v>
      </c>
      <c r="B2174" s="0" t="s">
        <v>892</v>
      </c>
      <c r="C2174" s="0" t="s">
        <v>603</v>
      </c>
      <c r="D2174" s="0" t="n">
        <v>61.605</v>
      </c>
      <c r="E2174" s="0" t="n">
        <v>61.93926602</v>
      </c>
      <c r="F2174" s="0" t="n">
        <v>62.9170632</v>
      </c>
      <c r="G2174" s="0" t="n">
        <v>65.9810319</v>
      </c>
      <c r="H2174" s="0" t="n">
        <v>70.64224568</v>
      </c>
    </row>
    <row r="2175" customFormat="false" ht="15" hidden="false" customHeight="false" outlineLevel="0" collapsed="false">
      <c r="A2175" s="0" t="s">
        <v>3371</v>
      </c>
      <c r="B2175" s="0" t="s">
        <v>1064</v>
      </c>
      <c r="C2175" s="0" t="s">
        <v>603</v>
      </c>
      <c r="D2175" s="0" t="n">
        <v>0.1322536747</v>
      </c>
      <c r="E2175" s="0" t="n">
        <v>0.1327842807</v>
      </c>
      <c r="F2175" s="0" t="n">
        <v>0.1354215056</v>
      </c>
      <c r="G2175" s="0" t="n">
        <v>0.1443351181</v>
      </c>
      <c r="H2175" s="0" t="n">
        <v>0.1558509359</v>
      </c>
    </row>
    <row r="2176" customFormat="false" ht="15" hidden="false" customHeight="false" outlineLevel="0" collapsed="false">
      <c r="A2176" s="0" t="s">
        <v>3372</v>
      </c>
      <c r="B2176" s="0" t="s">
        <v>796</v>
      </c>
      <c r="C2176" s="0" t="s">
        <v>603</v>
      </c>
      <c r="D2176" s="0" t="n">
        <v>75.344</v>
      </c>
      <c r="E2176" s="0" t="n">
        <v>74.82136066</v>
      </c>
      <c r="F2176" s="0" t="n">
        <v>73.63355905</v>
      </c>
      <c r="G2176" s="0" t="n">
        <v>69.64997937</v>
      </c>
      <c r="H2176" s="0" t="n">
        <v>67.46542435</v>
      </c>
    </row>
    <row r="2177" customFormat="false" ht="15" hidden="false" customHeight="false" outlineLevel="0" collapsed="false">
      <c r="A2177" s="0" t="s">
        <v>3373</v>
      </c>
      <c r="B2177" s="0" t="s">
        <v>832</v>
      </c>
      <c r="C2177" s="0" t="s">
        <v>603</v>
      </c>
      <c r="D2177" s="0" t="n">
        <v>145.358</v>
      </c>
      <c r="E2177" s="0" t="n">
        <v>146.0162407</v>
      </c>
      <c r="F2177" s="0" t="n">
        <v>151.6796109</v>
      </c>
      <c r="G2177" s="0" t="n">
        <v>157.4682885</v>
      </c>
      <c r="H2177" s="0" t="n">
        <v>159.8621554</v>
      </c>
    </row>
    <row r="2178" customFormat="false" ht="15" hidden="false" customHeight="false" outlineLevel="0" collapsed="false">
      <c r="A2178" s="0" t="s">
        <v>3374</v>
      </c>
      <c r="B2178" s="0" t="s">
        <v>772</v>
      </c>
      <c r="C2178" s="0" t="s">
        <v>603</v>
      </c>
      <c r="D2178" s="0" t="n">
        <v>546.769</v>
      </c>
      <c r="E2178" s="0" t="n">
        <v>546.3656688</v>
      </c>
      <c r="F2178" s="0" t="n">
        <v>545.8447279</v>
      </c>
      <c r="G2178" s="0" t="n">
        <v>537.5850307</v>
      </c>
      <c r="H2178" s="0" t="n">
        <v>548.984627</v>
      </c>
    </row>
    <row r="2179" customFormat="false" ht="15" hidden="false" customHeight="false" outlineLevel="0" collapsed="false">
      <c r="A2179" s="0" t="s">
        <v>3375</v>
      </c>
      <c r="B2179" s="0" t="s">
        <v>848</v>
      </c>
      <c r="C2179" s="0" t="s">
        <v>603</v>
      </c>
      <c r="D2179" s="0" t="n">
        <v>24.855</v>
      </c>
      <c r="E2179" s="0" t="n">
        <v>25.12736295</v>
      </c>
      <c r="F2179" s="0" t="n">
        <v>26.1439306</v>
      </c>
      <c r="G2179" s="0" t="n">
        <v>27.04877099</v>
      </c>
      <c r="H2179" s="0" t="n">
        <v>27.43147454</v>
      </c>
    </row>
    <row r="2180" customFormat="false" ht="15" hidden="false" customHeight="false" outlineLevel="0" collapsed="false">
      <c r="A2180" s="0" t="s">
        <v>3376</v>
      </c>
      <c r="B2180" s="0" t="s">
        <v>784</v>
      </c>
      <c r="C2180" s="0" t="s">
        <v>603</v>
      </c>
      <c r="D2180" s="0" t="n">
        <v>190.373</v>
      </c>
      <c r="E2180" s="0" t="n">
        <v>190.6970337</v>
      </c>
      <c r="F2180" s="0" t="n">
        <v>190.6685442</v>
      </c>
      <c r="G2180" s="0" t="n">
        <v>189.1723647</v>
      </c>
      <c r="H2180" s="0" t="n">
        <v>194.2965605</v>
      </c>
    </row>
    <row r="2181" customFormat="false" ht="15" hidden="false" customHeight="false" outlineLevel="0" collapsed="false">
      <c r="A2181" s="0" t="s">
        <v>3377</v>
      </c>
      <c r="B2181" s="0" t="s">
        <v>754</v>
      </c>
      <c r="C2181" s="0" t="s">
        <v>603</v>
      </c>
      <c r="D2181" s="0" t="n">
        <v>273.064</v>
      </c>
      <c r="E2181" s="0" t="n">
        <v>276.2791356</v>
      </c>
      <c r="F2181" s="0" t="n">
        <v>291.3605175</v>
      </c>
      <c r="G2181" s="0" t="n">
        <v>325.4979278</v>
      </c>
      <c r="H2181" s="0" t="n">
        <v>367.3237203</v>
      </c>
    </row>
    <row r="2182" customFormat="false" ht="15" hidden="false" customHeight="false" outlineLevel="0" collapsed="false">
      <c r="A2182" s="0" t="s">
        <v>3378</v>
      </c>
      <c r="B2182" s="0" t="s">
        <v>1062</v>
      </c>
      <c r="C2182" s="0" t="s">
        <v>603</v>
      </c>
      <c r="D2182" s="0" t="n">
        <v>1.403</v>
      </c>
      <c r="E2182" s="0" t="n">
        <v>1.413477852</v>
      </c>
      <c r="F2182" s="0" t="n">
        <v>1.434585873</v>
      </c>
      <c r="G2182" s="0" t="n">
        <v>1.457841675</v>
      </c>
      <c r="H2182" s="0" t="n">
        <v>1.470343634</v>
      </c>
    </row>
    <row r="2183" customFormat="false" ht="15" hidden="false" customHeight="false" outlineLevel="0" collapsed="false">
      <c r="A2183" s="0" t="s">
        <v>3379</v>
      </c>
      <c r="B2183" s="0" t="s">
        <v>912</v>
      </c>
      <c r="C2183" s="0" t="s">
        <v>603</v>
      </c>
      <c r="D2183" s="0" t="n">
        <v>45.68537536</v>
      </c>
      <c r="E2183" s="0" t="n">
        <v>46.02650011</v>
      </c>
      <c r="F2183" s="0" t="n">
        <v>47.1618512</v>
      </c>
      <c r="G2183" s="0" t="n">
        <v>50.00891918</v>
      </c>
      <c r="H2183" s="0" t="n">
        <v>53.81190814</v>
      </c>
    </row>
    <row r="2184" customFormat="false" ht="15" hidden="false" customHeight="false" outlineLevel="0" collapsed="false">
      <c r="A2184" s="0" t="s">
        <v>3380</v>
      </c>
      <c r="B2184" s="0" t="s">
        <v>732</v>
      </c>
      <c r="C2184" s="0" t="s">
        <v>603</v>
      </c>
      <c r="D2184" s="0" t="n">
        <v>423.937</v>
      </c>
      <c r="E2184" s="0" t="n">
        <v>425.356505</v>
      </c>
      <c r="F2184" s="0" t="n">
        <v>425.2729121</v>
      </c>
      <c r="G2184" s="0" t="n">
        <v>395.5504181</v>
      </c>
      <c r="H2184" s="0" t="n">
        <v>346.6946663</v>
      </c>
    </row>
    <row r="2185" customFormat="false" ht="15" hidden="false" customHeight="false" outlineLevel="0" collapsed="false">
      <c r="A2185" s="0" t="s">
        <v>3381</v>
      </c>
      <c r="B2185" s="0" t="s">
        <v>834</v>
      </c>
      <c r="C2185" s="0" t="s">
        <v>603</v>
      </c>
      <c r="D2185" s="0" t="n">
        <v>16.167</v>
      </c>
      <c r="E2185" s="0" t="n">
        <v>16.01574613</v>
      </c>
      <c r="F2185" s="0" t="n">
        <v>15.53143129</v>
      </c>
      <c r="G2185" s="0" t="n">
        <v>15.01191161</v>
      </c>
      <c r="H2185" s="0" t="n">
        <v>14.90706242</v>
      </c>
    </row>
    <row r="2186" customFormat="false" ht="15" hidden="false" customHeight="false" outlineLevel="0" collapsed="false">
      <c r="A2186" s="0" t="s">
        <v>3382</v>
      </c>
      <c r="B2186" s="0" t="s">
        <v>786</v>
      </c>
      <c r="C2186" s="0" t="s">
        <v>603</v>
      </c>
      <c r="D2186" s="0" t="n">
        <v>62.361</v>
      </c>
      <c r="E2186" s="0" t="n">
        <v>61.8791347</v>
      </c>
      <c r="F2186" s="0" t="n">
        <v>58.9002907</v>
      </c>
      <c r="G2186" s="0" t="n">
        <v>54.39446755</v>
      </c>
      <c r="H2186" s="0" t="n">
        <v>53.26519254</v>
      </c>
    </row>
    <row r="2187" customFormat="false" ht="15" hidden="false" customHeight="false" outlineLevel="0" collapsed="false">
      <c r="A2187" s="0" t="s">
        <v>3383</v>
      </c>
      <c r="B2187" s="0" t="s">
        <v>888</v>
      </c>
      <c r="C2187" s="0" t="s">
        <v>603</v>
      </c>
      <c r="D2187" s="0" t="n">
        <v>100.565</v>
      </c>
      <c r="E2187" s="0" t="n">
        <v>101.0951512</v>
      </c>
      <c r="F2187" s="0" t="n">
        <v>102.721199</v>
      </c>
      <c r="G2187" s="0" t="n">
        <v>105.4510865</v>
      </c>
      <c r="H2187" s="0" t="n">
        <v>108.396801</v>
      </c>
    </row>
    <row r="2188" customFormat="false" ht="15" hidden="false" customHeight="false" outlineLevel="0" collapsed="false">
      <c r="A2188" s="0" t="s">
        <v>3384</v>
      </c>
      <c r="B2188" s="0" t="s">
        <v>816</v>
      </c>
      <c r="C2188" s="0" t="s">
        <v>603</v>
      </c>
      <c r="D2188" s="0" t="n">
        <v>208.241</v>
      </c>
      <c r="E2188" s="0" t="n">
        <v>209.3807221</v>
      </c>
      <c r="F2188" s="0" t="n">
        <v>181.5398259</v>
      </c>
      <c r="G2188" s="0" t="n">
        <v>167.2608708</v>
      </c>
      <c r="H2188" s="0" t="n">
        <v>167.7921542</v>
      </c>
    </row>
    <row r="2189" customFormat="false" ht="15" hidden="false" customHeight="false" outlineLevel="0" collapsed="false">
      <c r="A2189" s="0" t="s">
        <v>3385</v>
      </c>
      <c r="B2189" s="0" t="s">
        <v>776</v>
      </c>
      <c r="C2189" s="0" t="s">
        <v>603</v>
      </c>
      <c r="D2189" s="0" t="n">
        <v>130.282</v>
      </c>
      <c r="E2189" s="0" t="n">
        <v>129.5147312</v>
      </c>
      <c r="F2189" s="0" t="n">
        <v>126.3724047</v>
      </c>
      <c r="G2189" s="0" t="n">
        <v>125.081277</v>
      </c>
      <c r="H2189" s="0" t="n">
        <v>128.4532383</v>
      </c>
    </row>
    <row r="2190" customFormat="false" ht="15" hidden="false" customHeight="false" outlineLevel="0" collapsed="false">
      <c r="A2190" s="0" t="s">
        <v>3386</v>
      </c>
      <c r="B2190" s="0" t="s">
        <v>714</v>
      </c>
      <c r="C2190" s="0" t="s">
        <v>603</v>
      </c>
      <c r="D2190" s="0" t="n">
        <v>2446.295</v>
      </c>
      <c r="E2190" s="0" t="n">
        <v>2447.415624</v>
      </c>
      <c r="F2190" s="0" t="n">
        <v>2477.34776</v>
      </c>
      <c r="G2190" s="0" t="n">
        <v>2666.22955</v>
      </c>
      <c r="H2190" s="0" t="n">
        <v>2982.94315</v>
      </c>
    </row>
    <row r="2191" customFormat="false" ht="15" hidden="false" customHeight="false" outlineLevel="0" collapsed="false">
      <c r="A2191" s="0" t="s">
        <v>3387</v>
      </c>
      <c r="B2191" s="0" t="s">
        <v>958</v>
      </c>
      <c r="C2191" s="0" t="s">
        <v>603</v>
      </c>
      <c r="D2191" s="0" t="n">
        <v>10.949</v>
      </c>
      <c r="E2191" s="0" t="n">
        <v>11.01757066</v>
      </c>
      <c r="F2191" s="0" t="n">
        <v>11.39355707</v>
      </c>
      <c r="G2191" s="0" t="n">
        <v>12.11678447</v>
      </c>
      <c r="H2191" s="0" t="n">
        <v>12.9095127</v>
      </c>
    </row>
    <row r="2192" customFormat="false" ht="15" hidden="false" customHeight="false" outlineLevel="0" collapsed="false">
      <c r="A2192" s="0" t="s">
        <v>3388</v>
      </c>
      <c r="B2192" s="0" t="s">
        <v>728</v>
      </c>
      <c r="C2192" s="0" t="s">
        <v>603</v>
      </c>
      <c r="D2192" s="0" t="n">
        <v>802.3437108</v>
      </c>
      <c r="E2192" s="0" t="n">
        <v>817.7581426</v>
      </c>
      <c r="F2192" s="0" t="n">
        <v>859.4209502</v>
      </c>
      <c r="G2192" s="0" t="n">
        <v>893.649142</v>
      </c>
      <c r="H2192" s="0" t="n">
        <v>900.1607301</v>
      </c>
    </row>
    <row r="2193" customFormat="false" ht="15" hidden="false" customHeight="false" outlineLevel="0" collapsed="false">
      <c r="A2193" s="0" t="s">
        <v>3389</v>
      </c>
      <c r="B2193" s="0" t="s">
        <v>932</v>
      </c>
      <c r="C2193" s="0" t="s">
        <v>603</v>
      </c>
      <c r="D2193" s="0" t="n">
        <v>163.544</v>
      </c>
      <c r="E2193" s="0" t="n">
        <v>163.5556542</v>
      </c>
      <c r="F2193" s="0" t="n">
        <v>162.0411294</v>
      </c>
      <c r="G2193" s="0" t="n">
        <v>162.2644592</v>
      </c>
      <c r="H2193" s="0" t="n">
        <v>165.7350824</v>
      </c>
    </row>
    <row r="2194" customFormat="false" ht="15" hidden="false" customHeight="false" outlineLevel="0" collapsed="false">
      <c r="A2194" s="0" t="s">
        <v>3390</v>
      </c>
      <c r="B2194" s="0" t="s">
        <v>910</v>
      </c>
      <c r="C2194" s="0" t="s">
        <v>603</v>
      </c>
      <c r="D2194" s="0" t="n">
        <v>36.347</v>
      </c>
      <c r="E2194" s="0" t="n">
        <v>36.92880084</v>
      </c>
      <c r="F2194" s="0" t="n">
        <v>37.59137846</v>
      </c>
      <c r="G2194" s="0" t="n">
        <v>40.35980808</v>
      </c>
      <c r="H2194" s="0" t="n">
        <v>44.85916562</v>
      </c>
    </row>
    <row r="2195" customFormat="false" ht="15" hidden="false" customHeight="false" outlineLevel="0" collapsed="false">
      <c r="A2195" s="0" t="s">
        <v>3391</v>
      </c>
      <c r="B2195" s="0" t="s">
        <v>740</v>
      </c>
      <c r="C2195" s="0" t="s">
        <v>603</v>
      </c>
      <c r="D2195" s="0" t="n">
        <v>74.421</v>
      </c>
      <c r="E2195" s="0" t="n">
        <v>75.81341012</v>
      </c>
      <c r="F2195" s="0" t="n">
        <v>79.65724781</v>
      </c>
      <c r="G2195" s="0" t="n">
        <v>83.31773094</v>
      </c>
      <c r="H2195" s="0" t="n">
        <v>84.86861006</v>
      </c>
    </row>
    <row r="2196" customFormat="false" ht="15" hidden="false" customHeight="false" outlineLevel="0" collapsed="false">
      <c r="A2196" s="0" t="s">
        <v>3392</v>
      </c>
      <c r="B2196" s="0" t="s">
        <v>1042</v>
      </c>
      <c r="C2196" s="0" t="s">
        <v>603</v>
      </c>
      <c r="D2196" s="0" t="n">
        <v>43.8209287</v>
      </c>
      <c r="E2196" s="0" t="n">
        <v>43.8235159</v>
      </c>
      <c r="F2196" s="0" t="n">
        <v>43.83955963</v>
      </c>
      <c r="G2196" s="0" t="n">
        <v>43.88777215</v>
      </c>
      <c r="H2196" s="0" t="n">
        <v>43.95240905</v>
      </c>
    </row>
    <row r="2197" customFormat="false" ht="15" hidden="false" customHeight="false" outlineLevel="0" collapsed="false">
      <c r="A2197" s="0" t="s">
        <v>3393</v>
      </c>
      <c r="B2197" s="0" t="s">
        <v>998</v>
      </c>
      <c r="C2197" s="0" t="s">
        <v>603</v>
      </c>
      <c r="D2197" s="0" t="n">
        <v>10.8624691</v>
      </c>
      <c r="E2197" s="0" t="n">
        <v>10.89662896</v>
      </c>
      <c r="F2197" s="0" t="n">
        <v>11.08294752</v>
      </c>
      <c r="G2197" s="0" t="n">
        <v>11.5118704</v>
      </c>
      <c r="H2197" s="0" t="n">
        <v>12.09699411</v>
      </c>
    </row>
    <row r="2198" customFormat="false" ht="15" hidden="false" customHeight="false" outlineLevel="0" collapsed="false">
      <c r="A2198" s="0" t="s">
        <v>3394</v>
      </c>
      <c r="B2198" s="0" t="s">
        <v>908</v>
      </c>
      <c r="C2198" s="0" t="s">
        <v>603</v>
      </c>
      <c r="D2198" s="0" t="n">
        <v>15.819</v>
      </c>
      <c r="E2198" s="0" t="n">
        <v>15.97804625</v>
      </c>
      <c r="F2198" s="0" t="n">
        <v>16.66889447</v>
      </c>
      <c r="G2198" s="0" t="n">
        <v>18.44384528</v>
      </c>
      <c r="H2198" s="0" t="n">
        <v>20.9960297</v>
      </c>
    </row>
    <row r="2199" customFormat="false" ht="15" hidden="false" customHeight="false" outlineLevel="0" collapsed="false">
      <c r="A2199" s="0" t="s">
        <v>3395</v>
      </c>
      <c r="B2199" s="0" t="s">
        <v>984</v>
      </c>
      <c r="C2199" s="0" t="s">
        <v>603</v>
      </c>
      <c r="D2199" s="0" t="n">
        <v>52.5809922</v>
      </c>
      <c r="E2199" s="0" t="n">
        <v>52.59466919</v>
      </c>
      <c r="F2199" s="0" t="n">
        <v>52.65293835</v>
      </c>
      <c r="G2199" s="0" t="n">
        <v>52.88065635</v>
      </c>
      <c r="H2199" s="0" t="n">
        <v>53.22061031</v>
      </c>
    </row>
    <row r="2200" customFormat="false" ht="15" hidden="false" customHeight="false" outlineLevel="0" collapsed="false">
      <c r="A2200" s="0" t="s">
        <v>3396</v>
      </c>
      <c r="B2200" s="0" t="s">
        <v>852</v>
      </c>
      <c r="C2200" s="0" t="s">
        <v>603</v>
      </c>
      <c r="D2200" s="0" t="n">
        <v>68.853</v>
      </c>
      <c r="E2200" s="0" t="n">
        <v>69.15326642</v>
      </c>
      <c r="F2200" s="0" t="n">
        <v>71.89465296</v>
      </c>
      <c r="G2200" s="0" t="n">
        <v>78.32094279</v>
      </c>
      <c r="H2200" s="0" t="n">
        <v>86.31968377</v>
      </c>
    </row>
    <row r="2201" customFormat="false" ht="15" hidden="false" customHeight="false" outlineLevel="0" collapsed="false">
      <c r="A2201" s="0" t="s">
        <v>3397</v>
      </c>
      <c r="B2201" s="0" t="s">
        <v>1056</v>
      </c>
      <c r="C2201" s="0" t="s">
        <v>603</v>
      </c>
      <c r="D2201" s="0" t="n">
        <v>0.5059478358</v>
      </c>
      <c r="E2201" s="0" t="n">
        <v>0.5080012524</v>
      </c>
      <c r="F2201" s="0" t="n">
        <v>0.526403625</v>
      </c>
      <c r="G2201" s="0" t="n">
        <v>0.5743494569</v>
      </c>
      <c r="H2201" s="0" t="n">
        <v>0.6374312492</v>
      </c>
    </row>
    <row r="2202" customFormat="false" ht="15" hidden="false" customHeight="false" outlineLevel="0" collapsed="false">
      <c r="A2202" s="0" t="s">
        <v>3398</v>
      </c>
      <c r="B2202" s="0" t="s">
        <v>1016</v>
      </c>
      <c r="C2202" s="0" t="s">
        <v>603</v>
      </c>
      <c r="D2202" s="0" t="n">
        <v>13.78730397</v>
      </c>
      <c r="E2202" s="0" t="n">
        <v>13.78351211</v>
      </c>
      <c r="F2202" s="0" t="n">
        <v>14.09785959</v>
      </c>
      <c r="G2202" s="0" t="n">
        <v>14.59544979</v>
      </c>
      <c r="H2202" s="0" t="n">
        <v>15.01288201</v>
      </c>
    </row>
    <row r="2203" customFormat="false" ht="15" hidden="false" customHeight="false" outlineLevel="0" collapsed="false">
      <c r="A2203" s="0" t="s">
        <v>3399</v>
      </c>
      <c r="B2203" s="0" t="s">
        <v>822</v>
      </c>
      <c r="C2203" s="0" t="s">
        <v>603</v>
      </c>
      <c r="D2203" s="0" t="n">
        <v>44.904</v>
      </c>
      <c r="E2203" s="0" t="n">
        <v>44.5846277</v>
      </c>
      <c r="F2203" s="0" t="n">
        <v>42.74429418</v>
      </c>
      <c r="G2203" s="0" t="n">
        <v>39.84123246</v>
      </c>
      <c r="H2203" s="0" t="n">
        <v>39.42510192</v>
      </c>
    </row>
    <row r="2204" customFormat="false" ht="15" hidden="false" customHeight="false" outlineLevel="0" collapsed="false">
      <c r="A2204" s="0" t="s">
        <v>3400</v>
      </c>
      <c r="B2204" s="0" t="s">
        <v>870</v>
      </c>
      <c r="C2204" s="0" t="s">
        <v>603</v>
      </c>
      <c r="D2204" s="0" t="n">
        <v>16.534</v>
      </c>
      <c r="E2204" s="0" t="n">
        <v>16.22567054</v>
      </c>
      <c r="F2204" s="0" t="n">
        <v>14.81840022</v>
      </c>
      <c r="G2204" s="0" t="n">
        <v>12.62240458</v>
      </c>
      <c r="H2204" s="0" t="n">
        <v>12.18360139</v>
      </c>
    </row>
    <row r="2205" customFormat="false" ht="15" hidden="false" customHeight="false" outlineLevel="0" collapsed="false">
      <c r="A2205" s="0" t="s">
        <v>3401</v>
      </c>
      <c r="B2205" s="0" t="s">
        <v>746</v>
      </c>
      <c r="C2205" s="0" t="s">
        <v>603</v>
      </c>
      <c r="D2205" s="0" t="n">
        <v>44.434</v>
      </c>
      <c r="E2205" s="0" t="n">
        <v>44.14128374</v>
      </c>
      <c r="F2205" s="0" t="n">
        <v>42.61908574</v>
      </c>
      <c r="G2205" s="0" t="n">
        <v>39.80847645</v>
      </c>
      <c r="H2205" s="0" t="n">
        <v>39.08161937</v>
      </c>
    </row>
    <row r="2206" customFormat="false" ht="15" hidden="false" customHeight="false" outlineLevel="0" collapsed="false">
      <c r="A2206" s="0" t="s">
        <v>3402</v>
      </c>
      <c r="B2206" s="0" t="s">
        <v>1010</v>
      </c>
      <c r="C2206" s="0" t="s">
        <v>603</v>
      </c>
      <c r="D2206" s="0" t="n">
        <v>3.409</v>
      </c>
      <c r="E2206" s="0" t="n">
        <v>3.419120266</v>
      </c>
      <c r="F2206" s="0" t="n">
        <v>3.476790506</v>
      </c>
      <c r="G2206" s="0" t="n">
        <v>3.573932567</v>
      </c>
      <c r="H2206" s="0" t="n">
        <v>3.7625777</v>
      </c>
    </row>
    <row r="2207" customFormat="false" ht="15" hidden="false" customHeight="false" outlineLevel="0" collapsed="false">
      <c r="A2207" s="0" t="s">
        <v>3403</v>
      </c>
      <c r="B2207" s="0" t="s">
        <v>1036</v>
      </c>
      <c r="C2207" s="0" t="s">
        <v>603</v>
      </c>
      <c r="D2207" s="0" t="n">
        <v>1.166298929</v>
      </c>
      <c r="E2207" s="0" t="n">
        <v>1.196755156</v>
      </c>
      <c r="F2207" s="0" t="n">
        <v>1.205034821</v>
      </c>
      <c r="G2207" s="0" t="n">
        <v>1.217134638</v>
      </c>
      <c r="H2207" s="0" t="n">
        <v>1.22646903</v>
      </c>
    </row>
    <row r="2208" customFormat="false" ht="15" hidden="false" customHeight="false" outlineLevel="0" collapsed="false">
      <c r="A2208" s="0" t="s">
        <v>3404</v>
      </c>
      <c r="B2208" s="0" t="s">
        <v>858</v>
      </c>
      <c r="C2208" s="0" t="s">
        <v>603</v>
      </c>
      <c r="D2208" s="0" t="n">
        <v>54.06021131</v>
      </c>
      <c r="E2208" s="0" t="n">
        <v>54.60367361</v>
      </c>
      <c r="F2208" s="0" t="n">
        <v>57.73584363</v>
      </c>
      <c r="G2208" s="0" t="n">
        <v>67.61038294</v>
      </c>
      <c r="H2208" s="0" t="n">
        <v>82.56666628</v>
      </c>
    </row>
    <row r="2209" customFormat="false" ht="15" hidden="false" customHeight="false" outlineLevel="0" collapsed="false">
      <c r="A2209" s="0" t="s">
        <v>3405</v>
      </c>
      <c r="B2209" s="0" t="s">
        <v>942</v>
      </c>
      <c r="C2209" s="0" t="s">
        <v>603</v>
      </c>
      <c r="D2209" s="0" t="n">
        <v>116.6412521</v>
      </c>
      <c r="E2209" s="0" t="n">
        <v>116.7193328</v>
      </c>
      <c r="F2209" s="0" t="n">
        <v>117.1077679</v>
      </c>
      <c r="G2209" s="0" t="n">
        <v>117.9977121</v>
      </c>
      <c r="H2209" s="0" t="n">
        <v>119.1152526</v>
      </c>
    </row>
    <row r="2210" customFormat="false" ht="15" hidden="false" customHeight="false" outlineLevel="0" collapsed="false">
      <c r="A2210" s="0" t="s">
        <v>3406</v>
      </c>
      <c r="B2210" s="0" t="s">
        <v>986</v>
      </c>
      <c r="C2210" s="0" t="s">
        <v>603</v>
      </c>
      <c r="D2210" s="0" t="n">
        <v>12.213</v>
      </c>
      <c r="E2210" s="0" t="n">
        <v>12.27001173</v>
      </c>
      <c r="F2210" s="0" t="n">
        <v>12.46943236</v>
      </c>
      <c r="G2210" s="0" t="n">
        <v>12.77024146</v>
      </c>
      <c r="H2210" s="0" t="n">
        <v>12.99440461</v>
      </c>
    </row>
    <row r="2211" customFormat="false" ht="15" hidden="false" customHeight="false" outlineLevel="0" collapsed="false">
      <c r="A2211" s="0" t="s">
        <v>3407</v>
      </c>
      <c r="B2211" s="0" t="s">
        <v>752</v>
      </c>
      <c r="C2211" s="0" t="s">
        <v>603</v>
      </c>
      <c r="D2211" s="0" t="n">
        <v>490.432</v>
      </c>
      <c r="E2211" s="0" t="n">
        <v>492.7061511</v>
      </c>
      <c r="F2211" s="0" t="n">
        <v>497.4463856</v>
      </c>
      <c r="G2211" s="0" t="n">
        <v>522.4553505</v>
      </c>
      <c r="H2211" s="0" t="n">
        <v>563.0952378</v>
      </c>
    </row>
    <row r="2212" customFormat="false" ht="15" hidden="false" customHeight="false" outlineLevel="0" collapsed="false">
      <c r="A2212" s="0" t="s">
        <v>3408</v>
      </c>
      <c r="B2212" s="0" t="s">
        <v>968</v>
      </c>
      <c r="C2212" s="0" t="s">
        <v>603</v>
      </c>
      <c r="D2212" s="0" t="n">
        <v>23.055</v>
      </c>
      <c r="E2212" s="0" t="n">
        <v>23.98064578</v>
      </c>
      <c r="F2212" s="0" t="n">
        <v>25.02923735</v>
      </c>
      <c r="G2212" s="0" t="n">
        <v>25.77794678</v>
      </c>
      <c r="H2212" s="0" t="n">
        <v>27.70991848</v>
      </c>
    </row>
    <row r="2213" customFormat="false" ht="15" hidden="false" customHeight="false" outlineLevel="0" collapsed="false">
      <c r="A2213" s="0" t="s">
        <v>3409</v>
      </c>
      <c r="B2213" s="0" t="s">
        <v>872</v>
      </c>
      <c r="C2213" s="0" t="s">
        <v>603</v>
      </c>
      <c r="D2213" s="0" t="n">
        <v>146.0996213</v>
      </c>
      <c r="E2213" s="0" t="n">
        <v>147.4062794</v>
      </c>
      <c r="F2213" s="0" t="n">
        <v>151.5449997</v>
      </c>
      <c r="G2213" s="0" t="n">
        <v>162.379337</v>
      </c>
      <c r="H2213" s="0" t="n">
        <v>176.5389364</v>
      </c>
    </row>
    <row r="2214" customFormat="false" ht="15" hidden="false" customHeight="false" outlineLevel="0" collapsed="false">
      <c r="A2214" s="0" t="s">
        <v>3410</v>
      </c>
      <c r="B2214" s="0" t="s">
        <v>1040</v>
      </c>
      <c r="C2214" s="0" t="s">
        <v>603</v>
      </c>
      <c r="D2214" s="0" t="n">
        <v>3.911940454</v>
      </c>
      <c r="E2214" s="0" t="n">
        <v>3.952319824</v>
      </c>
      <c r="F2214" s="0" t="n">
        <v>4.143937356</v>
      </c>
      <c r="G2214" s="0" t="n">
        <v>4.594407556</v>
      </c>
      <c r="H2214" s="0" t="n">
        <v>5.170936292</v>
      </c>
    </row>
    <row r="2215" customFormat="false" ht="15" hidden="false" customHeight="false" outlineLevel="0" collapsed="false">
      <c r="A2215" s="0" t="s">
        <v>3411</v>
      </c>
      <c r="B2215" s="0" t="s">
        <v>1060</v>
      </c>
      <c r="C2215" s="0" t="s">
        <v>603</v>
      </c>
      <c r="D2215" s="0" t="n">
        <v>0.3171025297</v>
      </c>
      <c r="E2215" s="0" t="n">
        <v>0.3195010432</v>
      </c>
      <c r="F2215" s="0" t="n">
        <v>0.3288242084</v>
      </c>
      <c r="G2215" s="0" t="n">
        <v>0.3545333797</v>
      </c>
      <c r="H2215" s="0" t="n">
        <v>0.3894777422</v>
      </c>
    </row>
    <row r="2216" customFormat="false" ht="15" hidden="false" customHeight="false" outlineLevel="0" collapsed="false">
      <c r="A2216" s="0" t="s">
        <v>3412</v>
      </c>
      <c r="B2216" s="0" t="s">
        <v>944</v>
      </c>
      <c r="C2216" s="0" t="s">
        <v>603</v>
      </c>
      <c r="D2216" s="0" t="n">
        <v>45.816</v>
      </c>
      <c r="E2216" s="0" t="n">
        <v>45.79770784</v>
      </c>
      <c r="F2216" s="0" t="n">
        <v>45.74598897</v>
      </c>
      <c r="G2216" s="0" t="n">
        <v>46.05357542</v>
      </c>
      <c r="H2216" s="0" t="n">
        <v>46.67701537</v>
      </c>
    </row>
    <row r="2217" customFormat="false" ht="15" hidden="false" customHeight="false" outlineLevel="0" collapsed="false">
      <c r="A2217" s="0" t="s">
        <v>3413</v>
      </c>
      <c r="B2217" s="0" t="s">
        <v>884</v>
      </c>
      <c r="C2217" s="0" t="s">
        <v>603</v>
      </c>
      <c r="D2217" s="0" t="n">
        <v>50.973</v>
      </c>
      <c r="E2217" s="0" t="n">
        <v>51.23420618</v>
      </c>
      <c r="F2217" s="0" t="n">
        <v>52.42891154</v>
      </c>
      <c r="G2217" s="0" t="n">
        <v>57.32108196</v>
      </c>
      <c r="H2217" s="0" t="n">
        <v>65.13876195</v>
      </c>
    </row>
    <row r="2218" customFormat="false" ht="15" hidden="false" customHeight="false" outlineLevel="0" collapsed="false">
      <c r="A2218" s="0" t="s">
        <v>3414</v>
      </c>
      <c r="B2218" s="0" t="s">
        <v>726</v>
      </c>
      <c r="C2218" s="0" t="s">
        <v>603</v>
      </c>
      <c r="D2218" s="0" t="n">
        <v>693.478</v>
      </c>
      <c r="E2218" s="0" t="n">
        <v>701.6234317</v>
      </c>
      <c r="F2218" s="0" t="n">
        <v>738.5996833</v>
      </c>
      <c r="G2218" s="0" t="n">
        <v>796.9795502</v>
      </c>
      <c r="H2218" s="0" t="n">
        <v>858.0279451</v>
      </c>
    </row>
    <row r="2219" customFormat="false" ht="15" hidden="false" customHeight="false" outlineLevel="0" collapsed="false">
      <c r="A2219" s="0" t="s">
        <v>3415</v>
      </c>
      <c r="B2219" s="0" t="s">
        <v>842</v>
      </c>
      <c r="C2219" s="0" t="s">
        <v>603</v>
      </c>
      <c r="D2219" s="0" t="n">
        <v>159.4499658</v>
      </c>
      <c r="E2219" s="0" t="n">
        <v>159.9741897</v>
      </c>
      <c r="F2219" s="0" t="n">
        <v>162.6915093</v>
      </c>
      <c r="G2219" s="0" t="n">
        <v>168.0181604</v>
      </c>
      <c r="H2219" s="0" t="n">
        <v>174.2727535</v>
      </c>
    </row>
    <row r="2220" customFormat="false" ht="15" hidden="false" customHeight="false" outlineLevel="0" collapsed="false">
      <c r="A2220" s="0" t="s">
        <v>3416</v>
      </c>
      <c r="B2220" s="0" t="s">
        <v>866</v>
      </c>
      <c r="C2220" s="0" t="s">
        <v>603</v>
      </c>
      <c r="D2220" s="0" t="n">
        <v>72.345</v>
      </c>
      <c r="E2220" s="0" t="n">
        <v>72.58686575</v>
      </c>
      <c r="F2220" s="0" t="n">
        <v>73.99455332</v>
      </c>
      <c r="G2220" s="0" t="n">
        <v>76.46728046</v>
      </c>
      <c r="H2220" s="0" t="n">
        <v>79.11079919</v>
      </c>
    </row>
    <row r="2221" customFormat="false" ht="15" hidden="false" customHeight="false" outlineLevel="0" collapsed="false">
      <c r="A2221" s="0" t="s">
        <v>3417</v>
      </c>
      <c r="B2221" s="0" t="s">
        <v>804</v>
      </c>
      <c r="C2221" s="0" t="s">
        <v>603</v>
      </c>
      <c r="D2221" s="0" t="n">
        <v>266.91</v>
      </c>
      <c r="E2221" s="0" t="n">
        <v>265.9970265</v>
      </c>
      <c r="F2221" s="0" t="n">
        <v>262.6658101</v>
      </c>
      <c r="G2221" s="0" t="n">
        <v>264.1646635</v>
      </c>
      <c r="H2221" s="0" t="n">
        <v>286.4603458</v>
      </c>
    </row>
    <row r="2222" customFormat="false" ht="15" hidden="false" customHeight="false" outlineLevel="0" collapsed="false">
      <c r="A2222" s="0" t="s">
        <v>3418</v>
      </c>
      <c r="B2222" s="0" t="s">
        <v>860</v>
      </c>
      <c r="C2222" s="0" t="s">
        <v>603</v>
      </c>
      <c r="D2222" s="0" t="n">
        <v>42.335</v>
      </c>
      <c r="E2222" s="0" t="n">
        <v>42.16504217</v>
      </c>
      <c r="F2222" s="0" t="n">
        <v>42.22936238</v>
      </c>
      <c r="G2222" s="0" t="n">
        <v>42.25123418</v>
      </c>
      <c r="H2222" s="0" t="n">
        <v>42.36973285</v>
      </c>
    </row>
    <row r="2223" customFormat="false" ht="15" hidden="false" customHeight="false" outlineLevel="0" collapsed="false">
      <c r="A2223" s="0" t="s">
        <v>3419</v>
      </c>
      <c r="B2223" s="0" t="s">
        <v>693</v>
      </c>
      <c r="C2223" s="0" t="s">
        <v>603</v>
      </c>
      <c r="D2223" s="0" t="n">
        <v>6817.344</v>
      </c>
      <c r="E2223" s="0" t="n">
        <v>6816.153842</v>
      </c>
      <c r="F2223" s="0" t="n">
        <v>6790.302594</v>
      </c>
      <c r="G2223" s="0" t="n">
        <v>6468.845112</v>
      </c>
      <c r="H2223" s="0" t="n">
        <v>6129.679356</v>
      </c>
    </row>
    <row r="2224" customFormat="false" ht="15" hidden="false" customHeight="false" outlineLevel="0" collapsed="false">
      <c r="A2224" s="0" t="s">
        <v>3420</v>
      </c>
      <c r="B2224" s="0" t="s">
        <v>810</v>
      </c>
      <c r="C2224" s="0" t="s">
        <v>603</v>
      </c>
      <c r="D2224" s="0" t="n">
        <v>243.852</v>
      </c>
      <c r="E2224" s="0" t="n">
        <v>247.8618577</v>
      </c>
      <c r="F2224" s="0" t="n">
        <v>263.4415696</v>
      </c>
      <c r="G2224" s="0" t="n">
        <v>286.5651648</v>
      </c>
      <c r="H2224" s="0" t="n">
        <v>302.7189825</v>
      </c>
    </row>
    <row r="2225" customFormat="false" ht="15" hidden="false" customHeight="false" outlineLevel="0" collapsed="false">
      <c r="A2225" s="0" t="s">
        <v>3421</v>
      </c>
      <c r="B2225" s="0" t="s">
        <v>1052</v>
      </c>
      <c r="C2225" s="0" t="s">
        <v>603</v>
      </c>
      <c r="D2225" s="0" t="n">
        <v>0.4194399267</v>
      </c>
      <c r="E2225" s="0" t="n">
        <v>0.4259068518</v>
      </c>
      <c r="F2225" s="0" t="n">
        <v>0.4542925996</v>
      </c>
      <c r="G2225" s="0" t="n">
        <v>0.5179207854</v>
      </c>
      <c r="H2225" s="0" t="n">
        <v>0.5945359404</v>
      </c>
    </row>
    <row r="2226" customFormat="false" ht="15" hidden="false" customHeight="false" outlineLevel="0" collapsed="false">
      <c r="A2226" s="0" t="s">
        <v>3422</v>
      </c>
      <c r="B2226" s="0" t="s">
        <v>820</v>
      </c>
      <c r="C2226" s="0" t="s">
        <v>603</v>
      </c>
      <c r="D2226" s="0" t="n">
        <v>227.448</v>
      </c>
      <c r="E2226" s="0" t="n">
        <v>226.4041611</v>
      </c>
      <c r="F2226" s="0" t="n">
        <v>226.7892817</v>
      </c>
      <c r="G2226" s="0" t="n">
        <v>234.9125369</v>
      </c>
      <c r="H2226" s="0" t="n">
        <v>243.6507173</v>
      </c>
    </row>
    <row r="2227" customFormat="false" ht="15" hidden="false" customHeight="false" outlineLevel="0" collapsed="false">
      <c r="A2227" s="0" t="s">
        <v>3423</v>
      </c>
      <c r="B2227" s="0" t="s">
        <v>744</v>
      </c>
      <c r="C2227" s="0" t="s">
        <v>603</v>
      </c>
      <c r="D2227" s="0" t="n">
        <v>455.866</v>
      </c>
      <c r="E2227" s="0" t="n">
        <v>468.4894615</v>
      </c>
      <c r="F2227" s="0" t="n">
        <v>527.73026</v>
      </c>
      <c r="G2227" s="0" t="n">
        <v>625.2508903</v>
      </c>
      <c r="H2227" s="0" t="n">
        <v>723.1046096</v>
      </c>
    </row>
    <row r="2228" customFormat="false" ht="15" hidden="false" customHeight="false" outlineLevel="0" collapsed="false">
      <c r="A2228" s="0" t="s">
        <v>3424</v>
      </c>
      <c r="B2228" s="0" t="s">
        <v>1048</v>
      </c>
      <c r="C2228" s="0" t="s">
        <v>603</v>
      </c>
      <c r="D2228" s="0" t="n">
        <v>0.7110104639</v>
      </c>
      <c r="E2228" s="0" t="n">
        <v>0.7142662748</v>
      </c>
      <c r="F2228" s="0" t="n">
        <v>0.7360889373</v>
      </c>
      <c r="G2228" s="0" t="n">
        <v>0.7903182884</v>
      </c>
      <c r="H2228" s="0" t="n">
        <v>0.8630143743</v>
      </c>
    </row>
    <row r="2229" customFormat="false" ht="15" hidden="false" customHeight="false" outlineLevel="0" collapsed="false">
      <c r="A2229" s="0" t="s">
        <v>3425</v>
      </c>
      <c r="B2229" s="0" t="s">
        <v>1050</v>
      </c>
      <c r="C2229" s="0" t="s">
        <v>603</v>
      </c>
      <c r="D2229" s="0" t="n">
        <v>0.686</v>
      </c>
      <c r="E2229" s="0" t="n">
        <v>0.6941454098</v>
      </c>
      <c r="F2229" s="0" t="n">
        <v>0.7221018318</v>
      </c>
      <c r="G2229" s="0" t="n">
        <v>0.7798117189</v>
      </c>
      <c r="H2229" s="0" t="n">
        <v>0.8489696493</v>
      </c>
    </row>
    <row r="2230" customFormat="false" ht="15" hidden="false" customHeight="false" outlineLevel="0" collapsed="false">
      <c r="A2230" s="0" t="s">
        <v>3426</v>
      </c>
      <c r="B2230" s="0" t="s">
        <v>990</v>
      </c>
      <c r="C2230" s="0" t="s">
        <v>603</v>
      </c>
      <c r="D2230" s="0" t="n">
        <v>8.674</v>
      </c>
      <c r="E2230" s="0" t="n">
        <v>8.757360592</v>
      </c>
      <c r="F2230" s="0" t="n">
        <v>9.094783768</v>
      </c>
      <c r="G2230" s="0" t="n">
        <v>9.906819693</v>
      </c>
      <c r="H2230" s="0" t="n">
        <v>10.68789331</v>
      </c>
    </row>
    <row r="2231" customFormat="false" ht="15" hidden="false" customHeight="false" outlineLevel="0" collapsed="false">
      <c r="A2231" s="0" t="s">
        <v>3427</v>
      </c>
      <c r="B2231" s="0" t="s">
        <v>1004</v>
      </c>
      <c r="C2231" s="0" t="s">
        <v>603</v>
      </c>
      <c r="D2231" s="0" t="n">
        <v>40.539</v>
      </c>
      <c r="E2231" s="0" t="n">
        <v>40.43313526</v>
      </c>
      <c r="F2231" s="0" t="n">
        <v>40.49806838</v>
      </c>
      <c r="G2231" s="0" t="n">
        <v>42.3203092</v>
      </c>
      <c r="H2231" s="0" t="n">
        <v>45.82558348</v>
      </c>
    </row>
    <row r="2232" customFormat="false" ht="15" hidden="false" customHeight="false" outlineLevel="0" collapsed="false">
      <c r="A2232" s="0" t="s">
        <v>3428</v>
      </c>
      <c r="B2232" s="0" t="s">
        <v>774</v>
      </c>
      <c r="C2232" s="0" t="s">
        <v>603</v>
      </c>
      <c r="D2232" s="0" t="n">
        <v>546.776</v>
      </c>
      <c r="E2232" s="0" t="n">
        <v>544.1648132</v>
      </c>
      <c r="F2232" s="0" t="n">
        <v>533.5536382</v>
      </c>
      <c r="G2232" s="0" t="n">
        <v>535.7622995</v>
      </c>
      <c r="H2232" s="0" t="n">
        <v>547.1602966</v>
      </c>
    </row>
    <row r="2233" customFormat="false" ht="15" hidden="false" customHeight="false" outlineLevel="0" collapsed="false">
      <c r="A2233" s="0" t="s">
        <v>3429</v>
      </c>
      <c r="B2233" s="0" t="s">
        <v>930</v>
      </c>
      <c r="C2233" s="0" t="s">
        <v>603</v>
      </c>
      <c r="D2233" s="0" t="n">
        <v>82.986</v>
      </c>
      <c r="E2233" s="0" t="n">
        <v>83.18322858</v>
      </c>
      <c r="F2233" s="0" t="n">
        <v>84.40336916</v>
      </c>
      <c r="G2233" s="0" t="n">
        <v>87.13774653</v>
      </c>
      <c r="H2233" s="0" t="n">
        <v>90.6015638</v>
      </c>
    </row>
    <row r="2234" customFormat="false" ht="15" hidden="false" customHeight="false" outlineLevel="0" collapsed="false">
      <c r="A2234" s="0" t="s">
        <v>3430</v>
      </c>
      <c r="B2234" s="0" t="s">
        <v>878</v>
      </c>
      <c r="C2234" s="0" t="s">
        <v>603</v>
      </c>
      <c r="D2234" s="0" t="n">
        <v>113.046</v>
      </c>
      <c r="E2234" s="0" t="n">
        <v>113.4834903</v>
      </c>
      <c r="F2234" s="0" t="n">
        <v>114.9571174</v>
      </c>
      <c r="G2234" s="0" t="n">
        <v>118.3818934</v>
      </c>
      <c r="H2234" s="0" t="n">
        <v>122.789712</v>
      </c>
    </row>
    <row r="2235" customFormat="false" ht="15" hidden="false" customHeight="false" outlineLevel="0" collapsed="false">
      <c r="A2235" s="0" t="s">
        <v>3431</v>
      </c>
      <c r="B2235" s="0" t="s">
        <v>1018</v>
      </c>
      <c r="C2235" s="0" t="s">
        <v>613</v>
      </c>
      <c r="D2235" s="0" t="n">
        <v>1.876477097</v>
      </c>
      <c r="E2235" s="0" t="n">
        <v>1.917051179</v>
      </c>
      <c r="F2235" s="0" t="n">
        <v>1.804587626</v>
      </c>
      <c r="G2235" s="0" t="n">
        <v>1.098461419</v>
      </c>
      <c r="H2235" s="0" t="n">
        <v>0.3017613278</v>
      </c>
    </row>
    <row r="2236" customFormat="false" ht="15" hidden="false" customHeight="false" outlineLevel="0" collapsed="false">
      <c r="A2236" s="0" t="s">
        <v>3432</v>
      </c>
      <c r="B2236" s="0" t="s">
        <v>962</v>
      </c>
      <c r="C2236" s="0" t="s">
        <v>613</v>
      </c>
      <c r="D2236" s="0" t="n">
        <v>34.96403144</v>
      </c>
      <c r="E2236" s="0" t="n">
        <v>33.63955154</v>
      </c>
      <c r="F2236" s="0" t="n">
        <v>26.69360984</v>
      </c>
      <c r="G2236" s="0" t="n">
        <v>19.84546378</v>
      </c>
      <c r="H2236" s="0" t="n">
        <v>12.1942583</v>
      </c>
    </row>
    <row r="2237" customFormat="false" ht="15" hidden="false" customHeight="false" outlineLevel="0" collapsed="false">
      <c r="A2237" s="0" t="s">
        <v>3433</v>
      </c>
      <c r="B2237" s="0" t="s">
        <v>828</v>
      </c>
      <c r="C2237" s="0" t="s">
        <v>613</v>
      </c>
      <c r="D2237" s="0" t="n">
        <v>113.459</v>
      </c>
      <c r="E2237" s="0" t="n">
        <v>103.6690524</v>
      </c>
      <c r="F2237" s="0" t="n">
        <v>53.65169859</v>
      </c>
      <c r="G2237" s="0" t="n">
        <v>39.61588986</v>
      </c>
      <c r="H2237" s="0" t="n">
        <v>24.11668717</v>
      </c>
    </row>
    <row r="2238" customFormat="false" ht="15" hidden="false" customHeight="false" outlineLevel="0" collapsed="false">
      <c r="A2238" s="0" t="s">
        <v>3434</v>
      </c>
      <c r="B2238" s="0" t="s">
        <v>926</v>
      </c>
      <c r="C2238" s="0" t="s">
        <v>613</v>
      </c>
      <c r="D2238" s="0" t="n">
        <v>8.074</v>
      </c>
      <c r="E2238" s="0" t="n">
        <v>7.859043076</v>
      </c>
      <c r="F2238" s="0" t="n">
        <v>6.597892651</v>
      </c>
      <c r="G2238" s="0" t="n">
        <v>4.688852493</v>
      </c>
      <c r="H2238" s="0" t="n">
        <v>2.587420389</v>
      </c>
    </row>
    <row r="2239" customFormat="false" ht="15" hidden="false" customHeight="false" outlineLevel="0" collapsed="false">
      <c r="A2239" s="0" t="s">
        <v>3435</v>
      </c>
      <c r="B2239" s="0" t="s">
        <v>748</v>
      </c>
      <c r="C2239" s="0" t="s">
        <v>613</v>
      </c>
      <c r="D2239" s="0" t="n">
        <v>313.523</v>
      </c>
      <c r="E2239" s="0" t="n">
        <v>312.1505789</v>
      </c>
      <c r="F2239" s="0" t="n">
        <v>275.7533872</v>
      </c>
      <c r="G2239" s="0" t="n">
        <v>175.7514706</v>
      </c>
      <c r="H2239" s="0" t="n">
        <v>70.89485954</v>
      </c>
    </row>
    <row r="2240" customFormat="false" ht="15" hidden="false" customHeight="false" outlineLevel="0" collapsed="false">
      <c r="A2240" s="0" t="s">
        <v>3436</v>
      </c>
      <c r="B2240" s="0" t="s">
        <v>736</v>
      </c>
      <c r="C2240" s="0" t="s">
        <v>613</v>
      </c>
      <c r="D2240" s="0" t="n">
        <v>404.174</v>
      </c>
      <c r="E2240" s="0" t="n">
        <v>388.1298653</v>
      </c>
      <c r="F2240" s="0" t="n">
        <v>296.7357295</v>
      </c>
      <c r="G2240" s="0" t="n">
        <v>202.7072533</v>
      </c>
      <c r="H2240" s="0" t="n">
        <v>106.2814546</v>
      </c>
    </row>
    <row r="2241" customFormat="false" ht="15" hidden="false" customHeight="false" outlineLevel="0" collapsed="false">
      <c r="A2241" s="0" t="s">
        <v>3437</v>
      </c>
      <c r="B2241" s="0" t="s">
        <v>920</v>
      </c>
      <c r="C2241" s="0" t="s">
        <v>613</v>
      </c>
      <c r="D2241" s="0" t="n">
        <v>9.609</v>
      </c>
      <c r="E2241" s="0" t="n">
        <v>9.533132654</v>
      </c>
      <c r="F2241" s="0" t="n">
        <v>8.496705074</v>
      </c>
      <c r="G2241" s="0" t="n">
        <v>5.797828531</v>
      </c>
      <c r="H2241" s="0" t="n">
        <v>2.41498578</v>
      </c>
    </row>
    <row r="2242" customFormat="false" ht="15" hidden="false" customHeight="false" outlineLevel="0" collapsed="false">
      <c r="A2242" s="0" t="s">
        <v>3438</v>
      </c>
      <c r="B2242" s="0" t="s">
        <v>1038</v>
      </c>
      <c r="C2242" s="0" t="s">
        <v>613</v>
      </c>
      <c r="D2242" s="0" t="n">
        <v>1.309959336</v>
      </c>
      <c r="E2242" s="0" t="n">
        <v>1.320612781</v>
      </c>
      <c r="F2242" s="0" t="n">
        <v>1.290402206</v>
      </c>
      <c r="G2242" s="0" t="n">
        <v>0.8518011571</v>
      </c>
      <c r="H2242" s="0" t="n">
        <v>0.2680933915</v>
      </c>
    </row>
    <row r="2243" customFormat="false" ht="15" hidden="false" customHeight="false" outlineLevel="0" collapsed="false">
      <c r="A2243" s="0" t="s">
        <v>3439</v>
      </c>
      <c r="B2243" s="0" t="s">
        <v>718</v>
      </c>
      <c r="C2243" s="0" t="s">
        <v>613</v>
      </c>
      <c r="D2243" s="0" t="n">
        <v>523.8276845</v>
      </c>
      <c r="E2243" s="0" t="n">
        <v>506.6578172</v>
      </c>
      <c r="F2243" s="0" t="n">
        <v>394.7659083</v>
      </c>
      <c r="G2243" s="0" t="n">
        <v>193.8592708</v>
      </c>
      <c r="H2243" s="0" t="n">
        <v>86.93475966</v>
      </c>
    </row>
    <row r="2244" customFormat="false" ht="15" hidden="false" customHeight="false" outlineLevel="0" collapsed="false">
      <c r="A2244" s="0" t="s">
        <v>3440</v>
      </c>
      <c r="B2244" s="0" t="s">
        <v>758</v>
      </c>
      <c r="C2244" s="0" t="s">
        <v>613</v>
      </c>
      <c r="D2244" s="0" t="n">
        <v>76.658</v>
      </c>
      <c r="E2244" s="0" t="n">
        <v>73.69863143</v>
      </c>
      <c r="F2244" s="0" t="n">
        <v>57.22570419</v>
      </c>
      <c r="G2244" s="0" t="n">
        <v>29.87257049</v>
      </c>
      <c r="H2244" s="0" t="n">
        <v>11.32751623</v>
      </c>
    </row>
    <row r="2245" customFormat="false" ht="15" hidden="false" customHeight="false" outlineLevel="0" collapsed="false">
      <c r="A2245" s="0" t="s">
        <v>3441</v>
      </c>
      <c r="B2245" s="0" t="s">
        <v>868</v>
      </c>
      <c r="C2245" s="0" t="s">
        <v>613</v>
      </c>
      <c r="D2245" s="0" t="n">
        <v>70.588</v>
      </c>
      <c r="E2245" s="0" t="n">
        <v>68.24321033</v>
      </c>
      <c r="F2245" s="0" t="n">
        <v>56.2141124</v>
      </c>
      <c r="G2245" s="0" t="n">
        <v>37.30009351</v>
      </c>
      <c r="H2245" s="0" t="n">
        <v>17.51865034</v>
      </c>
    </row>
    <row r="2246" customFormat="false" ht="15" hidden="false" customHeight="false" outlineLevel="0" collapsed="false">
      <c r="A2246" s="0" t="s">
        <v>3442</v>
      </c>
      <c r="B2246" s="0" t="s">
        <v>1012</v>
      </c>
      <c r="C2246" s="0" t="s">
        <v>613</v>
      </c>
      <c r="D2246" s="0" t="n">
        <v>10.53</v>
      </c>
      <c r="E2246" s="0" t="n">
        <v>9.715001922</v>
      </c>
      <c r="F2246" s="0" t="n">
        <v>5.588716612</v>
      </c>
      <c r="G2246" s="0" t="n">
        <v>4.258888133</v>
      </c>
      <c r="H2246" s="0" t="n">
        <v>2.971378897</v>
      </c>
    </row>
    <row r="2247" customFormat="false" ht="15" hidden="false" customHeight="false" outlineLevel="0" collapsed="false">
      <c r="A2247" s="0" t="s">
        <v>3443</v>
      </c>
      <c r="B2247" s="0" t="s">
        <v>742</v>
      </c>
      <c r="C2247" s="0" t="s">
        <v>613</v>
      </c>
      <c r="D2247" s="0" t="n">
        <v>111.259</v>
      </c>
      <c r="E2247" s="0" t="n">
        <v>107.122881</v>
      </c>
      <c r="F2247" s="0" t="n">
        <v>83.66582506</v>
      </c>
      <c r="G2247" s="0" t="n">
        <v>42.32222015</v>
      </c>
      <c r="H2247" s="0" t="n">
        <v>14.65394809</v>
      </c>
    </row>
    <row r="2248" customFormat="false" ht="15" hidden="false" customHeight="false" outlineLevel="0" collapsed="false">
      <c r="A2248" s="0" t="s">
        <v>3444</v>
      </c>
      <c r="B2248" s="0" t="s">
        <v>934</v>
      </c>
      <c r="C2248" s="0" t="s">
        <v>613</v>
      </c>
      <c r="D2248" s="0" t="n">
        <v>31.288</v>
      </c>
      <c r="E2248" s="0" t="n">
        <v>29.11042957</v>
      </c>
      <c r="F2248" s="0" t="n">
        <v>17.81071694</v>
      </c>
      <c r="G2248" s="0" t="n">
        <v>13.30181437</v>
      </c>
      <c r="H2248" s="0" t="n">
        <v>7.341552563</v>
      </c>
    </row>
    <row r="2249" customFormat="false" ht="15" hidden="false" customHeight="false" outlineLevel="0" collapsed="false">
      <c r="A2249" s="0" t="s">
        <v>3445</v>
      </c>
      <c r="B2249" s="0" t="s">
        <v>938</v>
      </c>
      <c r="C2249" s="0" t="s">
        <v>613</v>
      </c>
      <c r="D2249" s="0" t="n">
        <v>61.87404452</v>
      </c>
      <c r="E2249" s="0" t="n">
        <v>56.59337274</v>
      </c>
      <c r="F2249" s="0" t="n">
        <v>29.84027801</v>
      </c>
      <c r="G2249" s="0" t="n">
        <v>22.96951796</v>
      </c>
      <c r="H2249" s="0" t="n">
        <v>14.63312764</v>
      </c>
    </row>
    <row r="2250" customFormat="false" ht="15" hidden="false" customHeight="false" outlineLevel="0" collapsed="false">
      <c r="A2250" s="0" t="s">
        <v>3446</v>
      </c>
      <c r="B2250" s="0" t="s">
        <v>756</v>
      </c>
      <c r="C2250" s="0" t="s">
        <v>613</v>
      </c>
      <c r="D2250" s="0" t="n">
        <v>353.0374777</v>
      </c>
      <c r="E2250" s="0" t="n">
        <v>339.5387931</v>
      </c>
      <c r="F2250" s="0" t="n">
        <v>272.3811093</v>
      </c>
      <c r="G2250" s="0" t="n">
        <v>184.3602019</v>
      </c>
      <c r="H2250" s="0" t="n">
        <v>88.02801471</v>
      </c>
    </row>
    <row r="2251" customFormat="false" ht="15" hidden="false" customHeight="false" outlineLevel="0" collapsed="false">
      <c r="A2251" s="0" t="s">
        <v>3447</v>
      </c>
      <c r="B2251" s="0" t="s">
        <v>830</v>
      </c>
      <c r="C2251" s="0" t="s">
        <v>613</v>
      </c>
      <c r="D2251" s="0" t="n">
        <v>59.772</v>
      </c>
      <c r="E2251" s="0" t="n">
        <v>58.18167419</v>
      </c>
      <c r="F2251" s="0" t="n">
        <v>48.25447906</v>
      </c>
      <c r="G2251" s="0" t="n">
        <v>26.51026231</v>
      </c>
      <c r="H2251" s="0" t="n">
        <v>13.21530442</v>
      </c>
    </row>
    <row r="2252" customFormat="false" ht="15" hidden="false" customHeight="false" outlineLevel="0" collapsed="false">
      <c r="A2252" s="0" t="s">
        <v>3448</v>
      </c>
      <c r="B2252" s="0" t="s">
        <v>898</v>
      </c>
      <c r="C2252" s="0" t="s">
        <v>613</v>
      </c>
      <c r="D2252" s="0" t="n">
        <v>74.727</v>
      </c>
      <c r="E2252" s="0" t="n">
        <v>72.42886878</v>
      </c>
      <c r="F2252" s="0" t="n">
        <v>55.98656654</v>
      </c>
      <c r="G2252" s="0" t="n">
        <v>33.81031929</v>
      </c>
      <c r="H2252" s="0" t="n">
        <v>16.44713591</v>
      </c>
    </row>
    <row r="2253" customFormat="false" ht="15" hidden="false" customHeight="false" outlineLevel="0" collapsed="false">
      <c r="A2253" s="0" t="s">
        <v>3449</v>
      </c>
      <c r="B2253" s="0" t="s">
        <v>976</v>
      </c>
      <c r="C2253" s="0" t="s">
        <v>613</v>
      </c>
      <c r="D2253" s="0" t="n">
        <v>4.892279399</v>
      </c>
      <c r="E2253" s="0" t="n">
        <v>4.880978974</v>
      </c>
      <c r="F2253" s="0" t="n">
        <v>4.517392093</v>
      </c>
      <c r="G2253" s="0" t="n">
        <v>2.748958482</v>
      </c>
      <c r="H2253" s="0" t="n">
        <v>0.7656982939</v>
      </c>
    </row>
    <row r="2254" customFormat="false" ht="15" hidden="false" customHeight="false" outlineLevel="0" collapsed="false">
      <c r="A2254" s="0" t="s">
        <v>3450</v>
      </c>
      <c r="B2254" s="0" t="s">
        <v>924</v>
      </c>
      <c r="C2254" s="0" t="s">
        <v>613</v>
      </c>
      <c r="D2254" s="0" t="n">
        <v>31.12</v>
      </c>
      <c r="E2254" s="0" t="n">
        <v>30.2687066</v>
      </c>
      <c r="F2254" s="0" t="n">
        <v>25.63936226</v>
      </c>
      <c r="G2254" s="0" t="n">
        <v>15.61773608</v>
      </c>
      <c r="H2254" s="0" t="n">
        <v>5.970063606</v>
      </c>
    </row>
    <row r="2255" customFormat="false" ht="15" hidden="false" customHeight="false" outlineLevel="0" collapsed="false">
      <c r="A2255" s="0" t="s">
        <v>3451</v>
      </c>
      <c r="B2255" s="0" t="s">
        <v>864</v>
      </c>
      <c r="C2255" s="0" t="s">
        <v>613</v>
      </c>
      <c r="D2255" s="0" t="n">
        <v>88.447</v>
      </c>
      <c r="E2255" s="0" t="n">
        <v>86.44376673</v>
      </c>
      <c r="F2255" s="0" t="n">
        <v>72.2551636</v>
      </c>
      <c r="G2255" s="0" t="n">
        <v>47.52366465</v>
      </c>
      <c r="H2255" s="0" t="n">
        <v>21.22128697</v>
      </c>
    </row>
    <row r="2256" customFormat="false" ht="15" hidden="false" customHeight="false" outlineLevel="0" collapsed="false">
      <c r="A2256" s="0" t="s">
        <v>3452</v>
      </c>
      <c r="B2256" s="0" t="s">
        <v>1022</v>
      </c>
      <c r="C2256" s="0" t="s">
        <v>613</v>
      </c>
      <c r="D2256" s="0" t="n">
        <v>7.008720665</v>
      </c>
      <c r="E2256" s="0" t="n">
        <v>6.074026723</v>
      </c>
      <c r="F2256" s="0" t="n">
        <v>1.349881503</v>
      </c>
      <c r="G2256" s="0" t="n">
        <v>0.9241710263</v>
      </c>
      <c r="H2256" s="0" t="n">
        <v>0.4848141151</v>
      </c>
    </row>
    <row r="2257" customFormat="false" ht="15" hidden="false" customHeight="false" outlineLevel="0" collapsed="false">
      <c r="A2257" s="0" t="s">
        <v>3453</v>
      </c>
      <c r="B2257" s="0" t="s">
        <v>896</v>
      </c>
      <c r="C2257" s="0" t="s">
        <v>613</v>
      </c>
      <c r="D2257" s="0" t="n">
        <v>127.921</v>
      </c>
      <c r="E2257" s="0" t="n">
        <v>114.0785255</v>
      </c>
      <c r="F2257" s="0" t="n">
        <v>43.77200301</v>
      </c>
      <c r="G2257" s="0" t="n">
        <v>31.02787143</v>
      </c>
      <c r="H2257" s="0" t="n">
        <v>18.86846863</v>
      </c>
    </row>
    <row r="2258" customFormat="false" ht="15" hidden="false" customHeight="false" outlineLevel="0" collapsed="false">
      <c r="A2258" s="0" t="s">
        <v>3454</v>
      </c>
      <c r="B2258" s="0" t="s">
        <v>710</v>
      </c>
      <c r="C2258" s="0" t="s">
        <v>613</v>
      </c>
      <c r="D2258" s="0" t="n">
        <v>1767.337</v>
      </c>
      <c r="E2258" s="0" t="n">
        <v>1649.526445</v>
      </c>
      <c r="F2258" s="0" t="n">
        <v>1043.036878</v>
      </c>
      <c r="G2258" s="0" t="n">
        <v>745.2403399</v>
      </c>
      <c r="H2258" s="0" t="n">
        <v>442.9015579</v>
      </c>
    </row>
    <row r="2259" customFormat="false" ht="15" hidden="false" customHeight="false" outlineLevel="0" collapsed="false">
      <c r="A2259" s="0" t="s">
        <v>3455</v>
      </c>
      <c r="B2259" s="0" t="s">
        <v>1000</v>
      </c>
      <c r="C2259" s="0" t="s">
        <v>613</v>
      </c>
      <c r="D2259" s="0" t="n">
        <v>2.124769047</v>
      </c>
      <c r="E2259" s="0" t="n">
        <v>2.105884234</v>
      </c>
      <c r="F2259" s="0" t="n">
        <v>1.914404358</v>
      </c>
      <c r="G2259" s="0" t="n">
        <v>1.14383811</v>
      </c>
      <c r="H2259" s="0" t="n">
        <v>0.3502898832</v>
      </c>
    </row>
    <row r="2260" customFormat="false" ht="15" hidden="false" customHeight="false" outlineLevel="0" collapsed="false">
      <c r="A2260" s="0" t="s">
        <v>3456</v>
      </c>
      <c r="B2260" s="0" t="s">
        <v>980</v>
      </c>
      <c r="C2260" s="0" t="s">
        <v>613</v>
      </c>
      <c r="D2260" s="0" t="n">
        <v>15.977</v>
      </c>
      <c r="E2260" s="0" t="n">
        <v>15.4361502</v>
      </c>
      <c r="F2260" s="0" t="n">
        <v>13.02628067</v>
      </c>
      <c r="G2260" s="0" t="n">
        <v>8.534531769</v>
      </c>
      <c r="H2260" s="0" t="n">
        <v>3.74030377</v>
      </c>
    </row>
    <row r="2261" customFormat="false" ht="15" hidden="false" customHeight="false" outlineLevel="0" collapsed="false">
      <c r="A2261" s="0" t="s">
        <v>3457</v>
      </c>
      <c r="B2261" s="0" t="s">
        <v>1020</v>
      </c>
      <c r="C2261" s="0" t="s">
        <v>613</v>
      </c>
      <c r="D2261" s="0" t="n">
        <v>3.509</v>
      </c>
      <c r="E2261" s="0" t="n">
        <v>3.421528829</v>
      </c>
      <c r="F2261" s="0" t="n">
        <v>2.953358486</v>
      </c>
      <c r="G2261" s="0" t="n">
        <v>2.26064671</v>
      </c>
      <c r="H2261" s="0" t="n">
        <v>1.268026135</v>
      </c>
    </row>
    <row r="2262" customFormat="false" ht="15" hidden="false" customHeight="false" outlineLevel="0" collapsed="false">
      <c r="A2262" s="0" t="s">
        <v>3458</v>
      </c>
      <c r="B2262" s="0" t="s">
        <v>952</v>
      </c>
      <c r="C2262" s="0" t="s">
        <v>613</v>
      </c>
      <c r="D2262" s="0" t="n">
        <v>52.44311049</v>
      </c>
      <c r="E2262" s="0" t="n">
        <v>45.36425905</v>
      </c>
      <c r="F2262" s="0" t="n">
        <v>11.35052684</v>
      </c>
      <c r="G2262" s="0" t="n">
        <v>7.371651773</v>
      </c>
      <c r="H2262" s="0" t="n">
        <v>3.001077746</v>
      </c>
    </row>
    <row r="2263" customFormat="false" ht="15" hidden="false" customHeight="false" outlineLevel="0" collapsed="false">
      <c r="A2263" s="0" t="s">
        <v>3459</v>
      </c>
      <c r="B2263" s="0" t="s">
        <v>1026</v>
      </c>
      <c r="C2263" s="0" t="s">
        <v>613</v>
      </c>
      <c r="D2263" s="0" t="n">
        <v>44.02568045</v>
      </c>
      <c r="E2263" s="0" t="n">
        <v>38.29009207</v>
      </c>
      <c r="F2263" s="0" t="n">
        <v>9.571807416</v>
      </c>
      <c r="G2263" s="0" t="n">
        <v>7.481583175</v>
      </c>
      <c r="H2263" s="0" t="n">
        <v>5.380848397</v>
      </c>
    </row>
    <row r="2264" customFormat="false" ht="15" hidden="false" customHeight="false" outlineLevel="0" collapsed="false">
      <c r="A2264" s="0" t="s">
        <v>3460</v>
      </c>
      <c r="B2264" s="0" t="s">
        <v>708</v>
      </c>
      <c r="C2264" s="0" t="s">
        <v>613</v>
      </c>
      <c r="D2264" s="0" t="n">
        <v>692.775</v>
      </c>
      <c r="E2264" s="0" t="n">
        <v>670.0655105</v>
      </c>
      <c r="F2264" s="0" t="n">
        <v>531.3235848</v>
      </c>
      <c r="G2264" s="0" t="n">
        <v>278.292061</v>
      </c>
      <c r="H2264" s="0" t="n">
        <v>107.9266086</v>
      </c>
    </row>
    <row r="2265" customFormat="false" ht="15" hidden="false" customHeight="false" outlineLevel="0" collapsed="false">
      <c r="A2265" s="0" t="s">
        <v>3461</v>
      </c>
      <c r="B2265" s="0" t="s">
        <v>734</v>
      </c>
      <c r="C2265" s="0" t="s">
        <v>613</v>
      </c>
      <c r="D2265" s="0" t="n">
        <v>45.202</v>
      </c>
      <c r="E2265" s="0" t="n">
        <v>43.6615928</v>
      </c>
      <c r="F2265" s="0" t="n">
        <v>34.90548257</v>
      </c>
      <c r="G2265" s="0" t="n">
        <v>18.956783</v>
      </c>
      <c r="H2265" s="0" t="n">
        <v>7.794237178</v>
      </c>
    </row>
    <row r="2266" customFormat="false" ht="15" hidden="false" customHeight="false" outlineLevel="0" collapsed="false">
      <c r="A2266" s="0" t="s">
        <v>3462</v>
      </c>
      <c r="B2266" s="0" t="s">
        <v>782</v>
      </c>
      <c r="C2266" s="0" t="s">
        <v>613</v>
      </c>
      <c r="D2266" s="0" t="n">
        <v>138.572</v>
      </c>
      <c r="E2266" s="0" t="n">
        <v>134.6924157</v>
      </c>
      <c r="F2266" s="0" t="n">
        <v>112.1948024</v>
      </c>
      <c r="G2266" s="0" t="n">
        <v>66.05797975</v>
      </c>
      <c r="H2266" s="0" t="n">
        <v>33.49873715</v>
      </c>
    </row>
    <row r="2267" customFormat="false" ht="15" hidden="false" customHeight="false" outlineLevel="0" collapsed="false">
      <c r="A2267" s="0" t="s">
        <v>3463</v>
      </c>
      <c r="B2267" s="0" t="s">
        <v>696</v>
      </c>
      <c r="C2267" s="0" t="s">
        <v>613</v>
      </c>
      <c r="D2267" s="0" t="n">
        <v>16257.103</v>
      </c>
      <c r="E2267" s="0" t="n">
        <v>15968.09039</v>
      </c>
      <c r="F2267" s="0" t="n">
        <v>13657.92947</v>
      </c>
      <c r="G2267" s="0" t="n">
        <v>5522.812789</v>
      </c>
      <c r="H2267" s="0" t="n">
        <v>1962.246135</v>
      </c>
    </row>
    <row r="2268" customFormat="false" ht="15" hidden="false" customHeight="false" outlineLevel="0" collapsed="false">
      <c r="A2268" s="0" t="s">
        <v>3464</v>
      </c>
      <c r="B2268" s="0" t="s">
        <v>836</v>
      </c>
      <c r="C2268" s="0" t="s">
        <v>613</v>
      </c>
      <c r="D2268" s="0" t="n">
        <v>37.30257411</v>
      </c>
      <c r="E2268" s="0" t="n">
        <v>36.42867109</v>
      </c>
      <c r="F2268" s="0" t="n">
        <v>31.14537426</v>
      </c>
      <c r="G2268" s="0" t="n">
        <v>22.88800049</v>
      </c>
      <c r="H2268" s="0" t="n">
        <v>12.46360043</v>
      </c>
    </row>
    <row r="2269" customFormat="false" ht="15" hidden="false" customHeight="false" outlineLevel="0" collapsed="false">
      <c r="A2269" s="0" t="s">
        <v>3465</v>
      </c>
      <c r="B2269" s="0" t="s">
        <v>880</v>
      </c>
      <c r="C2269" s="0" t="s">
        <v>613</v>
      </c>
      <c r="D2269" s="0" t="n">
        <v>78.489</v>
      </c>
      <c r="E2269" s="0" t="n">
        <v>70.77031312</v>
      </c>
      <c r="F2269" s="0" t="n">
        <v>31.96173903</v>
      </c>
      <c r="G2269" s="0" t="n">
        <v>23.52112123</v>
      </c>
      <c r="H2269" s="0" t="n">
        <v>15.89247302</v>
      </c>
    </row>
    <row r="2270" customFormat="false" ht="15" hidden="false" customHeight="false" outlineLevel="0" collapsed="false">
      <c r="A2270" s="0" t="s">
        <v>3466</v>
      </c>
      <c r="B2270" s="0" t="s">
        <v>850</v>
      </c>
      <c r="C2270" s="0" t="s">
        <v>613</v>
      </c>
      <c r="D2270" s="0" t="n">
        <v>669.183</v>
      </c>
      <c r="E2270" s="0" t="n">
        <v>565.6568508</v>
      </c>
      <c r="F2270" s="0" t="n">
        <v>47.79448708</v>
      </c>
      <c r="G2270" s="0" t="n">
        <v>37.20035551</v>
      </c>
      <c r="H2270" s="0" t="n">
        <v>26.41675421</v>
      </c>
    </row>
    <row r="2271" customFormat="false" ht="15" hidden="false" customHeight="false" outlineLevel="0" collapsed="false">
      <c r="A2271" s="0" t="s">
        <v>3467</v>
      </c>
      <c r="B2271" s="0" t="s">
        <v>978</v>
      </c>
      <c r="C2271" s="0" t="s">
        <v>613</v>
      </c>
      <c r="D2271" s="0" t="n">
        <v>36.275</v>
      </c>
      <c r="E2271" s="0" t="n">
        <v>33.6023083</v>
      </c>
      <c r="F2271" s="0" t="n">
        <v>20.08859559</v>
      </c>
      <c r="G2271" s="0" t="n">
        <v>14.68650085</v>
      </c>
      <c r="H2271" s="0" t="n">
        <v>9.216713387</v>
      </c>
    </row>
    <row r="2272" customFormat="false" ht="15" hidden="false" customHeight="false" outlineLevel="0" collapsed="false">
      <c r="A2272" s="0" t="s">
        <v>3468</v>
      </c>
      <c r="B2272" s="0" t="s">
        <v>766</v>
      </c>
      <c r="C2272" s="0" t="s">
        <v>613</v>
      </c>
      <c r="D2272" s="0" t="n">
        <v>293.577</v>
      </c>
      <c r="E2272" s="0" t="n">
        <v>272.7516797</v>
      </c>
      <c r="F2272" s="0" t="n">
        <v>165.5324926</v>
      </c>
      <c r="G2272" s="0" t="n">
        <v>117.4772398</v>
      </c>
      <c r="H2272" s="0" t="n">
        <v>68.19251263</v>
      </c>
    </row>
    <row r="2273" customFormat="false" ht="15" hidden="false" customHeight="false" outlineLevel="0" collapsed="false">
      <c r="A2273" s="0" t="s">
        <v>3469</v>
      </c>
      <c r="B2273" s="0" t="s">
        <v>1044</v>
      </c>
      <c r="C2273" s="0" t="s">
        <v>613</v>
      </c>
      <c r="D2273" s="0" t="n">
        <v>1.29666381</v>
      </c>
      <c r="E2273" s="0" t="n">
        <v>1.268789052</v>
      </c>
      <c r="F2273" s="0" t="n">
        <v>1.112011819</v>
      </c>
      <c r="G2273" s="0" t="n">
        <v>0.8608788023</v>
      </c>
      <c r="H2273" s="0" t="n">
        <v>0.4176981885</v>
      </c>
    </row>
    <row r="2274" customFormat="false" ht="15" hidden="false" customHeight="false" outlineLevel="0" collapsed="false">
      <c r="A2274" s="0" t="s">
        <v>3470</v>
      </c>
      <c r="B2274" s="0" t="s">
        <v>1024</v>
      </c>
      <c r="C2274" s="0" t="s">
        <v>613</v>
      </c>
      <c r="D2274" s="0" t="n">
        <v>1.331</v>
      </c>
      <c r="E2274" s="0" t="n">
        <v>1.332130639</v>
      </c>
      <c r="F2274" s="0" t="n">
        <v>1.271241335</v>
      </c>
      <c r="G2274" s="0" t="n">
        <v>0.9215618304</v>
      </c>
      <c r="H2274" s="0" t="n">
        <v>0.3726408367</v>
      </c>
    </row>
    <row r="2275" customFormat="false" ht="15" hidden="false" customHeight="false" outlineLevel="0" collapsed="false">
      <c r="A2275" s="0" t="s">
        <v>3471</v>
      </c>
      <c r="B2275" s="0" t="s">
        <v>838</v>
      </c>
      <c r="C2275" s="0" t="s">
        <v>613</v>
      </c>
      <c r="D2275" s="0" t="n">
        <v>16.028</v>
      </c>
      <c r="E2275" s="0" t="n">
        <v>15.65766138</v>
      </c>
      <c r="F2275" s="0" t="n">
        <v>13.17266193</v>
      </c>
      <c r="G2275" s="0" t="n">
        <v>9.366895336</v>
      </c>
      <c r="H2275" s="0" t="n">
        <v>5.443241425</v>
      </c>
    </row>
    <row r="2276" customFormat="false" ht="15" hidden="false" customHeight="false" outlineLevel="0" collapsed="false">
      <c r="A2276" s="0" t="s">
        <v>3472</v>
      </c>
      <c r="B2276" s="0" t="s">
        <v>906</v>
      </c>
      <c r="C2276" s="0" t="s">
        <v>613</v>
      </c>
      <c r="D2276" s="0" t="n">
        <v>10.98015756</v>
      </c>
      <c r="E2276" s="0" t="n">
        <v>10.78576482</v>
      </c>
      <c r="F2276" s="0" t="n">
        <v>8.646345468</v>
      </c>
      <c r="G2276" s="0" t="n">
        <v>3.759150416</v>
      </c>
      <c r="H2276" s="0" t="n">
        <v>1.505282419</v>
      </c>
    </row>
    <row r="2277" customFormat="false" ht="15" hidden="false" customHeight="false" outlineLevel="0" collapsed="false">
      <c r="A2277" s="0" t="s">
        <v>3473</v>
      </c>
      <c r="B2277" s="0" t="s">
        <v>778</v>
      </c>
      <c r="C2277" s="0" t="s">
        <v>613</v>
      </c>
      <c r="D2277" s="0" t="n">
        <v>118.786</v>
      </c>
      <c r="E2277" s="0" t="n">
        <v>113.8110534</v>
      </c>
      <c r="F2277" s="0" t="n">
        <v>83.2486446</v>
      </c>
      <c r="G2277" s="0" t="n">
        <v>39.43179078</v>
      </c>
      <c r="H2277" s="0" t="n">
        <v>16.19795033</v>
      </c>
    </row>
    <row r="2278" customFormat="false" ht="15" hidden="false" customHeight="false" outlineLevel="0" collapsed="false">
      <c r="A2278" s="0" t="s">
        <v>3474</v>
      </c>
      <c r="B2278" s="0" t="s">
        <v>700</v>
      </c>
      <c r="C2278" s="0" t="s">
        <v>613</v>
      </c>
      <c r="D2278" s="0" t="n">
        <v>744.658</v>
      </c>
      <c r="E2278" s="0" t="n">
        <v>713.4270558</v>
      </c>
      <c r="F2278" s="0" t="n">
        <v>545.8374811</v>
      </c>
      <c r="G2278" s="0" t="n">
        <v>250.6489476</v>
      </c>
      <c r="H2278" s="0" t="n">
        <v>86.35545235</v>
      </c>
    </row>
    <row r="2279" customFormat="false" ht="15" hidden="false" customHeight="false" outlineLevel="0" collapsed="false">
      <c r="A2279" s="0" t="s">
        <v>3475</v>
      </c>
      <c r="B2279" s="0" t="s">
        <v>1014</v>
      </c>
      <c r="C2279" s="0" t="s">
        <v>613</v>
      </c>
      <c r="D2279" s="0" t="n">
        <v>2.266</v>
      </c>
      <c r="E2279" s="0" t="n">
        <v>2.198958309</v>
      </c>
      <c r="F2279" s="0" t="n">
        <v>1.828543062</v>
      </c>
      <c r="G2279" s="0" t="n">
        <v>1.343484453</v>
      </c>
      <c r="H2279" s="0" t="n">
        <v>0.7509474703</v>
      </c>
    </row>
    <row r="2280" customFormat="false" ht="15" hidden="false" customHeight="false" outlineLevel="0" collapsed="false">
      <c r="A2280" s="0" t="s">
        <v>3476</v>
      </c>
      <c r="B2280" s="0" t="s">
        <v>1058</v>
      </c>
      <c r="C2280" s="0" t="s">
        <v>613</v>
      </c>
      <c r="D2280" s="0" t="n">
        <v>0.3502023483</v>
      </c>
      <c r="E2280" s="0" t="n">
        <v>0.3491819462</v>
      </c>
      <c r="F2280" s="0" t="n">
        <v>0.3191354446</v>
      </c>
      <c r="G2280" s="0" t="n">
        <v>0.2137887303</v>
      </c>
      <c r="H2280" s="0" t="n">
        <v>0.08104991878</v>
      </c>
    </row>
    <row r="2281" customFormat="false" ht="15" hidden="false" customHeight="false" outlineLevel="0" collapsed="false">
      <c r="A2281" s="0" t="s">
        <v>3477</v>
      </c>
      <c r="B2281" s="0" t="s">
        <v>768</v>
      </c>
      <c r="C2281" s="0" t="s">
        <v>613</v>
      </c>
      <c r="D2281" s="0" t="n">
        <v>49.102</v>
      </c>
      <c r="E2281" s="0" t="n">
        <v>46.81975802</v>
      </c>
      <c r="F2281" s="0" t="n">
        <v>35.178795</v>
      </c>
      <c r="G2281" s="0" t="n">
        <v>20.71701631</v>
      </c>
      <c r="H2281" s="0" t="n">
        <v>9.493595065</v>
      </c>
    </row>
    <row r="2282" customFormat="false" ht="15" hidden="false" customHeight="false" outlineLevel="0" collapsed="false">
      <c r="A2282" s="0" t="s">
        <v>3478</v>
      </c>
      <c r="B2282" s="0" t="s">
        <v>818</v>
      </c>
      <c r="C2282" s="0" t="s">
        <v>613</v>
      </c>
      <c r="D2282" s="0" t="n">
        <v>54.89325574</v>
      </c>
      <c r="E2282" s="0" t="n">
        <v>53.58520567</v>
      </c>
      <c r="F2282" s="0" t="n">
        <v>47.66080478</v>
      </c>
      <c r="G2282" s="0" t="n">
        <v>32.33893849</v>
      </c>
      <c r="H2282" s="0" t="n">
        <v>13.77404987</v>
      </c>
    </row>
    <row r="2283" customFormat="false" ht="15" hidden="false" customHeight="false" outlineLevel="0" collapsed="false">
      <c r="A2283" s="0" t="s">
        <v>3479</v>
      </c>
      <c r="B2283" s="0" t="s">
        <v>788</v>
      </c>
      <c r="C2283" s="0" t="s">
        <v>613</v>
      </c>
      <c r="D2283" s="0" t="n">
        <v>287.012</v>
      </c>
      <c r="E2283" s="0" t="n">
        <v>281.0006674</v>
      </c>
      <c r="F2283" s="0" t="n">
        <v>244.1902336</v>
      </c>
      <c r="G2283" s="0" t="n">
        <v>167.141687</v>
      </c>
      <c r="H2283" s="0" t="n">
        <v>74.22657647</v>
      </c>
    </row>
    <row r="2284" customFormat="false" ht="15" hidden="false" customHeight="false" outlineLevel="0" collapsed="false">
      <c r="A2284" s="0" t="s">
        <v>3480</v>
      </c>
      <c r="B2284" s="0" t="s">
        <v>824</v>
      </c>
      <c r="C2284" s="0" t="s">
        <v>613</v>
      </c>
      <c r="D2284" s="0" t="n">
        <v>101.698</v>
      </c>
      <c r="E2284" s="0" t="n">
        <v>95.87446429</v>
      </c>
      <c r="F2284" s="0" t="n">
        <v>63.33839034</v>
      </c>
      <c r="G2284" s="0" t="n">
        <v>42.49644657</v>
      </c>
      <c r="H2284" s="0" t="n">
        <v>22.86694667</v>
      </c>
    </row>
    <row r="2285" customFormat="false" ht="15" hidden="false" customHeight="false" outlineLevel="0" collapsed="false">
      <c r="A2285" s="0" t="s">
        <v>3481</v>
      </c>
      <c r="B2285" s="0" t="s">
        <v>764</v>
      </c>
      <c r="C2285" s="0" t="s">
        <v>613</v>
      </c>
      <c r="D2285" s="0" t="n">
        <v>402.239</v>
      </c>
      <c r="E2285" s="0" t="n">
        <v>397.6086468</v>
      </c>
      <c r="F2285" s="0" t="n">
        <v>362.0717588</v>
      </c>
      <c r="G2285" s="0" t="n">
        <v>246.4709683</v>
      </c>
      <c r="H2285" s="0" t="n">
        <v>99.49250986</v>
      </c>
    </row>
    <row r="2286" customFormat="false" ht="15" hidden="false" customHeight="false" outlineLevel="0" collapsed="false">
      <c r="A2286" s="0" t="s">
        <v>3482</v>
      </c>
      <c r="B2286" s="0" t="s">
        <v>722</v>
      </c>
      <c r="C2286" s="0" t="s">
        <v>613</v>
      </c>
      <c r="D2286" s="0" t="n">
        <v>339.165</v>
      </c>
      <c r="E2286" s="0" t="n">
        <v>329.9034999</v>
      </c>
      <c r="F2286" s="0" t="n">
        <v>265.9994198</v>
      </c>
      <c r="G2286" s="0" t="n">
        <v>140.4872868</v>
      </c>
      <c r="H2286" s="0" t="n">
        <v>54.26337332</v>
      </c>
    </row>
    <row r="2287" customFormat="false" ht="15" hidden="false" customHeight="false" outlineLevel="0" collapsed="false">
      <c r="A2287" s="0" t="s">
        <v>3483</v>
      </c>
      <c r="B2287" s="0" t="s">
        <v>902</v>
      </c>
      <c r="C2287" s="0" t="s">
        <v>613</v>
      </c>
      <c r="D2287" s="0" t="n">
        <v>13.753</v>
      </c>
      <c r="E2287" s="0" t="n">
        <v>12.86083384</v>
      </c>
      <c r="F2287" s="0" t="n">
        <v>8.266169627</v>
      </c>
      <c r="G2287" s="0" t="n">
        <v>4.118674</v>
      </c>
      <c r="H2287" s="0" t="n">
        <v>1.694166787</v>
      </c>
    </row>
    <row r="2288" customFormat="false" ht="15" hidden="false" customHeight="false" outlineLevel="0" collapsed="false">
      <c r="A2288" s="0" t="s">
        <v>3484</v>
      </c>
      <c r="B2288" s="0" t="s">
        <v>802</v>
      </c>
      <c r="C2288" s="0" t="s">
        <v>613</v>
      </c>
      <c r="D2288" s="0" t="n">
        <v>234.697</v>
      </c>
      <c r="E2288" s="0" t="n">
        <v>221.1015355</v>
      </c>
      <c r="F2288" s="0" t="n">
        <v>152.0927707</v>
      </c>
      <c r="G2288" s="0" t="n">
        <v>119.6929134</v>
      </c>
      <c r="H2288" s="0" t="n">
        <v>81.72861263</v>
      </c>
    </row>
    <row r="2289" customFormat="false" ht="15" hidden="false" customHeight="false" outlineLevel="0" collapsed="false">
      <c r="A2289" s="0" t="s">
        <v>3485</v>
      </c>
      <c r="B2289" s="0" t="s">
        <v>794</v>
      </c>
      <c r="C2289" s="0" t="s">
        <v>613</v>
      </c>
      <c r="D2289" s="0" t="n">
        <v>47.19</v>
      </c>
      <c r="E2289" s="0" t="n">
        <v>44.20548956</v>
      </c>
      <c r="F2289" s="0" t="n">
        <v>34.85334591</v>
      </c>
      <c r="G2289" s="0" t="n">
        <v>20.47825869</v>
      </c>
      <c r="H2289" s="0" t="n">
        <v>8.302615468</v>
      </c>
    </row>
    <row r="2290" customFormat="false" ht="15" hidden="false" customHeight="false" outlineLevel="0" collapsed="false">
      <c r="A2290" s="0" t="s">
        <v>3486</v>
      </c>
      <c r="B2290" s="0" t="s">
        <v>1006</v>
      </c>
      <c r="C2290" s="0" t="s">
        <v>613</v>
      </c>
      <c r="D2290" s="0" t="n">
        <v>3.104</v>
      </c>
      <c r="E2290" s="0" t="n">
        <v>3.025686595</v>
      </c>
      <c r="F2290" s="0" t="n">
        <v>2.542514895</v>
      </c>
      <c r="G2290" s="0" t="n">
        <v>1.750136329</v>
      </c>
      <c r="H2290" s="0" t="n">
        <v>0.8829715549</v>
      </c>
    </row>
    <row r="2291" customFormat="false" ht="15" hidden="false" customHeight="false" outlineLevel="0" collapsed="false">
      <c r="A2291" s="0" t="s">
        <v>3487</v>
      </c>
      <c r="B2291" s="0" t="s">
        <v>706</v>
      </c>
      <c r="C2291" s="0" t="s">
        <v>613</v>
      </c>
      <c r="D2291" s="0" t="n">
        <v>423.894</v>
      </c>
      <c r="E2291" s="0" t="n">
        <v>402.7929303</v>
      </c>
      <c r="F2291" s="0" t="n">
        <v>310.0165985</v>
      </c>
      <c r="G2291" s="0" t="n">
        <v>170.8384404</v>
      </c>
      <c r="H2291" s="0" t="n">
        <v>72.18519143</v>
      </c>
    </row>
    <row r="2292" customFormat="false" ht="15" hidden="false" customHeight="false" outlineLevel="0" collapsed="false">
      <c r="A2292" s="0" t="s">
        <v>3488</v>
      </c>
      <c r="B2292" s="0" t="s">
        <v>950</v>
      </c>
      <c r="C2292" s="0" t="s">
        <v>613</v>
      </c>
      <c r="D2292" s="0" t="n">
        <v>25.777</v>
      </c>
      <c r="E2292" s="0" t="n">
        <v>23.94539422</v>
      </c>
      <c r="F2292" s="0" t="n">
        <v>14.72070123</v>
      </c>
      <c r="G2292" s="0" t="n">
        <v>10.81720592</v>
      </c>
      <c r="H2292" s="0" t="n">
        <v>6.746849063</v>
      </c>
    </row>
    <row r="2293" customFormat="false" ht="15" hidden="false" customHeight="false" outlineLevel="0" collapsed="false">
      <c r="A2293" s="0" t="s">
        <v>3489</v>
      </c>
      <c r="B2293" s="0" t="s">
        <v>704</v>
      </c>
      <c r="C2293" s="0" t="s">
        <v>613</v>
      </c>
      <c r="D2293" s="0" t="n">
        <v>454.233</v>
      </c>
      <c r="E2293" s="0" t="n">
        <v>437.8034988</v>
      </c>
      <c r="F2293" s="0" t="n">
        <v>337.5557068</v>
      </c>
      <c r="G2293" s="0" t="n">
        <v>162.3671073</v>
      </c>
      <c r="H2293" s="0" t="n">
        <v>63.51641893</v>
      </c>
    </row>
    <row r="2294" customFormat="false" ht="15" hidden="false" customHeight="false" outlineLevel="0" collapsed="false">
      <c r="A2294" s="0" t="s">
        <v>3490</v>
      </c>
      <c r="B2294" s="0" t="s">
        <v>900</v>
      </c>
      <c r="C2294" s="0" t="s">
        <v>613</v>
      </c>
      <c r="D2294" s="0" t="n">
        <v>18.98</v>
      </c>
      <c r="E2294" s="0" t="n">
        <v>18.6891962</v>
      </c>
      <c r="F2294" s="0" t="n">
        <v>16.16940923</v>
      </c>
      <c r="G2294" s="0" t="n">
        <v>10.88696577</v>
      </c>
      <c r="H2294" s="0" t="n">
        <v>5.281080614</v>
      </c>
    </row>
    <row r="2295" customFormat="false" ht="15" hidden="false" customHeight="false" outlineLevel="0" collapsed="false">
      <c r="A2295" s="0" t="s">
        <v>3491</v>
      </c>
      <c r="B2295" s="0" t="s">
        <v>844</v>
      </c>
      <c r="C2295" s="0" t="s">
        <v>613</v>
      </c>
      <c r="D2295" s="0" t="n">
        <v>52.092</v>
      </c>
      <c r="E2295" s="0" t="n">
        <v>51.1060583</v>
      </c>
      <c r="F2295" s="0" t="n">
        <v>42.99094201</v>
      </c>
      <c r="G2295" s="0" t="n">
        <v>31.27030077</v>
      </c>
      <c r="H2295" s="0" t="n">
        <v>17.75180842</v>
      </c>
    </row>
    <row r="2296" customFormat="false" ht="15" hidden="false" customHeight="false" outlineLevel="0" collapsed="false">
      <c r="A2296" s="0" t="s">
        <v>3492</v>
      </c>
      <c r="B2296" s="0" t="s">
        <v>914</v>
      </c>
      <c r="C2296" s="0" t="s">
        <v>613</v>
      </c>
      <c r="D2296" s="0" t="n">
        <v>42.40931189</v>
      </c>
      <c r="E2296" s="0" t="n">
        <v>39.55027494</v>
      </c>
      <c r="F2296" s="0" t="n">
        <v>24.28571864</v>
      </c>
      <c r="G2296" s="0" t="n">
        <v>19.28411507</v>
      </c>
      <c r="H2296" s="0" t="n">
        <v>12.59702978</v>
      </c>
    </row>
    <row r="2297" customFormat="false" ht="15" hidden="false" customHeight="false" outlineLevel="0" collapsed="false">
      <c r="A2297" s="0" t="s">
        <v>3493</v>
      </c>
      <c r="B2297" s="0" t="s">
        <v>1028</v>
      </c>
      <c r="C2297" s="0" t="s">
        <v>613</v>
      </c>
      <c r="D2297" s="0" t="n">
        <v>3.537484405</v>
      </c>
      <c r="E2297" s="0" t="n">
        <v>3.412417552</v>
      </c>
      <c r="F2297" s="0" t="n">
        <v>2.6854222</v>
      </c>
      <c r="G2297" s="0" t="n">
        <v>2.139850419</v>
      </c>
      <c r="H2297" s="0" t="n">
        <v>1.090628976</v>
      </c>
    </row>
    <row r="2298" customFormat="false" ht="15" hidden="false" customHeight="false" outlineLevel="0" collapsed="false">
      <c r="A2298" s="0" t="s">
        <v>3494</v>
      </c>
      <c r="B2298" s="0" t="s">
        <v>1030</v>
      </c>
      <c r="C2298" s="0" t="s">
        <v>613</v>
      </c>
      <c r="D2298" s="0" t="n">
        <v>5.155259012</v>
      </c>
      <c r="E2298" s="0" t="n">
        <v>4.745734253</v>
      </c>
      <c r="F2298" s="0" t="n">
        <v>2.664436423</v>
      </c>
      <c r="G2298" s="0" t="n">
        <v>2.092070697</v>
      </c>
      <c r="H2298" s="0" t="n">
        <v>1.357990223</v>
      </c>
    </row>
    <row r="2299" customFormat="false" ht="15" hidden="false" customHeight="false" outlineLevel="0" collapsed="false">
      <c r="A2299" s="0" t="s">
        <v>3495</v>
      </c>
      <c r="B2299" s="0" t="s">
        <v>994</v>
      </c>
      <c r="C2299" s="0" t="s">
        <v>613</v>
      </c>
      <c r="D2299" s="0" t="n">
        <v>16.133</v>
      </c>
      <c r="E2299" s="0" t="n">
        <v>14.88994862</v>
      </c>
      <c r="F2299" s="0" t="n">
        <v>9.135871608</v>
      </c>
      <c r="G2299" s="0" t="n">
        <v>6.523884915</v>
      </c>
      <c r="H2299" s="0" t="n">
        <v>3.896416521</v>
      </c>
    </row>
    <row r="2300" customFormat="false" ht="15" hidden="false" customHeight="false" outlineLevel="0" collapsed="false">
      <c r="A2300" s="0" t="s">
        <v>3496</v>
      </c>
      <c r="B2300" s="0" t="s">
        <v>798</v>
      </c>
      <c r="C2300" s="0" t="s">
        <v>613</v>
      </c>
      <c r="D2300" s="0" t="n">
        <v>91.748</v>
      </c>
      <c r="E2300" s="0" t="n">
        <v>88.55479811</v>
      </c>
      <c r="F2300" s="0" t="n">
        <v>69.13790121</v>
      </c>
      <c r="G2300" s="0" t="n">
        <v>35.91508648</v>
      </c>
      <c r="H2300" s="0" t="n">
        <v>14.83162855</v>
      </c>
    </row>
    <row r="2301" customFormat="false" ht="15" hidden="false" customHeight="false" outlineLevel="0" collapsed="false">
      <c r="A2301" s="0" t="s">
        <v>3497</v>
      </c>
      <c r="B2301" s="0" t="s">
        <v>1046</v>
      </c>
      <c r="C2301" s="0" t="s">
        <v>613</v>
      </c>
      <c r="D2301" s="0" t="n">
        <v>0.5818259461</v>
      </c>
      <c r="E2301" s="0" t="n">
        <v>0.5860681043</v>
      </c>
      <c r="F2301" s="0" t="n">
        <v>0.560826961</v>
      </c>
      <c r="G2301" s="0" t="n">
        <v>0.3773777331</v>
      </c>
      <c r="H2301" s="0" t="n">
        <v>0.1234711049</v>
      </c>
    </row>
    <row r="2302" customFormat="false" ht="15" hidden="false" customHeight="false" outlineLevel="0" collapsed="false">
      <c r="A2302" s="0" t="s">
        <v>3498</v>
      </c>
      <c r="B2302" s="0" t="s">
        <v>826</v>
      </c>
      <c r="C2302" s="0" t="s">
        <v>613</v>
      </c>
      <c r="D2302" s="0" t="n">
        <v>53.762</v>
      </c>
      <c r="E2302" s="0" t="n">
        <v>51.78959683</v>
      </c>
      <c r="F2302" s="0" t="n">
        <v>40.78682552</v>
      </c>
      <c r="G2302" s="0" t="n">
        <v>28.36460827</v>
      </c>
      <c r="H2302" s="0" t="n">
        <v>15.1941082</v>
      </c>
    </row>
    <row r="2303" customFormat="false" ht="15" hidden="false" customHeight="false" outlineLevel="0" collapsed="false">
      <c r="A2303" s="0" t="s">
        <v>3499</v>
      </c>
      <c r="B2303" s="0" t="s">
        <v>890</v>
      </c>
      <c r="C2303" s="0" t="s">
        <v>613</v>
      </c>
      <c r="D2303" s="0" t="n">
        <v>21.47124684</v>
      </c>
      <c r="E2303" s="0" t="n">
        <v>19.70414193</v>
      </c>
      <c r="F2303" s="0" t="n">
        <v>10.47522468</v>
      </c>
      <c r="G2303" s="0" t="n">
        <v>9.27101278</v>
      </c>
      <c r="H2303" s="0" t="n">
        <v>4.087891454</v>
      </c>
    </row>
    <row r="2304" customFormat="false" ht="15" hidden="false" customHeight="false" outlineLevel="0" collapsed="false">
      <c r="A2304" s="0" t="s">
        <v>3500</v>
      </c>
      <c r="B2304" s="0" t="s">
        <v>770</v>
      </c>
      <c r="C2304" s="0" t="s">
        <v>613</v>
      </c>
      <c r="D2304" s="0" t="n">
        <v>47.0750993</v>
      </c>
      <c r="E2304" s="0" t="n">
        <v>45.01974582</v>
      </c>
      <c r="F2304" s="0" t="n">
        <v>30.74196002</v>
      </c>
      <c r="G2304" s="0" t="n">
        <v>9.775948561</v>
      </c>
      <c r="H2304" s="0" t="n">
        <v>4.537180588</v>
      </c>
    </row>
    <row r="2305" customFormat="false" ht="15" hidden="false" customHeight="false" outlineLevel="0" collapsed="false">
      <c r="A2305" s="0" t="s">
        <v>3501</v>
      </c>
      <c r="B2305" s="0" t="s">
        <v>904</v>
      </c>
      <c r="C2305" s="0" t="s">
        <v>613</v>
      </c>
      <c r="D2305" s="0" t="n">
        <v>33.489</v>
      </c>
      <c r="E2305" s="0" t="n">
        <v>31.55001575</v>
      </c>
      <c r="F2305" s="0" t="n">
        <v>21.25857705</v>
      </c>
      <c r="G2305" s="0" t="n">
        <v>15.01953435</v>
      </c>
      <c r="H2305" s="0" t="n">
        <v>7.948182438</v>
      </c>
    </row>
    <row r="2306" customFormat="false" ht="15" hidden="false" customHeight="false" outlineLevel="0" collapsed="false">
      <c r="A2306" s="0" t="s">
        <v>3502</v>
      </c>
      <c r="B2306" s="0" t="s">
        <v>846</v>
      </c>
      <c r="C2306" s="0" t="s">
        <v>613</v>
      </c>
      <c r="D2306" s="0" t="n">
        <v>26.337</v>
      </c>
      <c r="E2306" s="0" t="n">
        <v>25.51878965</v>
      </c>
      <c r="F2306" s="0" t="n">
        <v>20.24337403</v>
      </c>
      <c r="G2306" s="0" t="n">
        <v>10.95186938</v>
      </c>
      <c r="H2306" s="0" t="n">
        <v>4.938577801</v>
      </c>
    </row>
    <row r="2307" customFormat="false" ht="15" hidden="false" customHeight="false" outlineLevel="0" collapsed="false">
      <c r="A2307" s="0" t="s">
        <v>3503</v>
      </c>
      <c r="B2307" s="0" t="s">
        <v>956</v>
      </c>
      <c r="C2307" s="0" t="s">
        <v>613</v>
      </c>
      <c r="D2307" s="0" t="n">
        <v>15.32050381</v>
      </c>
      <c r="E2307" s="0" t="n">
        <v>14.54335149</v>
      </c>
      <c r="F2307" s="0" t="n">
        <v>10.78739714</v>
      </c>
      <c r="G2307" s="0" t="n">
        <v>8.126478285</v>
      </c>
      <c r="H2307" s="0" t="n">
        <v>5.201858859</v>
      </c>
    </row>
    <row r="2308" customFormat="false" ht="15" hidden="false" customHeight="false" outlineLevel="0" collapsed="false">
      <c r="A2308" s="0" t="s">
        <v>3504</v>
      </c>
      <c r="B2308" s="0" t="s">
        <v>800</v>
      </c>
      <c r="C2308" s="0" t="s">
        <v>613</v>
      </c>
      <c r="D2308" s="0" t="n">
        <v>65.467</v>
      </c>
      <c r="E2308" s="0" t="n">
        <v>63.02468754</v>
      </c>
      <c r="F2308" s="0" t="n">
        <v>51.10647246</v>
      </c>
      <c r="G2308" s="0" t="n">
        <v>29.73127291</v>
      </c>
      <c r="H2308" s="0" t="n">
        <v>13.06916151</v>
      </c>
    </row>
    <row r="2309" customFormat="false" ht="15" hidden="false" customHeight="false" outlineLevel="0" collapsed="false">
      <c r="A2309" s="0" t="s">
        <v>3505</v>
      </c>
      <c r="B2309" s="0" t="s">
        <v>724</v>
      </c>
      <c r="C2309" s="0" t="s">
        <v>613</v>
      </c>
      <c r="D2309" s="0" t="n">
        <v>1416.823</v>
      </c>
      <c r="E2309" s="0" t="n">
        <v>1367.346445</v>
      </c>
      <c r="F2309" s="0" t="n">
        <v>1088.044185</v>
      </c>
      <c r="G2309" s="0" t="n">
        <v>780.6774575</v>
      </c>
      <c r="H2309" s="0" t="n">
        <v>367.5397344</v>
      </c>
    </row>
    <row r="2310" customFormat="false" ht="15" hidden="false" customHeight="false" outlineLevel="0" collapsed="false">
      <c r="A2310" s="0" t="s">
        <v>3506</v>
      </c>
      <c r="B2310" s="0" t="s">
        <v>36</v>
      </c>
      <c r="C2310" s="0" t="s">
        <v>613</v>
      </c>
      <c r="D2310" s="0" t="n">
        <v>4131.845</v>
      </c>
      <c r="E2310" s="0" t="n">
        <v>4126.19492</v>
      </c>
      <c r="F2310" s="0" t="n">
        <v>3882.648197</v>
      </c>
      <c r="G2310" s="0" t="n">
        <v>2659.753719</v>
      </c>
      <c r="H2310" s="0" t="n">
        <v>1010.269904</v>
      </c>
    </row>
    <row r="2311" customFormat="false" ht="15" hidden="false" customHeight="false" outlineLevel="0" collapsed="false">
      <c r="A2311" s="0" t="s">
        <v>3507</v>
      </c>
      <c r="B2311" s="0" t="s">
        <v>738</v>
      </c>
      <c r="C2311" s="0" t="s">
        <v>613</v>
      </c>
      <c r="D2311" s="0" t="n">
        <v>73.71</v>
      </c>
      <c r="E2311" s="0" t="n">
        <v>72.13563192</v>
      </c>
      <c r="F2311" s="0" t="n">
        <v>51.80239643</v>
      </c>
      <c r="G2311" s="0" t="n">
        <v>28.74153571</v>
      </c>
      <c r="H2311" s="0" t="n">
        <v>13.95204887</v>
      </c>
    </row>
    <row r="2312" customFormat="false" ht="15" hidden="false" customHeight="false" outlineLevel="0" collapsed="false">
      <c r="A2312" s="0" t="s">
        <v>3508</v>
      </c>
      <c r="B2312" s="0" t="s">
        <v>790</v>
      </c>
      <c r="C2312" s="0" t="s">
        <v>613</v>
      </c>
      <c r="D2312" s="0" t="n">
        <v>1024.852</v>
      </c>
      <c r="E2312" s="0" t="n">
        <v>987.6593942</v>
      </c>
      <c r="F2312" s="0" t="n">
        <v>721.6729368</v>
      </c>
      <c r="G2312" s="0" t="n">
        <v>418.7376847</v>
      </c>
      <c r="H2312" s="0" t="n">
        <v>165.2688244</v>
      </c>
    </row>
    <row r="2313" customFormat="false" ht="15" hidden="false" customHeight="false" outlineLevel="0" collapsed="false">
      <c r="A2313" s="0" t="s">
        <v>3509</v>
      </c>
      <c r="B2313" s="0" t="s">
        <v>806</v>
      </c>
      <c r="C2313" s="0" t="s">
        <v>613</v>
      </c>
      <c r="D2313" s="0" t="n">
        <v>351.508</v>
      </c>
      <c r="E2313" s="0" t="n">
        <v>338.89733</v>
      </c>
      <c r="F2313" s="0" t="n">
        <v>248.1458612</v>
      </c>
      <c r="G2313" s="0" t="n">
        <v>162.1768796</v>
      </c>
      <c r="H2313" s="0" t="n">
        <v>88.12909737</v>
      </c>
    </row>
    <row r="2314" customFormat="false" ht="15" hidden="false" customHeight="false" outlineLevel="0" collapsed="false">
      <c r="A2314" s="0" t="s">
        <v>3510</v>
      </c>
      <c r="B2314" s="0" t="s">
        <v>916</v>
      </c>
      <c r="C2314" s="0" t="s">
        <v>613</v>
      </c>
      <c r="D2314" s="0" t="n">
        <v>13.867</v>
      </c>
      <c r="E2314" s="0" t="n">
        <v>12.209413</v>
      </c>
      <c r="F2314" s="0" t="n">
        <v>3.878869227</v>
      </c>
      <c r="G2314" s="0" t="n">
        <v>2.323994149</v>
      </c>
      <c r="H2314" s="0" t="n">
        <v>0.9324819815</v>
      </c>
    </row>
    <row r="2315" customFormat="false" ht="15" hidden="false" customHeight="false" outlineLevel="0" collapsed="false">
      <c r="A2315" s="0" t="s">
        <v>3511</v>
      </c>
      <c r="B2315" s="0" t="s">
        <v>750</v>
      </c>
      <c r="C2315" s="0" t="s">
        <v>613</v>
      </c>
      <c r="D2315" s="0" t="n">
        <v>91.067</v>
      </c>
      <c r="E2315" s="0" t="n">
        <v>87.48644523</v>
      </c>
      <c r="F2315" s="0" t="n">
        <v>66.52437931</v>
      </c>
      <c r="G2315" s="0" t="n">
        <v>32.99423742</v>
      </c>
      <c r="H2315" s="0" t="n">
        <v>16.89577041</v>
      </c>
    </row>
    <row r="2316" customFormat="false" ht="15" hidden="false" customHeight="false" outlineLevel="0" collapsed="false">
      <c r="A2316" s="0" t="s">
        <v>3512</v>
      </c>
      <c r="B2316" s="0" t="s">
        <v>712</v>
      </c>
      <c r="C2316" s="0" t="s">
        <v>613</v>
      </c>
      <c r="D2316" s="0" t="n">
        <v>447.538</v>
      </c>
      <c r="E2316" s="0" t="n">
        <v>429.4666387</v>
      </c>
      <c r="F2316" s="0" t="n">
        <v>328.2703804</v>
      </c>
      <c r="G2316" s="0" t="n">
        <v>160.1110776</v>
      </c>
      <c r="H2316" s="0" t="n">
        <v>63.41355934</v>
      </c>
    </row>
    <row r="2317" customFormat="false" ht="15" hidden="false" customHeight="false" outlineLevel="0" collapsed="false">
      <c r="A2317" s="0" t="s">
        <v>3513</v>
      </c>
      <c r="B2317" s="0" t="s">
        <v>964</v>
      </c>
      <c r="C2317" s="0" t="s">
        <v>613</v>
      </c>
      <c r="D2317" s="0" t="n">
        <v>10.04412373</v>
      </c>
      <c r="E2317" s="0" t="n">
        <v>9.765092787</v>
      </c>
      <c r="F2317" s="0" t="n">
        <v>8.014884229</v>
      </c>
      <c r="G2317" s="0" t="n">
        <v>5.069899772</v>
      </c>
      <c r="H2317" s="0" t="n">
        <v>2.057835462</v>
      </c>
    </row>
    <row r="2318" customFormat="false" ht="15" hidden="false" customHeight="false" outlineLevel="0" collapsed="false">
      <c r="A2318" s="0" t="s">
        <v>3514</v>
      </c>
      <c r="B2318" s="0" t="s">
        <v>876</v>
      </c>
      <c r="C2318" s="0" t="s">
        <v>613</v>
      </c>
      <c r="D2318" s="0" t="n">
        <v>36.495</v>
      </c>
      <c r="E2318" s="0" t="n">
        <v>35.61643177</v>
      </c>
      <c r="F2318" s="0" t="n">
        <v>30.46824328</v>
      </c>
      <c r="G2318" s="0" t="n">
        <v>19.22512332</v>
      </c>
      <c r="H2318" s="0" t="n">
        <v>8.135155398</v>
      </c>
    </row>
    <row r="2319" customFormat="false" ht="15" hidden="false" customHeight="false" outlineLevel="0" collapsed="false">
      <c r="A2319" s="0" t="s">
        <v>3515</v>
      </c>
      <c r="B2319" s="0" t="s">
        <v>702</v>
      </c>
      <c r="C2319" s="0" t="s">
        <v>613</v>
      </c>
      <c r="D2319" s="0" t="n">
        <v>1316.091</v>
      </c>
      <c r="E2319" s="0" t="n">
        <v>1261.282881</v>
      </c>
      <c r="F2319" s="0" t="n">
        <v>925.1890399</v>
      </c>
      <c r="G2319" s="0" t="n">
        <v>377.1642375</v>
      </c>
      <c r="H2319" s="0" t="n">
        <v>120.7745417</v>
      </c>
    </row>
    <row r="2320" customFormat="false" ht="15" hidden="false" customHeight="false" outlineLevel="0" collapsed="false">
      <c r="A2320" s="0" t="s">
        <v>3516</v>
      </c>
      <c r="B2320" s="0" t="s">
        <v>780</v>
      </c>
      <c r="C2320" s="0" t="s">
        <v>613</v>
      </c>
      <c r="D2320" s="0" t="n">
        <v>322.744</v>
      </c>
      <c r="E2320" s="0" t="n">
        <v>321.8924347</v>
      </c>
      <c r="F2320" s="0" t="n">
        <v>294.5346907</v>
      </c>
      <c r="G2320" s="0" t="n">
        <v>199.7457008</v>
      </c>
      <c r="H2320" s="0" t="n">
        <v>73.40470275</v>
      </c>
    </row>
    <row r="2321" customFormat="false" ht="15" hidden="false" customHeight="false" outlineLevel="0" collapsed="false">
      <c r="A2321" s="0" t="s">
        <v>3517</v>
      </c>
      <c r="B2321" s="0" t="s">
        <v>814</v>
      </c>
      <c r="C2321" s="0" t="s">
        <v>613</v>
      </c>
      <c r="D2321" s="0" t="n">
        <v>119.389</v>
      </c>
      <c r="E2321" s="0" t="n">
        <v>114.5616167</v>
      </c>
      <c r="F2321" s="0" t="n">
        <v>89.16427318</v>
      </c>
      <c r="G2321" s="0" t="n">
        <v>67.64306484</v>
      </c>
      <c r="H2321" s="0" t="n">
        <v>45.44664023</v>
      </c>
    </row>
    <row r="2322" customFormat="false" ht="15" hidden="false" customHeight="false" outlineLevel="0" collapsed="false">
      <c r="A2322" s="0" t="s">
        <v>3518</v>
      </c>
      <c r="B2322" s="0" t="s">
        <v>946</v>
      </c>
      <c r="C2322" s="0" t="s">
        <v>613</v>
      </c>
      <c r="D2322" s="0" t="n">
        <v>22.672</v>
      </c>
      <c r="E2322" s="0" t="n">
        <v>22.25010742</v>
      </c>
      <c r="F2322" s="0" t="n">
        <v>18.07315929</v>
      </c>
      <c r="G2322" s="0" t="n">
        <v>12.49008743</v>
      </c>
      <c r="H2322" s="0" t="n">
        <v>7.148117886</v>
      </c>
    </row>
    <row r="2323" customFormat="false" ht="15" hidden="false" customHeight="false" outlineLevel="0" collapsed="false">
      <c r="A2323" s="0" t="s">
        <v>3519</v>
      </c>
      <c r="B2323" s="0" t="s">
        <v>886</v>
      </c>
      <c r="C2323" s="0" t="s">
        <v>613</v>
      </c>
      <c r="D2323" s="0" t="n">
        <v>84.73636614</v>
      </c>
      <c r="E2323" s="0" t="n">
        <v>77.88164317</v>
      </c>
      <c r="F2323" s="0" t="n">
        <v>42.20567992</v>
      </c>
      <c r="G2323" s="0" t="n">
        <v>30.45689424</v>
      </c>
      <c r="H2323" s="0" t="n">
        <v>17.31166019</v>
      </c>
    </row>
    <row r="2324" customFormat="false" ht="15" hidden="false" customHeight="false" outlineLevel="0" collapsed="false">
      <c r="A2324" s="0" t="s">
        <v>3520</v>
      </c>
      <c r="B2324" s="0" t="s">
        <v>1054</v>
      </c>
      <c r="C2324" s="0" t="s">
        <v>613</v>
      </c>
      <c r="D2324" s="0" t="n">
        <v>0.7058460644</v>
      </c>
      <c r="E2324" s="0" t="n">
        <v>0.7028985644</v>
      </c>
      <c r="F2324" s="0" t="n">
        <v>0.6708940619</v>
      </c>
      <c r="G2324" s="0" t="n">
        <v>0.4294880288</v>
      </c>
      <c r="H2324" s="0" t="n">
        <v>0.1326271052</v>
      </c>
    </row>
    <row r="2325" customFormat="false" ht="15" hidden="false" customHeight="false" outlineLevel="0" collapsed="false">
      <c r="A2325" s="0" t="s">
        <v>3521</v>
      </c>
      <c r="B2325" s="0" t="s">
        <v>716</v>
      </c>
      <c r="C2325" s="0" t="s">
        <v>613</v>
      </c>
      <c r="D2325" s="0" t="n">
        <v>825.612</v>
      </c>
      <c r="E2325" s="0" t="n">
        <v>790.5623765</v>
      </c>
      <c r="F2325" s="0" t="n">
        <v>598.6343222</v>
      </c>
      <c r="G2325" s="0" t="n">
        <v>254.4513139</v>
      </c>
      <c r="H2325" s="0" t="n">
        <v>84.69379746</v>
      </c>
    </row>
    <row r="2326" customFormat="false" ht="15" hidden="false" customHeight="false" outlineLevel="0" collapsed="false">
      <c r="A2326" s="0" t="s">
        <v>3522</v>
      </c>
      <c r="B2326" s="0" t="s">
        <v>812</v>
      </c>
      <c r="C2326" s="0" t="s">
        <v>613</v>
      </c>
      <c r="D2326" s="0" t="n">
        <v>184.7446653</v>
      </c>
      <c r="E2326" s="0" t="n">
        <v>182.2030112</v>
      </c>
      <c r="F2326" s="0" t="n">
        <v>147.1463628</v>
      </c>
      <c r="G2326" s="0" t="n">
        <v>88.02042119</v>
      </c>
      <c r="H2326" s="0" t="n">
        <v>36.40425482</v>
      </c>
    </row>
    <row r="2327" customFormat="false" ht="15" hidden="false" customHeight="false" outlineLevel="0" collapsed="false">
      <c r="A2327" s="0" t="s">
        <v>3523</v>
      </c>
      <c r="B2327" s="0" t="s">
        <v>972</v>
      </c>
      <c r="C2327" s="0" t="s">
        <v>613</v>
      </c>
      <c r="D2327" s="0" t="n">
        <v>53.894</v>
      </c>
      <c r="E2327" s="0" t="n">
        <v>49.64037251</v>
      </c>
      <c r="F2327" s="0" t="n">
        <v>28.16059349</v>
      </c>
      <c r="G2327" s="0" t="n">
        <v>19.61013856</v>
      </c>
      <c r="H2327" s="0" t="n">
        <v>10.96292011</v>
      </c>
    </row>
    <row r="2328" customFormat="false" ht="15" hidden="false" customHeight="false" outlineLevel="0" collapsed="false">
      <c r="A2328" s="0" t="s">
        <v>3524</v>
      </c>
      <c r="B2328" s="0" t="s">
        <v>922</v>
      </c>
      <c r="C2328" s="0" t="s">
        <v>613</v>
      </c>
      <c r="D2328" s="0" t="n">
        <v>46.29</v>
      </c>
      <c r="E2328" s="0" t="n">
        <v>45.96003627</v>
      </c>
      <c r="F2328" s="0" t="n">
        <v>41.74115881</v>
      </c>
      <c r="G2328" s="0" t="n">
        <v>28.42506567</v>
      </c>
      <c r="H2328" s="0" t="n">
        <v>11.79448649</v>
      </c>
    </row>
    <row r="2329" customFormat="false" ht="15" hidden="false" customHeight="false" outlineLevel="0" collapsed="false">
      <c r="A2329" s="0" t="s">
        <v>3525</v>
      </c>
      <c r="B2329" s="0" t="s">
        <v>1008</v>
      </c>
      <c r="C2329" s="0" t="s">
        <v>613</v>
      </c>
      <c r="D2329" s="0" t="n">
        <v>18.246</v>
      </c>
      <c r="E2329" s="0" t="n">
        <v>15.92821174</v>
      </c>
      <c r="F2329" s="0" t="n">
        <v>4.262692267</v>
      </c>
      <c r="G2329" s="0" t="n">
        <v>3.204549951</v>
      </c>
      <c r="H2329" s="0" t="n">
        <v>1.956364763</v>
      </c>
    </row>
    <row r="2330" customFormat="false" ht="15" hidden="false" customHeight="false" outlineLevel="0" collapsed="false">
      <c r="A2330" s="0" t="s">
        <v>3526</v>
      </c>
      <c r="B2330" s="0" t="s">
        <v>874</v>
      </c>
      <c r="C2330" s="0" t="s">
        <v>613</v>
      </c>
      <c r="D2330" s="0" t="n">
        <v>108.974</v>
      </c>
      <c r="E2330" s="0" t="n">
        <v>112.5133117</v>
      </c>
      <c r="F2330" s="0" t="n">
        <v>106.5897839</v>
      </c>
      <c r="G2330" s="0" t="n">
        <v>75.80708211</v>
      </c>
      <c r="H2330" s="0" t="n">
        <v>32.15557201</v>
      </c>
    </row>
    <row r="2331" customFormat="false" ht="15" hidden="false" customHeight="false" outlineLevel="0" collapsed="false">
      <c r="A2331" s="0" t="s">
        <v>3527</v>
      </c>
      <c r="B2331" s="0" t="s">
        <v>1032</v>
      </c>
      <c r="C2331" s="0" t="s">
        <v>613</v>
      </c>
      <c r="D2331" s="0" t="n">
        <v>1.008347719</v>
      </c>
      <c r="E2331" s="0" t="n">
        <v>0.9912508717</v>
      </c>
      <c r="F2331" s="0" t="n">
        <v>0.8899603812</v>
      </c>
      <c r="G2331" s="0" t="n">
        <v>0.5763768512</v>
      </c>
      <c r="H2331" s="0" t="n">
        <v>0.2079802583</v>
      </c>
    </row>
    <row r="2332" customFormat="false" ht="15" hidden="false" customHeight="false" outlineLevel="0" collapsed="false">
      <c r="A2332" s="0" t="s">
        <v>3528</v>
      </c>
      <c r="B2332" s="0" t="s">
        <v>840</v>
      </c>
      <c r="C2332" s="0" t="s">
        <v>613</v>
      </c>
      <c r="D2332" s="0" t="n">
        <v>41.94789409</v>
      </c>
      <c r="E2332" s="0" t="n">
        <v>40.52277313</v>
      </c>
      <c r="F2332" s="0" t="n">
        <v>32.77045181</v>
      </c>
      <c r="G2332" s="0" t="n">
        <v>22.68097437</v>
      </c>
      <c r="H2332" s="0" t="n">
        <v>11.60341452</v>
      </c>
    </row>
    <row r="2333" customFormat="false" ht="15" hidden="false" customHeight="false" outlineLevel="0" collapsed="false">
      <c r="A2333" s="0" t="s">
        <v>3529</v>
      </c>
      <c r="B2333" s="0" t="s">
        <v>1034</v>
      </c>
      <c r="C2333" s="0" t="s">
        <v>613</v>
      </c>
      <c r="D2333" s="0" t="n">
        <v>6.80587711</v>
      </c>
      <c r="E2333" s="0" t="n">
        <v>6.667945254</v>
      </c>
      <c r="F2333" s="0" t="n">
        <v>5.81555452</v>
      </c>
      <c r="G2333" s="0" t="n">
        <v>4.181820713</v>
      </c>
      <c r="H2333" s="0" t="n">
        <v>1.936399125</v>
      </c>
    </row>
    <row r="2334" customFormat="false" ht="15" hidden="false" customHeight="false" outlineLevel="0" collapsed="false">
      <c r="A2334" s="0" t="s">
        <v>3530</v>
      </c>
      <c r="B2334" s="0" t="s">
        <v>856</v>
      </c>
      <c r="C2334" s="0" t="s">
        <v>613</v>
      </c>
      <c r="D2334" s="0" t="n">
        <v>21.85</v>
      </c>
      <c r="E2334" s="0" t="n">
        <v>21.19036078</v>
      </c>
      <c r="F2334" s="0" t="n">
        <v>17.18025036</v>
      </c>
      <c r="G2334" s="0" t="n">
        <v>9.76811005</v>
      </c>
      <c r="H2334" s="0" t="n">
        <v>4.422229893</v>
      </c>
    </row>
    <row r="2335" customFormat="false" ht="15" hidden="false" customHeight="false" outlineLevel="0" collapsed="false">
      <c r="A2335" s="0" t="s">
        <v>3531</v>
      </c>
      <c r="B2335" s="0" t="s">
        <v>854</v>
      </c>
      <c r="C2335" s="0" t="s">
        <v>613</v>
      </c>
      <c r="D2335" s="0" t="n">
        <v>8.861</v>
      </c>
      <c r="E2335" s="0" t="n">
        <v>8.530161096</v>
      </c>
      <c r="F2335" s="0" t="n">
        <v>6.800032168</v>
      </c>
      <c r="G2335" s="0" t="n">
        <v>3.503861256</v>
      </c>
      <c r="H2335" s="0" t="n">
        <v>1.347084</v>
      </c>
    </row>
    <row r="2336" customFormat="false" ht="15" hidden="false" customHeight="false" outlineLevel="0" collapsed="false">
      <c r="A2336" s="0" t="s">
        <v>3532</v>
      </c>
      <c r="B2336" s="0" t="s">
        <v>894</v>
      </c>
      <c r="C2336" s="0" t="s">
        <v>613</v>
      </c>
      <c r="D2336" s="0" t="n">
        <v>12.693</v>
      </c>
      <c r="E2336" s="0" t="n">
        <v>12.02457796</v>
      </c>
      <c r="F2336" s="0" t="n">
        <v>8.347357909</v>
      </c>
      <c r="G2336" s="0" t="n">
        <v>4.693420438</v>
      </c>
      <c r="H2336" s="0" t="n">
        <v>2.238304928</v>
      </c>
    </row>
    <row r="2337" customFormat="false" ht="15" hidden="false" customHeight="false" outlineLevel="0" collapsed="false">
      <c r="A2337" s="0" t="s">
        <v>3533</v>
      </c>
      <c r="B2337" s="0" t="s">
        <v>882</v>
      </c>
      <c r="C2337" s="0" t="s">
        <v>613</v>
      </c>
      <c r="D2337" s="0" t="n">
        <v>2.695576093</v>
      </c>
      <c r="E2337" s="0" t="n">
        <v>2.589193858</v>
      </c>
      <c r="F2337" s="0" t="n">
        <v>1.747465742</v>
      </c>
      <c r="G2337" s="0" t="n">
        <v>0.4927523371</v>
      </c>
      <c r="H2337" s="0" t="n">
        <v>0.1876862458</v>
      </c>
    </row>
    <row r="2338" customFormat="false" ht="15" hidden="false" customHeight="false" outlineLevel="0" collapsed="false">
      <c r="A2338" s="0" t="s">
        <v>3534</v>
      </c>
      <c r="B2338" s="0" t="s">
        <v>808</v>
      </c>
      <c r="C2338" s="0" t="s">
        <v>613</v>
      </c>
      <c r="D2338" s="0" t="n">
        <v>104.079</v>
      </c>
      <c r="E2338" s="0" t="n">
        <v>102.1780493</v>
      </c>
      <c r="F2338" s="0" t="n">
        <v>90.10263095</v>
      </c>
      <c r="G2338" s="0" t="n">
        <v>62.2612809</v>
      </c>
      <c r="H2338" s="0" t="n">
        <v>27.41769119</v>
      </c>
    </row>
    <row r="2339" customFormat="false" ht="15" hidden="false" customHeight="false" outlineLevel="0" collapsed="false">
      <c r="A2339" s="0" t="s">
        <v>3535</v>
      </c>
      <c r="B2339" s="0" t="s">
        <v>966</v>
      </c>
      <c r="C2339" s="0" t="s">
        <v>613</v>
      </c>
      <c r="D2339" s="0" t="n">
        <v>14.178</v>
      </c>
      <c r="E2339" s="0" t="n">
        <v>13.82719791</v>
      </c>
      <c r="F2339" s="0" t="n">
        <v>11.7089993</v>
      </c>
      <c r="G2339" s="0" t="n">
        <v>7.820502337</v>
      </c>
      <c r="H2339" s="0" t="n">
        <v>3.283738617</v>
      </c>
    </row>
    <row r="2340" customFormat="false" ht="15" hidden="false" customHeight="false" outlineLevel="0" collapsed="false">
      <c r="A2340" s="0" t="s">
        <v>3536</v>
      </c>
      <c r="B2340" s="0" t="s">
        <v>960</v>
      </c>
      <c r="C2340" s="0" t="s">
        <v>613</v>
      </c>
      <c r="D2340" s="0" t="n">
        <v>48.36041459</v>
      </c>
      <c r="E2340" s="0" t="n">
        <v>45.06123507</v>
      </c>
      <c r="F2340" s="0" t="n">
        <v>28.53427884</v>
      </c>
      <c r="G2340" s="0" t="n">
        <v>21.87803187</v>
      </c>
      <c r="H2340" s="0" t="n">
        <v>14.77035544</v>
      </c>
    </row>
    <row r="2341" customFormat="false" ht="15" hidden="false" customHeight="false" outlineLevel="0" collapsed="false">
      <c r="A2341" s="0" t="s">
        <v>3537</v>
      </c>
      <c r="B2341" s="0" t="s">
        <v>1002</v>
      </c>
      <c r="C2341" s="0" t="s">
        <v>613</v>
      </c>
      <c r="D2341" s="0" t="n">
        <v>3.698208539</v>
      </c>
      <c r="E2341" s="0" t="n">
        <v>3.734392257</v>
      </c>
      <c r="F2341" s="0" t="n">
        <v>3.532764865</v>
      </c>
      <c r="G2341" s="0" t="n">
        <v>2.304896511</v>
      </c>
      <c r="H2341" s="0" t="n">
        <v>0.7713446706</v>
      </c>
    </row>
    <row r="2342" customFormat="false" ht="15" hidden="false" customHeight="false" outlineLevel="0" collapsed="false">
      <c r="A2342" s="0" t="s">
        <v>3538</v>
      </c>
      <c r="B2342" s="0" t="s">
        <v>720</v>
      </c>
      <c r="C2342" s="0" t="s">
        <v>613</v>
      </c>
      <c r="D2342" s="0" t="n">
        <v>959.826</v>
      </c>
      <c r="E2342" s="0" t="n">
        <v>925.3202733</v>
      </c>
      <c r="F2342" s="0" t="n">
        <v>758.5247846</v>
      </c>
      <c r="G2342" s="0" t="n">
        <v>509.7210855</v>
      </c>
      <c r="H2342" s="0" t="n">
        <v>248.2155621</v>
      </c>
    </row>
    <row r="2343" customFormat="false" ht="15" hidden="false" customHeight="false" outlineLevel="0" collapsed="false">
      <c r="A2343" s="0" t="s">
        <v>3539</v>
      </c>
      <c r="B2343" s="0" t="s">
        <v>970</v>
      </c>
      <c r="C2343" s="0" t="s">
        <v>613</v>
      </c>
      <c r="D2343" s="0" t="n">
        <v>12.22</v>
      </c>
      <c r="E2343" s="0" t="n">
        <v>11.97683738</v>
      </c>
      <c r="F2343" s="0" t="n">
        <v>10.38714212</v>
      </c>
      <c r="G2343" s="0" t="n">
        <v>6.718412175</v>
      </c>
      <c r="H2343" s="0" t="n">
        <v>2.953721534</v>
      </c>
    </row>
    <row r="2344" customFormat="false" ht="15" hidden="false" customHeight="false" outlineLevel="0" collapsed="false">
      <c r="A2344" s="0" t="s">
        <v>3540</v>
      </c>
      <c r="B2344" s="0" t="s">
        <v>918</v>
      </c>
      <c r="C2344" s="0" t="s">
        <v>613</v>
      </c>
      <c r="D2344" s="0" t="n">
        <v>55.06081625</v>
      </c>
      <c r="E2344" s="0" t="n">
        <v>53.03840886</v>
      </c>
      <c r="F2344" s="0" t="n">
        <v>42.70397299</v>
      </c>
      <c r="G2344" s="0" t="n">
        <v>32.97947469</v>
      </c>
      <c r="H2344" s="0" t="n">
        <v>20.50564515</v>
      </c>
    </row>
    <row r="2345" customFormat="false" ht="15" hidden="false" customHeight="false" outlineLevel="0" collapsed="false">
      <c r="A2345" s="0" t="s">
        <v>3541</v>
      </c>
      <c r="B2345" s="0" t="s">
        <v>936</v>
      </c>
      <c r="C2345" s="0" t="s">
        <v>613</v>
      </c>
      <c r="D2345" s="0" t="n">
        <v>2.658025093</v>
      </c>
      <c r="E2345" s="0" t="n">
        <v>2.562601211</v>
      </c>
      <c r="F2345" s="0" t="n">
        <v>1.901068552</v>
      </c>
      <c r="G2345" s="0" t="n">
        <v>0.7790180678</v>
      </c>
      <c r="H2345" s="0" t="n">
        <v>0.3860533933</v>
      </c>
    </row>
    <row r="2346" customFormat="false" ht="15" hidden="false" customHeight="false" outlineLevel="0" collapsed="false">
      <c r="A2346" s="0" t="s">
        <v>3542</v>
      </c>
      <c r="B2346" s="0" t="s">
        <v>862</v>
      </c>
      <c r="C2346" s="0" t="s">
        <v>613</v>
      </c>
      <c r="D2346" s="0" t="n">
        <v>310.039</v>
      </c>
      <c r="E2346" s="0" t="n">
        <v>279.1253556</v>
      </c>
      <c r="F2346" s="0" t="n">
        <v>129.2726014</v>
      </c>
      <c r="G2346" s="0" t="n">
        <v>97.86594372</v>
      </c>
      <c r="H2346" s="0" t="n">
        <v>62.58021423</v>
      </c>
    </row>
    <row r="2347" customFormat="false" ht="15" hidden="false" customHeight="false" outlineLevel="0" collapsed="false">
      <c r="A2347" s="0" t="s">
        <v>3543</v>
      </c>
      <c r="B2347" s="0" t="s">
        <v>996</v>
      </c>
      <c r="C2347" s="0" t="s">
        <v>613</v>
      </c>
      <c r="D2347" s="0" t="n">
        <v>2.312309182</v>
      </c>
      <c r="E2347" s="0" t="n">
        <v>2.242146137</v>
      </c>
      <c r="F2347" s="0" t="n">
        <v>1.788871061</v>
      </c>
      <c r="G2347" s="0" t="n">
        <v>0.7525332285</v>
      </c>
      <c r="H2347" s="0" t="n">
        <v>0.3413543001</v>
      </c>
    </row>
    <row r="2348" customFormat="false" ht="15" hidden="false" customHeight="false" outlineLevel="0" collapsed="false">
      <c r="A2348" s="0" t="s">
        <v>3544</v>
      </c>
      <c r="B2348" s="0" t="s">
        <v>928</v>
      </c>
      <c r="C2348" s="0" t="s">
        <v>613</v>
      </c>
      <c r="D2348" s="0" t="n">
        <v>86.509</v>
      </c>
      <c r="E2348" s="0" t="n">
        <v>81.16738262</v>
      </c>
      <c r="F2348" s="0" t="n">
        <v>52.4063082</v>
      </c>
      <c r="G2348" s="0" t="n">
        <v>37.22819341</v>
      </c>
      <c r="H2348" s="0" t="n">
        <v>19.66420868</v>
      </c>
    </row>
    <row r="2349" customFormat="false" ht="15" hidden="false" customHeight="false" outlineLevel="0" collapsed="false">
      <c r="A2349" s="0" t="s">
        <v>3545</v>
      </c>
      <c r="B2349" s="0" t="s">
        <v>954</v>
      </c>
      <c r="C2349" s="0" t="s">
        <v>613</v>
      </c>
      <c r="D2349" s="0" t="n">
        <v>104.042</v>
      </c>
      <c r="E2349" s="0" t="n">
        <v>91.50178141</v>
      </c>
      <c r="F2349" s="0" t="n">
        <v>28.95965932</v>
      </c>
      <c r="G2349" s="0" t="n">
        <v>21.55264814</v>
      </c>
      <c r="H2349" s="0" t="n">
        <v>14.26012459</v>
      </c>
    </row>
    <row r="2350" customFormat="false" ht="15" hidden="false" customHeight="false" outlineLevel="0" collapsed="false">
      <c r="A2350" s="0" t="s">
        <v>3546</v>
      </c>
      <c r="B2350" s="0" t="s">
        <v>988</v>
      </c>
      <c r="C2350" s="0" t="s">
        <v>613</v>
      </c>
      <c r="D2350" s="0" t="n">
        <v>19.12408036</v>
      </c>
      <c r="E2350" s="0" t="n">
        <v>18.55460506</v>
      </c>
      <c r="F2350" s="0" t="n">
        <v>15.48629373</v>
      </c>
      <c r="G2350" s="0" t="n">
        <v>11.83861695</v>
      </c>
      <c r="H2350" s="0" t="n">
        <v>6.867966759</v>
      </c>
    </row>
    <row r="2351" customFormat="false" ht="15" hidden="false" customHeight="false" outlineLevel="0" collapsed="false">
      <c r="A2351" s="0" t="s">
        <v>3547</v>
      </c>
      <c r="B2351" s="0" t="s">
        <v>974</v>
      </c>
      <c r="C2351" s="0" t="s">
        <v>613</v>
      </c>
      <c r="D2351" s="0" t="n">
        <v>6.966</v>
      </c>
      <c r="E2351" s="0" t="n">
        <v>6.798054097</v>
      </c>
      <c r="F2351" s="0" t="n">
        <v>5.844714294</v>
      </c>
      <c r="G2351" s="0" t="n">
        <v>3.571585912</v>
      </c>
      <c r="H2351" s="0" t="n">
        <v>1.353758422</v>
      </c>
    </row>
    <row r="2352" customFormat="false" ht="15" hidden="false" customHeight="false" outlineLevel="0" collapsed="false">
      <c r="A2352" s="0" t="s">
        <v>3548</v>
      </c>
      <c r="B2352" s="0" t="s">
        <v>992</v>
      </c>
      <c r="C2352" s="0" t="s">
        <v>613</v>
      </c>
      <c r="D2352" s="0" t="n">
        <v>29.604</v>
      </c>
      <c r="E2352" s="0" t="n">
        <v>27.30797047</v>
      </c>
      <c r="F2352" s="0" t="n">
        <v>15.76994365</v>
      </c>
      <c r="G2352" s="0" t="n">
        <v>11.65517364</v>
      </c>
      <c r="H2352" s="0" t="n">
        <v>7.505789711</v>
      </c>
    </row>
    <row r="2353" customFormat="false" ht="15" hidden="false" customHeight="false" outlineLevel="0" collapsed="false">
      <c r="A2353" s="0" t="s">
        <v>3549</v>
      </c>
      <c r="B2353" s="0" t="s">
        <v>760</v>
      </c>
      <c r="C2353" s="0" t="s">
        <v>613</v>
      </c>
      <c r="D2353" s="0" t="n">
        <v>409.34</v>
      </c>
      <c r="E2353" s="0" t="n">
        <v>397.8973535</v>
      </c>
      <c r="F2353" s="0" t="n">
        <v>324.9271422</v>
      </c>
      <c r="G2353" s="0" t="n">
        <v>213.9096916</v>
      </c>
      <c r="H2353" s="0" t="n">
        <v>81.15519247</v>
      </c>
    </row>
    <row r="2354" customFormat="false" ht="15" hidden="false" customHeight="false" outlineLevel="0" collapsed="false">
      <c r="A2354" s="0" t="s">
        <v>3550</v>
      </c>
      <c r="B2354" s="0" t="s">
        <v>982</v>
      </c>
      <c r="C2354" s="0" t="s">
        <v>613</v>
      </c>
      <c r="D2354" s="0" t="n">
        <v>23.616</v>
      </c>
      <c r="E2354" s="0" t="n">
        <v>21.4301094</v>
      </c>
      <c r="F2354" s="0" t="n">
        <v>10.35316881</v>
      </c>
      <c r="G2354" s="0" t="n">
        <v>7.635052938</v>
      </c>
      <c r="H2354" s="0" t="n">
        <v>4.848538151</v>
      </c>
    </row>
    <row r="2355" customFormat="false" ht="15" hidden="false" customHeight="false" outlineLevel="0" collapsed="false">
      <c r="A2355" s="0" t="s">
        <v>3551</v>
      </c>
      <c r="B2355" s="0" t="s">
        <v>940</v>
      </c>
      <c r="C2355" s="0" t="s">
        <v>613</v>
      </c>
      <c r="D2355" s="0" t="n">
        <v>46.64930443</v>
      </c>
      <c r="E2355" s="0" t="n">
        <v>44.42522358</v>
      </c>
      <c r="F2355" s="0" t="n">
        <v>33.12997239</v>
      </c>
      <c r="G2355" s="0" t="n">
        <v>25.77722688</v>
      </c>
      <c r="H2355" s="0" t="n">
        <v>17.65252852</v>
      </c>
    </row>
    <row r="2356" customFormat="false" ht="15" hidden="false" customHeight="false" outlineLevel="0" collapsed="false">
      <c r="A2356" s="0" t="s">
        <v>3552</v>
      </c>
      <c r="B2356" s="0" t="s">
        <v>792</v>
      </c>
      <c r="C2356" s="0" t="s">
        <v>613</v>
      </c>
      <c r="D2356" s="0" t="n">
        <v>468.575</v>
      </c>
      <c r="E2356" s="0" t="n">
        <v>446.2927178</v>
      </c>
      <c r="F2356" s="0" t="n">
        <v>330.5924188</v>
      </c>
      <c r="G2356" s="0" t="n">
        <v>248.3654908</v>
      </c>
      <c r="H2356" s="0" t="n">
        <v>151.3431333</v>
      </c>
    </row>
    <row r="2357" customFormat="false" ht="15" hidden="false" customHeight="false" outlineLevel="0" collapsed="false">
      <c r="A2357" s="0" t="s">
        <v>3553</v>
      </c>
      <c r="B2357" s="0" t="s">
        <v>948</v>
      </c>
      <c r="C2357" s="0" t="s">
        <v>613</v>
      </c>
      <c r="D2357" s="0" t="n">
        <v>41.17907489</v>
      </c>
      <c r="E2357" s="0" t="n">
        <v>37.29035857</v>
      </c>
      <c r="F2357" s="0" t="n">
        <v>17.34506289</v>
      </c>
      <c r="G2357" s="0" t="n">
        <v>13.03230506</v>
      </c>
      <c r="H2357" s="0" t="n">
        <v>8.013366347</v>
      </c>
    </row>
    <row r="2358" customFormat="false" ht="15" hidden="false" customHeight="false" outlineLevel="0" collapsed="false">
      <c r="A2358" s="0" t="s">
        <v>3554</v>
      </c>
      <c r="B2358" s="0" t="s">
        <v>730</v>
      </c>
      <c r="C2358" s="0" t="s">
        <v>613</v>
      </c>
      <c r="D2358" s="0" t="n">
        <v>155.8126752</v>
      </c>
      <c r="E2358" s="0" t="n">
        <v>150.044669</v>
      </c>
      <c r="F2358" s="0" t="n">
        <v>112.6057722</v>
      </c>
      <c r="G2358" s="0" t="n">
        <v>51.52755723</v>
      </c>
      <c r="H2358" s="0" t="n">
        <v>19.76904451</v>
      </c>
    </row>
    <row r="2359" customFormat="false" ht="15" hidden="false" customHeight="false" outlineLevel="0" collapsed="false">
      <c r="A2359" s="0" t="s">
        <v>3555</v>
      </c>
      <c r="B2359" s="0" t="s">
        <v>762</v>
      </c>
      <c r="C2359" s="0" t="s">
        <v>613</v>
      </c>
      <c r="D2359" s="0" t="n">
        <v>49.318</v>
      </c>
      <c r="E2359" s="0" t="n">
        <v>47.65269173</v>
      </c>
      <c r="F2359" s="0" t="n">
        <v>38.82308616</v>
      </c>
      <c r="G2359" s="0" t="n">
        <v>22.54265969</v>
      </c>
      <c r="H2359" s="0" t="n">
        <v>8.414274969</v>
      </c>
    </row>
    <row r="2360" customFormat="false" ht="15" hidden="false" customHeight="false" outlineLevel="0" collapsed="false">
      <c r="A2360" s="0" t="s">
        <v>3556</v>
      </c>
      <c r="B2360" s="0" t="s">
        <v>892</v>
      </c>
      <c r="C2360" s="0" t="s">
        <v>613</v>
      </c>
      <c r="D2360" s="0" t="n">
        <v>61.605</v>
      </c>
      <c r="E2360" s="0" t="n">
        <v>59.04588302</v>
      </c>
      <c r="F2360" s="0" t="n">
        <v>45.12433988</v>
      </c>
      <c r="G2360" s="0" t="n">
        <v>34.16419899</v>
      </c>
      <c r="H2360" s="0" t="n">
        <v>21.81698849</v>
      </c>
    </row>
    <row r="2361" customFormat="false" ht="15" hidden="false" customHeight="false" outlineLevel="0" collapsed="false">
      <c r="A2361" s="0" t="s">
        <v>3557</v>
      </c>
      <c r="B2361" s="0" t="s">
        <v>1064</v>
      </c>
      <c r="C2361" s="0" t="s">
        <v>613</v>
      </c>
      <c r="D2361" s="0" t="n">
        <v>0.1322536747</v>
      </c>
      <c r="E2361" s="0" t="n">
        <v>0.1328605436</v>
      </c>
      <c r="F2361" s="0" t="n">
        <v>0.1302647339</v>
      </c>
      <c r="G2361" s="0" t="n">
        <v>0.0896680453</v>
      </c>
      <c r="H2361" s="0" t="n">
        <v>0.02887277432</v>
      </c>
    </row>
    <row r="2362" customFormat="false" ht="15" hidden="false" customHeight="false" outlineLevel="0" collapsed="false">
      <c r="A2362" s="0" t="s">
        <v>3558</v>
      </c>
      <c r="B2362" s="0" t="s">
        <v>796</v>
      </c>
      <c r="C2362" s="0" t="s">
        <v>613</v>
      </c>
      <c r="D2362" s="0" t="n">
        <v>75.344</v>
      </c>
      <c r="E2362" s="0" t="n">
        <v>71.97595815</v>
      </c>
      <c r="F2362" s="0" t="n">
        <v>55.51657615</v>
      </c>
      <c r="G2362" s="0" t="n">
        <v>35.41190674</v>
      </c>
      <c r="H2362" s="0" t="n">
        <v>20.90913649</v>
      </c>
    </row>
    <row r="2363" customFormat="false" ht="15" hidden="false" customHeight="false" outlineLevel="0" collapsed="false">
      <c r="A2363" s="0" t="s">
        <v>3559</v>
      </c>
      <c r="B2363" s="0" t="s">
        <v>832</v>
      </c>
      <c r="C2363" s="0" t="s">
        <v>613</v>
      </c>
      <c r="D2363" s="0" t="n">
        <v>145.358</v>
      </c>
      <c r="E2363" s="0" t="n">
        <v>141.7362369</v>
      </c>
      <c r="F2363" s="0" t="n">
        <v>122.8062552</v>
      </c>
      <c r="G2363" s="0" t="n">
        <v>80.32905312</v>
      </c>
      <c r="H2363" s="0" t="n">
        <v>33.58236716</v>
      </c>
    </row>
    <row r="2364" customFormat="false" ht="15" hidden="false" customHeight="false" outlineLevel="0" collapsed="false">
      <c r="A2364" s="0" t="s">
        <v>3560</v>
      </c>
      <c r="B2364" s="0" t="s">
        <v>772</v>
      </c>
      <c r="C2364" s="0" t="s">
        <v>613</v>
      </c>
      <c r="D2364" s="0" t="n">
        <v>546.769</v>
      </c>
      <c r="E2364" s="0" t="n">
        <v>526.1007685</v>
      </c>
      <c r="F2364" s="0" t="n">
        <v>419.2189575</v>
      </c>
      <c r="G2364" s="0" t="n">
        <v>300.0396443</v>
      </c>
      <c r="H2364" s="0" t="n">
        <v>179.760092</v>
      </c>
    </row>
    <row r="2365" customFormat="false" ht="15" hidden="false" customHeight="false" outlineLevel="0" collapsed="false">
      <c r="A2365" s="0" t="s">
        <v>3561</v>
      </c>
      <c r="B2365" s="0" t="s">
        <v>848</v>
      </c>
      <c r="C2365" s="0" t="s">
        <v>613</v>
      </c>
      <c r="D2365" s="0" t="n">
        <v>24.855</v>
      </c>
      <c r="E2365" s="0" t="n">
        <v>23.81548404</v>
      </c>
      <c r="F2365" s="0" t="n">
        <v>17.76093752</v>
      </c>
      <c r="G2365" s="0" t="n">
        <v>11.63516252</v>
      </c>
      <c r="H2365" s="0" t="n">
        <v>5.554816705</v>
      </c>
    </row>
    <row r="2366" customFormat="false" ht="15" hidden="false" customHeight="false" outlineLevel="0" collapsed="false">
      <c r="A2366" s="0" t="s">
        <v>3562</v>
      </c>
      <c r="B2366" s="0" t="s">
        <v>784</v>
      </c>
      <c r="C2366" s="0" t="s">
        <v>613</v>
      </c>
      <c r="D2366" s="0" t="n">
        <v>190.373</v>
      </c>
      <c r="E2366" s="0" t="n">
        <v>173.6210608</v>
      </c>
      <c r="F2366" s="0" t="n">
        <v>86.25354268</v>
      </c>
      <c r="G2366" s="0" t="n">
        <v>57.20380723</v>
      </c>
      <c r="H2366" s="0" t="n">
        <v>30.82553598</v>
      </c>
    </row>
    <row r="2367" customFormat="false" ht="15" hidden="false" customHeight="false" outlineLevel="0" collapsed="false">
      <c r="A2367" s="0" t="s">
        <v>3563</v>
      </c>
      <c r="B2367" s="0" t="s">
        <v>754</v>
      </c>
      <c r="C2367" s="0" t="s">
        <v>613</v>
      </c>
      <c r="D2367" s="0" t="n">
        <v>273.064</v>
      </c>
      <c r="E2367" s="0" t="n">
        <v>266.4910995</v>
      </c>
      <c r="F2367" s="0" t="n">
        <v>226.6378234</v>
      </c>
      <c r="G2367" s="0" t="n">
        <v>153.3368802</v>
      </c>
      <c r="H2367" s="0" t="n">
        <v>70.7972431</v>
      </c>
    </row>
    <row r="2368" customFormat="false" ht="15" hidden="false" customHeight="false" outlineLevel="0" collapsed="false">
      <c r="A2368" s="0" t="s">
        <v>3564</v>
      </c>
      <c r="B2368" s="0" t="s">
        <v>1062</v>
      </c>
      <c r="C2368" s="0" t="s">
        <v>613</v>
      </c>
      <c r="D2368" s="0" t="n">
        <v>1.403</v>
      </c>
      <c r="E2368" s="0" t="n">
        <v>1.374680327</v>
      </c>
      <c r="F2368" s="0" t="n">
        <v>1.189853297</v>
      </c>
      <c r="G2368" s="0" t="n">
        <v>0.7493421823</v>
      </c>
      <c r="H2368" s="0" t="n">
        <v>0.2900878549</v>
      </c>
    </row>
    <row r="2369" customFormat="false" ht="15" hidden="false" customHeight="false" outlineLevel="0" collapsed="false">
      <c r="A2369" s="0" t="s">
        <v>3565</v>
      </c>
      <c r="B2369" s="0" t="s">
        <v>912</v>
      </c>
      <c r="C2369" s="0" t="s">
        <v>613</v>
      </c>
      <c r="D2369" s="0" t="n">
        <v>45.68537536</v>
      </c>
      <c r="E2369" s="0" t="n">
        <v>40.29110036</v>
      </c>
      <c r="F2369" s="0" t="n">
        <v>12.30983018</v>
      </c>
      <c r="G2369" s="0" t="n">
        <v>9.086228354</v>
      </c>
      <c r="H2369" s="0" t="n">
        <v>4.02297721</v>
      </c>
    </row>
    <row r="2370" customFormat="false" ht="15" hidden="false" customHeight="false" outlineLevel="0" collapsed="false">
      <c r="A2370" s="0" t="s">
        <v>3566</v>
      </c>
      <c r="B2370" s="0" t="s">
        <v>732</v>
      </c>
      <c r="C2370" s="0" t="s">
        <v>613</v>
      </c>
      <c r="D2370" s="0" t="n">
        <v>423.937</v>
      </c>
      <c r="E2370" s="0" t="n">
        <v>418.2678173</v>
      </c>
      <c r="F2370" s="0" t="n">
        <v>372.4045637</v>
      </c>
      <c r="G2370" s="0" t="n">
        <v>218.1934695</v>
      </c>
      <c r="H2370" s="0" t="n">
        <v>66.7253113</v>
      </c>
    </row>
    <row r="2371" customFormat="false" ht="15" hidden="false" customHeight="false" outlineLevel="0" collapsed="false">
      <c r="A2371" s="0" t="s">
        <v>3567</v>
      </c>
      <c r="B2371" s="0" t="s">
        <v>834</v>
      </c>
      <c r="C2371" s="0" t="s">
        <v>613</v>
      </c>
      <c r="D2371" s="0" t="n">
        <v>16.167</v>
      </c>
      <c r="E2371" s="0" t="n">
        <v>15.71372913</v>
      </c>
      <c r="F2371" s="0" t="n">
        <v>12.97630791</v>
      </c>
      <c r="G2371" s="0" t="n">
        <v>6.536268187</v>
      </c>
      <c r="H2371" s="0" t="n">
        <v>2.676426386</v>
      </c>
    </row>
    <row r="2372" customFormat="false" ht="15" hidden="false" customHeight="false" outlineLevel="0" collapsed="false">
      <c r="A2372" s="0" t="s">
        <v>3568</v>
      </c>
      <c r="B2372" s="0" t="s">
        <v>786</v>
      </c>
      <c r="C2372" s="0" t="s">
        <v>613</v>
      </c>
      <c r="D2372" s="0" t="n">
        <v>62.361</v>
      </c>
      <c r="E2372" s="0" t="n">
        <v>60.14784988</v>
      </c>
      <c r="F2372" s="0" t="n">
        <v>47.36410172</v>
      </c>
      <c r="G2372" s="0" t="n">
        <v>26.62149999</v>
      </c>
      <c r="H2372" s="0" t="n">
        <v>11.88645775</v>
      </c>
    </row>
    <row r="2373" customFormat="false" ht="15" hidden="false" customHeight="false" outlineLevel="0" collapsed="false">
      <c r="A2373" s="0" t="s">
        <v>3569</v>
      </c>
      <c r="B2373" s="0" t="s">
        <v>888</v>
      </c>
      <c r="C2373" s="0" t="s">
        <v>613</v>
      </c>
      <c r="D2373" s="0" t="n">
        <v>100.565</v>
      </c>
      <c r="E2373" s="0" t="n">
        <v>91.5052843</v>
      </c>
      <c r="F2373" s="0" t="n">
        <v>44.52618983</v>
      </c>
      <c r="G2373" s="0" t="n">
        <v>33.29637803</v>
      </c>
      <c r="H2373" s="0" t="n">
        <v>20.76215584</v>
      </c>
    </row>
    <row r="2374" customFormat="false" ht="15" hidden="false" customHeight="false" outlineLevel="0" collapsed="false">
      <c r="A2374" s="0" t="s">
        <v>3570</v>
      </c>
      <c r="B2374" s="0" t="s">
        <v>816</v>
      </c>
      <c r="C2374" s="0" t="s">
        <v>613</v>
      </c>
      <c r="D2374" s="0" t="n">
        <v>208.241</v>
      </c>
      <c r="E2374" s="0" t="n">
        <v>202.8416465</v>
      </c>
      <c r="F2374" s="0" t="n">
        <v>141.5476823</v>
      </c>
      <c r="G2374" s="0" t="n">
        <v>90.31320292</v>
      </c>
      <c r="H2374" s="0" t="n">
        <v>51.53771155</v>
      </c>
    </row>
    <row r="2375" customFormat="false" ht="15" hidden="false" customHeight="false" outlineLevel="0" collapsed="false">
      <c r="A2375" s="0" t="s">
        <v>3571</v>
      </c>
      <c r="B2375" s="0" t="s">
        <v>776</v>
      </c>
      <c r="C2375" s="0" t="s">
        <v>613</v>
      </c>
      <c r="D2375" s="0" t="n">
        <v>130.282</v>
      </c>
      <c r="E2375" s="0" t="n">
        <v>125.9910726</v>
      </c>
      <c r="F2375" s="0" t="n">
        <v>103.5534231</v>
      </c>
      <c r="G2375" s="0" t="n">
        <v>68.02419167</v>
      </c>
      <c r="H2375" s="0" t="n">
        <v>31.98086767</v>
      </c>
    </row>
    <row r="2376" customFormat="false" ht="15" hidden="false" customHeight="false" outlineLevel="0" collapsed="false">
      <c r="A2376" s="0" t="s">
        <v>3572</v>
      </c>
      <c r="B2376" s="0" t="s">
        <v>714</v>
      </c>
      <c r="C2376" s="0" t="s">
        <v>613</v>
      </c>
      <c r="D2376" s="0" t="n">
        <v>2446.295</v>
      </c>
      <c r="E2376" s="0" t="n">
        <v>2392.199359</v>
      </c>
      <c r="F2376" s="0" t="n">
        <v>2079.004802</v>
      </c>
      <c r="G2376" s="0" t="n">
        <v>1307.589345</v>
      </c>
      <c r="H2376" s="0" t="n">
        <v>447.8180258</v>
      </c>
    </row>
    <row r="2377" customFormat="false" ht="15" hidden="false" customHeight="false" outlineLevel="0" collapsed="false">
      <c r="A2377" s="0" t="s">
        <v>3573</v>
      </c>
      <c r="B2377" s="0" t="s">
        <v>958</v>
      </c>
      <c r="C2377" s="0" t="s">
        <v>613</v>
      </c>
      <c r="D2377" s="0" t="n">
        <v>10.949</v>
      </c>
      <c r="E2377" s="0" t="n">
        <v>10.38784604</v>
      </c>
      <c r="F2377" s="0" t="n">
        <v>7.512165235</v>
      </c>
      <c r="G2377" s="0" t="n">
        <v>5.785749832</v>
      </c>
      <c r="H2377" s="0" t="n">
        <v>3.687374163</v>
      </c>
    </row>
    <row r="2378" customFormat="false" ht="15" hidden="false" customHeight="false" outlineLevel="0" collapsed="false">
      <c r="A2378" s="0" t="s">
        <v>3574</v>
      </c>
      <c r="B2378" s="0" t="s">
        <v>728</v>
      </c>
      <c r="C2378" s="0" t="s">
        <v>613</v>
      </c>
      <c r="D2378" s="0" t="n">
        <v>802.3437108</v>
      </c>
      <c r="E2378" s="0" t="n">
        <v>797.4716922</v>
      </c>
      <c r="F2378" s="0" t="n">
        <v>714.0539707</v>
      </c>
      <c r="G2378" s="0" t="n">
        <v>426.6166626</v>
      </c>
      <c r="H2378" s="0" t="n">
        <v>142.8523849</v>
      </c>
    </row>
    <row r="2379" customFormat="false" ht="15" hidden="false" customHeight="false" outlineLevel="0" collapsed="false">
      <c r="A2379" s="0" t="s">
        <v>3575</v>
      </c>
      <c r="B2379" s="0" t="s">
        <v>932</v>
      </c>
      <c r="C2379" s="0" t="s">
        <v>613</v>
      </c>
      <c r="D2379" s="0" t="n">
        <v>163.544</v>
      </c>
      <c r="E2379" s="0" t="n">
        <v>153.9207503</v>
      </c>
      <c r="F2379" s="0" t="n">
        <v>103.4030007</v>
      </c>
      <c r="G2379" s="0" t="n">
        <v>77.97631256</v>
      </c>
      <c r="H2379" s="0" t="n">
        <v>54.06760732</v>
      </c>
    </row>
    <row r="2380" customFormat="false" ht="15" hidden="false" customHeight="false" outlineLevel="0" collapsed="false">
      <c r="A2380" s="0" t="s">
        <v>3576</v>
      </c>
      <c r="B2380" s="0" t="s">
        <v>910</v>
      </c>
      <c r="C2380" s="0" t="s">
        <v>613</v>
      </c>
      <c r="D2380" s="0" t="n">
        <v>36.347</v>
      </c>
      <c r="E2380" s="0" t="n">
        <v>34.98970953</v>
      </c>
      <c r="F2380" s="0" t="n">
        <v>25.50482218</v>
      </c>
      <c r="G2380" s="0" t="n">
        <v>18.17043425</v>
      </c>
      <c r="H2380" s="0" t="n">
        <v>9.982295773</v>
      </c>
    </row>
    <row r="2381" customFormat="false" ht="15" hidden="false" customHeight="false" outlineLevel="0" collapsed="false">
      <c r="A2381" s="0" t="s">
        <v>3577</v>
      </c>
      <c r="B2381" s="0" t="s">
        <v>740</v>
      </c>
      <c r="C2381" s="0" t="s">
        <v>613</v>
      </c>
      <c r="D2381" s="0" t="n">
        <v>74.421</v>
      </c>
      <c r="E2381" s="0" t="n">
        <v>72.54935667</v>
      </c>
      <c r="F2381" s="0" t="n">
        <v>56.87874179</v>
      </c>
      <c r="G2381" s="0" t="n">
        <v>29.04442682</v>
      </c>
      <c r="H2381" s="0" t="n">
        <v>12.10006339</v>
      </c>
    </row>
    <row r="2382" customFormat="false" ht="15" hidden="false" customHeight="false" outlineLevel="0" collapsed="false">
      <c r="A2382" s="0" t="s">
        <v>3578</v>
      </c>
      <c r="B2382" s="0" t="s">
        <v>1042</v>
      </c>
      <c r="C2382" s="0" t="s">
        <v>613</v>
      </c>
      <c r="D2382" s="0" t="n">
        <v>43.8209287</v>
      </c>
      <c r="E2382" s="0" t="n">
        <v>36.61818003</v>
      </c>
      <c r="F2382" s="0" t="n">
        <v>0.5927750514</v>
      </c>
      <c r="G2382" s="0" t="n">
        <v>0.435284587</v>
      </c>
      <c r="H2382" s="0" t="n">
        <v>0.2142808684</v>
      </c>
    </row>
    <row r="2383" customFormat="false" ht="15" hidden="false" customHeight="false" outlineLevel="0" collapsed="false">
      <c r="A2383" s="0" t="s">
        <v>3579</v>
      </c>
      <c r="B2383" s="0" t="s">
        <v>998</v>
      </c>
      <c r="C2383" s="0" t="s">
        <v>613</v>
      </c>
      <c r="D2383" s="0" t="n">
        <v>10.8624691</v>
      </c>
      <c r="E2383" s="0" t="n">
        <v>10.03125561</v>
      </c>
      <c r="F2383" s="0" t="n">
        <v>5.822115295</v>
      </c>
      <c r="G2383" s="0" t="n">
        <v>4.545058064</v>
      </c>
      <c r="H2383" s="0" t="n">
        <v>3.056958127</v>
      </c>
    </row>
    <row r="2384" customFormat="false" ht="15" hidden="false" customHeight="false" outlineLevel="0" collapsed="false">
      <c r="A2384" s="0" t="s">
        <v>3580</v>
      </c>
      <c r="B2384" s="0" t="s">
        <v>908</v>
      </c>
      <c r="C2384" s="0" t="s">
        <v>613</v>
      </c>
      <c r="D2384" s="0" t="n">
        <v>15.819</v>
      </c>
      <c r="E2384" s="0" t="n">
        <v>15.36851001</v>
      </c>
      <c r="F2384" s="0" t="n">
        <v>12.64406122</v>
      </c>
      <c r="G2384" s="0" t="n">
        <v>9.143287278</v>
      </c>
      <c r="H2384" s="0" t="n">
        <v>4.904985548</v>
      </c>
    </row>
    <row r="2385" customFormat="false" ht="15" hidden="false" customHeight="false" outlineLevel="0" collapsed="false">
      <c r="A2385" s="0" t="s">
        <v>3581</v>
      </c>
      <c r="B2385" s="0" t="s">
        <v>984</v>
      </c>
      <c r="C2385" s="0" t="s">
        <v>613</v>
      </c>
      <c r="D2385" s="0" t="n">
        <v>52.5809922</v>
      </c>
      <c r="E2385" s="0" t="n">
        <v>48.10905862</v>
      </c>
      <c r="F2385" s="0" t="n">
        <v>25.68017985</v>
      </c>
      <c r="G2385" s="0" t="n">
        <v>20.05579736</v>
      </c>
      <c r="H2385" s="0" t="n">
        <v>14.17937866</v>
      </c>
    </row>
    <row r="2386" customFormat="false" ht="15" hidden="false" customHeight="false" outlineLevel="0" collapsed="false">
      <c r="A2386" s="0" t="s">
        <v>3582</v>
      </c>
      <c r="B2386" s="0" t="s">
        <v>852</v>
      </c>
      <c r="C2386" s="0" t="s">
        <v>613</v>
      </c>
      <c r="D2386" s="0" t="n">
        <v>68.853</v>
      </c>
      <c r="E2386" s="0" t="n">
        <v>67.00841414</v>
      </c>
      <c r="F2386" s="0" t="n">
        <v>57.61566939</v>
      </c>
      <c r="G2386" s="0" t="n">
        <v>35.6017169</v>
      </c>
      <c r="H2386" s="0" t="n">
        <v>13.46398218</v>
      </c>
    </row>
    <row r="2387" customFormat="false" ht="15" hidden="false" customHeight="false" outlineLevel="0" collapsed="false">
      <c r="A2387" s="0" t="s">
        <v>3583</v>
      </c>
      <c r="B2387" s="0" t="s">
        <v>1056</v>
      </c>
      <c r="C2387" s="0" t="s">
        <v>613</v>
      </c>
      <c r="D2387" s="0" t="n">
        <v>0.5059478358</v>
      </c>
      <c r="E2387" s="0" t="n">
        <v>0.4683014837</v>
      </c>
      <c r="F2387" s="0" t="n">
        <v>0.2779952549</v>
      </c>
      <c r="G2387" s="0" t="n">
        <v>0.2070915481</v>
      </c>
      <c r="H2387" s="0" t="n">
        <v>0.08604900317</v>
      </c>
    </row>
    <row r="2388" customFormat="false" ht="15" hidden="false" customHeight="false" outlineLevel="0" collapsed="false">
      <c r="A2388" s="0" t="s">
        <v>3584</v>
      </c>
      <c r="B2388" s="0" t="s">
        <v>1016</v>
      </c>
      <c r="C2388" s="0" t="s">
        <v>613</v>
      </c>
      <c r="D2388" s="0" t="n">
        <v>13.78730397</v>
      </c>
      <c r="E2388" s="0" t="n">
        <v>12.2119514</v>
      </c>
      <c r="F2388" s="0" t="n">
        <v>4.535847015</v>
      </c>
      <c r="G2388" s="0" t="n">
        <v>3.28173182</v>
      </c>
      <c r="H2388" s="0" t="n">
        <v>1.46243646</v>
      </c>
    </row>
    <row r="2389" customFormat="false" ht="15" hidden="false" customHeight="false" outlineLevel="0" collapsed="false">
      <c r="A2389" s="0" t="s">
        <v>3585</v>
      </c>
      <c r="B2389" s="0" t="s">
        <v>822</v>
      </c>
      <c r="C2389" s="0" t="s">
        <v>613</v>
      </c>
      <c r="D2389" s="0" t="n">
        <v>44.904</v>
      </c>
      <c r="E2389" s="0" t="n">
        <v>43.21154833</v>
      </c>
      <c r="F2389" s="0" t="n">
        <v>33.96814691</v>
      </c>
      <c r="G2389" s="0" t="n">
        <v>17.8035978</v>
      </c>
      <c r="H2389" s="0" t="n">
        <v>6.064758148</v>
      </c>
    </row>
    <row r="2390" customFormat="false" ht="15" hidden="false" customHeight="false" outlineLevel="0" collapsed="false">
      <c r="A2390" s="0" t="s">
        <v>3586</v>
      </c>
      <c r="B2390" s="0" t="s">
        <v>870</v>
      </c>
      <c r="C2390" s="0" t="s">
        <v>613</v>
      </c>
      <c r="D2390" s="0" t="n">
        <v>16.534</v>
      </c>
      <c r="E2390" s="0" t="n">
        <v>15.90858334</v>
      </c>
      <c r="F2390" s="0" t="n">
        <v>12.48372504</v>
      </c>
      <c r="G2390" s="0" t="n">
        <v>6.263576768</v>
      </c>
      <c r="H2390" s="0" t="n">
        <v>2.706928103</v>
      </c>
    </row>
    <row r="2391" customFormat="false" ht="15" hidden="false" customHeight="false" outlineLevel="0" collapsed="false">
      <c r="A2391" s="0" t="s">
        <v>3587</v>
      </c>
      <c r="B2391" s="0" t="s">
        <v>746</v>
      </c>
      <c r="C2391" s="0" t="s">
        <v>613</v>
      </c>
      <c r="D2391" s="0" t="n">
        <v>44.434</v>
      </c>
      <c r="E2391" s="0" t="n">
        <v>43.04122762</v>
      </c>
      <c r="F2391" s="0" t="n">
        <v>34.98137713</v>
      </c>
      <c r="G2391" s="0" t="n">
        <v>19.83364051</v>
      </c>
      <c r="H2391" s="0" t="n">
        <v>8.350922506</v>
      </c>
    </row>
    <row r="2392" customFormat="false" ht="15" hidden="false" customHeight="false" outlineLevel="0" collapsed="false">
      <c r="A2392" s="0" t="s">
        <v>3588</v>
      </c>
      <c r="B2392" s="0" t="s">
        <v>1010</v>
      </c>
      <c r="C2392" s="0" t="s">
        <v>613</v>
      </c>
      <c r="D2392" s="0" t="n">
        <v>3.409</v>
      </c>
      <c r="E2392" s="0" t="n">
        <v>3.296775333</v>
      </c>
      <c r="F2392" s="0" t="n">
        <v>2.689943957</v>
      </c>
      <c r="G2392" s="0" t="n">
        <v>1.931361424</v>
      </c>
      <c r="H2392" s="0" t="n">
        <v>1.176719868</v>
      </c>
    </row>
    <row r="2393" customFormat="false" ht="15" hidden="false" customHeight="false" outlineLevel="0" collapsed="false">
      <c r="A2393" s="0" t="s">
        <v>3589</v>
      </c>
      <c r="B2393" s="0" t="s">
        <v>1036</v>
      </c>
      <c r="C2393" s="0" t="s">
        <v>613</v>
      </c>
      <c r="D2393" s="0" t="n">
        <v>1.166298929</v>
      </c>
      <c r="E2393" s="0" t="n">
        <v>1.179731249</v>
      </c>
      <c r="F2393" s="0" t="n">
        <v>1.063912076</v>
      </c>
      <c r="G2393" s="0" t="n">
        <v>0.6338312384</v>
      </c>
      <c r="H2393" s="0" t="n">
        <v>0.1852463536</v>
      </c>
    </row>
    <row r="2394" customFormat="false" ht="15" hidden="false" customHeight="false" outlineLevel="0" collapsed="false">
      <c r="A2394" s="0" t="s">
        <v>3590</v>
      </c>
      <c r="B2394" s="0" t="s">
        <v>858</v>
      </c>
      <c r="C2394" s="0" t="s">
        <v>613</v>
      </c>
      <c r="D2394" s="0" t="n">
        <v>54.06021131</v>
      </c>
      <c r="E2394" s="0" t="n">
        <v>52.66999593</v>
      </c>
      <c r="F2394" s="0" t="n">
        <v>44.85136193</v>
      </c>
      <c r="G2394" s="0" t="n">
        <v>30.30454558</v>
      </c>
      <c r="H2394" s="0" t="n">
        <v>13.38813394</v>
      </c>
    </row>
    <row r="2395" customFormat="false" ht="15" hidden="false" customHeight="false" outlineLevel="0" collapsed="false">
      <c r="A2395" s="0" t="s">
        <v>3591</v>
      </c>
      <c r="B2395" s="0" t="s">
        <v>942</v>
      </c>
      <c r="C2395" s="0" t="s">
        <v>613</v>
      </c>
      <c r="D2395" s="0" t="n">
        <v>116.6412521</v>
      </c>
      <c r="E2395" s="0" t="n">
        <v>108.3070683</v>
      </c>
      <c r="F2395" s="0" t="n">
        <v>66.49426112</v>
      </c>
      <c r="G2395" s="0" t="n">
        <v>52.41131099</v>
      </c>
      <c r="H2395" s="0" t="n">
        <v>37.23696971</v>
      </c>
    </row>
    <row r="2396" customFormat="false" ht="15" hidden="false" customHeight="false" outlineLevel="0" collapsed="false">
      <c r="A2396" s="0" t="s">
        <v>3592</v>
      </c>
      <c r="B2396" s="0" t="s">
        <v>986</v>
      </c>
      <c r="C2396" s="0" t="s">
        <v>613</v>
      </c>
      <c r="D2396" s="0" t="n">
        <v>12.213</v>
      </c>
      <c r="E2396" s="0" t="n">
        <v>11.66368492</v>
      </c>
      <c r="F2396" s="0" t="n">
        <v>8.733749813</v>
      </c>
      <c r="G2396" s="0" t="n">
        <v>6.581523733</v>
      </c>
      <c r="H2396" s="0" t="n">
        <v>4.169942423</v>
      </c>
    </row>
    <row r="2397" customFormat="false" ht="15" hidden="false" customHeight="false" outlineLevel="0" collapsed="false">
      <c r="A2397" s="0" t="s">
        <v>3593</v>
      </c>
      <c r="B2397" s="0" t="s">
        <v>752</v>
      </c>
      <c r="C2397" s="0" t="s">
        <v>613</v>
      </c>
      <c r="D2397" s="0" t="n">
        <v>490.432</v>
      </c>
      <c r="E2397" s="0" t="n">
        <v>474.3945587</v>
      </c>
      <c r="F2397" s="0" t="n">
        <v>380.306863</v>
      </c>
      <c r="G2397" s="0" t="n">
        <v>253.0116329</v>
      </c>
      <c r="H2397" s="0" t="n">
        <v>123.4409423</v>
      </c>
    </row>
    <row r="2398" customFormat="false" ht="15" hidden="false" customHeight="false" outlineLevel="0" collapsed="false">
      <c r="A2398" s="0" t="s">
        <v>3594</v>
      </c>
      <c r="B2398" s="0" t="s">
        <v>968</v>
      </c>
      <c r="C2398" s="0" t="s">
        <v>613</v>
      </c>
      <c r="D2398" s="0" t="n">
        <v>23.055</v>
      </c>
      <c r="E2398" s="0" t="n">
        <v>23.37244324</v>
      </c>
      <c r="F2398" s="0" t="n">
        <v>19.33530328</v>
      </c>
      <c r="G2398" s="0" t="n">
        <v>13.61677393</v>
      </c>
      <c r="H2398" s="0" t="n">
        <v>7.979312476</v>
      </c>
    </row>
    <row r="2399" customFormat="false" ht="15" hidden="false" customHeight="false" outlineLevel="0" collapsed="false">
      <c r="A2399" s="0" t="s">
        <v>3595</v>
      </c>
      <c r="B2399" s="0" t="s">
        <v>872</v>
      </c>
      <c r="C2399" s="0" t="s">
        <v>613</v>
      </c>
      <c r="D2399" s="0" t="n">
        <v>146.0996213</v>
      </c>
      <c r="E2399" s="0" t="n">
        <v>144.3706133</v>
      </c>
      <c r="F2399" s="0" t="n">
        <v>128.6678209</v>
      </c>
      <c r="G2399" s="0" t="n">
        <v>93.73174111</v>
      </c>
      <c r="H2399" s="0" t="n">
        <v>41.01263595</v>
      </c>
    </row>
    <row r="2400" customFormat="false" ht="15" hidden="false" customHeight="false" outlineLevel="0" collapsed="false">
      <c r="A2400" s="0" t="s">
        <v>3596</v>
      </c>
      <c r="B2400" s="0" t="s">
        <v>1040</v>
      </c>
      <c r="C2400" s="0" t="s">
        <v>613</v>
      </c>
      <c r="D2400" s="0" t="n">
        <v>3.911940454</v>
      </c>
      <c r="E2400" s="0" t="n">
        <v>3.769474671</v>
      </c>
      <c r="F2400" s="0" t="n">
        <v>2.970983424</v>
      </c>
      <c r="G2400" s="0" t="n">
        <v>2.290095129</v>
      </c>
      <c r="H2400" s="0" t="n">
        <v>1.227078308</v>
      </c>
    </row>
    <row r="2401" customFormat="false" ht="15" hidden="false" customHeight="false" outlineLevel="0" collapsed="false">
      <c r="A2401" s="0" t="s">
        <v>3597</v>
      </c>
      <c r="B2401" s="0" t="s">
        <v>1060</v>
      </c>
      <c r="C2401" s="0" t="s">
        <v>613</v>
      </c>
      <c r="D2401" s="0" t="n">
        <v>0.3171025297</v>
      </c>
      <c r="E2401" s="0" t="n">
        <v>0.3113719292</v>
      </c>
      <c r="F2401" s="0" t="n">
        <v>0.272457438</v>
      </c>
      <c r="G2401" s="0" t="n">
        <v>0.1864873198</v>
      </c>
      <c r="H2401" s="0" t="n">
        <v>0.08563719121</v>
      </c>
    </row>
    <row r="2402" customFormat="false" ht="15" hidden="false" customHeight="false" outlineLevel="0" collapsed="false">
      <c r="A2402" s="0" t="s">
        <v>3598</v>
      </c>
      <c r="B2402" s="0" t="s">
        <v>944</v>
      </c>
      <c r="C2402" s="0" t="s">
        <v>613</v>
      </c>
      <c r="D2402" s="0" t="n">
        <v>45.816</v>
      </c>
      <c r="E2402" s="0" t="n">
        <v>44.24341649</v>
      </c>
      <c r="F2402" s="0" t="n">
        <v>36.00931534</v>
      </c>
      <c r="G2402" s="0" t="n">
        <v>23.65354825</v>
      </c>
      <c r="H2402" s="0" t="n">
        <v>11.50971798</v>
      </c>
    </row>
    <row r="2403" customFormat="false" ht="15" hidden="false" customHeight="false" outlineLevel="0" collapsed="false">
      <c r="A2403" s="0" t="s">
        <v>3599</v>
      </c>
      <c r="B2403" s="0" t="s">
        <v>884</v>
      </c>
      <c r="C2403" s="0" t="s">
        <v>613</v>
      </c>
      <c r="D2403" s="0" t="n">
        <v>50.973</v>
      </c>
      <c r="E2403" s="0" t="n">
        <v>49.72718951</v>
      </c>
      <c r="F2403" s="0" t="n">
        <v>42.41597788</v>
      </c>
      <c r="G2403" s="0" t="n">
        <v>28.32782917</v>
      </c>
      <c r="H2403" s="0" t="n">
        <v>12.37110025</v>
      </c>
    </row>
    <row r="2404" customFormat="false" ht="15" hidden="false" customHeight="false" outlineLevel="0" collapsed="false">
      <c r="A2404" s="0" t="s">
        <v>3600</v>
      </c>
      <c r="B2404" s="0" t="s">
        <v>726</v>
      </c>
      <c r="C2404" s="0" t="s">
        <v>613</v>
      </c>
      <c r="D2404" s="0" t="n">
        <v>693.478</v>
      </c>
      <c r="E2404" s="0" t="n">
        <v>683.7224858</v>
      </c>
      <c r="F2404" s="0" t="n">
        <v>611.0930203</v>
      </c>
      <c r="G2404" s="0" t="n">
        <v>369.2939838</v>
      </c>
      <c r="H2404" s="0" t="n">
        <v>112.7119535</v>
      </c>
    </row>
    <row r="2405" customFormat="false" ht="15" hidden="false" customHeight="false" outlineLevel="0" collapsed="false">
      <c r="A2405" s="0" t="s">
        <v>3601</v>
      </c>
      <c r="B2405" s="0" t="s">
        <v>842</v>
      </c>
      <c r="C2405" s="0" t="s">
        <v>613</v>
      </c>
      <c r="D2405" s="0" t="n">
        <v>159.4499658</v>
      </c>
      <c r="E2405" s="0" t="n">
        <v>145.1030455</v>
      </c>
      <c r="F2405" s="0" t="n">
        <v>72.52140203</v>
      </c>
      <c r="G2405" s="0" t="n">
        <v>55.63839863</v>
      </c>
      <c r="H2405" s="0" t="n">
        <v>35.99833049</v>
      </c>
    </row>
    <row r="2406" customFormat="false" ht="15" hidden="false" customHeight="false" outlineLevel="0" collapsed="false">
      <c r="A2406" s="0" t="s">
        <v>3602</v>
      </c>
      <c r="B2406" s="0" t="s">
        <v>866</v>
      </c>
      <c r="C2406" s="0" t="s">
        <v>613</v>
      </c>
      <c r="D2406" s="0" t="n">
        <v>72.345</v>
      </c>
      <c r="E2406" s="0" t="n">
        <v>67.63434749</v>
      </c>
      <c r="F2406" s="0" t="n">
        <v>43.87158522</v>
      </c>
      <c r="G2406" s="0" t="n">
        <v>34.33752873</v>
      </c>
      <c r="H2406" s="0" t="n">
        <v>23.49029871</v>
      </c>
    </row>
    <row r="2407" customFormat="false" ht="15" hidden="false" customHeight="false" outlineLevel="0" collapsed="false">
      <c r="A2407" s="0" t="s">
        <v>3603</v>
      </c>
      <c r="B2407" s="0" t="s">
        <v>804</v>
      </c>
      <c r="C2407" s="0" t="s">
        <v>613</v>
      </c>
      <c r="D2407" s="0" t="n">
        <v>266.91</v>
      </c>
      <c r="E2407" s="0" t="n">
        <v>255.7659449</v>
      </c>
      <c r="F2407" s="0" t="n">
        <v>197.8051521</v>
      </c>
      <c r="G2407" s="0" t="n">
        <v>130.572152</v>
      </c>
      <c r="H2407" s="0" t="n">
        <v>73.31313371</v>
      </c>
    </row>
    <row r="2408" customFormat="false" ht="15" hidden="false" customHeight="false" outlineLevel="0" collapsed="false">
      <c r="A2408" s="0" t="s">
        <v>3604</v>
      </c>
      <c r="B2408" s="0" t="s">
        <v>860</v>
      </c>
      <c r="C2408" s="0" t="s">
        <v>613</v>
      </c>
      <c r="D2408" s="0" t="n">
        <v>42.335</v>
      </c>
      <c r="E2408" s="0" t="n">
        <v>40.322029</v>
      </c>
      <c r="F2408" s="0" t="n">
        <v>30.9352391</v>
      </c>
      <c r="G2408" s="0" t="n">
        <v>23.01900016</v>
      </c>
      <c r="H2408" s="0" t="n">
        <v>15.28645162</v>
      </c>
    </row>
    <row r="2409" customFormat="false" ht="15" hidden="false" customHeight="false" outlineLevel="0" collapsed="false">
      <c r="A2409" s="0" t="s">
        <v>3605</v>
      </c>
      <c r="B2409" s="0" t="s">
        <v>693</v>
      </c>
      <c r="C2409" s="0" t="s">
        <v>613</v>
      </c>
      <c r="D2409" s="0" t="n">
        <v>6817.344</v>
      </c>
      <c r="E2409" s="0" t="n">
        <v>6578.192621</v>
      </c>
      <c r="F2409" s="0" t="n">
        <v>5077.478426</v>
      </c>
      <c r="G2409" s="0" t="n">
        <v>2300.397476</v>
      </c>
      <c r="H2409" s="0" t="n">
        <v>982.2613004</v>
      </c>
    </row>
    <row r="2410" customFormat="false" ht="15" hidden="false" customHeight="false" outlineLevel="0" collapsed="false">
      <c r="A2410" s="0" t="s">
        <v>3606</v>
      </c>
      <c r="B2410" s="0" t="s">
        <v>810</v>
      </c>
      <c r="C2410" s="0" t="s">
        <v>613</v>
      </c>
      <c r="D2410" s="0" t="n">
        <v>243.852</v>
      </c>
      <c r="E2410" s="0" t="n">
        <v>240.7251166</v>
      </c>
      <c r="F2410" s="0" t="n">
        <v>215.2652845</v>
      </c>
      <c r="G2410" s="0" t="n">
        <v>154.5101259</v>
      </c>
      <c r="H2410" s="0" t="n">
        <v>66.84016222</v>
      </c>
    </row>
    <row r="2411" customFormat="false" ht="15" hidden="false" customHeight="false" outlineLevel="0" collapsed="false">
      <c r="A2411" s="0" t="s">
        <v>3607</v>
      </c>
      <c r="B2411" s="0" t="s">
        <v>1052</v>
      </c>
      <c r="C2411" s="0" t="s">
        <v>613</v>
      </c>
      <c r="D2411" s="0" t="n">
        <v>0.4194399267</v>
      </c>
      <c r="E2411" s="0" t="n">
        <v>0.4176932704</v>
      </c>
      <c r="F2411" s="0" t="n">
        <v>0.3903455819</v>
      </c>
      <c r="G2411" s="0" t="n">
        <v>0.2635169034</v>
      </c>
      <c r="H2411" s="0" t="n">
        <v>0.09810424515</v>
      </c>
    </row>
    <row r="2412" customFormat="false" ht="15" hidden="false" customHeight="false" outlineLevel="0" collapsed="false">
      <c r="A2412" s="0" t="s">
        <v>3608</v>
      </c>
      <c r="B2412" s="0" t="s">
        <v>820</v>
      </c>
      <c r="C2412" s="0" t="s">
        <v>613</v>
      </c>
      <c r="D2412" s="0" t="n">
        <v>227.448</v>
      </c>
      <c r="E2412" s="0" t="n">
        <v>212.9367149</v>
      </c>
      <c r="F2412" s="0" t="n">
        <v>143.9612923</v>
      </c>
      <c r="G2412" s="0" t="n">
        <v>101.5848194</v>
      </c>
      <c r="H2412" s="0" t="n">
        <v>54.83608659</v>
      </c>
    </row>
    <row r="2413" customFormat="false" ht="15" hidden="false" customHeight="false" outlineLevel="0" collapsed="false">
      <c r="A2413" s="0" t="s">
        <v>3609</v>
      </c>
      <c r="B2413" s="0" t="s">
        <v>744</v>
      </c>
      <c r="C2413" s="0" t="s">
        <v>613</v>
      </c>
      <c r="D2413" s="0" t="n">
        <v>455.866</v>
      </c>
      <c r="E2413" s="0" t="n">
        <v>452.3609605</v>
      </c>
      <c r="F2413" s="0" t="n">
        <v>414.4879239</v>
      </c>
      <c r="G2413" s="0" t="n">
        <v>277.0683114</v>
      </c>
      <c r="H2413" s="0" t="n">
        <v>108.5208522</v>
      </c>
    </row>
    <row r="2414" customFormat="false" ht="15" hidden="false" customHeight="false" outlineLevel="0" collapsed="false">
      <c r="A2414" s="0" t="s">
        <v>3610</v>
      </c>
      <c r="B2414" s="0" t="s">
        <v>1048</v>
      </c>
      <c r="C2414" s="0" t="s">
        <v>613</v>
      </c>
      <c r="D2414" s="0" t="n">
        <v>0.7110104639</v>
      </c>
      <c r="E2414" s="0" t="n">
        <v>0.6906385313</v>
      </c>
      <c r="F2414" s="0" t="n">
        <v>0.5825133419</v>
      </c>
      <c r="G2414" s="0" t="n">
        <v>0.4302827718</v>
      </c>
      <c r="H2414" s="0" t="n">
        <v>0.2419725594</v>
      </c>
    </row>
    <row r="2415" customFormat="false" ht="15" hidden="false" customHeight="false" outlineLevel="0" collapsed="false">
      <c r="A2415" s="0" t="s">
        <v>3611</v>
      </c>
      <c r="B2415" s="0" t="s">
        <v>1050</v>
      </c>
      <c r="C2415" s="0" t="s">
        <v>613</v>
      </c>
      <c r="D2415" s="0" t="n">
        <v>0.686</v>
      </c>
      <c r="E2415" s="0" t="n">
        <v>0.6615609525</v>
      </c>
      <c r="F2415" s="0" t="n">
        <v>0.5113406157</v>
      </c>
      <c r="G2415" s="0" t="n">
        <v>0.3568165117</v>
      </c>
      <c r="H2415" s="0" t="n">
        <v>0.1707604403</v>
      </c>
    </row>
    <row r="2416" customFormat="false" ht="15" hidden="false" customHeight="false" outlineLevel="0" collapsed="false">
      <c r="A2416" s="0" t="s">
        <v>3612</v>
      </c>
      <c r="B2416" s="0" t="s">
        <v>990</v>
      </c>
      <c r="C2416" s="0" t="s">
        <v>613</v>
      </c>
      <c r="D2416" s="0" t="n">
        <v>8.674</v>
      </c>
      <c r="E2416" s="0" t="n">
        <v>8.584850779</v>
      </c>
      <c r="F2416" s="0" t="n">
        <v>7.80132614</v>
      </c>
      <c r="G2416" s="0" t="n">
        <v>4.391109603</v>
      </c>
      <c r="H2416" s="0" t="n">
        <v>0.8950666117</v>
      </c>
    </row>
    <row r="2417" customFormat="false" ht="15" hidden="false" customHeight="false" outlineLevel="0" collapsed="false">
      <c r="A2417" s="0" t="s">
        <v>3613</v>
      </c>
      <c r="B2417" s="0" t="s">
        <v>1004</v>
      </c>
      <c r="C2417" s="0" t="s">
        <v>613</v>
      </c>
      <c r="D2417" s="0" t="n">
        <v>40.539</v>
      </c>
      <c r="E2417" s="0" t="n">
        <v>38.9124153</v>
      </c>
      <c r="F2417" s="0" t="n">
        <v>30.93431807</v>
      </c>
      <c r="G2417" s="0" t="n">
        <v>22.8057059</v>
      </c>
      <c r="H2417" s="0" t="n">
        <v>13.13035351</v>
      </c>
    </row>
    <row r="2418" customFormat="false" ht="15" hidden="false" customHeight="false" outlineLevel="0" collapsed="false">
      <c r="A2418" s="0" t="s">
        <v>3614</v>
      </c>
      <c r="B2418" s="0" t="s">
        <v>774</v>
      </c>
      <c r="C2418" s="0" t="s">
        <v>613</v>
      </c>
      <c r="D2418" s="0" t="n">
        <v>546.776</v>
      </c>
      <c r="E2418" s="0" t="n">
        <v>531.6121079</v>
      </c>
      <c r="F2418" s="0" t="n">
        <v>445.9769207</v>
      </c>
      <c r="G2418" s="0" t="n">
        <v>269.4320185</v>
      </c>
      <c r="H2418" s="0" t="n">
        <v>92.69712918</v>
      </c>
    </row>
    <row r="2419" customFormat="false" ht="15" hidden="false" customHeight="false" outlineLevel="0" collapsed="false">
      <c r="A2419" s="0" t="s">
        <v>3615</v>
      </c>
      <c r="B2419" s="0" t="s">
        <v>930</v>
      </c>
      <c r="C2419" s="0" t="s">
        <v>613</v>
      </c>
      <c r="D2419" s="0" t="n">
        <v>82.986</v>
      </c>
      <c r="E2419" s="0" t="n">
        <v>73.63364078</v>
      </c>
      <c r="F2419" s="0" t="n">
        <v>26.68249003</v>
      </c>
      <c r="G2419" s="0" t="n">
        <v>19.60188742</v>
      </c>
      <c r="H2419" s="0" t="n">
        <v>11.75829166</v>
      </c>
    </row>
    <row r="2420" customFormat="false" ht="15" hidden="false" customHeight="false" outlineLevel="0" collapsed="false">
      <c r="A2420" s="0" t="s">
        <v>3616</v>
      </c>
      <c r="B2420" s="0" t="s">
        <v>878</v>
      </c>
      <c r="C2420" s="0" t="s">
        <v>613</v>
      </c>
      <c r="D2420" s="0" t="n">
        <v>113.046</v>
      </c>
      <c r="E2420" s="0" t="n">
        <v>98.38018008</v>
      </c>
      <c r="F2420" s="0" t="n">
        <v>23.870787</v>
      </c>
      <c r="G2420" s="0" t="n">
        <v>17.51108247</v>
      </c>
      <c r="H2420" s="0" t="n">
        <v>10.05363593</v>
      </c>
    </row>
    <row r="2421" customFormat="false" ht="15" hidden="false" customHeight="false" outlineLevel="0" collapsed="false">
      <c r="A2421" s="0" t="s">
        <v>3617</v>
      </c>
      <c r="B2421" s="0" t="s">
        <v>1018</v>
      </c>
      <c r="C2421" s="0" t="s">
        <v>659</v>
      </c>
      <c r="D2421" s="0" t="n">
        <v>0</v>
      </c>
      <c r="E2421" s="0" t="n">
        <v>0.006054283182</v>
      </c>
      <c r="F2421" s="0" t="n">
        <v>0.03072070533</v>
      </c>
      <c r="G2421" s="0" t="n">
        <v>0.02554256507</v>
      </c>
      <c r="H2421" s="0" t="n">
        <v>0.03258993573</v>
      </c>
    </row>
    <row r="2422" customFormat="false" ht="15" hidden="false" customHeight="false" outlineLevel="0" collapsed="false">
      <c r="A2422" s="0" t="s">
        <v>3618</v>
      </c>
      <c r="B2422" s="0" t="s">
        <v>962</v>
      </c>
      <c r="C2422" s="0" t="s">
        <v>659</v>
      </c>
      <c r="D2422" s="0" t="n">
        <v>0</v>
      </c>
      <c r="E2422" s="0" t="n">
        <v>0.05484649319</v>
      </c>
      <c r="F2422" s="0" t="n">
        <v>0.2683107445</v>
      </c>
      <c r="G2422" s="0" t="n">
        <v>-0.2784244675</v>
      </c>
      <c r="H2422" s="0" t="n">
        <v>-1.031842065</v>
      </c>
    </row>
    <row r="2423" customFormat="false" ht="15" hidden="false" customHeight="false" outlineLevel="0" collapsed="false">
      <c r="A2423" s="0" t="s">
        <v>3619</v>
      </c>
      <c r="B2423" s="0" t="s">
        <v>828</v>
      </c>
      <c r="C2423" s="0" t="s">
        <v>659</v>
      </c>
      <c r="D2423" s="0" t="n">
        <v>0</v>
      </c>
      <c r="E2423" s="0" t="n">
        <v>0.479245312</v>
      </c>
      <c r="F2423" s="0" t="n">
        <v>2.794866614</v>
      </c>
      <c r="G2423" s="0" t="n">
        <v>2.224713334</v>
      </c>
      <c r="H2423" s="0" t="n">
        <v>1.520010119</v>
      </c>
    </row>
    <row r="2424" customFormat="false" ht="15" hidden="false" customHeight="false" outlineLevel="0" collapsed="false">
      <c r="A2424" s="0" t="s">
        <v>3620</v>
      </c>
      <c r="B2424" s="0" t="s">
        <v>926</v>
      </c>
      <c r="C2424" s="0" t="s">
        <v>659</v>
      </c>
      <c r="D2424" s="0" t="n">
        <v>0</v>
      </c>
      <c r="E2424" s="0" t="n">
        <v>0.01790927855</v>
      </c>
      <c r="F2424" s="0" t="n">
        <v>0.1009629843</v>
      </c>
      <c r="G2424" s="0" t="n">
        <v>0.07101250623</v>
      </c>
      <c r="H2424" s="0" t="n">
        <v>0.06588428675</v>
      </c>
    </row>
    <row r="2425" customFormat="false" ht="15" hidden="false" customHeight="false" outlineLevel="0" collapsed="false">
      <c r="A2425" s="0" t="s">
        <v>3621</v>
      </c>
      <c r="B2425" s="0" t="s">
        <v>748</v>
      </c>
      <c r="C2425" s="0" t="s">
        <v>659</v>
      </c>
      <c r="D2425" s="0" t="n">
        <v>0</v>
      </c>
      <c r="E2425" s="0" t="n">
        <v>0.8513260898</v>
      </c>
      <c r="F2425" s="0" t="n">
        <v>4.789171613</v>
      </c>
      <c r="G2425" s="0" t="n">
        <v>7.691531354</v>
      </c>
      <c r="H2425" s="0" t="n">
        <v>12.61364849</v>
      </c>
    </row>
    <row r="2426" customFormat="false" ht="15" hidden="false" customHeight="false" outlineLevel="0" collapsed="false">
      <c r="A2426" s="0" t="s">
        <v>3622</v>
      </c>
      <c r="B2426" s="0" t="s">
        <v>736</v>
      </c>
      <c r="C2426" s="0" t="s">
        <v>659</v>
      </c>
      <c r="D2426" s="0" t="n">
        <v>0</v>
      </c>
      <c r="E2426" s="0" t="n">
        <v>1.453098848</v>
      </c>
      <c r="F2426" s="0" t="n">
        <v>8.617993562</v>
      </c>
      <c r="G2426" s="0" t="n">
        <v>12.96556623</v>
      </c>
      <c r="H2426" s="0" t="n">
        <v>18.3224051</v>
      </c>
    </row>
    <row r="2427" customFormat="false" ht="15" hidden="false" customHeight="false" outlineLevel="0" collapsed="false">
      <c r="A2427" s="0" t="s">
        <v>3623</v>
      </c>
      <c r="B2427" s="0" t="s">
        <v>920</v>
      </c>
      <c r="C2427" s="0" t="s">
        <v>659</v>
      </c>
      <c r="D2427" s="0" t="n">
        <v>0</v>
      </c>
      <c r="E2427" s="0" t="n">
        <v>0.03996542574</v>
      </c>
      <c r="F2427" s="0" t="n">
        <v>0.2638719317</v>
      </c>
      <c r="G2427" s="0" t="n">
        <v>0.6992898706</v>
      </c>
      <c r="H2427" s="0" t="n">
        <v>1.297622258</v>
      </c>
    </row>
    <row r="2428" customFormat="false" ht="15" hidden="false" customHeight="false" outlineLevel="0" collapsed="false">
      <c r="A2428" s="0" t="s">
        <v>3624</v>
      </c>
      <c r="B2428" s="0" t="s">
        <v>1038</v>
      </c>
      <c r="C2428" s="0" t="s">
        <v>659</v>
      </c>
      <c r="D2428" s="0" t="n">
        <v>0</v>
      </c>
      <c r="E2428" s="0" t="n">
        <v>0.006512297937</v>
      </c>
      <c r="F2428" s="0" t="n">
        <v>0.03506536745</v>
      </c>
      <c r="G2428" s="0" t="n">
        <v>0.04055585901</v>
      </c>
      <c r="H2428" s="0" t="n">
        <v>0.04780690717</v>
      </c>
    </row>
    <row r="2429" customFormat="false" ht="15" hidden="false" customHeight="false" outlineLevel="0" collapsed="false">
      <c r="A2429" s="0" t="s">
        <v>3625</v>
      </c>
      <c r="B2429" s="0" t="s">
        <v>718</v>
      </c>
      <c r="C2429" s="0" t="s">
        <v>659</v>
      </c>
      <c r="D2429" s="0" t="n">
        <v>0</v>
      </c>
      <c r="E2429" s="0" t="n">
        <v>0.9017321451</v>
      </c>
      <c r="F2429" s="0" t="n">
        <v>6.312404771</v>
      </c>
      <c r="G2429" s="0" t="n">
        <v>13.08783127</v>
      </c>
      <c r="H2429" s="0" t="n">
        <v>20.36132624</v>
      </c>
    </row>
    <row r="2430" customFormat="false" ht="15" hidden="false" customHeight="false" outlineLevel="0" collapsed="false">
      <c r="A2430" s="0" t="s">
        <v>3626</v>
      </c>
      <c r="B2430" s="0" t="s">
        <v>758</v>
      </c>
      <c r="C2430" s="0" t="s">
        <v>659</v>
      </c>
      <c r="D2430" s="0" t="n">
        <v>0</v>
      </c>
      <c r="E2430" s="0" t="n">
        <v>0.1042996521</v>
      </c>
      <c r="F2430" s="0" t="n">
        <v>0.5916153453</v>
      </c>
      <c r="G2430" s="0" t="n">
        <v>0.5450649188</v>
      </c>
      <c r="H2430" s="0" t="n">
        <v>1.4713569</v>
      </c>
    </row>
    <row r="2431" customFormat="false" ht="15" hidden="false" customHeight="false" outlineLevel="0" collapsed="false">
      <c r="A2431" s="0" t="s">
        <v>3627</v>
      </c>
      <c r="B2431" s="0" t="s">
        <v>868</v>
      </c>
      <c r="C2431" s="0" t="s">
        <v>659</v>
      </c>
      <c r="D2431" s="0" t="n">
        <v>0</v>
      </c>
      <c r="E2431" s="0" t="n">
        <v>0.1812169076</v>
      </c>
      <c r="F2431" s="0" t="n">
        <v>1.054776181</v>
      </c>
      <c r="G2431" s="0" t="n">
        <v>2.137114492</v>
      </c>
      <c r="H2431" s="0" t="n">
        <v>3.772117713</v>
      </c>
    </row>
    <row r="2432" customFormat="false" ht="15" hidden="false" customHeight="false" outlineLevel="0" collapsed="false">
      <c r="A2432" s="0" t="s">
        <v>3628</v>
      </c>
      <c r="B2432" s="0" t="s">
        <v>1012</v>
      </c>
      <c r="C2432" s="0" t="s">
        <v>659</v>
      </c>
      <c r="D2432" s="0" t="n">
        <v>0</v>
      </c>
      <c r="E2432" s="0" t="n">
        <v>0.04172339458</v>
      </c>
      <c r="F2432" s="0" t="n">
        <v>0.2451327656</v>
      </c>
      <c r="G2432" s="0" t="n">
        <v>0.2222208475</v>
      </c>
      <c r="H2432" s="0" t="n">
        <v>0.1887941539</v>
      </c>
    </row>
    <row r="2433" customFormat="false" ht="15" hidden="false" customHeight="false" outlineLevel="0" collapsed="false">
      <c r="A2433" s="0" t="s">
        <v>3629</v>
      </c>
      <c r="B2433" s="0" t="s">
        <v>742</v>
      </c>
      <c r="C2433" s="0" t="s">
        <v>659</v>
      </c>
      <c r="D2433" s="0" t="n">
        <v>0</v>
      </c>
      <c r="E2433" s="0" t="n">
        <v>0.02157160177</v>
      </c>
      <c r="F2433" s="0" t="n">
        <v>0.01933858099</v>
      </c>
      <c r="G2433" s="0" t="n">
        <v>-0.69474393</v>
      </c>
      <c r="H2433" s="0" t="n">
        <v>0.0898312879</v>
      </c>
    </row>
    <row r="2434" customFormat="false" ht="15" hidden="false" customHeight="false" outlineLevel="0" collapsed="false">
      <c r="A2434" s="0" t="s">
        <v>3630</v>
      </c>
      <c r="B2434" s="0" t="s">
        <v>934</v>
      </c>
      <c r="C2434" s="0" t="s">
        <v>659</v>
      </c>
      <c r="D2434" s="0" t="n">
        <v>0</v>
      </c>
      <c r="E2434" s="0" t="n">
        <v>0.1253272573</v>
      </c>
      <c r="F2434" s="0" t="n">
        <v>0.7061610212</v>
      </c>
      <c r="G2434" s="0" t="n">
        <v>0.03544754837</v>
      </c>
      <c r="H2434" s="0" t="n">
        <v>-0.8490822494</v>
      </c>
    </row>
    <row r="2435" customFormat="false" ht="15" hidden="false" customHeight="false" outlineLevel="0" collapsed="false">
      <c r="A2435" s="0" t="s">
        <v>3631</v>
      </c>
      <c r="B2435" s="0" t="s">
        <v>938</v>
      </c>
      <c r="C2435" s="0" t="s">
        <v>659</v>
      </c>
      <c r="D2435" s="0" t="n">
        <v>0</v>
      </c>
      <c r="E2435" s="0" t="n">
        <v>0.267616486</v>
      </c>
      <c r="F2435" s="0" t="n">
        <v>1.559735284</v>
      </c>
      <c r="G2435" s="0" t="n">
        <v>1.122561876</v>
      </c>
      <c r="H2435" s="0" t="n">
        <v>0.4831460424</v>
      </c>
    </row>
    <row r="2436" customFormat="false" ht="15" hidden="false" customHeight="false" outlineLevel="0" collapsed="false">
      <c r="A2436" s="0" t="s">
        <v>3632</v>
      </c>
      <c r="B2436" s="0" t="s">
        <v>756</v>
      </c>
      <c r="C2436" s="0" t="s">
        <v>659</v>
      </c>
      <c r="D2436" s="0" t="n">
        <v>0</v>
      </c>
      <c r="E2436" s="0" t="n">
        <v>0.5907568984</v>
      </c>
      <c r="F2436" s="0" t="n">
        <v>3.318637991</v>
      </c>
      <c r="G2436" s="0" t="n">
        <v>3.516151895</v>
      </c>
      <c r="H2436" s="0" t="n">
        <v>5.466148175</v>
      </c>
    </row>
    <row r="2437" customFormat="false" ht="15" hidden="false" customHeight="false" outlineLevel="0" collapsed="false">
      <c r="A2437" s="0" t="s">
        <v>3633</v>
      </c>
      <c r="B2437" s="0" t="s">
        <v>830</v>
      </c>
      <c r="C2437" s="0" t="s">
        <v>659</v>
      </c>
      <c r="D2437" s="0" t="n">
        <v>0</v>
      </c>
      <c r="E2437" s="0" t="n">
        <v>0.125474171</v>
      </c>
      <c r="F2437" s="0" t="n">
        <v>0.7265101521</v>
      </c>
      <c r="G2437" s="0" t="n">
        <v>1.08207767</v>
      </c>
      <c r="H2437" s="0" t="n">
        <v>1.696608541</v>
      </c>
    </row>
    <row r="2438" customFormat="false" ht="15" hidden="false" customHeight="false" outlineLevel="0" collapsed="false">
      <c r="A2438" s="0" t="s">
        <v>3634</v>
      </c>
      <c r="B2438" s="0" t="s">
        <v>898</v>
      </c>
      <c r="C2438" s="0" t="s">
        <v>659</v>
      </c>
      <c r="D2438" s="0" t="n">
        <v>0</v>
      </c>
      <c r="E2438" s="0" t="n">
        <v>0.1253040406</v>
      </c>
      <c r="F2438" s="0" t="n">
        <v>0.812061957</v>
      </c>
      <c r="G2438" s="0" t="n">
        <v>1.531841754</v>
      </c>
      <c r="H2438" s="0" t="n">
        <v>2.40287411</v>
      </c>
    </row>
    <row r="2439" customFormat="false" ht="15" hidden="false" customHeight="false" outlineLevel="0" collapsed="false">
      <c r="A2439" s="0" t="s">
        <v>3635</v>
      </c>
      <c r="B2439" s="0" t="s">
        <v>976</v>
      </c>
      <c r="C2439" s="0" t="s">
        <v>659</v>
      </c>
      <c r="D2439" s="0" t="n">
        <v>0</v>
      </c>
      <c r="E2439" s="0" t="n">
        <v>0.01705794505</v>
      </c>
      <c r="F2439" s="0" t="n">
        <v>0.08310969822</v>
      </c>
      <c r="G2439" s="0" t="n">
        <v>-0.004772263659</v>
      </c>
      <c r="H2439" s="0" t="n">
        <v>-0.04996529499</v>
      </c>
    </row>
    <row r="2440" customFormat="false" ht="15" hidden="false" customHeight="false" outlineLevel="0" collapsed="false">
      <c r="A2440" s="0" t="s">
        <v>3636</v>
      </c>
      <c r="B2440" s="0" t="s">
        <v>924</v>
      </c>
      <c r="C2440" s="0" t="s">
        <v>659</v>
      </c>
      <c r="D2440" s="0" t="n">
        <v>0</v>
      </c>
      <c r="E2440" s="0" t="n">
        <v>0.06322592515</v>
      </c>
      <c r="F2440" s="0" t="n">
        <v>0.3863376897</v>
      </c>
      <c r="G2440" s="0" t="n">
        <v>0.8056812224</v>
      </c>
      <c r="H2440" s="0" t="n">
        <v>1.382208734</v>
      </c>
    </row>
    <row r="2441" customFormat="false" ht="15" hidden="false" customHeight="false" outlineLevel="0" collapsed="false">
      <c r="A2441" s="0" t="s">
        <v>3637</v>
      </c>
      <c r="B2441" s="0" t="s">
        <v>864</v>
      </c>
      <c r="C2441" s="0" t="s">
        <v>659</v>
      </c>
      <c r="D2441" s="0" t="n">
        <v>0</v>
      </c>
      <c r="E2441" s="0" t="n">
        <v>0.2516013959</v>
      </c>
      <c r="F2441" s="0" t="n">
        <v>1.376113353</v>
      </c>
      <c r="G2441" s="0" t="n">
        <v>2.409862666</v>
      </c>
      <c r="H2441" s="0" t="n">
        <v>4.182666354</v>
      </c>
    </row>
    <row r="2442" customFormat="false" ht="15" hidden="false" customHeight="false" outlineLevel="0" collapsed="false">
      <c r="A2442" s="0" t="s">
        <v>3638</v>
      </c>
      <c r="B2442" s="0" t="s">
        <v>1022</v>
      </c>
      <c r="C2442" s="0" t="s">
        <v>659</v>
      </c>
      <c r="D2442" s="0" t="n">
        <v>0</v>
      </c>
      <c r="E2442" s="0" t="n">
        <v>0.04749325536</v>
      </c>
      <c r="F2442" s="0" t="n">
        <v>0.2819351873</v>
      </c>
      <c r="G2442" s="0" t="n">
        <v>0.246471294</v>
      </c>
      <c r="H2442" s="0" t="n">
        <v>0.2153756786</v>
      </c>
    </row>
    <row r="2443" customFormat="false" ht="15" hidden="false" customHeight="false" outlineLevel="0" collapsed="false">
      <c r="A2443" s="0" t="s">
        <v>3639</v>
      </c>
      <c r="B2443" s="0" t="s">
        <v>896</v>
      </c>
      <c r="C2443" s="0" t="s">
        <v>659</v>
      </c>
      <c r="D2443" s="0" t="n">
        <v>0</v>
      </c>
      <c r="E2443" s="0" t="n">
        <v>0.6937192019</v>
      </c>
      <c r="F2443" s="0" t="n">
        <v>4.054194763</v>
      </c>
      <c r="G2443" s="0" t="n">
        <v>3.824799672</v>
      </c>
      <c r="H2443" s="0" t="n">
        <v>3.659676632</v>
      </c>
    </row>
    <row r="2444" customFormat="false" ht="15" hidden="false" customHeight="false" outlineLevel="0" collapsed="false">
      <c r="A2444" s="0" t="s">
        <v>3640</v>
      </c>
      <c r="B2444" s="0" t="s">
        <v>710</v>
      </c>
      <c r="C2444" s="0" t="s">
        <v>659</v>
      </c>
      <c r="D2444" s="0" t="n">
        <v>0</v>
      </c>
      <c r="E2444" s="0" t="n">
        <v>6.20106281</v>
      </c>
      <c r="F2444" s="0" t="n">
        <v>36.67995439</v>
      </c>
      <c r="G2444" s="0" t="n">
        <v>36.2473031</v>
      </c>
      <c r="H2444" s="0" t="n">
        <v>38.11983052</v>
      </c>
    </row>
    <row r="2445" customFormat="false" ht="15" hidden="false" customHeight="false" outlineLevel="0" collapsed="false">
      <c r="A2445" s="0" t="s">
        <v>3641</v>
      </c>
      <c r="B2445" s="0" t="s">
        <v>1000</v>
      </c>
      <c r="C2445" s="0" t="s">
        <v>659</v>
      </c>
      <c r="D2445" s="0" t="n">
        <v>0</v>
      </c>
      <c r="E2445" s="0" t="n">
        <v>0.00521545193</v>
      </c>
      <c r="F2445" s="0" t="n">
        <v>0.02793305491</v>
      </c>
      <c r="G2445" s="0" t="n">
        <v>0.01989415323</v>
      </c>
      <c r="H2445" s="0" t="n">
        <v>0.03977636725</v>
      </c>
    </row>
    <row r="2446" customFormat="false" ht="15" hidden="false" customHeight="false" outlineLevel="0" collapsed="false">
      <c r="A2446" s="0" t="s">
        <v>3642</v>
      </c>
      <c r="B2446" s="0" t="s">
        <v>980</v>
      </c>
      <c r="C2446" s="0" t="s">
        <v>659</v>
      </c>
      <c r="D2446" s="0" t="n">
        <v>0</v>
      </c>
      <c r="E2446" s="0" t="n">
        <v>0.0391429136</v>
      </c>
      <c r="F2446" s="0" t="n">
        <v>0.2230347232</v>
      </c>
      <c r="G2446" s="0" t="n">
        <v>0.3587854222</v>
      </c>
      <c r="H2446" s="0" t="n">
        <v>0.5709841744</v>
      </c>
    </row>
    <row r="2447" customFormat="false" ht="15" hidden="false" customHeight="false" outlineLevel="0" collapsed="false">
      <c r="A2447" s="0" t="s">
        <v>3643</v>
      </c>
      <c r="B2447" s="0" t="s">
        <v>1020</v>
      </c>
      <c r="C2447" s="0" t="s">
        <v>659</v>
      </c>
      <c r="D2447" s="0" t="n">
        <v>0</v>
      </c>
      <c r="E2447" s="0" t="n">
        <v>0.004835363695</v>
      </c>
      <c r="F2447" s="0" t="n">
        <v>0.02636208652</v>
      </c>
      <c r="G2447" s="0" t="n">
        <v>0.0207225144</v>
      </c>
      <c r="H2447" s="0" t="n">
        <v>0.1532123752</v>
      </c>
    </row>
    <row r="2448" customFormat="false" ht="15" hidden="false" customHeight="false" outlineLevel="0" collapsed="false">
      <c r="A2448" s="0" t="s">
        <v>3644</v>
      </c>
      <c r="B2448" s="0" t="s">
        <v>952</v>
      </c>
      <c r="C2448" s="0" t="s">
        <v>659</v>
      </c>
      <c r="D2448" s="0" t="n">
        <v>0</v>
      </c>
      <c r="E2448" s="0" t="n">
        <v>0.344051038</v>
      </c>
      <c r="F2448" s="0" t="n">
        <v>2.044080439</v>
      </c>
      <c r="G2448" s="0" t="n">
        <v>1.900083083</v>
      </c>
      <c r="H2448" s="0" t="n">
        <v>1.81021262</v>
      </c>
    </row>
    <row r="2449" customFormat="false" ht="15" hidden="false" customHeight="false" outlineLevel="0" collapsed="false">
      <c r="A2449" s="0" t="s">
        <v>3645</v>
      </c>
      <c r="B2449" s="0" t="s">
        <v>1026</v>
      </c>
      <c r="C2449" s="0" t="s">
        <v>659</v>
      </c>
      <c r="D2449" s="0" t="n">
        <v>0</v>
      </c>
      <c r="E2449" s="0" t="n">
        <v>0.2867806809</v>
      </c>
      <c r="F2449" s="0" t="n">
        <v>1.721761469</v>
      </c>
      <c r="G2449" s="0" t="n">
        <v>1.797541419</v>
      </c>
      <c r="H2449" s="0" t="n">
        <v>1.87043541</v>
      </c>
    </row>
    <row r="2450" customFormat="false" ht="15" hidden="false" customHeight="false" outlineLevel="0" collapsed="false">
      <c r="A2450" s="0" t="s">
        <v>3646</v>
      </c>
      <c r="B2450" s="0" t="s">
        <v>708</v>
      </c>
      <c r="C2450" s="0" t="s">
        <v>659</v>
      </c>
      <c r="D2450" s="0" t="n">
        <v>0</v>
      </c>
      <c r="E2450" s="0" t="n">
        <v>2.32301972</v>
      </c>
      <c r="F2450" s="0" t="n">
        <v>14.12548664</v>
      </c>
      <c r="G2450" s="0" t="n">
        <v>31.94621366</v>
      </c>
      <c r="H2450" s="0" t="n">
        <v>50.4555852</v>
      </c>
    </row>
    <row r="2451" customFormat="false" ht="15" hidden="false" customHeight="false" outlineLevel="0" collapsed="false">
      <c r="A2451" s="0" t="s">
        <v>3647</v>
      </c>
      <c r="B2451" s="0" t="s">
        <v>734</v>
      </c>
      <c r="C2451" s="0" t="s">
        <v>659</v>
      </c>
      <c r="D2451" s="0" t="n">
        <v>0</v>
      </c>
      <c r="E2451" s="0" t="n">
        <v>-0.02346393297</v>
      </c>
      <c r="F2451" s="0" t="n">
        <v>-0.1119610164</v>
      </c>
      <c r="G2451" s="0" t="n">
        <v>-0.779356892</v>
      </c>
      <c r="H2451" s="0" t="n">
        <v>-0.4369244284</v>
      </c>
    </row>
    <row r="2452" customFormat="false" ht="15" hidden="false" customHeight="false" outlineLevel="0" collapsed="false">
      <c r="A2452" s="0" t="s">
        <v>3648</v>
      </c>
      <c r="B2452" s="0" t="s">
        <v>782</v>
      </c>
      <c r="C2452" s="0" t="s">
        <v>659</v>
      </c>
      <c r="D2452" s="0" t="n">
        <v>0</v>
      </c>
      <c r="E2452" s="0" t="n">
        <v>0.1581358987</v>
      </c>
      <c r="F2452" s="0" t="n">
        <v>0.6987588745</v>
      </c>
      <c r="G2452" s="0" t="n">
        <v>-1.209471227</v>
      </c>
      <c r="H2452" s="0" t="n">
        <v>-2.611042831</v>
      </c>
    </row>
    <row r="2453" customFormat="false" ht="15" hidden="false" customHeight="false" outlineLevel="0" collapsed="false">
      <c r="A2453" s="0" t="s">
        <v>3649</v>
      </c>
      <c r="B2453" s="0" t="s">
        <v>696</v>
      </c>
      <c r="C2453" s="0" t="s">
        <v>659</v>
      </c>
      <c r="D2453" s="0" t="n">
        <v>0</v>
      </c>
      <c r="E2453" s="0" t="n">
        <v>23.78272516</v>
      </c>
      <c r="F2453" s="0" t="n">
        <v>152.4875544</v>
      </c>
      <c r="G2453" s="0" t="n">
        <v>453.2859522</v>
      </c>
      <c r="H2453" s="0" t="n">
        <v>795.1997663</v>
      </c>
    </row>
    <row r="2454" customFormat="false" ht="15" hidden="false" customHeight="false" outlineLevel="0" collapsed="false">
      <c r="A2454" s="0" t="s">
        <v>3650</v>
      </c>
      <c r="B2454" s="0" t="s">
        <v>836</v>
      </c>
      <c r="C2454" s="0" t="s">
        <v>659</v>
      </c>
      <c r="D2454" s="0" t="n">
        <v>0</v>
      </c>
      <c r="E2454" s="0" t="n">
        <v>0.06227480111</v>
      </c>
      <c r="F2454" s="0" t="n">
        <v>0.3282552498</v>
      </c>
      <c r="G2454" s="0" t="n">
        <v>-0.3233454928</v>
      </c>
      <c r="H2454" s="0" t="n">
        <v>-0.9082495655</v>
      </c>
    </row>
    <row r="2455" customFormat="false" ht="15" hidden="false" customHeight="false" outlineLevel="0" collapsed="false">
      <c r="A2455" s="0" t="s">
        <v>3651</v>
      </c>
      <c r="B2455" s="0" t="s">
        <v>880</v>
      </c>
      <c r="C2455" s="0" t="s">
        <v>659</v>
      </c>
      <c r="D2455" s="0" t="n">
        <v>0</v>
      </c>
      <c r="E2455" s="0" t="n">
        <v>0.3898860189</v>
      </c>
      <c r="F2455" s="0" t="n">
        <v>2.319306296</v>
      </c>
      <c r="G2455" s="0" t="n">
        <v>2.395003634</v>
      </c>
      <c r="H2455" s="0" t="n">
        <v>2.455086154</v>
      </c>
    </row>
    <row r="2456" customFormat="false" ht="15" hidden="false" customHeight="false" outlineLevel="0" collapsed="false">
      <c r="A2456" s="0" t="s">
        <v>3652</v>
      </c>
      <c r="B2456" s="0" t="s">
        <v>850</v>
      </c>
      <c r="C2456" s="0" t="s">
        <v>659</v>
      </c>
      <c r="D2456" s="0" t="n">
        <v>0</v>
      </c>
      <c r="E2456" s="0" t="n">
        <v>5.181653928</v>
      </c>
      <c r="F2456" s="0" t="n">
        <v>31.06741431</v>
      </c>
      <c r="G2456" s="0" t="n">
        <v>31.09964485</v>
      </c>
      <c r="H2456" s="0" t="n">
        <v>31.05624701</v>
      </c>
    </row>
    <row r="2457" customFormat="false" ht="15" hidden="false" customHeight="false" outlineLevel="0" collapsed="false">
      <c r="A2457" s="0" t="s">
        <v>3653</v>
      </c>
      <c r="B2457" s="0" t="s">
        <v>978</v>
      </c>
      <c r="C2457" s="0" t="s">
        <v>659</v>
      </c>
      <c r="D2457" s="0" t="n">
        <v>0</v>
      </c>
      <c r="E2457" s="0" t="n">
        <v>0.1449759954</v>
      </c>
      <c r="F2457" s="0" t="n">
        <v>0.8454331887</v>
      </c>
      <c r="G2457" s="0" t="n">
        <v>0.9133157601</v>
      </c>
      <c r="H2457" s="0" t="n">
        <v>0.9745188798</v>
      </c>
    </row>
    <row r="2458" customFormat="false" ht="15" hidden="false" customHeight="false" outlineLevel="0" collapsed="false">
      <c r="A2458" s="0" t="s">
        <v>3654</v>
      </c>
      <c r="B2458" s="0" t="s">
        <v>766</v>
      </c>
      <c r="C2458" s="0" t="s">
        <v>659</v>
      </c>
      <c r="D2458" s="0" t="n">
        <v>0</v>
      </c>
      <c r="E2458" s="0" t="n">
        <v>1.040691916</v>
      </c>
      <c r="F2458" s="0" t="n">
        <v>5.907133544</v>
      </c>
      <c r="G2458" s="0" t="n">
        <v>3.790900933</v>
      </c>
      <c r="H2458" s="0" t="n">
        <v>1.84602428</v>
      </c>
    </row>
    <row r="2459" customFormat="false" ht="15" hidden="false" customHeight="false" outlineLevel="0" collapsed="false">
      <c r="A2459" s="0" t="s">
        <v>3655</v>
      </c>
      <c r="B2459" s="0" t="s">
        <v>1044</v>
      </c>
      <c r="C2459" s="0" t="s">
        <v>659</v>
      </c>
      <c r="D2459" s="0" t="n">
        <v>0</v>
      </c>
      <c r="E2459" s="0" t="n">
        <v>0.003969727389</v>
      </c>
      <c r="F2459" s="0" t="n">
        <v>0.02174554959</v>
      </c>
      <c r="G2459" s="0" t="n">
        <v>-0.01046069386</v>
      </c>
      <c r="H2459" s="0" t="n">
        <v>-0.06369415488</v>
      </c>
    </row>
    <row r="2460" customFormat="false" ht="15" hidden="false" customHeight="false" outlineLevel="0" collapsed="false">
      <c r="A2460" s="0" t="s">
        <v>3656</v>
      </c>
      <c r="B2460" s="0" t="s">
        <v>1024</v>
      </c>
      <c r="C2460" s="0" t="s">
        <v>659</v>
      </c>
      <c r="D2460" s="0" t="n">
        <v>0</v>
      </c>
      <c r="E2460" s="0" t="n">
        <v>0.004283289083</v>
      </c>
      <c r="F2460" s="0" t="n">
        <v>0.02447632337</v>
      </c>
      <c r="G2460" s="0" t="n">
        <v>0.01882001366</v>
      </c>
      <c r="H2460" s="0" t="n">
        <v>0.02008345473</v>
      </c>
    </row>
    <row r="2461" customFormat="false" ht="15" hidden="false" customHeight="false" outlineLevel="0" collapsed="false">
      <c r="A2461" s="0" t="s">
        <v>3657</v>
      </c>
      <c r="B2461" s="0" t="s">
        <v>838</v>
      </c>
      <c r="C2461" s="0" t="s">
        <v>659</v>
      </c>
      <c r="D2461" s="0" t="n">
        <v>0</v>
      </c>
      <c r="E2461" s="0" t="n">
        <v>0.02775004143</v>
      </c>
      <c r="F2461" s="0" t="n">
        <v>0.1328436689</v>
      </c>
      <c r="G2461" s="0" t="n">
        <v>-0.311147511</v>
      </c>
      <c r="H2461" s="0" t="n">
        <v>-0.741494399</v>
      </c>
    </row>
    <row r="2462" customFormat="false" ht="15" hidden="false" customHeight="false" outlineLevel="0" collapsed="false">
      <c r="A2462" s="0" t="s">
        <v>3658</v>
      </c>
      <c r="B2462" s="0" t="s">
        <v>906</v>
      </c>
      <c r="C2462" s="0" t="s">
        <v>659</v>
      </c>
      <c r="D2462" s="0" t="n">
        <v>0</v>
      </c>
      <c r="E2462" s="0" t="n">
        <v>0.005895563481</v>
      </c>
      <c r="F2462" s="0" t="n">
        <v>-0.020397868</v>
      </c>
      <c r="G2462" s="0" t="n">
        <v>-0.06432504076</v>
      </c>
      <c r="H2462" s="0" t="n">
        <v>0.2865930693</v>
      </c>
    </row>
    <row r="2463" customFormat="false" ht="15" hidden="false" customHeight="false" outlineLevel="0" collapsed="false">
      <c r="A2463" s="0" t="s">
        <v>3659</v>
      </c>
      <c r="B2463" s="0" t="s">
        <v>778</v>
      </c>
      <c r="C2463" s="0" t="s">
        <v>659</v>
      </c>
      <c r="D2463" s="0" t="n">
        <v>0</v>
      </c>
      <c r="E2463" s="0" t="n">
        <v>0.1485233863</v>
      </c>
      <c r="F2463" s="0" t="n">
        <v>0.989692234</v>
      </c>
      <c r="G2463" s="0" t="n">
        <v>1.429396136</v>
      </c>
      <c r="H2463" s="0" t="n">
        <v>2.586390129</v>
      </c>
    </row>
    <row r="2464" customFormat="false" ht="15" hidden="false" customHeight="false" outlineLevel="0" collapsed="false">
      <c r="A2464" s="0" t="s">
        <v>3660</v>
      </c>
      <c r="B2464" s="0" t="s">
        <v>700</v>
      </c>
      <c r="C2464" s="0" t="s">
        <v>659</v>
      </c>
      <c r="D2464" s="0" t="n">
        <v>0</v>
      </c>
      <c r="E2464" s="0" t="n">
        <v>-0.8076723619</v>
      </c>
      <c r="F2464" s="0" t="n">
        <v>-5.716665856</v>
      </c>
      <c r="G2464" s="0" t="n">
        <v>-20.09684819</v>
      </c>
      <c r="H2464" s="0" t="n">
        <v>-22.33537546</v>
      </c>
    </row>
    <row r="2465" customFormat="false" ht="15" hidden="false" customHeight="false" outlineLevel="0" collapsed="false">
      <c r="A2465" s="0" t="s">
        <v>3661</v>
      </c>
      <c r="B2465" s="0" t="s">
        <v>1014</v>
      </c>
      <c r="C2465" s="0" t="s">
        <v>659</v>
      </c>
      <c r="D2465" s="0" t="n">
        <v>0</v>
      </c>
      <c r="E2465" s="0" t="n">
        <v>0.002854338232</v>
      </c>
      <c r="F2465" s="0" t="n">
        <v>0.01359173817</v>
      </c>
      <c r="G2465" s="0" t="n">
        <v>-0.02684961747</v>
      </c>
      <c r="H2465" s="0" t="n">
        <v>-0.06777466774</v>
      </c>
    </row>
    <row r="2466" customFormat="false" ht="15" hidden="false" customHeight="false" outlineLevel="0" collapsed="false">
      <c r="A2466" s="0" t="s">
        <v>3662</v>
      </c>
      <c r="B2466" s="0" t="s">
        <v>1058</v>
      </c>
      <c r="C2466" s="0" t="s">
        <v>659</v>
      </c>
      <c r="D2466" s="0" t="n">
        <v>0</v>
      </c>
      <c r="E2466" s="0" t="n">
        <v>0.00037981622</v>
      </c>
      <c r="F2466" s="0" t="n">
        <v>0.001120962742</v>
      </c>
      <c r="G2466" s="0" t="n">
        <v>-0.009127281819</v>
      </c>
      <c r="H2466" s="0" t="n">
        <v>-0.01907835176</v>
      </c>
    </row>
    <row r="2467" customFormat="false" ht="15" hidden="false" customHeight="false" outlineLevel="0" collapsed="false">
      <c r="A2467" s="0" t="s">
        <v>3663</v>
      </c>
      <c r="B2467" s="0" t="s">
        <v>768</v>
      </c>
      <c r="C2467" s="0" t="s">
        <v>659</v>
      </c>
      <c r="D2467" s="0" t="n">
        <v>0</v>
      </c>
      <c r="E2467" s="0" t="n">
        <v>0.09191438192</v>
      </c>
      <c r="F2467" s="0" t="n">
        <v>0.471543182</v>
      </c>
      <c r="G2467" s="0" t="n">
        <v>0.1038468841</v>
      </c>
      <c r="H2467" s="0" t="n">
        <v>0.2038227709</v>
      </c>
    </row>
    <row r="2468" customFormat="false" ht="15" hidden="false" customHeight="false" outlineLevel="0" collapsed="false">
      <c r="A2468" s="0" t="s">
        <v>3664</v>
      </c>
      <c r="B2468" s="0" t="s">
        <v>818</v>
      </c>
      <c r="C2468" s="0" t="s">
        <v>659</v>
      </c>
      <c r="D2468" s="0" t="n">
        <v>0</v>
      </c>
      <c r="E2468" s="0" t="n">
        <v>0.06641818754</v>
      </c>
      <c r="F2468" s="0" t="n">
        <v>0.3176743734</v>
      </c>
      <c r="G2468" s="0" t="n">
        <v>-0.4553728613</v>
      </c>
      <c r="H2468" s="0" t="n">
        <v>-0.9704364601</v>
      </c>
    </row>
    <row r="2469" customFormat="false" ht="15" hidden="false" customHeight="false" outlineLevel="0" collapsed="false">
      <c r="A2469" s="0" t="s">
        <v>3665</v>
      </c>
      <c r="B2469" s="0" t="s">
        <v>788</v>
      </c>
      <c r="C2469" s="0" t="s">
        <v>659</v>
      </c>
      <c r="D2469" s="0" t="n">
        <v>0</v>
      </c>
      <c r="E2469" s="0" t="n">
        <v>0.8764631885</v>
      </c>
      <c r="F2469" s="0" t="n">
        <v>4.926624979</v>
      </c>
      <c r="G2469" s="0" t="n">
        <v>7.160382814</v>
      </c>
      <c r="H2469" s="0" t="n">
        <v>10.8803584</v>
      </c>
    </row>
    <row r="2470" customFormat="false" ht="15" hidden="false" customHeight="false" outlineLevel="0" collapsed="false">
      <c r="A2470" s="0" t="s">
        <v>3666</v>
      </c>
      <c r="B2470" s="0" t="s">
        <v>824</v>
      </c>
      <c r="C2470" s="0" t="s">
        <v>659</v>
      </c>
      <c r="D2470" s="0" t="n">
        <v>0</v>
      </c>
      <c r="E2470" s="0" t="n">
        <v>0.4447586193</v>
      </c>
      <c r="F2470" s="0" t="n">
        <v>2.616843737</v>
      </c>
      <c r="G2470" s="0" t="n">
        <v>3.039473192</v>
      </c>
      <c r="H2470" s="0" t="n">
        <v>4.039369735</v>
      </c>
    </row>
    <row r="2471" customFormat="false" ht="15" hidden="false" customHeight="false" outlineLevel="0" collapsed="false">
      <c r="A2471" s="0" t="s">
        <v>3667</v>
      </c>
      <c r="B2471" s="0" t="s">
        <v>764</v>
      </c>
      <c r="C2471" s="0" t="s">
        <v>659</v>
      </c>
      <c r="D2471" s="0" t="n">
        <v>0</v>
      </c>
      <c r="E2471" s="0" t="n">
        <v>-0.1042633682</v>
      </c>
      <c r="F2471" s="0" t="n">
        <v>-2.295468378</v>
      </c>
      <c r="G2471" s="0" t="n">
        <v>-21.503947</v>
      </c>
      <c r="H2471" s="0" t="n">
        <v>-44.11624992</v>
      </c>
    </row>
    <row r="2472" customFormat="false" ht="15" hidden="false" customHeight="false" outlineLevel="0" collapsed="false">
      <c r="A2472" s="0" t="s">
        <v>3668</v>
      </c>
      <c r="B2472" s="0" t="s">
        <v>722</v>
      </c>
      <c r="C2472" s="0" t="s">
        <v>659</v>
      </c>
      <c r="D2472" s="0" t="n">
        <v>0</v>
      </c>
      <c r="E2472" s="0" t="n">
        <v>0.3942072855</v>
      </c>
      <c r="F2472" s="0" t="n">
        <v>1.801436754</v>
      </c>
      <c r="G2472" s="0" t="n">
        <v>-0.2914556951</v>
      </c>
      <c r="H2472" s="0" t="n">
        <v>0.9925893755</v>
      </c>
    </row>
    <row r="2473" customFormat="false" ht="15" hidden="false" customHeight="false" outlineLevel="0" collapsed="false">
      <c r="A2473" s="0" t="s">
        <v>3669</v>
      </c>
      <c r="B2473" s="0" t="s">
        <v>902</v>
      </c>
      <c r="C2473" s="0" t="s">
        <v>659</v>
      </c>
      <c r="D2473" s="0" t="n">
        <v>0</v>
      </c>
      <c r="E2473" s="0" t="n">
        <v>0.0385620814</v>
      </c>
      <c r="F2473" s="0" t="n">
        <v>0.2214129502</v>
      </c>
      <c r="G2473" s="0" t="n">
        <v>0.3140776685</v>
      </c>
      <c r="H2473" s="0" t="n">
        <v>0.4832820922</v>
      </c>
    </row>
    <row r="2474" customFormat="false" ht="15" hidden="false" customHeight="false" outlineLevel="0" collapsed="false">
      <c r="A2474" s="0" t="s">
        <v>3670</v>
      </c>
      <c r="B2474" s="0" t="s">
        <v>802</v>
      </c>
      <c r="C2474" s="0" t="s">
        <v>659</v>
      </c>
      <c r="D2474" s="0" t="n">
        <v>0</v>
      </c>
      <c r="E2474" s="0" t="n">
        <v>0.7173245304</v>
      </c>
      <c r="F2474" s="0" t="n">
        <v>4.468031088</v>
      </c>
      <c r="G2474" s="0" t="n">
        <v>5.89830569</v>
      </c>
      <c r="H2474" s="0" t="n">
        <v>7.539160693</v>
      </c>
    </row>
    <row r="2475" customFormat="false" ht="15" hidden="false" customHeight="false" outlineLevel="0" collapsed="false">
      <c r="A2475" s="0" t="s">
        <v>3671</v>
      </c>
      <c r="B2475" s="0" t="s">
        <v>794</v>
      </c>
      <c r="C2475" s="0" t="s">
        <v>659</v>
      </c>
      <c r="D2475" s="0" t="n">
        <v>0</v>
      </c>
      <c r="E2475" s="0" t="n">
        <v>0.04177666123</v>
      </c>
      <c r="F2475" s="0" t="n">
        <v>0.1794225389</v>
      </c>
      <c r="G2475" s="0" t="n">
        <v>-0.2652391867</v>
      </c>
      <c r="H2475" s="0" t="n">
        <v>-0.4085073628</v>
      </c>
    </row>
    <row r="2476" customFormat="false" ht="15" hidden="false" customHeight="false" outlineLevel="0" collapsed="false">
      <c r="A2476" s="0" t="s">
        <v>3672</v>
      </c>
      <c r="B2476" s="0" t="s">
        <v>1006</v>
      </c>
      <c r="C2476" s="0" t="s">
        <v>659</v>
      </c>
      <c r="D2476" s="0" t="n">
        <v>0</v>
      </c>
      <c r="E2476" s="0" t="n">
        <v>0.005072235956</v>
      </c>
      <c r="F2476" s="0" t="n">
        <v>0.02436093696</v>
      </c>
      <c r="G2476" s="0" t="n">
        <v>-0.02501007793</v>
      </c>
      <c r="H2476" s="0" t="n">
        <v>-0.06712051382</v>
      </c>
    </row>
    <row r="2477" customFormat="false" ht="15" hidden="false" customHeight="false" outlineLevel="0" collapsed="false">
      <c r="A2477" s="0" t="s">
        <v>3673</v>
      </c>
      <c r="B2477" s="0" t="s">
        <v>706</v>
      </c>
      <c r="C2477" s="0" t="s">
        <v>659</v>
      </c>
      <c r="D2477" s="0" t="n">
        <v>0</v>
      </c>
      <c r="E2477" s="0" t="n">
        <v>-0.03182908084</v>
      </c>
      <c r="F2477" s="0" t="n">
        <v>-0.7779211058</v>
      </c>
      <c r="G2477" s="0" t="n">
        <v>-8.272128101</v>
      </c>
      <c r="H2477" s="0" t="n">
        <v>-9.015961051</v>
      </c>
    </row>
    <row r="2478" customFormat="false" ht="15" hidden="false" customHeight="false" outlineLevel="0" collapsed="false">
      <c r="A2478" s="0" t="s">
        <v>3674</v>
      </c>
      <c r="B2478" s="0" t="s">
        <v>950</v>
      </c>
      <c r="C2478" s="0" t="s">
        <v>659</v>
      </c>
      <c r="D2478" s="0" t="n">
        <v>0</v>
      </c>
      <c r="E2478" s="0" t="n">
        <v>0.0943227495</v>
      </c>
      <c r="F2478" s="0" t="n">
        <v>0.5561536311</v>
      </c>
      <c r="G2478" s="0" t="n">
        <v>0.6777380885</v>
      </c>
      <c r="H2478" s="0" t="n">
        <v>0.8159659804</v>
      </c>
    </row>
    <row r="2479" customFormat="false" ht="15" hidden="false" customHeight="false" outlineLevel="0" collapsed="false">
      <c r="A2479" s="0" t="s">
        <v>3675</v>
      </c>
      <c r="B2479" s="0" t="s">
        <v>704</v>
      </c>
      <c r="C2479" s="0" t="s">
        <v>659</v>
      </c>
      <c r="D2479" s="0" t="n">
        <v>0</v>
      </c>
      <c r="E2479" s="0" t="n">
        <v>-0.4527344757</v>
      </c>
      <c r="F2479" s="0" t="n">
        <v>-4.780494472</v>
      </c>
      <c r="G2479" s="0" t="n">
        <v>-15.82525139</v>
      </c>
      <c r="H2479" s="0" t="n">
        <v>-17.3311655</v>
      </c>
    </row>
    <row r="2480" customFormat="false" ht="15" hidden="false" customHeight="false" outlineLevel="0" collapsed="false">
      <c r="A2480" s="0" t="s">
        <v>3676</v>
      </c>
      <c r="B2480" s="0" t="s">
        <v>900</v>
      </c>
      <c r="C2480" s="0" t="s">
        <v>659</v>
      </c>
      <c r="D2480" s="0" t="n">
        <v>0</v>
      </c>
      <c r="E2480" s="0" t="n">
        <v>0.04801026055</v>
      </c>
      <c r="F2480" s="0" t="n">
        <v>0.2780438504</v>
      </c>
      <c r="G2480" s="0" t="n">
        <v>0.3501393129</v>
      </c>
      <c r="H2480" s="0" t="n">
        <v>0.4884165723</v>
      </c>
    </row>
    <row r="2481" customFormat="false" ht="15" hidden="false" customHeight="false" outlineLevel="0" collapsed="false">
      <c r="A2481" s="0" t="s">
        <v>3677</v>
      </c>
      <c r="B2481" s="0" t="s">
        <v>844</v>
      </c>
      <c r="C2481" s="0" t="s">
        <v>659</v>
      </c>
      <c r="D2481" s="0" t="n">
        <v>0</v>
      </c>
      <c r="E2481" s="0" t="n">
        <v>0.1083782027</v>
      </c>
      <c r="F2481" s="0" t="n">
        <v>0.6436209531</v>
      </c>
      <c r="G2481" s="0" t="n">
        <v>0.4795383814</v>
      </c>
      <c r="H2481" s="0" t="n">
        <v>0.7082333178</v>
      </c>
    </row>
    <row r="2482" customFormat="false" ht="15" hidden="false" customHeight="false" outlineLevel="0" collapsed="false">
      <c r="A2482" s="0" t="s">
        <v>3678</v>
      </c>
      <c r="B2482" s="0" t="s">
        <v>914</v>
      </c>
      <c r="C2482" s="0" t="s">
        <v>659</v>
      </c>
      <c r="D2482" s="0" t="n">
        <v>0</v>
      </c>
      <c r="E2482" s="0" t="n">
        <v>0.1855663473</v>
      </c>
      <c r="F2482" s="0" t="n">
        <v>1.024254907</v>
      </c>
      <c r="G2482" s="0" t="n">
        <v>0.9583799428</v>
      </c>
      <c r="H2482" s="0" t="n">
        <v>0.882353817</v>
      </c>
    </row>
    <row r="2483" customFormat="false" ht="15" hidden="false" customHeight="false" outlineLevel="0" collapsed="false">
      <c r="A2483" s="0" t="s">
        <v>3679</v>
      </c>
      <c r="B2483" s="0" t="s">
        <v>1028</v>
      </c>
      <c r="C2483" s="0" t="s">
        <v>659</v>
      </c>
      <c r="D2483" s="0" t="n">
        <v>0</v>
      </c>
      <c r="E2483" s="0" t="n">
        <v>0.01343963685</v>
      </c>
      <c r="F2483" s="0" t="n">
        <v>0.07296104491</v>
      </c>
      <c r="G2483" s="0" t="n">
        <v>0.0420134369</v>
      </c>
      <c r="H2483" s="0" t="n">
        <v>-0.03468016062</v>
      </c>
    </row>
    <row r="2484" customFormat="false" ht="15" hidden="false" customHeight="false" outlineLevel="0" collapsed="false">
      <c r="A2484" s="0" t="s">
        <v>3680</v>
      </c>
      <c r="B2484" s="0" t="s">
        <v>1030</v>
      </c>
      <c r="C2484" s="0" t="s">
        <v>659</v>
      </c>
      <c r="D2484" s="0" t="n">
        <v>0</v>
      </c>
      <c r="E2484" s="0" t="n">
        <v>0.02202675143</v>
      </c>
      <c r="F2484" s="0" t="n">
        <v>0.1289954239</v>
      </c>
      <c r="G2484" s="0" t="n">
        <v>0.1203482802</v>
      </c>
      <c r="H2484" s="0" t="n">
        <v>0.09288054246</v>
      </c>
    </row>
    <row r="2485" customFormat="false" ht="15" hidden="false" customHeight="false" outlineLevel="0" collapsed="false">
      <c r="A2485" s="0" t="s">
        <v>3681</v>
      </c>
      <c r="B2485" s="0" t="s">
        <v>994</v>
      </c>
      <c r="C2485" s="0" t="s">
        <v>659</v>
      </c>
      <c r="D2485" s="0" t="n">
        <v>0</v>
      </c>
      <c r="E2485" s="0" t="n">
        <v>0.07079711106</v>
      </c>
      <c r="F2485" s="0" t="n">
        <v>0.4133098867</v>
      </c>
      <c r="G2485" s="0" t="n">
        <v>0.6358032323</v>
      </c>
      <c r="H2485" s="0" t="n">
        <v>0.9180537921</v>
      </c>
    </row>
    <row r="2486" customFormat="false" ht="15" hidden="false" customHeight="false" outlineLevel="0" collapsed="false">
      <c r="A2486" s="0" t="s">
        <v>3682</v>
      </c>
      <c r="B2486" s="0" t="s">
        <v>798</v>
      </c>
      <c r="C2486" s="0" t="s">
        <v>659</v>
      </c>
      <c r="D2486" s="0" t="n">
        <v>0</v>
      </c>
      <c r="E2486" s="0" t="n">
        <v>0.05977060655</v>
      </c>
      <c r="F2486" s="0" t="n">
        <v>0.2642646777</v>
      </c>
      <c r="G2486" s="0" t="n">
        <v>0.01116227354</v>
      </c>
      <c r="H2486" s="0" t="n">
        <v>0.9005682447</v>
      </c>
    </row>
    <row r="2487" customFormat="false" ht="15" hidden="false" customHeight="false" outlineLevel="0" collapsed="false">
      <c r="A2487" s="0" t="s">
        <v>3683</v>
      </c>
      <c r="B2487" s="0" t="s">
        <v>1046</v>
      </c>
      <c r="C2487" s="0" t="s">
        <v>659</v>
      </c>
      <c r="D2487" s="0" t="n">
        <v>0</v>
      </c>
      <c r="E2487" s="0" t="n">
        <v>0.001055253073</v>
      </c>
      <c r="F2487" s="0" t="n">
        <v>0.003046599186</v>
      </c>
      <c r="G2487" s="0" t="n">
        <v>-0.02393915412</v>
      </c>
      <c r="H2487" s="0" t="n">
        <v>-0.05395514738</v>
      </c>
    </row>
    <row r="2488" customFormat="false" ht="15" hidden="false" customHeight="false" outlineLevel="0" collapsed="false">
      <c r="A2488" s="0" t="s">
        <v>3684</v>
      </c>
      <c r="B2488" s="0" t="s">
        <v>826</v>
      </c>
      <c r="C2488" s="0" t="s">
        <v>659</v>
      </c>
      <c r="D2488" s="0" t="n">
        <v>0</v>
      </c>
      <c r="E2488" s="0" t="n">
        <v>0.08295699356</v>
      </c>
      <c r="F2488" s="0" t="n">
        <v>0.3714307625</v>
      </c>
      <c r="G2488" s="0" t="n">
        <v>-1.202879066</v>
      </c>
      <c r="H2488" s="0" t="n">
        <v>-2.812397969</v>
      </c>
    </row>
    <row r="2489" customFormat="false" ht="15" hidden="false" customHeight="false" outlineLevel="0" collapsed="false">
      <c r="A2489" s="0" t="s">
        <v>3685</v>
      </c>
      <c r="B2489" s="0" t="s">
        <v>890</v>
      </c>
      <c r="C2489" s="0" t="s">
        <v>659</v>
      </c>
      <c r="D2489" s="0" t="n">
        <v>0</v>
      </c>
      <c r="E2489" s="0" t="n">
        <v>0.1255474131</v>
      </c>
      <c r="F2489" s="0" t="n">
        <v>0.7432170821</v>
      </c>
      <c r="G2489" s="0" t="n">
        <v>0.3638327332</v>
      </c>
      <c r="H2489" s="0" t="n">
        <v>-0.09650246917</v>
      </c>
    </row>
    <row r="2490" customFormat="false" ht="15" hidden="false" customHeight="false" outlineLevel="0" collapsed="false">
      <c r="A2490" s="0" t="s">
        <v>3686</v>
      </c>
      <c r="B2490" s="0" t="s">
        <v>770</v>
      </c>
      <c r="C2490" s="0" t="s">
        <v>659</v>
      </c>
      <c r="D2490" s="0" t="n">
        <v>0</v>
      </c>
      <c r="E2490" s="0" t="n">
        <v>-0.4475041431</v>
      </c>
      <c r="F2490" s="0" t="n">
        <v>-2.790841294</v>
      </c>
      <c r="G2490" s="0" t="n">
        <v>-5.794120794</v>
      </c>
      <c r="H2490" s="0" t="n">
        <v>-6.157232257</v>
      </c>
    </row>
    <row r="2491" customFormat="false" ht="15" hidden="false" customHeight="false" outlineLevel="0" collapsed="false">
      <c r="A2491" s="0" t="s">
        <v>3687</v>
      </c>
      <c r="B2491" s="0" t="s">
        <v>904</v>
      </c>
      <c r="C2491" s="0" t="s">
        <v>659</v>
      </c>
      <c r="D2491" s="0" t="n">
        <v>0</v>
      </c>
      <c r="E2491" s="0" t="n">
        <v>0.07423483241</v>
      </c>
      <c r="F2491" s="0" t="n">
        <v>0.3816508948</v>
      </c>
      <c r="G2491" s="0" t="n">
        <v>-0.6363642537</v>
      </c>
      <c r="H2491" s="0" t="n">
        <v>-1.849737327</v>
      </c>
    </row>
    <row r="2492" customFormat="false" ht="15" hidden="false" customHeight="false" outlineLevel="0" collapsed="false">
      <c r="A2492" s="0" t="s">
        <v>3688</v>
      </c>
      <c r="B2492" s="0" t="s">
        <v>846</v>
      </c>
      <c r="C2492" s="0" t="s">
        <v>659</v>
      </c>
      <c r="D2492" s="0" t="n">
        <v>0</v>
      </c>
      <c r="E2492" s="0" t="n">
        <v>0.02855678906</v>
      </c>
      <c r="F2492" s="0" t="n">
        <v>0.1183047328</v>
      </c>
      <c r="G2492" s="0" t="n">
        <v>-0.1446835584</v>
      </c>
      <c r="H2492" s="0" t="n">
        <v>-0.123001976</v>
      </c>
    </row>
    <row r="2493" customFormat="false" ht="15" hidden="false" customHeight="false" outlineLevel="0" collapsed="false">
      <c r="A2493" s="0" t="s">
        <v>3689</v>
      </c>
      <c r="B2493" s="0" t="s">
        <v>956</v>
      </c>
      <c r="C2493" s="0" t="s">
        <v>659</v>
      </c>
      <c r="D2493" s="0" t="n">
        <v>0</v>
      </c>
      <c r="E2493" s="0" t="n">
        <v>0.05006953887</v>
      </c>
      <c r="F2493" s="0" t="n">
        <v>0.2899220214</v>
      </c>
      <c r="G2493" s="0" t="n">
        <v>0.3550333736</v>
      </c>
      <c r="H2493" s="0" t="n">
        <v>0.4253144312</v>
      </c>
    </row>
    <row r="2494" customFormat="false" ht="15" hidden="false" customHeight="false" outlineLevel="0" collapsed="false">
      <c r="A2494" s="0" t="s">
        <v>3690</v>
      </c>
      <c r="B2494" s="0" t="s">
        <v>800</v>
      </c>
      <c r="C2494" s="0" t="s">
        <v>659</v>
      </c>
      <c r="D2494" s="0" t="n">
        <v>0</v>
      </c>
      <c r="E2494" s="0" t="n">
        <v>0.3507078423</v>
      </c>
      <c r="F2494" s="0" t="n">
        <v>2.21716685</v>
      </c>
      <c r="G2494" s="0" t="n">
        <v>4.999284854</v>
      </c>
      <c r="H2494" s="0" t="n">
        <v>7.716165264</v>
      </c>
    </row>
    <row r="2495" customFormat="false" ht="15" hidden="false" customHeight="false" outlineLevel="0" collapsed="false">
      <c r="A2495" s="0" t="s">
        <v>3691</v>
      </c>
      <c r="B2495" s="0" t="s">
        <v>724</v>
      </c>
      <c r="C2495" s="0" t="s">
        <v>659</v>
      </c>
      <c r="D2495" s="0" t="n">
        <v>0</v>
      </c>
      <c r="E2495" s="0" t="n">
        <v>3.294031439</v>
      </c>
      <c r="F2495" s="0" t="n">
        <v>17.91204686</v>
      </c>
      <c r="G2495" s="0" t="n">
        <v>4.225328744</v>
      </c>
      <c r="H2495" s="0" t="n">
        <v>-9.822269002</v>
      </c>
    </row>
    <row r="2496" customFormat="false" ht="15" hidden="false" customHeight="false" outlineLevel="0" collapsed="false">
      <c r="A2496" s="0" t="s">
        <v>3692</v>
      </c>
      <c r="B2496" s="0" t="s">
        <v>36</v>
      </c>
      <c r="C2496" s="0" t="s">
        <v>659</v>
      </c>
      <c r="D2496" s="0" t="n">
        <v>0</v>
      </c>
      <c r="E2496" s="0" t="n">
        <v>7.788686347</v>
      </c>
      <c r="F2496" s="0" t="n">
        <v>51.36507888</v>
      </c>
      <c r="G2496" s="0" t="n">
        <v>122.8154528</v>
      </c>
      <c r="H2496" s="0" t="n">
        <v>228.576778</v>
      </c>
    </row>
    <row r="2497" customFormat="false" ht="15" hidden="false" customHeight="false" outlineLevel="0" collapsed="false">
      <c r="A2497" s="0" t="s">
        <v>3693</v>
      </c>
      <c r="B2497" s="0" t="s">
        <v>738</v>
      </c>
      <c r="C2497" s="0" t="s">
        <v>659</v>
      </c>
      <c r="D2497" s="0" t="n">
        <v>0</v>
      </c>
      <c r="E2497" s="0" t="n">
        <v>0.1421252279</v>
      </c>
      <c r="F2497" s="0" t="n">
        <v>0.9339430038</v>
      </c>
      <c r="G2497" s="0" t="n">
        <v>1.267471449</v>
      </c>
      <c r="H2497" s="0" t="n">
        <v>2.204597371</v>
      </c>
    </row>
    <row r="2498" customFormat="false" ht="15" hidden="false" customHeight="false" outlineLevel="0" collapsed="false">
      <c r="A2498" s="0" t="s">
        <v>3694</v>
      </c>
      <c r="B2498" s="0" t="s">
        <v>790</v>
      </c>
      <c r="C2498" s="0" t="s">
        <v>659</v>
      </c>
      <c r="D2498" s="0" t="n">
        <v>0</v>
      </c>
      <c r="E2498" s="0" t="n">
        <v>3.181194325</v>
      </c>
      <c r="F2498" s="0" t="n">
        <v>15.53707458</v>
      </c>
      <c r="G2498" s="0" t="n">
        <v>32.66893653</v>
      </c>
      <c r="H2498" s="0" t="n">
        <v>55.61517282</v>
      </c>
    </row>
    <row r="2499" customFormat="false" ht="15" hidden="false" customHeight="false" outlineLevel="0" collapsed="false">
      <c r="A2499" s="0" t="s">
        <v>3695</v>
      </c>
      <c r="B2499" s="0" t="s">
        <v>806</v>
      </c>
      <c r="C2499" s="0" t="s">
        <v>659</v>
      </c>
      <c r="D2499" s="0" t="n">
        <v>0</v>
      </c>
      <c r="E2499" s="0" t="n">
        <v>0.7680926864</v>
      </c>
      <c r="F2499" s="0" t="n">
        <v>3.955917248</v>
      </c>
      <c r="G2499" s="0" t="n">
        <v>3.420717263</v>
      </c>
      <c r="H2499" s="0" t="n">
        <v>2.125423564</v>
      </c>
    </row>
    <row r="2500" customFormat="false" ht="15" hidden="false" customHeight="false" outlineLevel="0" collapsed="false">
      <c r="A2500" s="0" t="s">
        <v>3696</v>
      </c>
      <c r="B2500" s="0" t="s">
        <v>916</v>
      </c>
      <c r="C2500" s="0" t="s">
        <v>659</v>
      </c>
      <c r="D2500" s="0" t="n">
        <v>0</v>
      </c>
      <c r="E2500" s="0" t="n">
        <v>0.08659265977</v>
      </c>
      <c r="F2500" s="0" t="n">
        <v>0.5153170662</v>
      </c>
      <c r="G2500" s="0" t="n">
        <v>0.5486372497</v>
      </c>
      <c r="H2500" s="0" t="n">
        <v>0.6099793313</v>
      </c>
    </row>
    <row r="2501" customFormat="false" ht="15" hidden="false" customHeight="false" outlineLevel="0" collapsed="false">
      <c r="A2501" s="0" t="s">
        <v>3697</v>
      </c>
      <c r="B2501" s="0" t="s">
        <v>750</v>
      </c>
      <c r="C2501" s="0" t="s">
        <v>659</v>
      </c>
      <c r="D2501" s="0" t="n">
        <v>0</v>
      </c>
      <c r="E2501" s="0" t="n">
        <v>0.2919218522</v>
      </c>
      <c r="F2501" s="0" t="n">
        <v>2.310112317</v>
      </c>
      <c r="G2501" s="0" t="n">
        <v>5.179292553</v>
      </c>
      <c r="H2501" s="0" t="n">
        <v>6.355544616</v>
      </c>
    </row>
    <row r="2502" customFormat="false" ht="15" hidden="false" customHeight="false" outlineLevel="0" collapsed="false">
      <c r="A2502" s="0" t="s">
        <v>3698</v>
      </c>
      <c r="B2502" s="0" t="s">
        <v>712</v>
      </c>
      <c r="C2502" s="0" t="s">
        <v>659</v>
      </c>
      <c r="D2502" s="0" t="n">
        <v>0</v>
      </c>
      <c r="E2502" s="0" t="n">
        <v>-0.6435921685</v>
      </c>
      <c r="F2502" s="0" t="n">
        <v>-4.388734413</v>
      </c>
      <c r="G2502" s="0" t="n">
        <v>-13.85902934</v>
      </c>
      <c r="H2502" s="0" t="n">
        <v>-12.48133652</v>
      </c>
    </row>
    <row r="2503" customFormat="false" ht="15" hidden="false" customHeight="false" outlineLevel="0" collapsed="false">
      <c r="A2503" s="0" t="s">
        <v>3699</v>
      </c>
      <c r="B2503" s="0" t="s">
        <v>964</v>
      </c>
      <c r="C2503" s="0" t="s">
        <v>659</v>
      </c>
      <c r="D2503" s="0" t="n">
        <v>0</v>
      </c>
      <c r="E2503" s="0" t="n">
        <v>0.009043925045</v>
      </c>
      <c r="F2503" s="0" t="n">
        <v>0.01457987331</v>
      </c>
      <c r="G2503" s="0" t="n">
        <v>-0.3232558787</v>
      </c>
      <c r="H2503" s="0" t="n">
        <v>-0.7192447982</v>
      </c>
    </row>
    <row r="2504" customFormat="false" ht="15" hidden="false" customHeight="false" outlineLevel="0" collapsed="false">
      <c r="A2504" s="0" t="s">
        <v>3700</v>
      </c>
      <c r="B2504" s="0" t="s">
        <v>876</v>
      </c>
      <c r="C2504" s="0" t="s">
        <v>659</v>
      </c>
      <c r="D2504" s="0" t="n">
        <v>0</v>
      </c>
      <c r="E2504" s="0" t="n">
        <v>-0.01469090582</v>
      </c>
      <c r="F2504" s="0" t="n">
        <v>-0.1863796841</v>
      </c>
      <c r="G2504" s="0" t="n">
        <v>-1.807764963</v>
      </c>
      <c r="H2504" s="0" t="n">
        <v>-3.342720612</v>
      </c>
    </row>
    <row r="2505" customFormat="false" ht="15" hidden="false" customHeight="false" outlineLevel="0" collapsed="false">
      <c r="A2505" s="0" t="s">
        <v>3701</v>
      </c>
      <c r="B2505" s="0" t="s">
        <v>702</v>
      </c>
      <c r="C2505" s="0" t="s">
        <v>659</v>
      </c>
      <c r="D2505" s="0" t="n">
        <v>0</v>
      </c>
      <c r="E2505" s="0" t="n">
        <v>-0.4043167178</v>
      </c>
      <c r="F2505" s="0" t="n">
        <v>-2.433228639</v>
      </c>
      <c r="G2505" s="0" t="n">
        <v>3.584972477</v>
      </c>
      <c r="H2505" s="0" t="n">
        <v>28.28957115</v>
      </c>
    </row>
    <row r="2506" customFormat="false" ht="15" hidden="false" customHeight="false" outlineLevel="0" collapsed="false">
      <c r="A2506" s="0" t="s">
        <v>3702</v>
      </c>
      <c r="B2506" s="0" t="s">
        <v>780</v>
      </c>
      <c r="C2506" s="0" t="s">
        <v>659</v>
      </c>
      <c r="D2506" s="0" t="n">
        <v>0</v>
      </c>
      <c r="E2506" s="0" t="n">
        <v>0.8911012379</v>
      </c>
      <c r="F2506" s="0" t="n">
        <v>5.101155391</v>
      </c>
      <c r="G2506" s="0" t="n">
        <v>9.174864953</v>
      </c>
      <c r="H2506" s="0" t="n">
        <v>14.75386265</v>
      </c>
    </row>
    <row r="2507" customFormat="false" ht="15" hidden="false" customHeight="false" outlineLevel="0" collapsed="false">
      <c r="A2507" s="0" t="s">
        <v>3703</v>
      </c>
      <c r="B2507" s="0" t="s">
        <v>814</v>
      </c>
      <c r="C2507" s="0" t="s">
        <v>659</v>
      </c>
      <c r="D2507" s="0" t="n">
        <v>0</v>
      </c>
      <c r="E2507" s="0" t="n">
        <v>0.2668566521</v>
      </c>
      <c r="F2507" s="0" t="n">
        <v>1.519915304</v>
      </c>
      <c r="G2507" s="0" t="n">
        <v>1.224365789</v>
      </c>
      <c r="H2507" s="0" t="n">
        <v>0.8132216019</v>
      </c>
    </row>
    <row r="2508" customFormat="false" ht="15" hidden="false" customHeight="false" outlineLevel="0" collapsed="false">
      <c r="A2508" s="0" t="s">
        <v>3704</v>
      </c>
      <c r="B2508" s="0" t="s">
        <v>946</v>
      </c>
      <c r="C2508" s="0" t="s">
        <v>659</v>
      </c>
      <c r="D2508" s="0" t="n">
        <v>0</v>
      </c>
      <c r="E2508" s="0" t="n">
        <v>0.05316283604</v>
      </c>
      <c r="F2508" s="0" t="n">
        <v>0.3106625005</v>
      </c>
      <c r="G2508" s="0" t="n">
        <v>0.5049058946</v>
      </c>
      <c r="H2508" s="0" t="n">
        <v>0.7265228499</v>
      </c>
    </row>
    <row r="2509" customFormat="false" ht="15" hidden="false" customHeight="false" outlineLevel="0" collapsed="false">
      <c r="A2509" s="0" t="s">
        <v>3705</v>
      </c>
      <c r="B2509" s="0" t="s">
        <v>886</v>
      </c>
      <c r="C2509" s="0" t="s">
        <v>659</v>
      </c>
      <c r="D2509" s="0" t="n">
        <v>0</v>
      </c>
      <c r="E2509" s="0" t="n">
        <v>0.3554967917</v>
      </c>
      <c r="F2509" s="0" t="n">
        <v>2.086224875</v>
      </c>
      <c r="G2509" s="0" t="n">
        <v>1.687448553</v>
      </c>
      <c r="H2509" s="0" t="n">
        <v>1.318205864</v>
      </c>
    </row>
    <row r="2510" customFormat="false" ht="15" hidden="false" customHeight="false" outlineLevel="0" collapsed="false">
      <c r="A2510" s="0" t="s">
        <v>3706</v>
      </c>
      <c r="B2510" s="0" t="s">
        <v>1054</v>
      </c>
      <c r="C2510" s="0" t="s">
        <v>659</v>
      </c>
      <c r="D2510" s="0" t="n">
        <v>0</v>
      </c>
      <c r="E2510" s="0" t="n">
        <v>0.003430556944</v>
      </c>
      <c r="F2510" s="0" t="n">
        <v>0.01825170426</v>
      </c>
      <c r="G2510" s="0" t="n">
        <v>0.01723262627</v>
      </c>
      <c r="H2510" s="0" t="n">
        <v>0.01848779419</v>
      </c>
    </row>
    <row r="2511" customFormat="false" ht="15" hidden="false" customHeight="false" outlineLevel="0" collapsed="false">
      <c r="A2511" s="0" t="s">
        <v>3707</v>
      </c>
      <c r="B2511" s="0" t="s">
        <v>716</v>
      </c>
      <c r="C2511" s="0" t="s">
        <v>659</v>
      </c>
      <c r="D2511" s="0" t="n">
        <v>0</v>
      </c>
      <c r="E2511" s="0" t="n">
        <v>0.4320491899</v>
      </c>
      <c r="F2511" s="0" t="n">
        <v>2.834424638</v>
      </c>
      <c r="G2511" s="0" t="n">
        <v>10.59422203</v>
      </c>
      <c r="H2511" s="0" t="n">
        <v>23.85304463</v>
      </c>
    </row>
    <row r="2512" customFormat="false" ht="15" hidden="false" customHeight="false" outlineLevel="0" collapsed="false">
      <c r="A2512" s="0" t="s">
        <v>3708</v>
      </c>
      <c r="B2512" s="0" t="s">
        <v>812</v>
      </c>
      <c r="C2512" s="0" t="s">
        <v>659</v>
      </c>
      <c r="D2512" s="0" t="n">
        <v>0</v>
      </c>
      <c r="E2512" s="0" t="n">
        <v>0.3544922101</v>
      </c>
      <c r="F2512" s="0" t="n">
        <v>1.550768347</v>
      </c>
      <c r="G2512" s="0" t="n">
        <v>0.1611520724</v>
      </c>
      <c r="H2512" s="0" t="n">
        <v>-0.2384005506</v>
      </c>
    </row>
    <row r="2513" customFormat="false" ht="15" hidden="false" customHeight="false" outlineLevel="0" collapsed="false">
      <c r="A2513" s="0" t="s">
        <v>3709</v>
      </c>
      <c r="B2513" s="0" t="s">
        <v>972</v>
      </c>
      <c r="C2513" s="0" t="s">
        <v>659</v>
      </c>
      <c r="D2513" s="0" t="n">
        <v>0</v>
      </c>
      <c r="E2513" s="0" t="n">
        <v>0.2389393815</v>
      </c>
      <c r="F2513" s="0" t="n">
        <v>1.407143773</v>
      </c>
      <c r="G2513" s="0" t="n">
        <v>1.761601151</v>
      </c>
      <c r="H2513" s="0" t="n">
        <v>2.077999089</v>
      </c>
    </row>
    <row r="2514" customFormat="false" ht="15" hidden="false" customHeight="false" outlineLevel="0" collapsed="false">
      <c r="A2514" s="0" t="s">
        <v>3710</v>
      </c>
      <c r="B2514" s="0" t="s">
        <v>922</v>
      </c>
      <c r="C2514" s="0" t="s">
        <v>659</v>
      </c>
      <c r="D2514" s="0" t="n">
        <v>0</v>
      </c>
      <c r="E2514" s="0" t="n">
        <v>0.2947141416</v>
      </c>
      <c r="F2514" s="0" t="n">
        <v>1.85484361</v>
      </c>
      <c r="G2514" s="0" t="n">
        <v>4.134116463</v>
      </c>
      <c r="H2514" s="0" t="n">
        <v>7.390360758</v>
      </c>
    </row>
    <row r="2515" customFormat="false" ht="15" hidden="false" customHeight="false" outlineLevel="0" collapsed="false">
      <c r="A2515" s="0" t="s">
        <v>3711</v>
      </c>
      <c r="B2515" s="0" t="s">
        <v>1008</v>
      </c>
      <c r="C2515" s="0" t="s">
        <v>659</v>
      </c>
      <c r="D2515" s="0" t="n">
        <v>0</v>
      </c>
      <c r="E2515" s="0" t="n">
        <v>0.1212943276</v>
      </c>
      <c r="F2515" s="0" t="n">
        <v>0.7281346853</v>
      </c>
      <c r="G2515" s="0" t="n">
        <v>0.7665182238</v>
      </c>
      <c r="H2515" s="0" t="n">
        <v>0.7980201609</v>
      </c>
    </row>
    <row r="2516" customFormat="false" ht="15" hidden="false" customHeight="false" outlineLevel="0" collapsed="false">
      <c r="A2516" s="0" t="s">
        <v>3712</v>
      </c>
      <c r="B2516" s="0" t="s">
        <v>874</v>
      </c>
      <c r="C2516" s="0" t="s">
        <v>659</v>
      </c>
      <c r="D2516" s="0" t="n">
        <v>0</v>
      </c>
      <c r="E2516" s="0" t="n">
        <v>0.153740223</v>
      </c>
      <c r="F2516" s="0" t="n">
        <v>0.5299186424</v>
      </c>
      <c r="G2516" s="0" t="n">
        <v>-3.140119458</v>
      </c>
      <c r="H2516" s="0" t="n">
        <v>-6.583244007</v>
      </c>
    </row>
    <row r="2517" customFormat="false" ht="15" hidden="false" customHeight="false" outlineLevel="0" collapsed="false">
      <c r="A2517" s="0" t="s">
        <v>3713</v>
      </c>
      <c r="B2517" s="0" t="s">
        <v>1032</v>
      </c>
      <c r="C2517" s="0" t="s">
        <v>659</v>
      </c>
      <c r="D2517" s="0" t="n">
        <v>0</v>
      </c>
      <c r="E2517" s="0" t="n">
        <v>0.0008486558239</v>
      </c>
      <c r="F2517" s="0" t="n">
        <v>0.001826336921</v>
      </c>
      <c r="G2517" s="0" t="n">
        <v>-0.03512444965</v>
      </c>
      <c r="H2517" s="0" t="n">
        <v>-0.07349195457</v>
      </c>
    </row>
    <row r="2518" customFormat="false" ht="15" hidden="false" customHeight="false" outlineLevel="0" collapsed="false">
      <c r="A2518" s="0" t="s">
        <v>3714</v>
      </c>
      <c r="B2518" s="0" t="s">
        <v>840</v>
      </c>
      <c r="C2518" s="0" t="s">
        <v>659</v>
      </c>
      <c r="D2518" s="0" t="n">
        <v>0</v>
      </c>
      <c r="E2518" s="0" t="n">
        <v>0.08055890359</v>
      </c>
      <c r="F2518" s="0" t="n">
        <v>0.4435797494</v>
      </c>
      <c r="G2518" s="0" t="n">
        <v>-0.1641436835</v>
      </c>
      <c r="H2518" s="0" t="n">
        <v>-0.8456670536</v>
      </c>
    </row>
    <row r="2519" customFormat="false" ht="15" hidden="false" customHeight="false" outlineLevel="0" collapsed="false">
      <c r="A2519" s="0" t="s">
        <v>3715</v>
      </c>
      <c r="B2519" s="0" t="s">
        <v>1034</v>
      </c>
      <c r="C2519" s="0" t="s">
        <v>659</v>
      </c>
      <c r="D2519" s="0" t="n">
        <v>0</v>
      </c>
      <c r="E2519" s="0" t="n">
        <v>0.02925361853</v>
      </c>
      <c r="F2519" s="0" t="n">
        <v>0.1513628857</v>
      </c>
      <c r="G2519" s="0" t="n">
        <v>0.2128833111</v>
      </c>
      <c r="H2519" s="0" t="n">
        <v>0.2381349936</v>
      </c>
    </row>
    <row r="2520" customFormat="false" ht="15" hidden="false" customHeight="false" outlineLevel="0" collapsed="false">
      <c r="A2520" s="0" t="s">
        <v>3716</v>
      </c>
      <c r="B2520" s="0" t="s">
        <v>856</v>
      </c>
      <c r="C2520" s="0" t="s">
        <v>659</v>
      </c>
      <c r="D2520" s="0" t="n">
        <v>0</v>
      </c>
      <c r="E2520" s="0" t="n">
        <v>0.06694922172</v>
      </c>
      <c r="F2520" s="0" t="n">
        <v>0.4316759792</v>
      </c>
      <c r="G2520" s="0" t="n">
        <v>0.8147705711</v>
      </c>
      <c r="H2520" s="0" t="n">
        <v>1.274848569</v>
      </c>
    </row>
    <row r="2521" customFormat="false" ht="15" hidden="false" customHeight="false" outlineLevel="0" collapsed="false">
      <c r="A2521" s="0" t="s">
        <v>3717</v>
      </c>
      <c r="B2521" s="0" t="s">
        <v>854</v>
      </c>
      <c r="C2521" s="0" t="s">
        <v>659</v>
      </c>
      <c r="D2521" s="0" t="n">
        <v>0</v>
      </c>
      <c r="E2521" s="0" t="n">
        <v>0.006114182547</v>
      </c>
      <c r="F2521" s="0" t="n">
        <v>0.02245673158</v>
      </c>
      <c r="G2521" s="0" t="n">
        <v>-0.1732814696</v>
      </c>
      <c r="H2521" s="0" t="n">
        <v>-0.2149773939</v>
      </c>
    </row>
    <row r="2522" customFormat="false" ht="15" hidden="false" customHeight="false" outlineLevel="0" collapsed="false">
      <c r="A2522" s="0" t="s">
        <v>3718</v>
      </c>
      <c r="B2522" s="0" t="s">
        <v>894</v>
      </c>
      <c r="C2522" s="0" t="s">
        <v>659</v>
      </c>
      <c r="D2522" s="0" t="n">
        <v>0</v>
      </c>
      <c r="E2522" s="0" t="n">
        <v>0.01955369222</v>
      </c>
      <c r="F2522" s="0" t="n">
        <v>0.1176481434</v>
      </c>
      <c r="G2522" s="0" t="n">
        <v>0.06137849238</v>
      </c>
      <c r="H2522" s="0" t="n">
        <v>0.1943181788</v>
      </c>
    </row>
    <row r="2523" customFormat="false" ht="15" hidden="false" customHeight="false" outlineLevel="0" collapsed="false">
      <c r="A2523" s="0" t="s">
        <v>3719</v>
      </c>
      <c r="B2523" s="0" t="s">
        <v>882</v>
      </c>
      <c r="C2523" s="0" t="s">
        <v>659</v>
      </c>
      <c r="D2523" s="0" t="n">
        <v>0</v>
      </c>
      <c r="E2523" s="0" t="n">
        <v>-0.0362647556</v>
      </c>
      <c r="F2523" s="0" t="n">
        <v>-0.2111313566</v>
      </c>
      <c r="G2523" s="0" t="n">
        <v>-0.4563611595</v>
      </c>
      <c r="H2523" s="0" t="n">
        <v>-0.5689310076</v>
      </c>
    </row>
    <row r="2524" customFormat="false" ht="15" hidden="false" customHeight="false" outlineLevel="0" collapsed="false">
      <c r="A2524" s="0" t="s">
        <v>3720</v>
      </c>
      <c r="B2524" s="0" t="s">
        <v>808</v>
      </c>
      <c r="C2524" s="0" t="s">
        <v>659</v>
      </c>
      <c r="D2524" s="0" t="n">
        <v>0</v>
      </c>
      <c r="E2524" s="0" t="n">
        <v>0.1094500113</v>
      </c>
      <c r="F2524" s="0" t="n">
        <v>0.4836762005</v>
      </c>
      <c r="G2524" s="0" t="n">
        <v>-1.691258313</v>
      </c>
      <c r="H2524" s="0" t="n">
        <v>-3.84786189</v>
      </c>
    </row>
    <row r="2525" customFormat="false" ht="15" hidden="false" customHeight="false" outlineLevel="0" collapsed="false">
      <c r="A2525" s="0" t="s">
        <v>3721</v>
      </c>
      <c r="B2525" s="0" t="s">
        <v>966</v>
      </c>
      <c r="C2525" s="0" t="s">
        <v>659</v>
      </c>
      <c r="D2525" s="0" t="n">
        <v>0</v>
      </c>
      <c r="E2525" s="0" t="n">
        <v>0.03684925102</v>
      </c>
      <c r="F2525" s="0" t="n">
        <v>0.1799799852</v>
      </c>
      <c r="G2525" s="0" t="n">
        <v>0.02172084892</v>
      </c>
      <c r="H2525" s="0" t="n">
        <v>-0.08854870487</v>
      </c>
    </row>
    <row r="2526" customFormat="false" ht="15" hidden="false" customHeight="false" outlineLevel="0" collapsed="false">
      <c r="A2526" s="0" t="s">
        <v>3722</v>
      </c>
      <c r="B2526" s="0" t="s">
        <v>960</v>
      </c>
      <c r="C2526" s="0" t="s">
        <v>659</v>
      </c>
      <c r="D2526" s="0" t="n">
        <v>0</v>
      </c>
      <c r="E2526" s="0" t="n">
        <v>0.1670288729</v>
      </c>
      <c r="F2526" s="0" t="n">
        <v>0.9898612291</v>
      </c>
      <c r="G2526" s="0" t="n">
        <v>1.078121656</v>
      </c>
      <c r="H2526" s="0" t="n">
        <v>1.173264842</v>
      </c>
    </row>
    <row r="2527" customFormat="false" ht="15" hidden="false" customHeight="false" outlineLevel="0" collapsed="false">
      <c r="A2527" s="0" t="s">
        <v>3723</v>
      </c>
      <c r="B2527" s="0" t="s">
        <v>1002</v>
      </c>
      <c r="C2527" s="0" t="s">
        <v>659</v>
      </c>
      <c r="D2527" s="0" t="n">
        <v>0</v>
      </c>
      <c r="E2527" s="0" t="n">
        <v>0.004797957563</v>
      </c>
      <c r="F2527" s="0" t="n">
        <v>0.01612904005</v>
      </c>
      <c r="G2527" s="0" t="n">
        <v>-0.1188019545</v>
      </c>
      <c r="H2527" s="0" t="n">
        <v>-0.2377141997</v>
      </c>
    </row>
    <row r="2528" customFormat="false" ht="15" hidden="false" customHeight="false" outlineLevel="0" collapsed="false">
      <c r="A2528" s="0" t="s">
        <v>3724</v>
      </c>
      <c r="B2528" s="0" t="s">
        <v>720</v>
      </c>
      <c r="C2528" s="0" t="s">
        <v>659</v>
      </c>
      <c r="D2528" s="0" t="n">
        <v>0</v>
      </c>
      <c r="E2528" s="0" t="n">
        <v>2.525053936</v>
      </c>
      <c r="F2528" s="0" t="n">
        <v>14.3442656</v>
      </c>
      <c r="G2528" s="0" t="n">
        <v>21.29388347</v>
      </c>
      <c r="H2528" s="0" t="n">
        <v>33.19294951</v>
      </c>
    </row>
    <row r="2529" customFormat="false" ht="15" hidden="false" customHeight="false" outlineLevel="0" collapsed="false">
      <c r="A2529" s="0" t="s">
        <v>3725</v>
      </c>
      <c r="B2529" s="0" t="s">
        <v>970</v>
      </c>
      <c r="C2529" s="0" t="s">
        <v>659</v>
      </c>
      <c r="D2529" s="0" t="n">
        <v>0</v>
      </c>
      <c r="E2529" s="0" t="n">
        <v>0.01903801835</v>
      </c>
      <c r="F2529" s="0" t="n">
        <v>0.08985238894</v>
      </c>
      <c r="G2529" s="0" t="n">
        <v>-0.1016113747</v>
      </c>
      <c r="H2529" s="0" t="n">
        <v>-0.271612811</v>
      </c>
    </row>
    <row r="2530" customFormat="false" ht="15" hidden="false" customHeight="false" outlineLevel="0" collapsed="false">
      <c r="A2530" s="0" t="s">
        <v>3726</v>
      </c>
      <c r="B2530" s="0" t="s">
        <v>918</v>
      </c>
      <c r="C2530" s="0" t="s">
        <v>659</v>
      </c>
      <c r="D2530" s="0" t="n">
        <v>0</v>
      </c>
      <c r="E2530" s="0" t="n">
        <v>0.1187365245</v>
      </c>
      <c r="F2530" s="0" t="n">
        <v>0.6822879154</v>
      </c>
      <c r="G2530" s="0" t="n">
        <v>0.3470192261</v>
      </c>
      <c r="H2530" s="0" t="n">
        <v>-0.1594003464</v>
      </c>
    </row>
    <row r="2531" customFormat="false" ht="15" hidden="false" customHeight="false" outlineLevel="0" collapsed="false">
      <c r="A2531" s="0" t="s">
        <v>3727</v>
      </c>
      <c r="B2531" s="0" t="s">
        <v>936</v>
      </c>
      <c r="C2531" s="0" t="s">
        <v>659</v>
      </c>
      <c r="D2531" s="0" t="n">
        <v>0</v>
      </c>
      <c r="E2531" s="0" t="n">
        <v>-0.01087330471</v>
      </c>
      <c r="F2531" s="0" t="n">
        <v>-0.06908412227</v>
      </c>
      <c r="G2531" s="0" t="n">
        <v>-0.1671782521</v>
      </c>
      <c r="H2531" s="0" t="n">
        <v>-0.1686268547</v>
      </c>
    </row>
    <row r="2532" customFormat="false" ht="15" hidden="false" customHeight="false" outlineLevel="0" collapsed="false">
      <c r="A2532" s="0" t="s">
        <v>3728</v>
      </c>
      <c r="B2532" s="0" t="s">
        <v>862</v>
      </c>
      <c r="C2532" s="0" t="s">
        <v>659</v>
      </c>
      <c r="D2532" s="0" t="n">
        <v>0</v>
      </c>
      <c r="E2532" s="0" t="n">
        <v>1.540056657</v>
      </c>
      <c r="F2532" s="0" t="n">
        <v>9.27006895</v>
      </c>
      <c r="G2532" s="0" t="n">
        <v>10.9319721</v>
      </c>
      <c r="H2532" s="0" t="n">
        <v>12.99743078</v>
      </c>
    </row>
    <row r="2533" customFormat="false" ht="15" hidden="false" customHeight="false" outlineLevel="0" collapsed="false">
      <c r="A2533" s="0" t="s">
        <v>3729</v>
      </c>
      <c r="B2533" s="0" t="s">
        <v>996</v>
      </c>
      <c r="C2533" s="0" t="s">
        <v>659</v>
      </c>
      <c r="D2533" s="0" t="n">
        <v>0</v>
      </c>
      <c r="E2533" s="0" t="n">
        <v>0.001037188979</v>
      </c>
      <c r="F2533" s="0" t="n">
        <v>0.001105430212</v>
      </c>
      <c r="G2533" s="0" t="n">
        <v>-0.07369404929</v>
      </c>
      <c r="H2533" s="0" t="n">
        <v>-0.1420349859</v>
      </c>
    </row>
    <row r="2534" customFormat="false" ht="15" hidden="false" customHeight="false" outlineLevel="0" collapsed="false">
      <c r="A2534" s="0" t="s">
        <v>3730</v>
      </c>
      <c r="B2534" s="0" t="s">
        <v>928</v>
      </c>
      <c r="C2534" s="0" t="s">
        <v>659</v>
      </c>
      <c r="D2534" s="0" t="n">
        <v>0</v>
      </c>
      <c r="E2534" s="0" t="n">
        <v>0.3059451778</v>
      </c>
      <c r="F2534" s="0" t="n">
        <v>1.809432852</v>
      </c>
      <c r="G2534" s="0" t="n">
        <v>2.018162669</v>
      </c>
      <c r="H2534" s="0" t="n">
        <v>2.243595435</v>
      </c>
    </row>
    <row r="2535" customFormat="false" ht="15" hidden="false" customHeight="false" outlineLevel="0" collapsed="false">
      <c r="A2535" s="0" t="s">
        <v>3731</v>
      </c>
      <c r="B2535" s="0" t="s">
        <v>954</v>
      </c>
      <c r="C2535" s="0" t="s">
        <v>659</v>
      </c>
      <c r="D2535" s="0" t="n">
        <v>0</v>
      </c>
      <c r="E2535" s="0" t="n">
        <v>0.6306851693</v>
      </c>
      <c r="F2535" s="0" t="n">
        <v>3.785684846</v>
      </c>
      <c r="G2535" s="0" t="n">
        <v>3.901885129</v>
      </c>
      <c r="H2535" s="0" t="n">
        <v>4.163309106</v>
      </c>
    </row>
    <row r="2536" customFormat="false" ht="15" hidden="false" customHeight="false" outlineLevel="0" collapsed="false">
      <c r="A2536" s="0" t="s">
        <v>3732</v>
      </c>
      <c r="B2536" s="0" t="s">
        <v>988</v>
      </c>
      <c r="C2536" s="0" t="s">
        <v>659</v>
      </c>
      <c r="D2536" s="0" t="n">
        <v>0</v>
      </c>
      <c r="E2536" s="0" t="n">
        <v>0.04405201585</v>
      </c>
      <c r="F2536" s="0" t="n">
        <v>0.2526436775</v>
      </c>
      <c r="G2536" s="0" t="n">
        <v>0.199364025</v>
      </c>
      <c r="H2536" s="0" t="n">
        <v>0.1447024996</v>
      </c>
    </row>
    <row r="2537" customFormat="false" ht="15" hidden="false" customHeight="false" outlineLevel="0" collapsed="false">
      <c r="A2537" s="0" t="s">
        <v>3733</v>
      </c>
      <c r="B2537" s="0" t="s">
        <v>974</v>
      </c>
      <c r="C2537" s="0" t="s">
        <v>659</v>
      </c>
      <c r="D2537" s="0" t="n">
        <v>0</v>
      </c>
      <c r="E2537" s="0" t="n">
        <v>-0.005475321694</v>
      </c>
      <c r="F2537" s="0" t="n">
        <v>-0.05298738491</v>
      </c>
      <c r="G2537" s="0" t="n">
        <v>-0.3489777695</v>
      </c>
      <c r="H2537" s="0" t="n">
        <v>-0.6321145311</v>
      </c>
    </row>
    <row r="2538" customFormat="false" ht="15" hidden="false" customHeight="false" outlineLevel="0" collapsed="false">
      <c r="A2538" s="0" t="s">
        <v>3734</v>
      </c>
      <c r="B2538" s="0" t="s">
        <v>992</v>
      </c>
      <c r="C2538" s="0" t="s">
        <v>659</v>
      </c>
      <c r="D2538" s="0" t="n">
        <v>0</v>
      </c>
      <c r="E2538" s="0" t="n">
        <v>0.120828982</v>
      </c>
      <c r="F2538" s="0" t="n">
        <v>0.7136594602</v>
      </c>
      <c r="G2538" s="0" t="n">
        <v>0.8190666798</v>
      </c>
      <c r="H2538" s="0" t="n">
        <v>0.9012329288</v>
      </c>
    </row>
    <row r="2539" customFormat="false" ht="15" hidden="false" customHeight="false" outlineLevel="0" collapsed="false">
      <c r="A2539" s="0" t="s">
        <v>3735</v>
      </c>
      <c r="B2539" s="0" t="s">
        <v>760</v>
      </c>
      <c r="C2539" s="0" t="s">
        <v>659</v>
      </c>
      <c r="D2539" s="0" t="n">
        <v>0</v>
      </c>
      <c r="E2539" s="0" t="n">
        <v>0.703312804</v>
      </c>
      <c r="F2539" s="0" t="n">
        <v>3.355826832</v>
      </c>
      <c r="G2539" s="0" t="n">
        <v>-4.100279231</v>
      </c>
      <c r="H2539" s="0" t="n">
        <v>-10.24711436</v>
      </c>
    </row>
    <row r="2540" customFormat="false" ht="15" hidden="false" customHeight="false" outlineLevel="0" collapsed="false">
      <c r="A2540" s="0" t="s">
        <v>3736</v>
      </c>
      <c r="B2540" s="0" t="s">
        <v>982</v>
      </c>
      <c r="C2540" s="0" t="s">
        <v>659</v>
      </c>
      <c r="D2540" s="0" t="n">
        <v>0</v>
      </c>
      <c r="E2540" s="0" t="n">
        <v>0.1065024685</v>
      </c>
      <c r="F2540" s="0" t="n">
        <v>0.6150498966</v>
      </c>
      <c r="G2540" s="0" t="n">
        <v>0.4319166199</v>
      </c>
      <c r="H2540" s="0" t="n">
        <v>0.238547484</v>
      </c>
    </row>
    <row r="2541" customFormat="false" ht="15" hidden="false" customHeight="false" outlineLevel="0" collapsed="false">
      <c r="A2541" s="0" t="s">
        <v>3737</v>
      </c>
      <c r="B2541" s="0" t="s">
        <v>940</v>
      </c>
      <c r="C2541" s="0" t="s">
        <v>659</v>
      </c>
      <c r="D2541" s="0" t="n">
        <v>0</v>
      </c>
      <c r="E2541" s="0" t="n">
        <v>0.1134047604</v>
      </c>
      <c r="F2541" s="0" t="n">
        <v>0.6617895984</v>
      </c>
      <c r="G2541" s="0" t="n">
        <v>0.6700994205</v>
      </c>
      <c r="H2541" s="0" t="n">
        <v>0.6153537998</v>
      </c>
    </row>
    <row r="2542" customFormat="false" ht="15" hidden="false" customHeight="false" outlineLevel="0" collapsed="false">
      <c r="A2542" s="0" t="s">
        <v>3738</v>
      </c>
      <c r="B2542" s="0" t="s">
        <v>792</v>
      </c>
      <c r="C2542" s="0" t="s">
        <v>659</v>
      </c>
      <c r="D2542" s="0" t="n">
        <v>0</v>
      </c>
      <c r="E2542" s="0" t="n">
        <v>1.252849016</v>
      </c>
      <c r="F2542" s="0" t="n">
        <v>6.635996435</v>
      </c>
      <c r="G2542" s="0" t="n">
        <v>1.404571864</v>
      </c>
      <c r="H2542" s="0" t="n">
        <v>-4.321973154</v>
      </c>
    </row>
    <row r="2543" customFormat="false" ht="15" hidden="false" customHeight="false" outlineLevel="0" collapsed="false">
      <c r="A2543" s="0" t="s">
        <v>3739</v>
      </c>
      <c r="B2543" s="0" t="s">
        <v>948</v>
      </c>
      <c r="C2543" s="0" t="s">
        <v>659</v>
      </c>
      <c r="D2543" s="0" t="n">
        <v>0</v>
      </c>
      <c r="E2543" s="0" t="n">
        <v>0.1952501067</v>
      </c>
      <c r="F2543" s="0" t="n">
        <v>1.1451134</v>
      </c>
      <c r="G2543" s="0" t="n">
        <v>0.8555482004</v>
      </c>
      <c r="H2543" s="0" t="n">
        <v>0.505549294</v>
      </c>
    </row>
    <row r="2544" customFormat="false" ht="15" hidden="false" customHeight="false" outlineLevel="0" collapsed="false">
      <c r="A2544" s="0" t="s">
        <v>3740</v>
      </c>
      <c r="B2544" s="0" t="s">
        <v>730</v>
      </c>
      <c r="C2544" s="0" t="s">
        <v>659</v>
      </c>
      <c r="D2544" s="0" t="n">
        <v>0</v>
      </c>
      <c r="E2544" s="0" t="n">
        <v>-0.07508016132</v>
      </c>
      <c r="F2544" s="0" t="n">
        <v>-0.7772873744</v>
      </c>
      <c r="G2544" s="0" t="n">
        <v>-3.39343</v>
      </c>
      <c r="H2544" s="0" t="n">
        <v>-2.677092808</v>
      </c>
    </row>
    <row r="2545" customFormat="false" ht="15" hidden="false" customHeight="false" outlineLevel="0" collapsed="false">
      <c r="A2545" s="0" t="s">
        <v>3741</v>
      </c>
      <c r="B2545" s="0" t="s">
        <v>762</v>
      </c>
      <c r="C2545" s="0" t="s">
        <v>659</v>
      </c>
      <c r="D2545" s="0" t="n">
        <v>0</v>
      </c>
      <c r="E2545" s="0" t="n">
        <v>0.2307603568</v>
      </c>
      <c r="F2545" s="0" t="n">
        <v>1.378927885</v>
      </c>
      <c r="G2545" s="0" t="n">
        <v>3.252654815</v>
      </c>
      <c r="H2545" s="0" t="n">
        <v>5.550696794</v>
      </c>
    </row>
    <row r="2546" customFormat="false" ht="15" hidden="false" customHeight="false" outlineLevel="0" collapsed="false">
      <c r="A2546" s="0" t="s">
        <v>3742</v>
      </c>
      <c r="B2546" s="0" t="s">
        <v>892</v>
      </c>
      <c r="C2546" s="0" t="s">
        <v>659</v>
      </c>
      <c r="D2546" s="0" t="n">
        <v>0</v>
      </c>
      <c r="E2546" s="0" t="n">
        <v>0.1517701842</v>
      </c>
      <c r="F2546" s="0" t="n">
        <v>0.8897011883</v>
      </c>
      <c r="G2546" s="0" t="n">
        <v>1.173494787</v>
      </c>
      <c r="H2546" s="0" t="n">
        <v>1.485441359</v>
      </c>
    </row>
    <row r="2547" customFormat="false" ht="15" hidden="false" customHeight="false" outlineLevel="0" collapsed="false">
      <c r="A2547" s="0" t="s">
        <v>3743</v>
      </c>
      <c r="B2547" s="0" t="s">
        <v>1064</v>
      </c>
      <c r="C2547" s="0" t="s">
        <v>659</v>
      </c>
      <c r="D2547" s="0" t="n">
        <v>0</v>
      </c>
      <c r="E2547" s="0" t="n">
        <v>0.0009893445444</v>
      </c>
      <c r="F2547" s="0" t="n">
        <v>0.006086103879</v>
      </c>
      <c r="G2547" s="0" t="n">
        <v>0.01297971747</v>
      </c>
      <c r="H2547" s="0" t="n">
        <v>0.02253086069</v>
      </c>
    </row>
    <row r="2548" customFormat="false" ht="15" hidden="false" customHeight="false" outlineLevel="0" collapsed="false">
      <c r="A2548" s="0" t="s">
        <v>3744</v>
      </c>
      <c r="B2548" s="0" t="s">
        <v>796</v>
      </c>
      <c r="C2548" s="0" t="s">
        <v>659</v>
      </c>
      <c r="D2548" s="0" t="n">
        <v>0</v>
      </c>
      <c r="E2548" s="0" t="n">
        <v>0.1571577569</v>
      </c>
      <c r="F2548" s="0" t="n">
        <v>0.9024277079</v>
      </c>
      <c r="G2548" s="0" t="n">
        <v>1.053511886</v>
      </c>
      <c r="H2548" s="0" t="n">
        <v>1.660561464</v>
      </c>
    </row>
    <row r="2549" customFormat="false" ht="15" hidden="false" customHeight="false" outlineLevel="0" collapsed="false">
      <c r="A2549" s="0" t="s">
        <v>3745</v>
      </c>
      <c r="B2549" s="0" t="s">
        <v>832</v>
      </c>
      <c r="C2549" s="0" t="s">
        <v>659</v>
      </c>
      <c r="D2549" s="0" t="n">
        <v>0</v>
      </c>
      <c r="E2549" s="0" t="n">
        <v>0.5847761049</v>
      </c>
      <c r="F2549" s="0" t="n">
        <v>3.493841948</v>
      </c>
      <c r="G2549" s="0" t="n">
        <v>7.747662723</v>
      </c>
      <c r="H2549" s="0" t="n">
        <v>12.60321133</v>
      </c>
    </row>
    <row r="2550" customFormat="false" ht="15" hidden="false" customHeight="false" outlineLevel="0" collapsed="false">
      <c r="A2550" s="0" t="s">
        <v>3746</v>
      </c>
      <c r="B2550" s="0" t="s">
        <v>772</v>
      </c>
      <c r="C2550" s="0" t="s">
        <v>659</v>
      </c>
      <c r="D2550" s="0" t="n">
        <v>0</v>
      </c>
      <c r="E2550" s="0" t="n">
        <v>1.259064833</v>
      </c>
      <c r="F2550" s="0" t="n">
        <v>6.993636304</v>
      </c>
      <c r="G2550" s="0" t="n">
        <v>5.851629128</v>
      </c>
      <c r="H2550" s="0" t="n">
        <v>4.429992536</v>
      </c>
    </row>
    <row r="2551" customFormat="false" ht="15" hidden="false" customHeight="false" outlineLevel="0" collapsed="false">
      <c r="A2551" s="0" t="s">
        <v>3747</v>
      </c>
      <c r="B2551" s="0" t="s">
        <v>848</v>
      </c>
      <c r="C2551" s="0" t="s">
        <v>659</v>
      </c>
      <c r="D2551" s="0" t="n">
        <v>0</v>
      </c>
      <c r="E2551" s="0" t="n">
        <v>0.05551821311</v>
      </c>
      <c r="F2551" s="0" t="n">
        <v>0.299837883</v>
      </c>
      <c r="G2551" s="0" t="n">
        <v>-0.201406614</v>
      </c>
      <c r="H2551" s="0" t="n">
        <v>-0.5213963301</v>
      </c>
    </row>
    <row r="2552" customFormat="false" ht="15" hidden="false" customHeight="false" outlineLevel="0" collapsed="false">
      <c r="A2552" s="0" t="s">
        <v>3748</v>
      </c>
      <c r="B2552" s="0" t="s">
        <v>784</v>
      </c>
      <c r="C2552" s="0" t="s">
        <v>659</v>
      </c>
      <c r="D2552" s="0" t="n">
        <v>0</v>
      </c>
      <c r="E2552" s="0" t="n">
        <v>0.9351773045</v>
      </c>
      <c r="F2552" s="0" t="n">
        <v>5.435193805</v>
      </c>
      <c r="G2552" s="0" t="n">
        <v>4.783285754</v>
      </c>
      <c r="H2552" s="0" t="n">
        <v>4.680564612</v>
      </c>
    </row>
    <row r="2553" customFormat="false" ht="15" hidden="false" customHeight="false" outlineLevel="0" collapsed="false">
      <c r="A2553" s="0" t="s">
        <v>3749</v>
      </c>
      <c r="B2553" s="0" t="s">
        <v>754</v>
      </c>
      <c r="C2553" s="0" t="s">
        <v>659</v>
      </c>
      <c r="D2553" s="0" t="n">
        <v>0</v>
      </c>
      <c r="E2553" s="0" t="n">
        <v>0.233357812</v>
      </c>
      <c r="F2553" s="0" t="n">
        <v>0.9057608864</v>
      </c>
      <c r="G2553" s="0" t="n">
        <v>-3.968555492</v>
      </c>
      <c r="H2553" s="0" t="n">
        <v>-9.362485053</v>
      </c>
    </row>
    <row r="2554" customFormat="false" ht="15" hidden="false" customHeight="false" outlineLevel="0" collapsed="false">
      <c r="A2554" s="0" t="s">
        <v>3750</v>
      </c>
      <c r="B2554" s="0" t="s">
        <v>1062</v>
      </c>
      <c r="C2554" s="0" t="s">
        <v>659</v>
      </c>
      <c r="D2554" s="0" t="n">
        <v>0</v>
      </c>
      <c r="E2554" s="0" t="n">
        <v>0.004385618688</v>
      </c>
      <c r="F2554" s="0" t="n">
        <v>0.02621597984</v>
      </c>
      <c r="G2554" s="0" t="n">
        <v>0.0545436836</v>
      </c>
      <c r="H2554" s="0" t="n">
        <v>0.08566328594</v>
      </c>
    </row>
    <row r="2555" customFormat="false" ht="15" hidden="false" customHeight="false" outlineLevel="0" collapsed="false">
      <c r="A2555" s="0" t="s">
        <v>3751</v>
      </c>
      <c r="B2555" s="0" t="s">
        <v>912</v>
      </c>
      <c r="C2555" s="0" t="s">
        <v>659</v>
      </c>
      <c r="D2555" s="0" t="n">
        <v>0</v>
      </c>
      <c r="E2555" s="0" t="n">
        <v>0.3070440779</v>
      </c>
      <c r="F2555" s="0" t="n">
        <v>1.82254531</v>
      </c>
      <c r="G2555" s="0" t="n">
        <v>1.814022434</v>
      </c>
      <c r="H2555" s="0" t="n">
        <v>1.862277408</v>
      </c>
    </row>
    <row r="2556" customFormat="false" ht="15" hidden="false" customHeight="false" outlineLevel="0" collapsed="false">
      <c r="A2556" s="0" t="s">
        <v>3752</v>
      </c>
      <c r="B2556" s="0" t="s">
        <v>732</v>
      </c>
      <c r="C2556" s="0" t="s">
        <v>659</v>
      </c>
      <c r="D2556" s="0" t="n">
        <v>0</v>
      </c>
      <c r="E2556" s="0" t="n">
        <v>0.2958506589</v>
      </c>
      <c r="F2556" s="0" t="n">
        <v>0.7945741674</v>
      </c>
      <c r="G2556" s="0" t="n">
        <v>-7.174622614</v>
      </c>
      <c r="H2556" s="0" t="n">
        <v>-11.86187716</v>
      </c>
    </row>
    <row r="2557" customFormat="false" ht="15" hidden="false" customHeight="false" outlineLevel="0" collapsed="false">
      <c r="A2557" s="0" t="s">
        <v>3753</v>
      </c>
      <c r="B2557" s="0" t="s">
        <v>834</v>
      </c>
      <c r="C2557" s="0" t="s">
        <v>659</v>
      </c>
      <c r="D2557" s="0" t="n">
        <v>0</v>
      </c>
      <c r="E2557" s="0" t="n">
        <v>0.04028460295</v>
      </c>
      <c r="F2557" s="0" t="n">
        <v>0.1963678849</v>
      </c>
      <c r="G2557" s="0" t="n">
        <v>0.04755712405</v>
      </c>
      <c r="H2557" s="0" t="n">
        <v>0.1405792882</v>
      </c>
    </row>
    <row r="2558" customFormat="false" ht="15" hidden="false" customHeight="false" outlineLevel="0" collapsed="false">
      <c r="A2558" s="0" t="s">
        <v>3754</v>
      </c>
      <c r="B2558" s="0" t="s">
        <v>786</v>
      </c>
      <c r="C2558" s="0" t="s">
        <v>659</v>
      </c>
      <c r="D2558" s="0" t="n">
        <v>0</v>
      </c>
      <c r="E2558" s="0" t="n">
        <v>0.1285687446</v>
      </c>
      <c r="F2558" s="0" t="n">
        <v>0.7215926158</v>
      </c>
      <c r="G2558" s="0" t="n">
        <v>0.742676549</v>
      </c>
      <c r="H2558" s="0" t="n">
        <v>1.360146031</v>
      </c>
    </row>
    <row r="2559" customFormat="false" ht="15" hidden="false" customHeight="false" outlineLevel="0" collapsed="false">
      <c r="A2559" s="0" t="s">
        <v>3755</v>
      </c>
      <c r="B2559" s="0" t="s">
        <v>888</v>
      </c>
      <c r="C2559" s="0" t="s">
        <v>659</v>
      </c>
      <c r="D2559" s="0" t="n">
        <v>0</v>
      </c>
      <c r="E2559" s="0" t="n">
        <v>0.4593260362</v>
      </c>
      <c r="F2559" s="0" t="n">
        <v>2.665348399</v>
      </c>
      <c r="G2559" s="0" t="n">
        <v>2.645749744</v>
      </c>
      <c r="H2559" s="0" t="n">
        <v>2.914427259</v>
      </c>
    </row>
    <row r="2560" customFormat="false" ht="15" hidden="false" customHeight="false" outlineLevel="0" collapsed="false">
      <c r="A2560" s="0" t="s">
        <v>3756</v>
      </c>
      <c r="B2560" s="0" t="s">
        <v>816</v>
      </c>
      <c r="C2560" s="0" t="s">
        <v>659</v>
      </c>
      <c r="D2560" s="0" t="n">
        <v>0</v>
      </c>
      <c r="E2560" s="0" t="n">
        <v>0.9153206303</v>
      </c>
      <c r="F2560" s="0" t="n">
        <v>4.315443523</v>
      </c>
      <c r="G2560" s="0" t="n">
        <v>8.877891968</v>
      </c>
      <c r="H2560" s="0" t="n">
        <v>14.31039586</v>
      </c>
    </row>
    <row r="2561" customFormat="false" ht="15" hidden="false" customHeight="false" outlineLevel="0" collapsed="false">
      <c r="A2561" s="0" t="s">
        <v>3757</v>
      </c>
      <c r="B2561" s="0" t="s">
        <v>776</v>
      </c>
      <c r="C2561" s="0" t="s">
        <v>659</v>
      </c>
      <c r="D2561" s="0" t="n">
        <v>0</v>
      </c>
      <c r="E2561" s="0" t="n">
        <v>0.2178129596</v>
      </c>
      <c r="F2561" s="0" t="n">
        <v>1.149326317</v>
      </c>
      <c r="G2561" s="0" t="n">
        <v>0.7503180575</v>
      </c>
      <c r="H2561" s="0" t="n">
        <v>0.6017880749</v>
      </c>
    </row>
    <row r="2562" customFormat="false" ht="15" hidden="false" customHeight="false" outlineLevel="0" collapsed="false">
      <c r="A2562" s="0" t="s">
        <v>3758</v>
      </c>
      <c r="B2562" s="0" t="s">
        <v>714</v>
      </c>
      <c r="C2562" s="0" t="s">
        <v>659</v>
      </c>
      <c r="D2562" s="0" t="n">
        <v>0</v>
      </c>
      <c r="E2562" s="0" t="n">
        <v>9.637128706</v>
      </c>
      <c r="F2562" s="0" t="n">
        <v>60.00538594</v>
      </c>
      <c r="G2562" s="0" t="n">
        <v>178.2108198</v>
      </c>
      <c r="H2562" s="0" t="n">
        <v>341.1571894</v>
      </c>
    </row>
    <row r="2563" customFormat="false" ht="15" hidden="false" customHeight="false" outlineLevel="0" collapsed="false">
      <c r="A2563" s="0" t="s">
        <v>3759</v>
      </c>
      <c r="B2563" s="0" t="s">
        <v>958</v>
      </c>
      <c r="C2563" s="0" t="s">
        <v>659</v>
      </c>
      <c r="D2563" s="0" t="n">
        <v>0</v>
      </c>
      <c r="E2563" s="0" t="n">
        <v>0.02858716855</v>
      </c>
      <c r="F2563" s="0" t="n">
        <v>0.1586544765</v>
      </c>
      <c r="G2563" s="0" t="n">
        <v>0.04682199173</v>
      </c>
      <c r="H2563" s="0" t="n">
        <v>-0.1102955747</v>
      </c>
    </row>
    <row r="2564" customFormat="false" ht="15" hidden="false" customHeight="false" outlineLevel="0" collapsed="false">
      <c r="A2564" s="0" t="s">
        <v>3760</v>
      </c>
      <c r="B2564" s="0" t="s">
        <v>728</v>
      </c>
      <c r="C2564" s="0" t="s">
        <v>659</v>
      </c>
      <c r="D2564" s="0" t="n">
        <v>0</v>
      </c>
      <c r="E2564" s="0" t="n">
        <v>0.1328901885</v>
      </c>
      <c r="F2564" s="0" t="n">
        <v>-1.918284728</v>
      </c>
      <c r="G2564" s="0" t="n">
        <v>-28.58457644</v>
      </c>
      <c r="H2564" s="0" t="n">
        <v>-47.53867237</v>
      </c>
    </row>
    <row r="2565" customFormat="false" ht="15" hidden="false" customHeight="false" outlineLevel="0" collapsed="false">
      <c r="A2565" s="0" t="s">
        <v>3761</v>
      </c>
      <c r="B2565" s="0" t="s">
        <v>932</v>
      </c>
      <c r="C2565" s="0" t="s">
        <v>659</v>
      </c>
      <c r="D2565" s="0" t="n">
        <v>0</v>
      </c>
      <c r="E2565" s="0" t="n">
        <v>0.4971460946</v>
      </c>
      <c r="F2565" s="0" t="n">
        <v>2.867601493</v>
      </c>
      <c r="G2565" s="0" t="n">
        <v>2.940589373</v>
      </c>
      <c r="H2565" s="0" t="n">
        <v>3.051137173</v>
      </c>
    </row>
    <row r="2566" customFormat="false" ht="15" hidden="false" customHeight="false" outlineLevel="0" collapsed="false">
      <c r="A2566" s="0" t="s">
        <v>3762</v>
      </c>
      <c r="B2566" s="0" t="s">
        <v>910</v>
      </c>
      <c r="C2566" s="0" t="s">
        <v>659</v>
      </c>
      <c r="D2566" s="0" t="n">
        <v>0</v>
      </c>
      <c r="E2566" s="0" t="n">
        <v>0.06250806765</v>
      </c>
      <c r="F2566" s="0" t="n">
        <v>0.2881534594</v>
      </c>
      <c r="G2566" s="0" t="n">
        <v>-0.7946214718</v>
      </c>
      <c r="H2566" s="0" t="n">
        <v>-2.234543523</v>
      </c>
    </row>
    <row r="2567" customFormat="false" ht="15" hidden="false" customHeight="false" outlineLevel="0" collapsed="false">
      <c r="A2567" s="0" t="s">
        <v>3763</v>
      </c>
      <c r="B2567" s="0" t="s">
        <v>740</v>
      </c>
      <c r="C2567" s="0" t="s">
        <v>659</v>
      </c>
      <c r="D2567" s="0" t="n">
        <v>0</v>
      </c>
      <c r="E2567" s="0" t="n">
        <v>-0.8325963722</v>
      </c>
      <c r="F2567" s="0" t="n">
        <v>-6.294045155</v>
      </c>
      <c r="G2567" s="0" t="n">
        <v>-14.40545353</v>
      </c>
      <c r="H2567" s="0" t="n">
        <v>-14.11402771</v>
      </c>
    </row>
    <row r="2568" customFormat="false" ht="15" hidden="false" customHeight="false" outlineLevel="0" collapsed="false">
      <c r="A2568" s="0" t="s">
        <v>3764</v>
      </c>
      <c r="B2568" s="0" t="s">
        <v>1042</v>
      </c>
      <c r="C2568" s="0" t="s">
        <v>659</v>
      </c>
      <c r="D2568" s="0" t="n">
        <v>0</v>
      </c>
      <c r="E2568" s="0" t="n">
        <v>0.361800334</v>
      </c>
      <c r="F2568" s="0" t="n">
        <v>2.171110431</v>
      </c>
      <c r="G2568" s="0" t="n">
        <v>2.163240406</v>
      </c>
      <c r="H2568" s="0" t="n">
        <v>2.155512347</v>
      </c>
    </row>
    <row r="2569" customFormat="false" ht="15" hidden="false" customHeight="false" outlineLevel="0" collapsed="false">
      <c r="A2569" s="0" t="s">
        <v>3765</v>
      </c>
      <c r="B2569" s="0" t="s">
        <v>998</v>
      </c>
      <c r="C2569" s="0" t="s">
        <v>659</v>
      </c>
      <c r="D2569" s="0" t="n">
        <v>0</v>
      </c>
      <c r="E2569" s="0" t="n">
        <v>0.03910536438</v>
      </c>
      <c r="F2569" s="0" t="n">
        <v>0.2208022726</v>
      </c>
      <c r="G2569" s="0" t="n">
        <v>0.08439164913</v>
      </c>
      <c r="H2569" s="0" t="n">
        <v>-0.1228598646</v>
      </c>
    </row>
    <row r="2570" customFormat="false" ht="15" hidden="false" customHeight="false" outlineLevel="0" collapsed="false">
      <c r="A2570" s="0" t="s">
        <v>3766</v>
      </c>
      <c r="B2570" s="0" t="s">
        <v>908</v>
      </c>
      <c r="C2570" s="0" t="s">
        <v>659</v>
      </c>
      <c r="D2570" s="0" t="n">
        <v>0</v>
      </c>
      <c r="E2570" s="0" t="n">
        <v>0.01170611803</v>
      </c>
      <c r="F2570" s="0" t="n">
        <v>0.01470029984</v>
      </c>
      <c r="G2570" s="0" t="n">
        <v>-0.6909336861</v>
      </c>
      <c r="H2570" s="0" t="n">
        <v>-1.552329622</v>
      </c>
    </row>
    <row r="2571" customFormat="false" ht="15" hidden="false" customHeight="false" outlineLevel="0" collapsed="false">
      <c r="A2571" s="0" t="s">
        <v>3767</v>
      </c>
      <c r="B2571" s="0" t="s">
        <v>984</v>
      </c>
      <c r="C2571" s="0" t="s">
        <v>659</v>
      </c>
      <c r="D2571" s="0" t="n">
        <v>0</v>
      </c>
      <c r="E2571" s="0" t="n">
        <v>0.2272641705</v>
      </c>
      <c r="F2571" s="0" t="n">
        <v>1.358721191</v>
      </c>
      <c r="G2571" s="0" t="n">
        <v>1.572164225</v>
      </c>
      <c r="H2571" s="0" t="n">
        <v>1.772803457</v>
      </c>
    </row>
    <row r="2572" customFormat="false" ht="15" hidden="false" customHeight="false" outlineLevel="0" collapsed="false">
      <c r="A2572" s="0" t="s">
        <v>3768</v>
      </c>
      <c r="B2572" s="0" t="s">
        <v>852</v>
      </c>
      <c r="C2572" s="0" t="s">
        <v>659</v>
      </c>
      <c r="D2572" s="0" t="n">
        <v>0</v>
      </c>
      <c r="E2572" s="0" t="n">
        <v>0.1698224521</v>
      </c>
      <c r="F2572" s="0" t="n">
        <v>1.067096079</v>
      </c>
      <c r="G2572" s="0" t="n">
        <v>2.83259105</v>
      </c>
      <c r="H2572" s="0" t="n">
        <v>5.252708338</v>
      </c>
    </row>
    <row r="2573" customFormat="false" ht="15" hidden="false" customHeight="false" outlineLevel="0" collapsed="false">
      <c r="A2573" s="0" t="s">
        <v>3769</v>
      </c>
      <c r="B2573" s="0" t="s">
        <v>1056</v>
      </c>
      <c r="C2573" s="0" t="s">
        <v>659</v>
      </c>
      <c r="D2573" s="0" t="n">
        <v>0</v>
      </c>
      <c r="E2573" s="0" t="n">
        <v>0.002943001025</v>
      </c>
      <c r="F2573" s="0" t="n">
        <v>0.01712136734</v>
      </c>
      <c r="G2573" s="0" t="n">
        <v>0.01906520638</v>
      </c>
      <c r="H2573" s="0" t="n">
        <v>0.0212774494</v>
      </c>
    </row>
    <row r="2574" customFormat="false" ht="15" hidden="false" customHeight="false" outlineLevel="0" collapsed="false">
      <c r="A2574" s="0" t="s">
        <v>3770</v>
      </c>
      <c r="B2574" s="0" t="s">
        <v>1016</v>
      </c>
      <c r="C2574" s="0" t="s">
        <v>659</v>
      </c>
      <c r="D2574" s="0" t="n">
        <v>0</v>
      </c>
      <c r="E2574" s="0" t="n">
        <v>0.08508912281</v>
      </c>
      <c r="F2574" s="0" t="n">
        <v>0.5012476844</v>
      </c>
      <c r="G2574" s="0" t="n">
        <v>0.4808967072</v>
      </c>
      <c r="H2574" s="0" t="n">
        <v>0.469554133</v>
      </c>
    </row>
    <row r="2575" customFormat="false" ht="15" hidden="false" customHeight="false" outlineLevel="0" collapsed="false">
      <c r="A2575" s="0" t="s">
        <v>3771</v>
      </c>
      <c r="B2575" s="0" t="s">
        <v>822</v>
      </c>
      <c r="C2575" s="0" t="s">
        <v>659</v>
      </c>
      <c r="D2575" s="0" t="n">
        <v>0</v>
      </c>
      <c r="E2575" s="0" t="n">
        <v>0.02721052025</v>
      </c>
      <c r="F2575" s="0" t="n">
        <v>0.08834062551</v>
      </c>
      <c r="G2575" s="0" t="n">
        <v>-0.09967344226</v>
      </c>
      <c r="H2575" s="0" t="n">
        <v>0.1116594025</v>
      </c>
    </row>
    <row r="2576" customFormat="false" ht="15" hidden="false" customHeight="false" outlineLevel="0" collapsed="false">
      <c r="A2576" s="0" t="s">
        <v>3772</v>
      </c>
      <c r="B2576" s="0" t="s">
        <v>870</v>
      </c>
      <c r="C2576" s="0" t="s">
        <v>659</v>
      </c>
      <c r="D2576" s="0" t="n">
        <v>0</v>
      </c>
      <c r="E2576" s="0" t="n">
        <v>0.008322296051</v>
      </c>
      <c r="F2576" s="0" t="n">
        <v>0.004280904187</v>
      </c>
      <c r="G2576" s="0" t="n">
        <v>-0.3612230091</v>
      </c>
      <c r="H2576" s="0" t="n">
        <v>-0.5030097997</v>
      </c>
    </row>
    <row r="2577" customFormat="false" ht="15" hidden="false" customHeight="false" outlineLevel="0" collapsed="false">
      <c r="A2577" s="0" t="s">
        <v>3773</v>
      </c>
      <c r="B2577" s="0" t="s">
        <v>746</v>
      </c>
      <c r="C2577" s="0" t="s">
        <v>659</v>
      </c>
      <c r="D2577" s="0" t="n">
        <v>0</v>
      </c>
      <c r="E2577" s="0" t="n">
        <v>0.06067324639</v>
      </c>
      <c r="F2577" s="0" t="n">
        <v>0.2827868085</v>
      </c>
      <c r="G2577" s="0" t="n">
        <v>-0.2479601932</v>
      </c>
      <c r="H2577" s="0" t="n">
        <v>-0.1637835687</v>
      </c>
    </row>
    <row r="2578" customFormat="false" ht="15" hidden="false" customHeight="false" outlineLevel="0" collapsed="false">
      <c r="A2578" s="0" t="s">
        <v>3774</v>
      </c>
      <c r="B2578" s="0" t="s">
        <v>1010</v>
      </c>
      <c r="C2578" s="0" t="s">
        <v>659</v>
      </c>
      <c r="D2578" s="0" t="n">
        <v>0</v>
      </c>
      <c r="E2578" s="0" t="n">
        <v>0.006091533457</v>
      </c>
      <c r="F2578" s="0" t="n">
        <v>0.02907699937</v>
      </c>
      <c r="G2578" s="0" t="n">
        <v>-0.05261452669</v>
      </c>
      <c r="H2578" s="0" t="n">
        <v>-0.1470839342</v>
      </c>
    </row>
    <row r="2579" customFormat="false" ht="15" hidden="false" customHeight="false" outlineLevel="0" collapsed="false">
      <c r="A2579" s="0" t="s">
        <v>3775</v>
      </c>
      <c r="B2579" s="0" t="s">
        <v>1036</v>
      </c>
      <c r="C2579" s="0" t="s">
        <v>659</v>
      </c>
      <c r="D2579" s="0" t="n">
        <v>0</v>
      </c>
      <c r="E2579" s="0" t="n">
        <v>0.00287664399</v>
      </c>
      <c r="F2579" s="0" t="n">
        <v>0.01336904679</v>
      </c>
      <c r="G2579" s="0" t="n">
        <v>0.002710526824</v>
      </c>
      <c r="H2579" s="0" t="n">
        <v>0.00123913468</v>
      </c>
    </row>
    <row r="2580" customFormat="false" ht="15" hidden="false" customHeight="false" outlineLevel="0" collapsed="false">
      <c r="A2580" s="0" t="s">
        <v>3776</v>
      </c>
      <c r="B2580" s="0" t="s">
        <v>858</v>
      </c>
      <c r="C2580" s="0" t="s">
        <v>659</v>
      </c>
      <c r="D2580" s="0" t="n">
        <v>0</v>
      </c>
      <c r="E2580" s="0" t="n">
        <v>0.08071166162</v>
      </c>
      <c r="F2580" s="0" t="n">
        <v>0.4595428411</v>
      </c>
      <c r="G2580" s="0" t="n">
        <v>0.4736948401</v>
      </c>
      <c r="H2580" s="0" t="n">
        <v>0.9757742218</v>
      </c>
    </row>
    <row r="2581" customFormat="false" ht="15" hidden="false" customHeight="false" outlineLevel="0" collapsed="false">
      <c r="A2581" s="0" t="s">
        <v>3777</v>
      </c>
      <c r="B2581" s="0" t="s">
        <v>942</v>
      </c>
      <c r="C2581" s="0" t="s">
        <v>659</v>
      </c>
      <c r="D2581" s="0" t="n">
        <v>0</v>
      </c>
      <c r="E2581" s="0" t="n">
        <v>0.4404036641</v>
      </c>
      <c r="F2581" s="0" t="n">
        <v>2.634061184</v>
      </c>
      <c r="G2581" s="0" t="n">
        <v>3.333328298</v>
      </c>
      <c r="H2581" s="0" t="n">
        <v>3.945514679</v>
      </c>
    </row>
    <row r="2582" customFormat="false" ht="15" hidden="false" customHeight="false" outlineLevel="0" collapsed="false">
      <c r="A2582" s="0" t="s">
        <v>3778</v>
      </c>
      <c r="B2582" s="0" t="s">
        <v>986</v>
      </c>
      <c r="C2582" s="0" t="s">
        <v>659</v>
      </c>
      <c r="D2582" s="0" t="n">
        <v>0</v>
      </c>
      <c r="E2582" s="0" t="n">
        <v>0.02840141926</v>
      </c>
      <c r="F2582" s="0" t="n">
        <v>0.1557175461</v>
      </c>
      <c r="G2582" s="0" t="n">
        <v>-0.02162400132</v>
      </c>
      <c r="H2582" s="0" t="n">
        <v>-0.2097764972</v>
      </c>
    </row>
    <row r="2583" customFormat="false" ht="15" hidden="false" customHeight="false" outlineLevel="0" collapsed="false">
      <c r="A2583" s="0" t="s">
        <v>3779</v>
      </c>
      <c r="B2583" s="0" t="s">
        <v>752</v>
      </c>
      <c r="C2583" s="0" t="s">
        <v>659</v>
      </c>
      <c r="D2583" s="0" t="n">
        <v>0</v>
      </c>
      <c r="E2583" s="0" t="n">
        <v>0.652242652</v>
      </c>
      <c r="F2583" s="0" t="n">
        <v>2.981586495</v>
      </c>
      <c r="G2583" s="0" t="n">
        <v>-3.670179557</v>
      </c>
      <c r="H2583" s="0" t="n">
        <v>-9.511330054</v>
      </c>
    </row>
    <row r="2584" customFormat="false" ht="15" hidden="false" customHeight="false" outlineLevel="0" collapsed="false">
      <c r="A2584" s="0" t="s">
        <v>3780</v>
      </c>
      <c r="B2584" s="0" t="s">
        <v>968</v>
      </c>
      <c r="C2584" s="0" t="s">
        <v>659</v>
      </c>
      <c r="D2584" s="0" t="n">
        <v>0</v>
      </c>
      <c r="E2584" s="0" t="n">
        <v>0.0730912525</v>
      </c>
      <c r="F2584" s="0" t="n">
        <v>0.3548286649</v>
      </c>
      <c r="G2584" s="0" t="n">
        <v>0.5832304525</v>
      </c>
      <c r="H2584" s="0" t="n">
        <v>0.8452432771</v>
      </c>
    </row>
    <row r="2585" customFormat="false" ht="15" hidden="false" customHeight="false" outlineLevel="0" collapsed="false">
      <c r="A2585" s="0" t="s">
        <v>3781</v>
      </c>
      <c r="B2585" s="0" t="s">
        <v>872</v>
      </c>
      <c r="C2585" s="0" t="s">
        <v>659</v>
      </c>
      <c r="D2585" s="0" t="n">
        <v>0</v>
      </c>
      <c r="E2585" s="0" t="n">
        <v>1.010539025</v>
      </c>
      <c r="F2585" s="0" t="n">
        <v>5.780605365</v>
      </c>
      <c r="G2585" s="0" t="n">
        <v>12.47709301</v>
      </c>
      <c r="H2585" s="0" t="n">
        <v>19.82144283</v>
      </c>
    </row>
    <row r="2586" customFormat="false" ht="15" hidden="false" customHeight="false" outlineLevel="0" collapsed="false">
      <c r="A2586" s="0" t="s">
        <v>3782</v>
      </c>
      <c r="B2586" s="0" t="s">
        <v>1040</v>
      </c>
      <c r="C2586" s="0" t="s">
        <v>659</v>
      </c>
      <c r="D2586" s="0" t="n">
        <v>0</v>
      </c>
      <c r="E2586" s="0" t="n">
        <v>0.01208094531</v>
      </c>
      <c r="F2586" s="0" t="n">
        <v>0.0656682384</v>
      </c>
      <c r="G2586" s="0" t="n">
        <v>0.01336231526</v>
      </c>
      <c r="H2586" s="0" t="n">
        <v>-0.07268824675</v>
      </c>
    </row>
    <row r="2587" customFormat="false" ht="15" hidden="false" customHeight="false" outlineLevel="0" collapsed="false">
      <c r="A2587" s="0" t="s">
        <v>3783</v>
      </c>
      <c r="B2587" s="0" t="s">
        <v>1060</v>
      </c>
      <c r="C2587" s="0" t="s">
        <v>659</v>
      </c>
      <c r="D2587" s="0" t="n">
        <v>0</v>
      </c>
      <c r="E2587" s="0" t="n">
        <v>0.000578919396</v>
      </c>
      <c r="F2587" s="0" t="n">
        <v>0.003215289436</v>
      </c>
      <c r="G2587" s="0" t="n">
        <v>-0.006429468585</v>
      </c>
      <c r="H2587" s="0" t="n">
        <v>-0.01649587977</v>
      </c>
    </row>
    <row r="2588" customFormat="false" ht="15" hidden="false" customHeight="false" outlineLevel="0" collapsed="false">
      <c r="A2588" s="0" t="s">
        <v>3784</v>
      </c>
      <c r="B2588" s="0" t="s">
        <v>944</v>
      </c>
      <c r="C2588" s="0" t="s">
        <v>659</v>
      </c>
      <c r="D2588" s="0" t="n">
        <v>0</v>
      </c>
      <c r="E2588" s="0" t="n">
        <v>0.1301277218</v>
      </c>
      <c r="F2588" s="0" t="n">
        <v>0.7371237816</v>
      </c>
      <c r="G2588" s="0" t="n">
        <v>1.442775477</v>
      </c>
      <c r="H2588" s="0" t="n">
        <v>2.274000795</v>
      </c>
    </row>
    <row r="2589" customFormat="false" ht="15" hidden="false" customHeight="false" outlineLevel="0" collapsed="false">
      <c r="A2589" s="0" t="s">
        <v>3785</v>
      </c>
      <c r="B2589" s="0" t="s">
        <v>884</v>
      </c>
      <c r="C2589" s="0" t="s">
        <v>659</v>
      </c>
      <c r="D2589" s="0" t="n">
        <v>0</v>
      </c>
      <c r="E2589" s="0" t="n">
        <v>0.1077609735</v>
      </c>
      <c r="F2589" s="0" t="n">
        <v>0.6278866397</v>
      </c>
      <c r="G2589" s="0" t="n">
        <v>1.31239198</v>
      </c>
      <c r="H2589" s="0" t="n">
        <v>2.6293134</v>
      </c>
    </row>
    <row r="2590" customFormat="false" ht="15" hidden="false" customHeight="false" outlineLevel="0" collapsed="false">
      <c r="A2590" s="0" t="s">
        <v>3786</v>
      </c>
      <c r="B2590" s="0" t="s">
        <v>726</v>
      </c>
      <c r="C2590" s="0" t="s">
        <v>659</v>
      </c>
      <c r="D2590" s="0" t="n">
        <v>0</v>
      </c>
      <c r="E2590" s="0" t="n">
        <v>1.001040224</v>
      </c>
      <c r="F2590" s="0" t="n">
        <v>5.431459007</v>
      </c>
      <c r="G2590" s="0" t="n">
        <v>5.742883469</v>
      </c>
      <c r="H2590" s="0" t="n">
        <v>8.388902379</v>
      </c>
    </row>
    <row r="2591" customFormat="false" ht="15" hidden="false" customHeight="false" outlineLevel="0" collapsed="false">
      <c r="A2591" s="0" t="s">
        <v>3787</v>
      </c>
      <c r="B2591" s="0" t="s">
        <v>842</v>
      </c>
      <c r="C2591" s="0" t="s">
        <v>659</v>
      </c>
      <c r="D2591" s="0" t="n">
        <v>0</v>
      </c>
      <c r="E2591" s="0" t="n">
        <v>0.7408671926</v>
      </c>
      <c r="F2591" s="0" t="n">
        <v>4.353475234</v>
      </c>
      <c r="G2591" s="0" t="n">
        <v>3.609536813</v>
      </c>
      <c r="H2591" s="0" t="n">
        <v>2.73688092</v>
      </c>
    </row>
    <row r="2592" customFormat="false" ht="15" hidden="false" customHeight="false" outlineLevel="0" collapsed="false">
      <c r="A2592" s="0" t="s">
        <v>3788</v>
      </c>
      <c r="B2592" s="0" t="s">
        <v>866</v>
      </c>
      <c r="C2592" s="0" t="s">
        <v>659</v>
      </c>
      <c r="D2592" s="0" t="n">
        <v>0</v>
      </c>
      <c r="E2592" s="0" t="n">
        <v>0.247846436</v>
      </c>
      <c r="F2592" s="0" t="n">
        <v>1.460406555</v>
      </c>
      <c r="G2592" s="0" t="n">
        <v>1.342660109</v>
      </c>
      <c r="H2592" s="0" t="n">
        <v>1.123356286</v>
      </c>
    </row>
    <row r="2593" customFormat="false" ht="15" hidden="false" customHeight="false" outlineLevel="0" collapsed="false">
      <c r="A2593" s="0" t="s">
        <v>3789</v>
      </c>
      <c r="B2593" s="0" t="s">
        <v>804</v>
      </c>
      <c r="C2593" s="0" t="s">
        <v>659</v>
      </c>
      <c r="D2593" s="0" t="n">
        <v>0</v>
      </c>
      <c r="E2593" s="0" t="n">
        <v>1.262877707</v>
      </c>
      <c r="F2593" s="0" t="n">
        <v>8.061696779</v>
      </c>
      <c r="G2593" s="0" t="n">
        <v>22.86385059</v>
      </c>
      <c r="H2593" s="0" t="n">
        <v>42.29932475</v>
      </c>
    </row>
    <row r="2594" customFormat="false" ht="15" hidden="false" customHeight="false" outlineLevel="0" collapsed="false">
      <c r="A2594" s="0" t="s">
        <v>3790</v>
      </c>
      <c r="B2594" s="0" t="s">
        <v>860</v>
      </c>
      <c r="C2594" s="0" t="s">
        <v>659</v>
      </c>
      <c r="D2594" s="0" t="n">
        <v>0</v>
      </c>
      <c r="E2594" s="0" t="n">
        <v>0.08540650244</v>
      </c>
      <c r="F2594" s="0" t="n">
        <v>0.4786400883</v>
      </c>
      <c r="G2594" s="0" t="n">
        <v>0.3596638817</v>
      </c>
      <c r="H2594" s="0" t="n">
        <v>0.2985980329</v>
      </c>
    </row>
    <row r="2595" customFormat="false" ht="15" hidden="false" customHeight="false" outlineLevel="0" collapsed="false">
      <c r="A2595" s="0" t="s">
        <v>3791</v>
      </c>
      <c r="B2595" s="0" t="s">
        <v>693</v>
      </c>
      <c r="C2595" s="0" t="s">
        <v>659</v>
      </c>
      <c r="D2595" s="0" t="n">
        <v>0</v>
      </c>
      <c r="E2595" s="0" t="n">
        <v>14.19769774</v>
      </c>
      <c r="F2595" s="0" t="n">
        <v>96.76705792</v>
      </c>
      <c r="G2595" s="0" t="n">
        <v>181.4196642</v>
      </c>
      <c r="H2595" s="0" t="n">
        <v>256.9401326</v>
      </c>
    </row>
    <row r="2596" customFormat="false" ht="15" hidden="false" customHeight="false" outlineLevel="0" collapsed="false">
      <c r="A2596" s="0" t="s">
        <v>3792</v>
      </c>
      <c r="B2596" s="0" t="s">
        <v>810</v>
      </c>
      <c r="C2596" s="0" t="s">
        <v>659</v>
      </c>
      <c r="D2596" s="0" t="n">
        <v>0</v>
      </c>
      <c r="E2596" s="0" t="n">
        <v>0.807475688</v>
      </c>
      <c r="F2596" s="0" t="n">
        <v>4.661885988</v>
      </c>
      <c r="G2596" s="0" t="n">
        <v>8.174542858</v>
      </c>
      <c r="H2596" s="0" t="n">
        <v>12.91216005</v>
      </c>
    </row>
    <row r="2597" customFormat="false" ht="15" hidden="false" customHeight="false" outlineLevel="0" collapsed="false">
      <c r="A2597" s="0" t="s">
        <v>3793</v>
      </c>
      <c r="B2597" s="0" t="s">
        <v>1052</v>
      </c>
      <c r="C2597" s="0" t="s">
        <v>659</v>
      </c>
      <c r="D2597" s="0" t="n">
        <v>0</v>
      </c>
      <c r="E2597" s="0" t="n">
        <v>0.0005219841694</v>
      </c>
      <c r="F2597" s="0" t="n">
        <v>0.001487553585</v>
      </c>
      <c r="G2597" s="0" t="n">
        <v>-0.0177883377</v>
      </c>
      <c r="H2597" s="0" t="n">
        <v>-0.03818269138</v>
      </c>
    </row>
    <row r="2598" customFormat="false" ht="15" hidden="false" customHeight="false" outlineLevel="0" collapsed="false">
      <c r="A2598" s="0" t="s">
        <v>3794</v>
      </c>
      <c r="B2598" s="0" t="s">
        <v>820</v>
      </c>
      <c r="C2598" s="0" t="s">
        <v>659</v>
      </c>
      <c r="D2598" s="0" t="n">
        <v>0</v>
      </c>
      <c r="E2598" s="0" t="n">
        <v>0.9214866365</v>
      </c>
      <c r="F2598" s="0" t="n">
        <v>5.626095191</v>
      </c>
      <c r="G2598" s="0" t="n">
        <v>10.06033775</v>
      </c>
      <c r="H2598" s="0" t="n">
        <v>15.36756627</v>
      </c>
    </row>
    <row r="2599" customFormat="false" ht="15" hidden="false" customHeight="false" outlineLevel="0" collapsed="false">
      <c r="A2599" s="0" t="s">
        <v>3795</v>
      </c>
      <c r="B2599" s="0" t="s">
        <v>744</v>
      </c>
      <c r="C2599" s="0" t="s">
        <v>659</v>
      </c>
      <c r="D2599" s="0" t="n">
        <v>0</v>
      </c>
      <c r="E2599" s="0" t="n">
        <v>0.558782103</v>
      </c>
      <c r="F2599" s="0" t="n">
        <v>2.999758323</v>
      </c>
      <c r="G2599" s="0" t="n">
        <v>1.344795538</v>
      </c>
      <c r="H2599" s="0" t="n">
        <v>0.4051892021</v>
      </c>
    </row>
    <row r="2600" customFormat="false" ht="15" hidden="false" customHeight="false" outlineLevel="0" collapsed="false">
      <c r="A2600" s="0" t="s">
        <v>3796</v>
      </c>
      <c r="B2600" s="0" t="s">
        <v>1048</v>
      </c>
      <c r="C2600" s="0" t="s">
        <v>659</v>
      </c>
      <c r="D2600" s="0" t="n">
        <v>0</v>
      </c>
      <c r="E2600" s="0" t="n">
        <v>0.001556370697</v>
      </c>
      <c r="F2600" s="0" t="n">
        <v>0.01025714795</v>
      </c>
      <c r="G2600" s="0" t="n">
        <v>-0.002261747112</v>
      </c>
      <c r="H2600" s="0" t="n">
        <v>-0.0171170405</v>
      </c>
    </row>
    <row r="2601" customFormat="false" ht="15" hidden="false" customHeight="false" outlineLevel="0" collapsed="false">
      <c r="A2601" s="0" t="s">
        <v>3797</v>
      </c>
      <c r="B2601" s="0" t="s">
        <v>1050</v>
      </c>
      <c r="C2601" s="0" t="s">
        <v>659</v>
      </c>
      <c r="D2601" s="0" t="n">
        <v>0</v>
      </c>
      <c r="E2601" s="0" t="n">
        <v>0.002007607072</v>
      </c>
      <c r="F2601" s="0" t="n">
        <v>0.01149854621</v>
      </c>
      <c r="G2601" s="0" t="n">
        <v>-0.002999950033</v>
      </c>
      <c r="H2601" s="0" t="n">
        <v>-0.0172133839</v>
      </c>
    </row>
    <row r="2602" customFormat="false" ht="15" hidden="false" customHeight="false" outlineLevel="0" collapsed="false">
      <c r="A2602" s="0" t="s">
        <v>3798</v>
      </c>
      <c r="B2602" s="0" t="s">
        <v>990</v>
      </c>
      <c r="C2602" s="0" t="s">
        <v>659</v>
      </c>
      <c r="D2602" s="0" t="n">
        <v>0</v>
      </c>
      <c r="E2602" s="0" t="n">
        <v>0.0008534701805</v>
      </c>
      <c r="F2602" s="0" t="n">
        <v>-0.006175631712</v>
      </c>
      <c r="G2602" s="0" t="n">
        <v>-0.1204360578</v>
      </c>
      <c r="H2602" s="0" t="n">
        <v>-0.1926068565</v>
      </c>
    </row>
    <row r="2603" customFormat="false" ht="15" hidden="false" customHeight="false" outlineLevel="0" collapsed="false">
      <c r="A2603" s="0" t="s">
        <v>3799</v>
      </c>
      <c r="B2603" s="0" t="s">
        <v>1004</v>
      </c>
      <c r="C2603" s="0" t="s">
        <v>659</v>
      </c>
      <c r="D2603" s="0" t="n">
        <v>0</v>
      </c>
      <c r="E2603" s="0" t="n">
        <v>0.1129504741</v>
      </c>
      <c r="F2603" s="0" t="n">
        <v>0.6130907458</v>
      </c>
      <c r="G2603" s="0" t="n">
        <v>0.5265755231</v>
      </c>
      <c r="H2603" s="0" t="n">
        <v>0.1643664925</v>
      </c>
    </row>
    <row r="2604" customFormat="false" ht="15" hidden="false" customHeight="false" outlineLevel="0" collapsed="false">
      <c r="A2604" s="0" t="s">
        <v>3800</v>
      </c>
      <c r="B2604" s="0" t="s">
        <v>774</v>
      </c>
      <c r="C2604" s="0" t="s">
        <v>659</v>
      </c>
      <c r="D2604" s="0" t="n">
        <v>0</v>
      </c>
      <c r="E2604" s="0" t="n">
        <v>1.021077414</v>
      </c>
      <c r="F2604" s="0" t="n">
        <v>5.803523831</v>
      </c>
      <c r="G2604" s="0" t="n">
        <v>10.61234336</v>
      </c>
      <c r="H2604" s="0" t="n">
        <v>18.1790188</v>
      </c>
    </row>
    <row r="2605" customFormat="false" ht="15" hidden="false" customHeight="false" outlineLevel="0" collapsed="false">
      <c r="A2605" s="0" t="s">
        <v>3801</v>
      </c>
      <c r="B2605" s="0" t="s">
        <v>930</v>
      </c>
      <c r="C2605" s="0" t="s">
        <v>659</v>
      </c>
      <c r="D2605" s="0" t="n">
        <v>0</v>
      </c>
      <c r="E2605" s="0" t="n">
        <v>0.4651244035</v>
      </c>
      <c r="F2605" s="0" t="n">
        <v>2.753120825</v>
      </c>
      <c r="G2605" s="0" t="n">
        <v>2.588859236</v>
      </c>
      <c r="H2605" s="0" t="n">
        <v>2.372860938</v>
      </c>
    </row>
    <row r="2606" customFormat="false" ht="15" hidden="false" customHeight="false" outlineLevel="0" collapsed="false">
      <c r="A2606" s="0" t="s">
        <v>3802</v>
      </c>
      <c r="B2606" s="0" t="s">
        <v>878</v>
      </c>
      <c r="C2606" s="0" t="s">
        <v>659</v>
      </c>
      <c r="D2606" s="0" t="n">
        <v>0</v>
      </c>
      <c r="E2606" s="0" t="n">
        <v>0.7593116193</v>
      </c>
      <c r="F2606" s="0" t="n">
        <v>4.558971175</v>
      </c>
      <c r="G2606" s="0" t="n">
        <v>4.89704138</v>
      </c>
      <c r="H2606" s="0" t="n">
        <v>5.380232784</v>
      </c>
    </row>
    <row r="2607" customFormat="false" ht="15" hidden="false" customHeight="false" outlineLevel="0" collapsed="false">
      <c r="A2607" s="0" t="s">
        <v>3803</v>
      </c>
      <c r="B2607" s="0" t="s">
        <v>1018</v>
      </c>
      <c r="C2607" s="0" t="s">
        <v>661</v>
      </c>
      <c r="D2607" s="0" t="n">
        <v>0</v>
      </c>
      <c r="E2607" s="0" t="n">
        <v>0.002741610151</v>
      </c>
      <c r="F2607" s="0" t="n">
        <v>0.00757065029</v>
      </c>
      <c r="G2607" s="0" t="n">
        <v>-0.05097313154</v>
      </c>
      <c r="H2607" s="0" t="n">
        <v>-0.1046264065</v>
      </c>
    </row>
    <row r="2608" customFormat="false" ht="15" hidden="false" customHeight="false" outlineLevel="0" collapsed="false">
      <c r="A2608" s="0" t="s">
        <v>3804</v>
      </c>
      <c r="B2608" s="0" t="s">
        <v>962</v>
      </c>
      <c r="C2608" s="0" t="s">
        <v>661</v>
      </c>
      <c r="D2608" s="0" t="n">
        <v>0</v>
      </c>
      <c r="E2608" s="0" t="n">
        <v>0.04418008374</v>
      </c>
      <c r="F2608" s="0" t="n">
        <v>0.1906848224</v>
      </c>
      <c r="G2608" s="0" t="n">
        <v>-0.5207354239</v>
      </c>
      <c r="H2608" s="0" t="n">
        <v>-1.494041432</v>
      </c>
    </row>
    <row r="2609" customFormat="false" ht="15" hidden="false" customHeight="false" outlineLevel="0" collapsed="false">
      <c r="A2609" s="0" t="s">
        <v>3805</v>
      </c>
      <c r="B2609" s="0" t="s">
        <v>828</v>
      </c>
      <c r="C2609" s="0" t="s">
        <v>661</v>
      </c>
      <c r="D2609" s="0" t="n">
        <v>0</v>
      </c>
      <c r="E2609" s="0" t="n">
        <v>0.4473408878</v>
      </c>
      <c r="F2609" s="0" t="n">
        <v>2.574776594</v>
      </c>
      <c r="G2609" s="0" t="n">
        <v>1.505852534</v>
      </c>
      <c r="H2609" s="0" t="n">
        <v>0.09816466282</v>
      </c>
    </row>
    <row r="2610" customFormat="false" ht="15" hidden="false" customHeight="false" outlineLevel="0" collapsed="false">
      <c r="A2610" s="0" t="s">
        <v>3806</v>
      </c>
      <c r="B2610" s="0" t="s">
        <v>926</v>
      </c>
      <c r="C2610" s="0" t="s">
        <v>661</v>
      </c>
      <c r="D2610" s="0" t="n">
        <v>0</v>
      </c>
      <c r="E2610" s="0" t="n">
        <v>0.01112739002</v>
      </c>
      <c r="F2610" s="0" t="n">
        <v>0.05120792412</v>
      </c>
      <c r="G2610" s="0" t="n">
        <v>-0.08440231727</v>
      </c>
      <c r="H2610" s="0" t="n">
        <v>-0.2177294503</v>
      </c>
    </row>
    <row r="2611" customFormat="false" ht="15" hidden="false" customHeight="false" outlineLevel="0" collapsed="false">
      <c r="A2611" s="0" t="s">
        <v>3807</v>
      </c>
      <c r="B2611" s="0" t="s">
        <v>748</v>
      </c>
      <c r="C2611" s="0" t="s">
        <v>661</v>
      </c>
      <c r="D2611" s="0" t="n">
        <v>0</v>
      </c>
      <c r="E2611" s="0" t="n">
        <v>0.8996789075</v>
      </c>
      <c r="F2611" s="0" t="n">
        <v>5.134302629</v>
      </c>
      <c r="G2611" s="0" t="n">
        <v>8.838671557</v>
      </c>
      <c r="H2611" s="0" t="n">
        <v>14.62650295</v>
      </c>
    </row>
    <row r="2612" customFormat="false" ht="15" hidden="false" customHeight="false" outlineLevel="0" collapsed="false">
      <c r="A2612" s="0" t="s">
        <v>3808</v>
      </c>
      <c r="B2612" s="0" t="s">
        <v>736</v>
      </c>
      <c r="C2612" s="0" t="s">
        <v>661</v>
      </c>
      <c r="D2612" s="0" t="n">
        <v>0</v>
      </c>
      <c r="E2612" s="0" t="n">
        <v>1.01914149</v>
      </c>
      <c r="F2612" s="0" t="n">
        <v>5.60653555</v>
      </c>
      <c r="G2612" s="0" t="n">
        <v>3.931797385</v>
      </c>
      <c r="H2612" s="0" t="n">
        <v>3.442303727</v>
      </c>
    </row>
    <row r="2613" customFormat="false" ht="15" hidden="false" customHeight="false" outlineLevel="0" collapsed="false">
      <c r="A2613" s="0" t="s">
        <v>3809</v>
      </c>
      <c r="B2613" s="0" t="s">
        <v>920</v>
      </c>
      <c r="C2613" s="0" t="s">
        <v>661</v>
      </c>
      <c r="D2613" s="0" t="n">
        <v>0</v>
      </c>
      <c r="E2613" s="0" t="n">
        <v>0.0229660955</v>
      </c>
      <c r="F2613" s="0" t="n">
        <v>0.1421384314</v>
      </c>
      <c r="G2613" s="0" t="n">
        <v>0.2855547357</v>
      </c>
      <c r="H2613" s="0" t="n">
        <v>0.5256789751</v>
      </c>
    </row>
    <row r="2614" customFormat="false" ht="15" hidden="false" customHeight="false" outlineLevel="0" collapsed="false">
      <c r="A2614" s="0" t="s">
        <v>3810</v>
      </c>
      <c r="B2614" s="0" t="s">
        <v>1038</v>
      </c>
      <c r="C2614" s="0" t="s">
        <v>661</v>
      </c>
      <c r="D2614" s="0" t="n">
        <v>0</v>
      </c>
      <c r="E2614" s="0" t="n">
        <v>0.004346995619</v>
      </c>
      <c r="F2614" s="0" t="n">
        <v>0.01943133164</v>
      </c>
      <c r="G2614" s="0" t="n">
        <v>-0.01161020651</v>
      </c>
      <c r="H2614" s="0" t="n">
        <v>-0.04766330605</v>
      </c>
    </row>
    <row r="2615" customFormat="false" ht="15" hidden="false" customHeight="false" outlineLevel="0" collapsed="false">
      <c r="A2615" s="0" t="s">
        <v>3811</v>
      </c>
      <c r="B2615" s="0" t="s">
        <v>718</v>
      </c>
      <c r="C2615" s="0" t="s">
        <v>661</v>
      </c>
      <c r="D2615" s="0" t="n">
        <v>0</v>
      </c>
      <c r="E2615" s="0" t="n">
        <v>1.105686326</v>
      </c>
      <c r="F2615" s="0" t="n">
        <v>7.953714605</v>
      </c>
      <c r="G2615" s="0" t="n">
        <v>18.03820715</v>
      </c>
      <c r="H2615" s="0" t="n">
        <v>27.45933707</v>
      </c>
    </row>
    <row r="2616" customFormat="false" ht="15" hidden="false" customHeight="false" outlineLevel="0" collapsed="false">
      <c r="A2616" s="0" t="s">
        <v>3812</v>
      </c>
      <c r="B2616" s="0" t="s">
        <v>758</v>
      </c>
      <c r="C2616" s="0" t="s">
        <v>661</v>
      </c>
      <c r="D2616" s="0" t="n">
        <v>0</v>
      </c>
      <c r="E2616" s="0" t="n">
        <v>0.1006985498</v>
      </c>
      <c r="F2616" s="0" t="n">
        <v>0.5660524974</v>
      </c>
      <c r="G2616" s="0" t="n">
        <v>0.4709920335</v>
      </c>
      <c r="H2616" s="0" t="n">
        <v>1.357023346</v>
      </c>
    </row>
    <row r="2617" customFormat="false" ht="15" hidden="false" customHeight="false" outlineLevel="0" collapsed="false">
      <c r="A2617" s="0" t="s">
        <v>3813</v>
      </c>
      <c r="B2617" s="0" t="s">
        <v>868</v>
      </c>
      <c r="C2617" s="0" t="s">
        <v>661</v>
      </c>
      <c r="D2617" s="0" t="n">
        <v>0</v>
      </c>
      <c r="E2617" s="0" t="n">
        <v>0.1382984665</v>
      </c>
      <c r="F2617" s="0" t="n">
        <v>0.7574892263</v>
      </c>
      <c r="G2617" s="0" t="n">
        <v>1.04965629</v>
      </c>
      <c r="H2617" s="0" t="n">
        <v>1.697466918</v>
      </c>
    </row>
    <row r="2618" customFormat="false" ht="15" hidden="false" customHeight="false" outlineLevel="0" collapsed="false">
      <c r="A2618" s="0" t="s">
        <v>3814</v>
      </c>
      <c r="B2618" s="0" t="s">
        <v>1012</v>
      </c>
      <c r="C2618" s="0" t="s">
        <v>661</v>
      </c>
      <c r="D2618" s="0" t="n">
        <v>0</v>
      </c>
      <c r="E2618" s="0" t="n">
        <v>0.04114450169</v>
      </c>
      <c r="F2618" s="0" t="n">
        <v>0.2390608793</v>
      </c>
      <c r="G2618" s="0" t="n">
        <v>0.2001441625</v>
      </c>
      <c r="H2618" s="0" t="n">
        <v>0.1453027227</v>
      </c>
    </row>
    <row r="2619" customFormat="false" ht="15" hidden="false" customHeight="false" outlineLevel="0" collapsed="false">
      <c r="A2619" s="0" t="s">
        <v>3815</v>
      </c>
      <c r="B2619" s="0" t="s">
        <v>742</v>
      </c>
      <c r="C2619" s="0" t="s">
        <v>661</v>
      </c>
      <c r="D2619" s="0" t="n">
        <v>0</v>
      </c>
      <c r="E2619" s="0" t="n">
        <v>0.1647901896</v>
      </c>
      <c r="F2619" s="0" t="n">
        <v>0.9955803168</v>
      </c>
      <c r="G2619" s="0" t="n">
        <v>2.075272805</v>
      </c>
      <c r="H2619" s="0" t="n">
        <v>4.107339971</v>
      </c>
    </row>
    <row r="2620" customFormat="false" ht="15" hidden="false" customHeight="false" outlineLevel="0" collapsed="false">
      <c r="A2620" s="0" t="s">
        <v>3816</v>
      </c>
      <c r="B2620" s="0" t="s">
        <v>934</v>
      </c>
      <c r="C2620" s="0" t="s">
        <v>661</v>
      </c>
      <c r="D2620" s="0" t="n">
        <v>0</v>
      </c>
      <c r="E2620" s="0" t="n">
        <v>0.1215668644</v>
      </c>
      <c r="F2620" s="0" t="n">
        <v>0.6650246635</v>
      </c>
      <c r="G2620" s="0" t="n">
        <v>-0.09588227502</v>
      </c>
      <c r="H2620" s="0" t="n">
        <v>-1.113380425</v>
      </c>
    </row>
    <row r="2621" customFormat="false" ht="15" hidden="false" customHeight="false" outlineLevel="0" collapsed="false">
      <c r="A2621" s="0" t="s">
        <v>3817</v>
      </c>
      <c r="B2621" s="0" t="s">
        <v>938</v>
      </c>
      <c r="C2621" s="0" t="s">
        <v>661</v>
      </c>
      <c r="D2621" s="0" t="n">
        <v>0</v>
      </c>
      <c r="E2621" s="0" t="n">
        <v>0.2645574341</v>
      </c>
      <c r="F2621" s="0" t="n">
        <v>1.533323867</v>
      </c>
      <c r="G2621" s="0" t="n">
        <v>1.019125353</v>
      </c>
      <c r="H2621" s="0" t="n">
        <v>0.2602082356</v>
      </c>
    </row>
    <row r="2622" customFormat="false" ht="15" hidden="false" customHeight="false" outlineLevel="0" collapsed="false">
      <c r="A2622" s="0" t="s">
        <v>3818</v>
      </c>
      <c r="B2622" s="0" t="s">
        <v>756</v>
      </c>
      <c r="C2622" s="0" t="s">
        <v>661</v>
      </c>
      <c r="D2622" s="0" t="n">
        <v>0</v>
      </c>
      <c r="E2622" s="0" t="n">
        <v>0.4889214806</v>
      </c>
      <c r="F2622" s="0" t="n">
        <v>2.571768677</v>
      </c>
      <c r="G2622" s="0" t="n">
        <v>0.3801221365</v>
      </c>
      <c r="H2622" s="0" t="n">
        <v>-0.953601424</v>
      </c>
    </row>
    <row r="2623" customFormat="false" ht="15" hidden="false" customHeight="false" outlineLevel="0" collapsed="false">
      <c r="A2623" s="0" t="s">
        <v>3819</v>
      </c>
      <c r="B2623" s="0" t="s">
        <v>830</v>
      </c>
      <c r="C2623" s="0" t="s">
        <v>661</v>
      </c>
      <c r="D2623" s="0" t="n">
        <v>0</v>
      </c>
      <c r="E2623" s="0" t="n">
        <v>0.09648181467</v>
      </c>
      <c r="F2623" s="0" t="n">
        <v>0.5027042771</v>
      </c>
      <c r="G2623" s="0" t="n">
        <v>0.2991683223</v>
      </c>
      <c r="H2623" s="0" t="n">
        <v>0.235597677</v>
      </c>
    </row>
    <row r="2624" customFormat="false" ht="15" hidden="false" customHeight="false" outlineLevel="0" collapsed="false">
      <c r="A2624" s="0" t="s">
        <v>3820</v>
      </c>
      <c r="B2624" s="0" t="s">
        <v>898</v>
      </c>
      <c r="C2624" s="0" t="s">
        <v>661</v>
      </c>
      <c r="D2624" s="0" t="n">
        <v>0</v>
      </c>
      <c r="E2624" s="0" t="n">
        <v>0.09329292887</v>
      </c>
      <c r="F2624" s="0" t="n">
        <v>0.5777989965</v>
      </c>
      <c r="G2624" s="0" t="n">
        <v>0.7731816523</v>
      </c>
      <c r="H2624" s="0" t="n">
        <v>1.139722974</v>
      </c>
    </row>
    <row r="2625" customFormat="false" ht="15" hidden="false" customHeight="false" outlineLevel="0" collapsed="false">
      <c r="A2625" s="0" t="s">
        <v>3821</v>
      </c>
      <c r="B2625" s="0" t="s">
        <v>976</v>
      </c>
      <c r="C2625" s="0" t="s">
        <v>661</v>
      </c>
      <c r="D2625" s="0" t="n">
        <v>0</v>
      </c>
      <c r="E2625" s="0" t="n">
        <v>0.009594139718</v>
      </c>
      <c r="F2625" s="0" t="n">
        <v>0.03201805408</v>
      </c>
      <c r="G2625" s="0" t="n">
        <v>-0.1644757428</v>
      </c>
      <c r="H2625" s="0" t="n">
        <v>-0.3399383632</v>
      </c>
    </row>
    <row r="2626" customFormat="false" ht="15" hidden="false" customHeight="false" outlineLevel="0" collapsed="false">
      <c r="A2626" s="0" t="s">
        <v>3822</v>
      </c>
      <c r="B2626" s="0" t="s">
        <v>924</v>
      </c>
      <c r="C2626" s="0" t="s">
        <v>661</v>
      </c>
      <c r="D2626" s="0" t="n">
        <v>0</v>
      </c>
      <c r="E2626" s="0" t="n">
        <v>0.04133188791</v>
      </c>
      <c r="F2626" s="0" t="n">
        <v>0.2179342166</v>
      </c>
      <c r="G2626" s="0" t="n">
        <v>0.1809340437</v>
      </c>
      <c r="H2626" s="0" t="n">
        <v>0.2318209341</v>
      </c>
    </row>
    <row r="2627" customFormat="false" ht="15" hidden="false" customHeight="false" outlineLevel="0" collapsed="false">
      <c r="A2627" s="0" t="s">
        <v>3823</v>
      </c>
      <c r="B2627" s="0" t="s">
        <v>864</v>
      </c>
      <c r="C2627" s="0" t="s">
        <v>661</v>
      </c>
      <c r="D2627" s="0" t="n">
        <v>0</v>
      </c>
      <c r="E2627" s="0" t="n">
        <v>0.1815601124</v>
      </c>
      <c r="F2627" s="0" t="n">
        <v>0.9081498835</v>
      </c>
      <c r="G2627" s="0" t="n">
        <v>0.7981410833</v>
      </c>
      <c r="H2627" s="0" t="n">
        <v>1.086145911</v>
      </c>
    </row>
    <row r="2628" customFormat="false" ht="15" hidden="false" customHeight="false" outlineLevel="0" collapsed="false">
      <c r="A2628" s="0" t="s">
        <v>3824</v>
      </c>
      <c r="B2628" s="0" t="s">
        <v>1022</v>
      </c>
      <c r="C2628" s="0" t="s">
        <v>661</v>
      </c>
      <c r="D2628" s="0" t="n">
        <v>0</v>
      </c>
      <c r="E2628" s="0" t="n">
        <v>0.04610770606</v>
      </c>
      <c r="F2628" s="0" t="n">
        <v>0.2716402185</v>
      </c>
      <c r="G2628" s="0" t="n">
        <v>0.2152460138</v>
      </c>
      <c r="H2628" s="0" t="n">
        <v>0.1581590081</v>
      </c>
    </row>
    <row r="2629" customFormat="false" ht="15" hidden="false" customHeight="false" outlineLevel="0" collapsed="false">
      <c r="A2629" s="0" t="s">
        <v>3825</v>
      </c>
      <c r="B2629" s="0" t="s">
        <v>896</v>
      </c>
      <c r="C2629" s="0" t="s">
        <v>661</v>
      </c>
      <c r="D2629" s="0" t="n">
        <v>0</v>
      </c>
      <c r="E2629" s="0" t="n">
        <v>0.6647443977</v>
      </c>
      <c r="F2629" s="0" t="n">
        <v>3.87625693</v>
      </c>
      <c r="G2629" s="0" t="n">
        <v>3.262221067</v>
      </c>
      <c r="H2629" s="0" t="n">
        <v>2.480868435</v>
      </c>
    </row>
    <row r="2630" customFormat="false" ht="15" hidden="false" customHeight="false" outlineLevel="0" collapsed="false">
      <c r="A2630" s="0" t="s">
        <v>3826</v>
      </c>
      <c r="B2630" s="0" t="s">
        <v>710</v>
      </c>
      <c r="C2630" s="0" t="s">
        <v>661</v>
      </c>
      <c r="D2630" s="0" t="n">
        <v>0</v>
      </c>
      <c r="E2630" s="0" t="n">
        <v>5.605307998</v>
      </c>
      <c r="F2630" s="0" t="n">
        <v>32.317645</v>
      </c>
      <c r="G2630" s="0" t="n">
        <v>22.25214185</v>
      </c>
      <c r="H2630" s="0" t="n">
        <v>12.0819414</v>
      </c>
    </row>
    <row r="2631" customFormat="false" ht="15" hidden="false" customHeight="false" outlineLevel="0" collapsed="false">
      <c r="A2631" s="0" t="s">
        <v>3827</v>
      </c>
      <c r="B2631" s="0" t="s">
        <v>1000</v>
      </c>
      <c r="C2631" s="0" t="s">
        <v>661</v>
      </c>
      <c r="D2631" s="0" t="n">
        <v>0</v>
      </c>
      <c r="E2631" s="0" t="n">
        <v>0.002047633458</v>
      </c>
      <c r="F2631" s="0" t="n">
        <v>0.005273338571</v>
      </c>
      <c r="G2631" s="0" t="n">
        <v>-0.05692615221</v>
      </c>
      <c r="H2631" s="0" t="n">
        <v>-0.09845338837</v>
      </c>
    </row>
    <row r="2632" customFormat="false" ht="15" hidden="false" customHeight="false" outlineLevel="0" collapsed="false">
      <c r="A2632" s="0" t="s">
        <v>3828</v>
      </c>
      <c r="B2632" s="0" t="s">
        <v>980</v>
      </c>
      <c r="C2632" s="0" t="s">
        <v>661</v>
      </c>
      <c r="D2632" s="0" t="n">
        <v>0</v>
      </c>
      <c r="E2632" s="0" t="n">
        <v>0.02806200151</v>
      </c>
      <c r="F2632" s="0" t="n">
        <v>0.1460161116</v>
      </c>
      <c r="G2632" s="0" t="n">
        <v>0.09727671893</v>
      </c>
      <c r="H2632" s="0" t="n">
        <v>0.09961039711</v>
      </c>
    </row>
    <row r="2633" customFormat="false" ht="15" hidden="false" customHeight="false" outlineLevel="0" collapsed="false">
      <c r="A2633" s="0" t="s">
        <v>3829</v>
      </c>
      <c r="B2633" s="0" t="s">
        <v>1020</v>
      </c>
      <c r="C2633" s="0" t="s">
        <v>661</v>
      </c>
      <c r="D2633" s="0" t="n">
        <v>0</v>
      </c>
      <c r="E2633" s="0" t="n">
        <v>0.003512128574</v>
      </c>
      <c r="F2633" s="0" t="n">
        <v>0.01668413369</v>
      </c>
      <c r="G2633" s="0" t="n">
        <v>-0.01195733205</v>
      </c>
      <c r="H2633" s="0" t="n">
        <v>0.0482822729</v>
      </c>
    </row>
    <row r="2634" customFormat="false" ht="15" hidden="false" customHeight="false" outlineLevel="0" collapsed="false">
      <c r="A2634" s="0" t="s">
        <v>3830</v>
      </c>
      <c r="B2634" s="0" t="s">
        <v>952</v>
      </c>
      <c r="C2634" s="0" t="s">
        <v>661</v>
      </c>
      <c r="D2634" s="0" t="n">
        <v>0</v>
      </c>
      <c r="E2634" s="0" t="n">
        <v>0.3383642051</v>
      </c>
      <c r="F2634" s="0" t="n">
        <v>1.998795536</v>
      </c>
      <c r="G2634" s="0" t="n">
        <v>1.72593865</v>
      </c>
      <c r="H2634" s="0" t="n">
        <v>1.47701886</v>
      </c>
    </row>
    <row r="2635" customFormat="false" ht="15" hidden="false" customHeight="false" outlineLevel="0" collapsed="false">
      <c r="A2635" s="0" t="s">
        <v>3831</v>
      </c>
      <c r="B2635" s="0" t="s">
        <v>1026</v>
      </c>
      <c r="C2635" s="0" t="s">
        <v>661</v>
      </c>
      <c r="D2635" s="0" t="n">
        <v>0</v>
      </c>
      <c r="E2635" s="0" t="n">
        <v>0.2865016188</v>
      </c>
      <c r="F2635" s="0" t="n">
        <v>1.718191487</v>
      </c>
      <c r="G2635" s="0" t="n">
        <v>1.785213921</v>
      </c>
      <c r="H2635" s="0" t="n">
        <v>1.845966777</v>
      </c>
    </row>
    <row r="2636" customFormat="false" ht="15" hidden="false" customHeight="false" outlineLevel="0" collapsed="false">
      <c r="A2636" s="0" t="s">
        <v>3832</v>
      </c>
      <c r="B2636" s="0" t="s">
        <v>708</v>
      </c>
      <c r="C2636" s="0" t="s">
        <v>661</v>
      </c>
      <c r="D2636" s="0" t="n">
        <v>0</v>
      </c>
      <c r="E2636" s="0" t="n">
        <v>2.521594602</v>
      </c>
      <c r="F2636" s="0" t="n">
        <v>15.49262858</v>
      </c>
      <c r="G2636" s="0" t="n">
        <v>35.92027959</v>
      </c>
      <c r="H2636" s="0" t="n">
        <v>56.49449748</v>
      </c>
    </row>
    <row r="2637" customFormat="false" ht="15" hidden="false" customHeight="false" outlineLevel="0" collapsed="false">
      <c r="A2637" s="0" t="s">
        <v>3833</v>
      </c>
      <c r="B2637" s="0" t="s">
        <v>734</v>
      </c>
      <c r="C2637" s="0" t="s">
        <v>661</v>
      </c>
      <c r="D2637" s="0" t="n">
        <v>0</v>
      </c>
      <c r="E2637" s="0" t="n">
        <v>0.04123406535</v>
      </c>
      <c r="F2637" s="0" t="n">
        <v>0.3293641035</v>
      </c>
      <c r="G2637" s="0" t="n">
        <v>0.50106591</v>
      </c>
      <c r="H2637" s="0" t="n">
        <v>1.538215136</v>
      </c>
    </row>
    <row r="2638" customFormat="false" ht="15" hidden="false" customHeight="false" outlineLevel="0" collapsed="false">
      <c r="A2638" s="0" t="s">
        <v>3834</v>
      </c>
      <c r="B2638" s="0" t="s">
        <v>782</v>
      </c>
      <c r="C2638" s="0" t="s">
        <v>661</v>
      </c>
      <c r="D2638" s="0" t="n">
        <v>0</v>
      </c>
      <c r="E2638" s="0" t="n">
        <v>0.1574549418</v>
      </c>
      <c r="F2638" s="0" t="n">
        <v>0.6937727362</v>
      </c>
      <c r="G2638" s="0" t="n">
        <v>-1.225234695</v>
      </c>
      <c r="H2638" s="0" t="n">
        <v>-2.637627689</v>
      </c>
    </row>
    <row r="2639" customFormat="false" ht="15" hidden="false" customHeight="false" outlineLevel="0" collapsed="false">
      <c r="A2639" s="0" t="s">
        <v>3835</v>
      </c>
      <c r="B2639" s="0" t="s">
        <v>696</v>
      </c>
      <c r="C2639" s="0" t="s">
        <v>661</v>
      </c>
      <c r="D2639" s="0" t="n">
        <v>0</v>
      </c>
      <c r="E2639" s="0" t="n">
        <v>30.7757224</v>
      </c>
      <c r="F2639" s="0" t="n">
        <v>206.8429119</v>
      </c>
      <c r="G2639" s="0" t="n">
        <v>679.1786102</v>
      </c>
      <c r="H2639" s="0" t="n">
        <v>1132.504591</v>
      </c>
    </row>
    <row r="2640" customFormat="false" ht="15" hidden="false" customHeight="false" outlineLevel="0" collapsed="false">
      <c r="A2640" s="0" t="s">
        <v>3836</v>
      </c>
      <c r="B2640" s="0" t="s">
        <v>836</v>
      </c>
      <c r="C2640" s="0" t="s">
        <v>661</v>
      </c>
      <c r="D2640" s="0" t="n">
        <v>0</v>
      </c>
      <c r="E2640" s="0" t="n">
        <v>0.04704068066</v>
      </c>
      <c r="F2640" s="0" t="n">
        <v>0.1985792594</v>
      </c>
      <c r="G2640" s="0" t="n">
        <v>-0.7971987453</v>
      </c>
      <c r="H2640" s="0" t="n">
        <v>-1.865207806</v>
      </c>
    </row>
    <row r="2641" customFormat="false" ht="15" hidden="false" customHeight="false" outlineLevel="0" collapsed="false">
      <c r="A2641" s="0" t="s">
        <v>3837</v>
      </c>
      <c r="B2641" s="0" t="s">
        <v>880</v>
      </c>
      <c r="C2641" s="0" t="s">
        <v>661</v>
      </c>
      <c r="D2641" s="0" t="n">
        <v>0</v>
      </c>
      <c r="E2641" s="0" t="n">
        <v>0.3857942841</v>
      </c>
      <c r="F2641" s="0" t="n">
        <v>2.282014705</v>
      </c>
      <c r="G2641" s="0" t="n">
        <v>2.258182088</v>
      </c>
      <c r="H2641" s="0" t="n">
        <v>2.191086864</v>
      </c>
    </row>
    <row r="2642" customFormat="false" ht="15" hidden="false" customHeight="false" outlineLevel="0" collapsed="false">
      <c r="A2642" s="0" t="s">
        <v>3838</v>
      </c>
      <c r="B2642" s="0" t="s">
        <v>850</v>
      </c>
      <c r="C2642" s="0" t="s">
        <v>661</v>
      </c>
      <c r="D2642" s="0" t="n">
        <v>0</v>
      </c>
      <c r="E2642" s="0" t="n">
        <v>5.179846221</v>
      </c>
      <c r="F2642" s="0" t="n">
        <v>31.0430037</v>
      </c>
      <c r="G2642" s="0" t="n">
        <v>31.02556936</v>
      </c>
      <c r="H2642" s="0" t="n">
        <v>30.91987034</v>
      </c>
    </row>
    <row r="2643" customFormat="false" ht="15" hidden="false" customHeight="false" outlineLevel="0" collapsed="false">
      <c r="A2643" s="0" t="s">
        <v>3839</v>
      </c>
      <c r="B2643" s="0" t="s">
        <v>978</v>
      </c>
      <c r="C2643" s="0" t="s">
        <v>661</v>
      </c>
      <c r="D2643" s="0" t="n">
        <v>0</v>
      </c>
      <c r="E2643" s="0" t="n">
        <v>0.1439156241</v>
      </c>
      <c r="F2643" s="0" t="n">
        <v>0.8325672092</v>
      </c>
      <c r="G2643" s="0" t="n">
        <v>0.853607</v>
      </c>
      <c r="H2643" s="0" t="n">
        <v>0.8450418745</v>
      </c>
    </row>
    <row r="2644" customFormat="false" ht="15" hidden="false" customHeight="false" outlineLevel="0" collapsed="false">
      <c r="A2644" s="0" t="s">
        <v>3840</v>
      </c>
      <c r="B2644" s="0" t="s">
        <v>766</v>
      </c>
      <c r="C2644" s="0" t="s">
        <v>661</v>
      </c>
      <c r="D2644" s="0" t="n">
        <v>0</v>
      </c>
      <c r="E2644" s="0" t="n">
        <v>1.024498132</v>
      </c>
      <c r="F2644" s="0" t="n">
        <v>5.790669016</v>
      </c>
      <c r="G2644" s="0" t="n">
        <v>3.436153688</v>
      </c>
      <c r="H2644" s="0" t="n">
        <v>1.203163753</v>
      </c>
    </row>
    <row r="2645" customFormat="false" ht="15" hidden="false" customHeight="false" outlineLevel="0" collapsed="false">
      <c r="A2645" s="0" t="s">
        <v>3841</v>
      </c>
      <c r="B2645" s="0" t="s">
        <v>1044</v>
      </c>
      <c r="C2645" s="0" t="s">
        <v>661</v>
      </c>
      <c r="D2645" s="0" t="n">
        <v>0</v>
      </c>
      <c r="E2645" s="0" t="n">
        <v>0.003246771345</v>
      </c>
      <c r="F2645" s="0" t="n">
        <v>0.01564255897</v>
      </c>
      <c r="G2645" s="0" t="n">
        <v>-0.03340911612</v>
      </c>
      <c r="H2645" s="0" t="n">
        <v>-0.1139542552</v>
      </c>
    </row>
    <row r="2646" customFormat="false" ht="15" hidden="false" customHeight="false" outlineLevel="0" collapsed="false">
      <c r="A2646" s="0" t="s">
        <v>3842</v>
      </c>
      <c r="B2646" s="0" t="s">
        <v>1024</v>
      </c>
      <c r="C2646" s="0" t="s">
        <v>661</v>
      </c>
      <c r="D2646" s="0" t="n">
        <v>0</v>
      </c>
      <c r="E2646" s="0" t="n">
        <v>0.002900628493</v>
      </c>
      <c r="F2646" s="0" t="n">
        <v>0.0137286296</v>
      </c>
      <c r="G2646" s="0" t="n">
        <v>-0.01980981488</v>
      </c>
      <c r="H2646" s="0" t="n">
        <v>-0.0592530258</v>
      </c>
    </row>
    <row r="2647" customFormat="false" ht="15" hidden="false" customHeight="false" outlineLevel="0" collapsed="false">
      <c r="A2647" s="0" t="s">
        <v>3843</v>
      </c>
      <c r="B2647" s="0" t="s">
        <v>838</v>
      </c>
      <c r="C2647" s="0" t="s">
        <v>661</v>
      </c>
      <c r="D2647" s="0" t="n">
        <v>0</v>
      </c>
      <c r="E2647" s="0" t="n">
        <v>0.026232261</v>
      </c>
      <c r="F2647" s="0" t="n">
        <v>0.119136292</v>
      </c>
      <c r="G2647" s="0" t="n">
        <v>-0.3540092482</v>
      </c>
      <c r="H2647" s="0" t="n">
        <v>-0.8194501882</v>
      </c>
    </row>
    <row r="2648" customFormat="false" ht="15" hidden="false" customHeight="false" outlineLevel="0" collapsed="false">
      <c r="A2648" s="0" t="s">
        <v>3844</v>
      </c>
      <c r="B2648" s="0" t="s">
        <v>906</v>
      </c>
      <c r="C2648" s="0" t="s">
        <v>661</v>
      </c>
      <c r="D2648" s="0" t="n">
        <v>0</v>
      </c>
      <c r="E2648" s="0" t="n">
        <v>0.009348225293</v>
      </c>
      <c r="F2648" s="0" t="n">
        <v>0.01001038112</v>
      </c>
      <c r="G2648" s="0" t="n">
        <v>0.03931279807</v>
      </c>
      <c r="H2648" s="0" t="n">
        <v>0.4411273116</v>
      </c>
    </row>
    <row r="2649" customFormat="false" ht="15" hidden="false" customHeight="false" outlineLevel="0" collapsed="false">
      <c r="A2649" s="0" t="s">
        <v>3845</v>
      </c>
      <c r="B2649" s="0" t="s">
        <v>778</v>
      </c>
      <c r="C2649" s="0" t="s">
        <v>661</v>
      </c>
      <c r="D2649" s="0" t="n">
        <v>0</v>
      </c>
      <c r="E2649" s="0" t="n">
        <v>0.1595351454</v>
      </c>
      <c r="F2649" s="0" t="n">
        <v>1.073741309</v>
      </c>
      <c r="G2649" s="0" t="n">
        <v>1.680016078</v>
      </c>
      <c r="H2649" s="0" t="n">
        <v>2.941043693</v>
      </c>
    </row>
    <row r="2650" customFormat="false" ht="15" hidden="false" customHeight="false" outlineLevel="0" collapsed="false">
      <c r="A2650" s="0" t="s">
        <v>3846</v>
      </c>
      <c r="B2650" s="0" t="s">
        <v>700</v>
      </c>
      <c r="C2650" s="0" t="s">
        <v>661</v>
      </c>
      <c r="D2650" s="0" t="n">
        <v>0</v>
      </c>
      <c r="E2650" s="0" t="n">
        <v>0.7228939529</v>
      </c>
      <c r="F2650" s="0" t="n">
        <v>5.183703578</v>
      </c>
      <c r="G2650" s="0" t="n">
        <v>9.908896302</v>
      </c>
      <c r="H2650" s="0" t="n">
        <v>19.6171403</v>
      </c>
    </row>
    <row r="2651" customFormat="false" ht="15" hidden="false" customHeight="false" outlineLevel="0" collapsed="false">
      <c r="A2651" s="0" t="s">
        <v>3847</v>
      </c>
      <c r="B2651" s="0" t="s">
        <v>1014</v>
      </c>
      <c r="C2651" s="0" t="s">
        <v>661</v>
      </c>
      <c r="D2651" s="0" t="n">
        <v>0</v>
      </c>
      <c r="E2651" s="0" t="n">
        <v>0.002054596445</v>
      </c>
      <c r="F2651" s="0" t="n">
        <v>0.007087139839</v>
      </c>
      <c r="G2651" s="0" t="n">
        <v>-0.0525022685</v>
      </c>
      <c r="H2651" s="0" t="n">
        <v>-0.121493165</v>
      </c>
    </row>
    <row r="2652" customFormat="false" ht="15" hidden="false" customHeight="false" outlineLevel="0" collapsed="false">
      <c r="A2652" s="0" t="s">
        <v>3848</v>
      </c>
      <c r="B2652" s="0" t="s">
        <v>1058</v>
      </c>
      <c r="C2652" s="0" t="s">
        <v>661</v>
      </c>
      <c r="D2652" s="0" t="n">
        <v>0</v>
      </c>
      <c r="E2652" s="0" t="n">
        <v>3.084971374E-005</v>
      </c>
      <c r="F2652" s="0" t="n">
        <v>-0.001395539366</v>
      </c>
      <c r="G2652" s="0" t="n">
        <v>-0.01813830361</v>
      </c>
      <c r="H2652" s="0" t="n">
        <v>-0.03698273278</v>
      </c>
    </row>
    <row r="2653" customFormat="false" ht="15" hidden="false" customHeight="false" outlineLevel="0" collapsed="false">
      <c r="A2653" s="0" t="s">
        <v>3849</v>
      </c>
      <c r="B2653" s="0" t="s">
        <v>768</v>
      </c>
      <c r="C2653" s="0" t="s">
        <v>661</v>
      </c>
      <c r="D2653" s="0" t="n">
        <v>0</v>
      </c>
      <c r="E2653" s="0" t="n">
        <v>0.1335455645</v>
      </c>
      <c r="F2653" s="0" t="n">
        <v>0.7638927328</v>
      </c>
      <c r="G2653" s="0" t="n">
        <v>0.9022318741</v>
      </c>
      <c r="H2653" s="0" t="n">
        <v>1.399052327</v>
      </c>
    </row>
    <row r="2654" customFormat="false" ht="15" hidden="false" customHeight="false" outlineLevel="0" collapsed="false">
      <c r="A2654" s="0" t="s">
        <v>3850</v>
      </c>
      <c r="B2654" s="0" t="s">
        <v>818</v>
      </c>
      <c r="C2654" s="0" t="s">
        <v>661</v>
      </c>
      <c r="D2654" s="0" t="n">
        <v>0</v>
      </c>
      <c r="E2654" s="0" t="n">
        <v>0.0518038242</v>
      </c>
      <c r="F2654" s="0" t="n">
        <v>0.2043501509</v>
      </c>
      <c r="G2654" s="0" t="n">
        <v>-0.8721512446</v>
      </c>
      <c r="H2654" s="0" t="n">
        <v>-1.790162792</v>
      </c>
    </row>
    <row r="2655" customFormat="false" ht="15" hidden="false" customHeight="false" outlineLevel="0" collapsed="false">
      <c r="A2655" s="0" t="s">
        <v>3851</v>
      </c>
      <c r="B2655" s="0" t="s">
        <v>788</v>
      </c>
      <c r="C2655" s="0" t="s">
        <v>661</v>
      </c>
      <c r="D2655" s="0" t="n">
        <v>0</v>
      </c>
      <c r="E2655" s="0" t="n">
        <v>0.5204526852</v>
      </c>
      <c r="F2655" s="0" t="n">
        <v>2.455160265</v>
      </c>
      <c r="G2655" s="0" t="n">
        <v>-0.8487935932</v>
      </c>
      <c r="H2655" s="0" t="n">
        <v>-4.194577023</v>
      </c>
    </row>
    <row r="2656" customFormat="false" ht="15" hidden="false" customHeight="false" outlineLevel="0" collapsed="false">
      <c r="A2656" s="0" t="s">
        <v>3852</v>
      </c>
      <c r="B2656" s="0" t="s">
        <v>824</v>
      </c>
      <c r="C2656" s="0" t="s">
        <v>661</v>
      </c>
      <c r="D2656" s="0" t="n">
        <v>0</v>
      </c>
      <c r="E2656" s="0" t="n">
        <v>0.3124679591</v>
      </c>
      <c r="F2656" s="0" t="n">
        <v>1.645850892</v>
      </c>
      <c r="G2656" s="0" t="n">
        <v>-0.2640793985</v>
      </c>
      <c r="H2656" s="0" t="n">
        <v>-2.258699017</v>
      </c>
    </row>
    <row r="2657" customFormat="false" ht="15" hidden="false" customHeight="false" outlineLevel="0" collapsed="false">
      <c r="A2657" s="0" t="s">
        <v>3853</v>
      </c>
      <c r="B2657" s="0" t="s">
        <v>764</v>
      </c>
      <c r="C2657" s="0" t="s">
        <v>661</v>
      </c>
      <c r="D2657" s="0" t="n">
        <v>0</v>
      </c>
      <c r="E2657" s="0" t="n">
        <v>-0.3005227993</v>
      </c>
      <c r="F2657" s="0" t="n">
        <v>-3.758257507</v>
      </c>
      <c r="G2657" s="0" t="n">
        <v>-26.81441863</v>
      </c>
      <c r="H2657" s="0" t="n">
        <v>-55.08833866</v>
      </c>
    </row>
    <row r="2658" customFormat="false" ht="15" hidden="false" customHeight="false" outlineLevel="0" collapsed="false">
      <c r="A2658" s="0" t="s">
        <v>3854</v>
      </c>
      <c r="B2658" s="0" t="s">
        <v>722</v>
      </c>
      <c r="C2658" s="0" t="s">
        <v>661</v>
      </c>
      <c r="D2658" s="0" t="n">
        <v>0</v>
      </c>
      <c r="E2658" s="0" t="n">
        <v>0.5106284323</v>
      </c>
      <c r="F2658" s="0" t="n">
        <v>2.654267054</v>
      </c>
      <c r="G2658" s="0" t="n">
        <v>2.208600724</v>
      </c>
      <c r="H2658" s="0" t="n">
        <v>4.877874687</v>
      </c>
    </row>
    <row r="2659" customFormat="false" ht="15" hidden="false" customHeight="false" outlineLevel="0" collapsed="false">
      <c r="A2659" s="0" t="s">
        <v>3855</v>
      </c>
      <c r="B2659" s="0" t="s">
        <v>902</v>
      </c>
      <c r="C2659" s="0" t="s">
        <v>661</v>
      </c>
      <c r="D2659" s="0" t="n">
        <v>0</v>
      </c>
      <c r="E2659" s="0" t="n">
        <v>0.03408215408</v>
      </c>
      <c r="F2659" s="0" t="n">
        <v>0.1875574167</v>
      </c>
      <c r="G2659" s="0" t="n">
        <v>0.2241153567</v>
      </c>
      <c r="H2659" s="0" t="n">
        <v>0.3617969212</v>
      </c>
    </row>
    <row r="2660" customFormat="false" ht="15" hidden="false" customHeight="false" outlineLevel="0" collapsed="false">
      <c r="A2660" s="0" t="s">
        <v>3856</v>
      </c>
      <c r="B2660" s="0" t="s">
        <v>802</v>
      </c>
      <c r="C2660" s="0" t="s">
        <v>661</v>
      </c>
      <c r="D2660" s="0" t="n">
        <v>0</v>
      </c>
      <c r="E2660" s="0" t="n">
        <v>0.6994496197</v>
      </c>
      <c r="F2660" s="0" t="n">
        <v>4.219970241</v>
      </c>
      <c r="G2660" s="0" t="n">
        <v>4.703798364</v>
      </c>
      <c r="H2660" s="0" t="n">
        <v>4.995671612</v>
      </c>
    </row>
    <row r="2661" customFormat="false" ht="15" hidden="false" customHeight="false" outlineLevel="0" collapsed="false">
      <c r="A2661" s="0" t="s">
        <v>3857</v>
      </c>
      <c r="B2661" s="0" t="s">
        <v>794</v>
      </c>
      <c r="C2661" s="0" t="s">
        <v>661</v>
      </c>
      <c r="D2661" s="0" t="n">
        <v>0</v>
      </c>
      <c r="E2661" s="0" t="n">
        <v>0.0839051414</v>
      </c>
      <c r="F2661" s="0" t="n">
        <v>0.4667268794</v>
      </c>
      <c r="G2661" s="0" t="n">
        <v>0.5462556916</v>
      </c>
      <c r="H2661" s="0" t="n">
        <v>0.9207397227</v>
      </c>
    </row>
    <row r="2662" customFormat="false" ht="15" hidden="false" customHeight="false" outlineLevel="0" collapsed="false">
      <c r="A2662" s="0" t="s">
        <v>3858</v>
      </c>
      <c r="B2662" s="0" t="s">
        <v>1006</v>
      </c>
      <c r="C2662" s="0" t="s">
        <v>661</v>
      </c>
      <c r="D2662" s="0" t="n">
        <v>0</v>
      </c>
      <c r="E2662" s="0" t="n">
        <v>0.003142205791</v>
      </c>
      <c r="F2662" s="0" t="n">
        <v>0.0105314072</v>
      </c>
      <c r="G2662" s="0" t="n">
        <v>-0.06918741142</v>
      </c>
      <c r="H2662" s="0" t="n">
        <v>-0.1524683036</v>
      </c>
    </row>
    <row r="2663" customFormat="false" ht="15" hidden="false" customHeight="false" outlineLevel="0" collapsed="false">
      <c r="A2663" s="0" t="s">
        <v>3859</v>
      </c>
      <c r="B2663" s="0" t="s">
        <v>706</v>
      </c>
      <c r="C2663" s="0" t="s">
        <v>661</v>
      </c>
      <c r="D2663" s="0" t="n">
        <v>0</v>
      </c>
      <c r="E2663" s="0" t="n">
        <v>0.4884592131</v>
      </c>
      <c r="F2663" s="0" t="n">
        <v>2.76527294</v>
      </c>
      <c r="G2663" s="0" t="n">
        <v>1.606486334</v>
      </c>
      <c r="H2663" s="0" t="n">
        <v>5.787167042</v>
      </c>
    </row>
    <row r="2664" customFormat="false" ht="15" hidden="false" customHeight="false" outlineLevel="0" collapsed="false">
      <c r="A2664" s="0" t="s">
        <v>3860</v>
      </c>
      <c r="B2664" s="0" t="s">
        <v>950</v>
      </c>
      <c r="C2664" s="0" t="s">
        <v>661</v>
      </c>
      <c r="D2664" s="0" t="n">
        <v>0</v>
      </c>
      <c r="E2664" s="0" t="n">
        <v>0.09097723275</v>
      </c>
      <c r="F2664" s="0" t="n">
        <v>0.5342088315</v>
      </c>
      <c r="G2664" s="0" t="n">
        <v>0.6007920102</v>
      </c>
      <c r="H2664" s="0" t="n">
        <v>0.6619444384</v>
      </c>
    </row>
    <row r="2665" customFormat="false" ht="15" hidden="false" customHeight="false" outlineLevel="0" collapsed="false">
      <c r="A2665" s="0" t="s">
        <v>3861</v>
      </c>
      <c r="B2665" s="0" t="s">
        <v>704</v>
      </c>
      <c r="C2665" s="0" t="s">
        <v>661</v>
      </c>
      <c r="D2665" s="0" t="n">
        <v>0</v>
      </c>
      <c r="E2665" s="0" t="n">
        <v>0.2140729714</v>
      </c>
      <c r="F2665" s="0" t="n">
        <v>-0.08830368787</v>
      </c>
      <c r="G2665" s="0" t="n">
        <v>-2.725511395</v>
      </c>
      <c r="H2665" s="0" t="n">
        <v>1.098263929</v>
      </c>
    </row>
    <row r="2666" customFormat="false" ht="15" hidden="false" customHeight="false" outlineLevel="0" collapsed="false">
      <c r="A2666" s="0" t="s">
        <v>3862</v>
      </c>
      <c r="B2666" s="0" t="s">
        <v>900</v>
      </c>
      <c r="C2666" s="0" t="s">
        <v>661</v>
      </c>
      <c r="D2666" s="0" t="n">
        <v>0</v>
      </c>
      <c r="E2666" s="0" t="n">
        <v>0.02500009696</v>
      </c>
      <c r="F2666" s="0" t="n">
        <v>0.1142690748</v>
      </c>
      <c r="G2666" s="0" t="n">
        <v>-0.1801053855</v>
      </c>
      <c r="H2666" s="0" t="n">
        <v>-0.4909926925</v>
      </c>
    </row>
    <row r="2667" customFormat="false" ht="15" hidden="false" customHeight="false" outlineLevel="0" collapsed="false">
      <c r="A2667" s="0" t="s">
        <v>3863</v>
      </c>
      <c r="B2667" s="0" t="s">
        <v>844</v>
      </c>
      <c r="C2667" s="0" t="s">
        <v>661</v>
      </c>
      <c r="D2667" s="0" t="n">
        <v>0</v>
      </c>
      <c r="E2667" s="0" t="n">
        <v>0.09122171185</v>
      </c>
      <c r="F2667" s="0" t="n">
        <v>0.4118254865</v>
      </c>
      <c r="G2667" s="0" t="n">
        <v>-0.4768626471</v>
      </c>
      <c r="H2667" s="0" t="n">
        <v>-1.327822139</v>
      </c>
    </row>
    <row r="2668" customFormat="false" ht="15" hidden="false" customHeight="false" outlineLevel="0" collapsed="false">
      <c r="A2668" s="0" t="s">
        <v>3864</v>
      </c>
      <c r="B2668" s="0" t="s">
        <v>914</v>
      </c>
      <c r="C2668" s="0" t="s">
        <v>661</v>
      </c>
      <c r="D2668" s="0" t="n">
        <v>0</v>
      </c>
      <c r="E2668" s="0" t="n">
        <v>0.1786523308</v>
      </c>
      <c r="F2668" s="0" t="n">
        <v>0.9599952588</v>
      </c>
      <c r="G2668" s="0" t="n">
        <v>0.7014090177</v>
      </c>
      <c r="H2668" s="0" t="n">
        <v>0.3389205529</v>
      </c>
    </row>
    <row r="2669" customFormat="false" ht="15" hidden="false" customHeight="false" outlineLevel="0" collapsed="false">
      <c r="A2669" s="0" t="s">
        <v>3865</v>
      </c>
      <c r="B2669" s="0" t="s">
        <v>1028</v>
      </c>
      <c r="C2669" s="0" t="s">
        <v>661</v>
      </c>
      <c r="D2669" s="0" t="n">
        <v>0</v>
      </c>
      <c r="E2669" s="0" t="n">
        <v>0.01188953049</v>
      </c>
      <c r="F2669" s="0" t="n">
        <v>0.06139307177</v>
      </c>
      <c r="G2669" s="0" t="n">
        <v>-0.004157744799</v>
      </c>
      <c r="H2669" s="0" t="n">
        <v>-0.139242629</v>
      </c>
    </row>
    <row r="2670" customFormat="false" ht="15" hidden="false" customHeight="false" outlineLevel="0" collapsed="false">
      <c r="A2670" s="0" t="s">
        <v>3866</v>
      </c>
      <c r="B2670" s="0" t="s">
        <v>1030</v>
      </c>
      <c r="C2670" s="0" t="s">
        <v>661</v>
      </c>
      <c r="D2670" s="0" t="n">
        <v>0</v>
      </c>
      <c r="E2670" s="0" t="n">
        <v>0.02139939738</v>
      </c>
      <c r="F2670" s="0" t="n">
        <v>0.1241553381</v>
      </c>
      <c r="G2670" s="0" t="n">
        <v>0.1010668026</v>
      </c>
      <c r="H2670" s="0" t="n">
        <v>0.04957715586</v>
      </c>
    </row>
    <row r="2671" customFormat="false" ht="15" hidden="false" customHeight="false" outlineLevel="0" collapsed="false">
      <c r="A2671" s="0" t="s">
        <v>3867</v>
      </c>
      <c r="B2671" s="0" t="s">
        <v>994</v>
      </c>
      <c r="C2671" s="0" t="s">
        <v>661</v>
      </c>
      <c r="D2671" s="0" t="n">
        <v>0</v>
      </c>
      <c r="E2671" s="0" t="n">
        <v>0.06589547326</v>
      </c>
      <c r="F2671" s="0" t="n">
        <v>0.3821511404</v>
      </c>
      <c r="G2671" s="0" t="n">
        <v>0.5394720794</v>
      </c>
      <c r="H2671" s="0" t="n">
        <v>0.7230552204</v>
      </c>
    </row>
    <row r="2672" customFormat="false" ht="15" hidden="false" customHeight="false" outlineLevel="0" collapsed="false">
      <c r="A2672" s="0" t="s">
        <v>3868</v>
      </c>
      <c r="B2672" s="0" t="s">
        <v>798</v>
      </c>
      <c r="C2672" s="0" t="s">
        <v>661</v>
      </c>
      <c r="D2672" s="0" t="n">
        <v>0</v>
      </c>
      <c r="E2672" s="0" t="n">
        <v>0.1085494567</v>
      </c>
      <c r="F2672" s="0" t="n">
        <v>0.6499758669</v>
      </c>
      <c r="G2672" s="0" t="n">
        <v>1.122597181</v>
      </c>
      <c r="H2672" s="0" t="n">
        <v>2.438758784</v>
      </c>
    </row>
    <row r="2673" customFormat="false" ht="15" hidden="false" customHeight="false" outlineLevel="0" collapsed="false">
      <c r="A2673" s="0" t="s">
        <v>3869</v>
      </c>
      <c r="B2673" s="0" t="s">
        <v>1046</v>
      </c>
      <c r="C2673" s="0" t="s">
        <v>661</v>
      </c>
      <c r="D2673" s="0" t="n">
        <v>0</v>
      </c>
      <c r="E2673" s="0" t="n">
        <v>0.0003534898089</v>
      </c>
      <c r="F2673" s="0" t="n">
        <v>-0.002038099265</v>
      </c>
      <c r="G2673" s="0" t="n">
        <v>-0.04199821585</v>
      </c>
      <c r="H2673" s="0" t="n">
        <v>-0.09019391168</v>
      </c>
    </row>
    <row r="2674" customFormat="false" ht="15" hidden="false" customHeight="false" outlineLevel="0" collapsed="false">
      <c r="A2674" s="0" t="s">
        <v>3870</v>
      </c>
      <c r="B2674" s="0" t="s">
        <v>826</v>
      </c>
      <c r="C2674" s="0" t="s">
        <v>661</v>
      </c>
      <c r="D2674" s="0" t="n">
        <v>0</v>
      </c>
      <c r="E2674" s="0" t="n">
        <v>0.07423199105</v>
      </c>
      <c r="F2674" s="0" t="n">
        <v>0.2967230492</v>
      </c>
      <c r="G2674" s="0" t="n">
        <v>-1.42553088</v>
      </c>
      <c r="H2674" s="0" t="n">
        <v>-3.218560793</v>
      </c>
    </row>
    <row r="2675" customFormat="false" ht="15" hidden="false" customHeight="false" outlineLevel="0" collapsed="false">
      <c r="A2675" s="0" t="s">
        <v>3871</v>
      </c>
      <c r="B2675" s="0" t="s">
        <v>890</v>
      </c>
      <c r="C2675" s="0" t="s">
        <v>661</v>
      </c>
      <c r="D2675" s="0" t="n">
        <v>0</v>
      </c>
      <c r="E2675" s="0" t="n">
        <v>0.1197685557</v>
      </c>
      <c r="F2675" s="0" t="n">
        <v>0.6808142679</v>
      </c>
      <c r="G2675" s="0" t="n">
        <v>0.07935762421</v>
      </c>
      <c r="H2675" s="0" t="n">
        <v>-0.6726781696</v>
      </c>
    </row>
    <row r="2676" customFormat="false" ht="15" hidden="false" customHeight="false" outlineLevel="0" collapsed="false">
      <c r="A2676" s="0" t="s">
        <v>3872</v>
      </c>
      <c r="B2676" s="0" t="s">
        <v>770</v>
      </c>
      <c r="C2676" s="0" t="s">
        <v>661</v>
      </c>
      <c r="D2676" s="0" t="n">
        <v>0</v>
      </c>
      <c r="E2676" s="0" t="n">
        <v>-0.4362002629</v>
      </c>
      <c r="F2676" s="0" t="n">
        <v>-2.69577454</v>
      </c>
      <c r="G2676" s="0" t="n">
        <v>-5.521914037</v>
      </c>
      <c r="H2676" s="0" t="n">
        <v>-5.817677805</v>
      </c>
    </row>
    <row r="2677" customFormat="false" ht="15" hidden="false" customHeight="false" outlineLevel="0" collapsed="false">
      <c r="A2677" s="0" t="s">
        <v>3873</v>
      </c>
      <c r="B2677" s="0" t="s">
        <v>904</v>
      </c>
      <c r="C2677" s="0" t="s">
        <v>661</v>
      </c>
      <c r="D2677" s="0" t="n">
        <v>0</v>
      </c>
      <c r="E2677" s="0" t="n">
        <v>0.07270986293</v>
      </c>
      <c r="F2677" s="0" t="n">
        <v>0.3686371958</v>
      </c>
      <c r="G2677" s="0" t="n">
        <v>-0.6826825736</v>
      </c>
      <c r="H2677" s="0" t="n">
        <v>-1.943838774</v>
      </c>
    </row>
    <row r="2678" customFormat="false" ht="15" hidden="false" customHeight="false" outlineLevel="0" collapsed="false">
      <c r="A2678" s="0" t="s">
        <v>3874</v>
      </c>
      <c r="B2678" s="0" t="s">
        <v>846</v>
      </c>
      <c r="C2678" s="0" t="s">
        <v>661</v>
      </c>
      <c r="D2678" s="0" t="n">
        <v>0</v>
      </c>
      <c r="E2678" s="0" t="n">
        <v>0.02373036795</v>
      </c>
      <c r="F2678" s="0" t="n">
        <v>0.08298669953</v>
      </c>
      <c r="G2678" s="0" t="n">
        <v>-0.2477997101</v>
      </c>
      <c r="H2678" s="0" t="n">
        <v>-0.2777034772</v>
      </c>
    </row>
    <row r="2679" customFormat="false" ht="15" hidden="false" customHeight="false" outlineLevel="0" collapsed="false">
      <c r="A2679" s="0" t="s">
        <v>3875</v>
      </c>
      <c r="B2679" s="0" t="s">
        <v>956</v>
      </c>
      <c r="C2679" s="0" t="s">
        <v>661</v>
      </c>
      <c r="D2679" s="0" t="n">
        <v>0</v>
      </c>
      <c r="E2679" s="0" t="n">
        <v>0.04424862218</v>
      </c>
      <c r="F2679" s="0" t="n">
        <v>0.250198403</v>
      </c>
      <c r="G2679" s="0" t="n">
        <v>0.2366650144</v>
      </c>
      <c r="H2679" s="0" t="n">
        <v>0.1783904591</v>
      </c>
    </row>
    <row r="2680" customFormat="false" ht="15" hidden="false" customHeight="false" outlineLevel="0" collapsed="false">
      <c r="A2680" s="0" t="s">
        <v>3876</v>
      </c>
      <c r="B2680" s="0" t="s">
        <v>800</v>
      </c>
      <c r="C2680" s="0" t="s">
        <v>661</v>
      </c>
      <c r="D2680" s="0" t="n">
        <v>0</v>
      </c>
      <c r="E2680" s="0" t="n">
        <v>0.03188944136</v>
      </c>
      <c r="F2680" s="0" t="n">
        <v>0.03835604691</v>
      </c>
      <c r="G2680" s="0" t="n">
        <v>-1.3695437</v>
      </c>
      <c r="H2680" s="0" t="n">
        <v>-2.476064637</v>
      </c>
    </row>
    <row r="2681" customFormat="false" ht="15" hidden="false" customHeight="false" outlineLevel="0" collapsed="false">
      <c r="A2681" s="0" t="s">
        <v>3877</v>
      </c>
      <c r="B2681" s="0" t="s">
        <v>724</v>
      </c>
      <c r="C2681" s="0" t="s">
        <v>661</v>
      </c>
      <c r="D2681" s="0" t="n">
        <v>0</v>
      </c>
      <c r="E2681" s="0" t="n">
        <v>2.973372218</v>
      </c>
      <c r="F2681" s="0" t="n">
        <v>15.44764835</v>
      </c>
      <c r="G2681" s="0" t="n">
        <v>-4.77939056</v>
      </c>
      <c r="H2681" s="0" t="n">
        <v>-28.34340008</v>
      </c>
    </row>
    <row r="2682" customFormat="false" ht="15" hidden="false" customHeight="false" outlineLevel="0" collapsed="false">
      <c r="A2682" s="0" t="s">
        <v>3878</v>
      </c>
      <c r="B2682" s="0" t="s">
        <v>36</v>
      </c>
      <c r="C2682" s="0" t="s">
        <v>661</v>
      </c>
      <c r="D2682" s="0" t="n">
        <v>0</v>
      </c>
      <c r="E2682" s="0" t="n">
        <v>5.804211777</v>
      </c>
      <c r="F2682" s="0" t="n">
        <v>35.04909611</v>
      </c>
      <c r="G2682" s="0" t="n">
        <v>56.63009722</v>
      </c>
      <c r="H2682" s="0" t="n">
        <v>94.23421372</v>
      </c>
    </row>
    <row r="2683" customFormat="false" ht="15" hidden="false" customHeight="false" outlineLevel="0" collapsed="false">
      <c r="A2683" s="0" t="s">
        <v>3879</v>
      </c>
      <c r="B2683" s="0" t="s">
        <v>738</v>
      </c>
      <c r="C2683" s="0" t="s">
        <v>661</v>
      </c>
      <c r="D2683" s="0" t="n">
        <v>0</v>
      </c>
      <c r="E2683" s="0" t="n">
        <v>0.1256022455</v>
      </c>
      <c r="F2683" s="0" t="n">
        <v>0.8029290529</v>
      </c>
      <c r="G2683" s="0" t="n">
        <v>0.8963530401</v>
      </c>
      <c r="H2683" s="0" t="n">
        <v>1.725994901</v>
      </c>
    </row>
    <row r="2684" customFormat="false" ht="15" hidden="false" customHeight="false" outlineLevel="0" collapsed="false">
      <c r="A2684" s="0" t="s">
        <v>3880</v>
      </c>
      <c r="B2684" s="0" t="s">
        <v>790</v>
      </c>
      <c r="C2684" s="0" t="s">
        <v>661</v>
      </c>
      <c r="D2684" s="0" t="n">
        <v>0</v>
      </c>
      <c r="E2684" s="0" t="n">
        <v>1.983791473</v>
      </c>
      <c r="F2684" s="0" t="n">
        <v>9.103300485</v>
      </c>
      <c r="G2684" s="0" t="n">
        <v>13.23016742</v>
      </c>
      <c r="H2684" s="0" t="n">
        <v>19.28198886</v>
      </c>
    </row>
    <row r="2685" customFormat="false" ht="15" hidden="false" customHeight="false" outlineLevel="0" collapsed="false">
      <c r="A2685" s="0" t="s">
        <v>3881</v>
      </c>
      <c r="B2685" s="0" t="s">
        <v>806</v>
      </c>
      <c r="C2685" s="0" t="s">
        <v>661</v>
      </c>
      <c r="D2685" s="0" t="n">
        <v>0</v>
      </c>
      <c r="E2685" s="0" t="n">
        <v>0.5598969303</v>
      </c>
      <c r="F2685" s="0" t="n">
        <v>2.702556753</v>
      </c>
      <c r="G2685" s="0" t="n">
        <v>-0.1992119182</v>
      </c>
      <c r="H2685" s="0" t="n">
        <v>-4.589015455</v>
      </c>
    </row>
    <row r="2686" customFormat="false" ht="15" hidden="false" customHeight="false" outlineLevel="0" collapsed="false">
      <c r="A2686" s="0" t="s">
        <v>3882</v>
      </c>
      <c r="B2686" s="0" t="s">
        <v>916</v>
      </c>
      <c r="C2686" s="0" t="s">
        <v>661</v>
      </c>
      <c r="D2686" s="0" t="n">
        <v>0</v>
      </c>
      <c r="E2686" s="0" t="n">
        <v>0.08698664104</v>
      </c>
      <c r="F2686" s="0" t="n">
        <v>0.5181948952</v>
      </c>
      <c r="G2686" s="0" t="n">
        <v>0.5563891825</v>
      </c>
      <c r="H2686" s="0" t="n">
        <v>0.6224212247</v>
      </c>
    </row>
    <row r="2687" customFormat="false" ht="15" hidden="false" customHeight="false" outlineLevel="0" collapsed="false">
      <c r="A2687" s="0" t="s">
        <v>3883</v>
      </c>
      <c r="B2687" s="0" t="s">
        <v>750</v>
      </c>
      <c r="C2687" s="0" t="s">
        <v>661</v>
      </c>
      <c r="D2687" s="0" t="n">
        <v>0</v>
      </c>
      <c r="E2687" s="0" t="n">
        <v>0.3101346372</v>
      </c>
      <c r="F2687" s="0" t="n">
        <v>2.476372926</v>
      </c>
      <c r="G2687" s="0" t="n">
        <v>5.663119828</v>
      </c>
      <c r="H2687" s="0" t="n">
        <v>6.951212247</v>
      </c>
    </row>
    <row r="2688" customFormat="false" ht="15" hidden="false" customHeight="false" outlineLevel="0" collapsed="false">
      <c r="A2688" s="0" t="s">
        <v>3884</v>
      </c>
      <c r="B2688" s="0" t="s">
        <v>712</v>
      </c>
      <c r="C2688" s="0" t="s">
        <v>661</v>
      </c>
      <c r="D2688" s="0" t="n">
        <v>0</v>
      </c>
      <c r="E2688" s="0" t="n">
        <v>-0.2985802434</v>
      </c>
      <c r="F2688" s="0" t="n">
        <v>-1.903546609</v>
      </c>
      <c r="G2688" s="0" t="n">
        <v>-6.853023174</v>
      </c>
      <c r="H2688" s="0" t="n">
        <v>-3.158623551</v>
      </c>
    </row>
    <row r="2689" customFormat="false" ht="15" hidden="false" customHeight="false" outlineLevel="0" collapsed="false">
      <c r="A2689" s="0" t="s">
        <v>3885</v>
      </c>
      <c r="B2689" s="0" t="s">
        <v>964</v>
      </c>
      <c r="C2689" s="0" t="s">
        <v>661</v>
      </c>
      <c r="D2689" s="0" t="n">
        <v>0</v>
      </c>
      <c r="E2689" s="0" t="n">
        <v>0.01474036765</v>
      </c>
      <c r="F2689" s="0" t="n">
        <v>0.05225311667</v>
      </c>
      <c r="G2689" s="0" t="n">
        <v>-0.1974977839</v>
      </c>
      <c r="H2689" s="0" t="n">
        <v>-0.4699585594</v>
      </c>
    </row>
    <row r="2690" customFormat="false" ht="15" hidden="false" customHeight="false" outlineLevel="0" collapsed="false">
      <c r="A2690" s="0" t="s">
        <v>3886</v>
      </c>
      <c r="B2690" s="0" t="s">
        <v>876</v>
      </c>
      <c r="C2690" s="0" t="s">
        <v>661</v>
      </c>
      <c r="D2690" s="0" t="n">
        <v>0</v>
      </c>
      <c r="E2690" s="0" t="n">
        <v>-0.03062416994</v>
      </c>
      <c r="F2690" s="0" t="n">
        <v>-0.3150616284</v>
      </c>
      <c r="G2690" s="0" t="n">
        <v>-2.262437683</v>
      </c>
      <c r="H2690" s="0" t="n">
        <v>-4.1858931</v>
      </c>
    </row>
    <row r="2691" customFormat="false" ht="15" hidden="false" customHeight="false" outlineLevel="0" collapsed="false">
      <c r="A2691" s="0" t="s">
        <v>3887</v>
      </c>
      <c r="B2691" s="0" t="s">
        <v>702</v>
      </c>
      <c r="C2691" s="0" t="s">
        <v>661</v>
      </c>
      <c r="D2691" s="0" t="n">
        <v>0</v>
      </c>
      <c r="E2691" s="0" t="n">
        <v>-0.1212836833</v>
      </c>
      <c r="F2691" s="0" t="n">
        <v>-0.2848946007</v>
      </c>
      <c r="G2691" s="0" t="n">
        <v>9.825898816</v>
      </c>
      <c r="H2691" s="0" t="n">
        <v>36.81464414</v>
      </c>
    </row>
    <row r="2692" customFormat="false" ht="15" hidden="false" customHeight="false" outlineLevel="0" collapsed="false">
      <c r="A2692" s="0" t="s">
        <v>3888</v>
      </c>
      <c r="B2692" s="0" t="s">
        <v>780</v>
      </c>
      <c r="C2692" s="0" t="s">
        <v>661</v>
      </c>
      <c r="D2692" s="0" t="n">
        <v>0</v>
      </c>
      <c r="E2692" s="0" t="n">
        <v>0.7336789664</v>
      </c>
      <c r="F2692" s="0" t="n">
        <v>3.956229149</v>
      </c>
      <c r="G2692" s="0" t="n">
        <v>4.990543094</v>
      </c>
      <c r="H2692" s="0" t="n">
        <v>6.68464747</v>
      </c>
    </row>
    <row r="2693" customFormat="false" ht="15" hidden="false" customHeight="false" outlineLevel="0" collapsed="false">
      <c r="A2693" s="0" t="s">
        <v>3889</v>
      </c>
      <c r="B2693" s="0" t="s">
        <v>814</v>
      </c>
      <c r="C2693" s="0" t="s">
        <v>661</v>
      </c>
      <c r="D2693" s="0" t="n">
        <v>0</v>
      </c>
      <c r="E2693" s="0" t="n">
        <v>0.2486376266</v>
      </c>
      <c r="F2693" s="0" t="n">
        <v>1.368018045</v>
      </c>
      <c r="G2693" s="0" t="n">
        <v>0.7120550182</v>
      </c>
      <c r="H2693" s="0" t="n">
        <v>-0.1697926437</v>
      </c>
    </row>
    <row r="2694" customFormat="false" ht="15" hidden="false" customHeight="false" outlineLevel="0" collapsed="false">
      <c r="A2694" s="0" t="s">
        <v>3890</v>
      </c>
      <c r="B2694" s="0" t="s">
        <v>946</v>
      </c>
      <c r="C2694" s="0" t="s">
        <v>661</v>
      </c>
      <c r="D2694" s="0" t="n">
        <v>0</v>
      </c>
      <c r="E2694" s="0" t="n">
        <v>0.03873988846</v>
      </c>
      <c r="F2694" s="0" t="n">
        <v>0.2059859281</v>
      </c>
      <c r="G2694" s="0" t="n">
        <v>0.1409441278</v>
      </c>
      <c r="H2694" s="0" t="n">
        <v>0.02492382098</v>
      </c>
    </row>
    <row r="2695" customFormat="false" ht="15" hidden="false" customHeight="false" outlineLevel="0" collapsed="false">
      <c r="A2695" s="0" t="s">
        <v>3891</v>
      </c>
      <c r="B2695" s="0" t="s">
        <v>886</v>
      </c>
      <c r="C2695" s="0" t="s">
        <v>661</v>
      </c>
      <c r="D2695" s="0" t="n">
        <v>0</v>
      </c>
      <c r="E2695" s="0" t="n">
        <v>0.3397429377</v>
      </c>
      <c r="F2695" s="0" t="n">
        <v>1.957417375</v>
      </c>
      <c r="G2695" s="0" t="n">
        <v>1.205294671</v>
      </c>
      <c r="H2695" s="0" t="n">
        <v>0.3506488003</v>
      </c>
    </row>
    <row r="2696" customFormat="false" ht="15" hidden="false" customHeight="false" outlineLevel="0" collapsed="false">
      <c r="A2696" s="0" t="s">
        <v>3892</v>
      </c>
      <c r="B2696" s="0" t="s">
        <v>1054</v>
      </c>
      <c r="C2696" s="0" t="s">
        <v>661</v>
      </c>
      <c r="D2696" s="0" t="n">
        <v>0</v>
      </c>
      <c r="E2696" s="0" t="n">
        <v>0.00233921281</v>
      </c>
      <c r="F2696" s="0" t="n">
        <v>0.01055188712</v>
      </c>
      <c r="G2696" s="0" t="n">
        <v>-0.006988638088</v>
      </c>
      <c r="H2696" s="0" t="n">
        <v>-0.02531197167</v>
      </c>
    </row>
    <row r="2697" customFormat="false" ht="15" hidden="false" customHeight="false" outlineLevel="0" collapsed="false">
      <c r="A2697" s="0" t="s">
        <v>3893</v>
      </c>
      <c r="B2697" s="0" t="s">
        <v>716</v>
      </c>
      <c r="C2697" s="0" t="s">
        <v>661</v>
      </c>
      <c r="D2697" s="0" t="n">
        <v>0</v>
      </c>
      <c r="E2697" s="0" t="n">
        <v>0.5997588865</v>
      </c>
      <c r="F2697" s="0" t="n">
        <v>4.086697937</v>
      </c>
      <c r="G2697" s="0" t="n">
        <v>14.3838465</v>
      </c>
      <c r="H2697" s="0" t="n">
        <v>29.22571562</v>
      </c>
    </row>
    <row r="2698" customFormat="false" ht="15" hidden="false" customHeight="false" outlineLevel="0" collapsed="false">
      <c r="A2698" s="0" t="s">
        <v>3894</v>
      </c>
      <c r="B2698" s="0" t="s">
        <v>812</v>
      </c>
      <c r="C2698" s="0" t="s">
        <v>661</v>
      </c>
      <c r="D2698" s="0" t="n">
        <v>0</v>
      </c>
      <c r="E2698" s="0" t="n">
        <v>0.1896339702</v>
      </c>
      <c r="F2698" s="0" t="n">
        <v>0.5329766957</v>
      </c>
      <c r="G2698" s="0" t="n">
        <v>-3.054431538</v>
      </c>
      <c r="H2698" s="0" t="n">
        <v>-5.914002923</v>
      </c>
    </row>
    <row r="2699" customFormat="false" ht="15" hidden="false" customHeight="false" outlineLevel="0" collapsed="false">
      <c r="A2699" s="0" t="s">
        <v>3895</v>
      </c>
      <c r="B2699" s="0" t="s">
        <v>972</v>
      </c>
      <c r="C2699" s="0" t="s">
        <v>661</v>
      </c>
      <c r="D2699" s="0" t="n">
        <v>0</v>
      </c>
      <c r="E2699" s="0" t="n">
        <v>0.2376608153</v>
      </c>
      <c r="F2699" s="0" t="n">
        <v>1.395821539</v>
      </c>
      <c r="G2699" s="0" t="n">
        <v>1.735612619</v>
      </c>
      <c r="H2699" s="0" t="n">
        <v>2.033831723</v>
      </c>
    </row>
    <row r="2700" customFormat="false" ht="15" hidden="false" customHeight="false" outlineLevel="0" collapsed="false">
      <c r="A2700" s="0" t="s">
        <v>3896</v>
      </c>
      <c r="B2700" s="0" t="s">
        <v>922</v>
      </c>
      <c r="C2700" s="0" t="s">
        <v>661</v>
      </c>
      <c r="D2700" s="0" t="n">
        <v>0</v>
      </c>
      <c r="E2700" s="0" t="n">
        <v>0.07714021893</v>
      </c>
      <c r="F2700" s="0" t="n">
        <v>0.305075552</v>
      </c>
      <c r="G2700" s="0" t="n">
        <v>-0.8589993806</v>
      </c>
      <c r="H2700" s="0" t="n">
        <v>-2.054497689</v>
      </c>
    </row>
    <row r="2701" customFormat="false" ht="15" hidden="false" customHeight="false" outlineLevel="0" collapsed="false">
      <c r="A2701" s="0" t="s">
        <v>3897</v>
      </c>
      <c r="B2701" s="0" t="s">
        <v>1008</v>
      </c>
      <c r="C2701" s="0" t="s">
        <v>661</v>
      </c>
      <c r="D2701" s="0" t="n">
        <v>0</v>
      </c>
      <c r="E2701" s="0" t="n">
        <v>0.1201851628</v>
      </c>
      <c r="F2701" s="0" t="n">
        <v>0.7185606841</v>
      </c>
      <c r="G2701" s="0" t="n">
        <v>0.7309716076</v>
      </c>
      <c r="H2701" s="0" t="n">
        <v>0.7228311703</v>
      </c>
    </row>
    <row r="2702" customFormat="false" ht="15" hidden="false" customHeight="false" outlineLevel="0" collapsed="false">
      <c r="A2702" s="0" t="s">
        <v>3898</v>
      </c>
      <c r="B2702" s="0" t="s">
        <v>874</v>
      </c>
      <c r="C2702" s="0" t="s">
        <v>661</v>
      </c>
      <c r="D2702" s="0" t="n">
        <v>0</v>
      </c>
      <c r="E2702" s="0" t="n">
        <v>0.07744195345</v>
      </c>
      <c r="F2702" s="0" t="n">
        <v>-0.06699580519</v>
      </c>
      <c r="G2702" s="0" t="n">
        <v>-5.27531171</v>
      </c>
      <c r="H2702" s="0" t="n">
        <v>-10.84318273</v>
      </c>
    </row>
    <row r="2703" customFormat="false" ht="15" hidden="false" customHeight="false" outlineLevel="0" collapsed="false">
      <c r="A2703" s="0" t="s">
        <v>3899</v>
      </c>
      <c r="B2703" s="0" t="s">
        <v>1032</v>
      </c>
      <c r="C2703" s="0" t="s">
        <v>661</v>
      </c>
      <c r="D2703" s="0" t="n">
        <v>0</v>
      </c>
      <c r="E2703" s="0" t="n">
        <v>-5.029128161E-005</v>
      </c>
      <c r="F2703" s="0" t="n">
        <v>-0.004737944614</v>
      </c>
      <c r="G2703" s="0" t="n">
        <v>-0.05810565466</v>
      </c>
      <c r="H2703" s="0" t="n">
        <v>-0.1188715234</v>
      </c>
    </row>
    <row r="2704" customFormat="false" ht="15" hidden="false" customHeight="false" outlineLevel="0" collapsed="false">
      <c r="A2704" s="0" t="s">
        <v>3900</v>
      </c>
      <c r="B2704" s="0" t="s">
        <v>840</v>
      </c>
      <c r="C2704" s="0" t="s">
        <v>661</v>
      </c>
      <c r="D2704" s="0" t="n">
        <v>0</v>
      </c>
      <c r="E2704" s="0" t="n">
        <v>0.06467885863</v>
      </c>
      <c r="F2704" s="0" t="n">
        <v>0.3000049938</v>
      </c>
      <c r="G2704" s="0" t="n">
        <v>-0.6480417301</v>
      </c>
      <c r="H2704" s="0" t="n">
        <v>-1.800533748</v>
      </c>
    </row>
    <row r="2705" customFormat="false" ht="15" hidden="false" customHeight="false" outlineLevel="0" collapsed="false">
      <c r="A2705" s="0" t="s">
        <v>3901</v>
      </c>
      <c r="B2705" s="0" t="s">
        <v>1034</v>
      </c>
      <c r="C2705" s="0" t="s">
        <v>661</v>
      </c>
      <c r="D2705" s="0" t="n">
        <v>0</v>
      </c>
      <c r="E2705" s="0" t="n">
        <v>0.02320373653</v>
      </c>
      <c r="F2705" s="0" t="n">
        <v>0.1114247218</v>
      </c>
      <c r="G2705" s="0" t="n">
        <v>0.07940307884</v>
      </c>
      <c r="H2705" s="0" t="n">
        <v>-0.02509572818</v>
      </c>
    </row>
    <row r="2706" customFormat="false" ht="15" hidden="false" customHeight="false" outlineLevel="0" collapsed="false">
      <c r="A2706" s="0" t="s">
        <v>3902</v>
      </c>
      <c r="B2706" s="0" t="s">
        <v>856</v>
      </c>
      <c r="C2706" s="0" t="s">
        <v>661</v>
      </c>
      <c r="D2706" s="0" t="n">
        <v>0</v>
      </c>
      <c r="E2706" s="0" t="n">
        <v>0.03856301075</v>
      </c>
      <c r="F2706" s="0" t="n">
        <v>0.217233711</v>
      </c>
      <c r="G2706" s="0" t="n">
        <v>0.2029117431</v>
      </c>
      <c r="H2706" s="0" t="n">
        <v>0.3936002816</v>
      </c>
    </row>
    <row r="2707" customFormat="false" ht="15" hidden="false" customHeight="false" outlineLevel="0" collapsed="false">
      <c r="A2707" s="0" t="s">
        <v>3903</v>
      </c>
      <c r="B2707" s="0" t="s">
        <v>854</v>
      </c>
      <c r="C2707" s="0" t="s">
        <v>661</v>
      </c>
      <c r="D2707" s="0" t="n">
        <v>0</v>
      </c>
      <c r="E2707" s="0" t="n">
        <v>0.008014502102</v>
      </c>
      <c r="F2707" s="0" t="n">
        <v>0.03688508263</v>
      </c>
      <c r="G2707" s="0" t="n">
        <v>-0.1331858308</v>
      </c>
      <c r="H2707" s="0" t="n">
        <v>-0.1552666238</v>
      </c>
    </row>
    <row r="2708" customFormat="false" ht="15" hidden="false" customHeight="false" outlineLevel="0" collapsed="false">
      <c r="A2708" s="0" t="s">
        <v>3904</v>
      </c>
      <c r="B2708" s="0" t="s">
        <v>894</v>
      </c>
      <c r="C2708" s="0" t="s">
        <v>661</v>
      </c>
      <c r="D2708" s="0" t="n">
        <v>0</v>
      </c>
      <c r="E2708" s="0" t="n">
        <v>0.002310943656</v>
      </c>
      <c r="F2708" s="0" t="n">
        <v>-0.01741344194</v>
      </c>
      <c r="G2708" s="0" t="n">
        <v>-0.3479317655</v>
      </c>
      <c r="H2708" s="0" t="n">
        <v>-0.4078881501</v>
      </c>
    </row>
    <row r="2709" customFormat="false" ht="15" hidden="false" customHeight="false" outlineLevel="0" collapsed="false">
      <c r="A2709" s="0" t="s">
        <v>3905</v>
      </c>
      <c r="B2709" s="0" t="s">
        <v>882</v>
      </c>
      <c r="C2709" s="0" t="s">
        <v>661</v>
      </c>
      <c r="D2709" s="0" t="n">
        <v>0</v>
      </c>
      <c r="E2709" s="0" t="n">
        <v>-0.03626028241</v>
      </c>
      <c r="F2709" s="0" t="n">
        <v>-0.2090411208</v>
      </c>
      <c r="G2709" s="0" t="n">
        <v>-0.4496652426</v>
      </c>
      <c r="H2709" s="0" t="n">
        <v>-0.5631489512</v>
      </c>
    </row>
    <row r="2710" customFormat="false" ht="15" hidden="false" customHeight="false" outlineLevel="0" collapsed="false">
      <c r="A2710" s="0" t="s">
        <v>3906</v>
      </c>
      <c r="B2710" s="0" t="s">
        <v>808</v>
      </c>
      <c r="C2710" s="0" t="s">
        <v>661</v>
      </c>
      <c r="D2710" s="0" t="n">
        <v>0</v>
      </c>
      <c r="E2710" s="0" t="n">
        <v>0.07294580406</v>
      </c>
      <c r="F2710" s="0" t="n">
        <v>0.189663153</v>
      </c>
      <c r="G2710" s="0" t="n">
        <v>-2.760854016</v>
      </c>
      <c r="H2710" s="0" t="n">
        <v>-5.986501381</v>
      </c>
    </row>
    <row r="2711" customFormat="false" ht="15" hidden="false" customHeight="false" outlineLevel="0" collapsed="false">
      <c r="A2711" s="0" t="s">
        <v>3907</v>
      </c>
      <c r="B2711" s="0" t="s">
        <v>966</v>
      </c>
      <c r="C2711" s="0" t="s">
        <v>661</v>
      </c>
      <c r="D2711" s="0" t="n">
        <v>0</v>
      </c>
      <c r="E2711" s="0" t="n">
        <v>0.01895075632</v>
      </c>
      <c r="F2711" s="0" t="n">
        <v>0.05756227548</v>
      </c>
      <c r="G2711" s="0" t="n">
        <v>-0.3997983648</v>
      </c>
      <c r="H2711" s="0" t="n">
        <v>-0.929685156</v>
      </c>
    </row>
    <row r="2712" customFormat="false" ht="15" hidden="false" customHeight="false" outlineLevel="0" collapsed="false">
      <c r="A2712" s="0" t="s">
        <v>3908</v>
      </c>
      <c r="B2712" s="0" t="s">
        <v>960</v>
      </c>
      <c r="C2712" s="0" t="s">
        <v>661</v>
      </c>
      <c r="D2712" s="0" t="n">
        <v>0</v>
      </c>
      <c r="E2712" s="0" t="n">
        <v>0.1638834403</v>
      </c>
      <c r="F2712" s="0" t="n">
        <v>0.9647411229</v>
      </c>
      <c r="G2712" s="0" t="n">
        <v>0.9926293667</v>
      </c>
      <c r="H2712" s="0" t="n">
        <v>1.001001231</v>
      </c>
    </row>
    <row r="2713" customFormat="false" ht="15" hidden="false" customHeight="false" outlineLevel="0" collapsed="false">
      <c r="A2713" s="0" t="s">
        <v>3909</v>
      </c>
      <c r="B2713" s="0" t="s">
        <v>1002</v>
      </c>
      <c r="C2713" s="0" t="s">
        <v>661</v>
      </c>
      <c r="D2713" s="0" t="n">
        <v>0</v>
      </c>
      <c r="E2713" s="0" t="n">
        <v>0.0005557886495</v>
      </c>
      <c r="F2713" s="0" t="n">
        <v>-0.01524854377</v>
      </c>
      <c r="G2713" s="0" t="n">
        <v>-0.2284910756</v>
      </c>
      <c r="H2713" s="0" t="n">
        <v>-0.4562016535</v>
      </c>
    </row>
    <row r="2714" customFormat="false" ht="15" hidden="false" customHeight="false" outlineLevel="0" collapsed="false">
      <c r="A2714" s="0" t="s">
        <v>3910</v>
      </c>
      <c r="B2714" s="0" t="s">
        <v>720</v>
      </c>
      <c r="C2714" s="0" t="s">
        <v>661</v>
      </c>
      <c r="D2714" s="0" t="n">
        <v>0</v>
      </c>
      <c r="E2714" s="0" t="n">
        <v>1.862730507</v>
      </c>
      <c r="F2714" s="0" t="n">
        <v>9.732396476</v>
      </c>
      <c r="G2714" s="0" t="n">
        <v>6.081914857</v>
      </c>
      <c r="H2714" s="0" t="n">
        <v>3.805224782</v>
      </c>
    </row>
    <row r="2715" customFormat="false" ht="15" hidden="false" customHeight="false" outlineLevel="0" collapsed="false">
      <c r="A2715" s="0" t="s">
        <v>3911</v>
      </c>
      <c r="B2715" s="0" t="s">
        <v>970</v>
      </c>
      <c r="C2715" s="0" t="s">
        <v>661</v>
      </c>
      <c r="D2715" s="0" t="n">
        <v>0</v>
      </c>
      <c r="E2715" s="0" t="n">
        <v>0.01353548629</v>
      </c>
      <c r="F2715" s="0" t="n">
        <v>0.04675852859</v>
      </c>
      <c r="G2715" s="0" t="n">
        <v>-0.2338793321</v>
      </c>
      <c r="H2715" s="0" t="n">
        <v>-0.5106717079</v>
      </c>
    </row>
    <row r="2716" customFormat="false" ht="15" hidden="false" customHeight="false" outlineLevel="0" collapsed="false">
      <c r="A2716" s="0" t="s">
        <v>3912</v>
      </c>
      <c r="B2716" s="0" t="s">
        <v>918</v>
      </c>
      <c r="C2716" s="0" t="s">
        <v>661</v>
      </c>
      <c r="D2716" s="0" t="n">
        <v>0</v>
      </c>
      <c r="E2716" s="0" t="n">
        <v>0.1086889077</v>
      </c>
      <c r="F2716" s="0" t="n">
        <v>0.5911594947</v>
      </c>
      <c r="G2716" s="0" t="n">
        <v>-0.03798803737</v>
      </c>
      <c r="H2716" s="0" t="n">
        <v>-1.00494563</v>
      </c>
    </row>
    <row r="2717" customFormat="false" ht="15" hidden="false" customHeight="false" outlineLevel="0" collapsed="false">
      <c r="A2717" s="0" t="s">
        <v>3913</v>
      </c>
      <c r="B2717" s="0" t="s">
        <v>936</v>
      </c>
      <c r="C2717" s="0" t="s">
        <v>661</v>
      </c>
      <c r="D2717" s="0" t="n">
        <v>0</v>
      </c>
      <c r="E2717" s="0" t="n">
        <v>-0.0105284509</v>
      </c>
      <c r="F2717" s="0" t="n">
        <v>-0.06558062783</v>
      </c>
      <c r="G2717" s="0" t="n">
        <v>-0.1567826822</v>
      </c>
      <c r="H2717" s="0" t="n">
        <v>-0.1557139804</v>
      </c>
    </row>
    <row r="2718" customFormat="false" ht="15" hidden="false" customHeight="false" outlineLevel="0" collapsed="false">
      <c r="A2718" s="0" t="s">
        <v>3914</v>
      </c>
      <c r="B2718" s="0" t="s">
        <v>862</v>
      </c>
      <c r="C2718" s="0" t="s">
        <v>661</v>
      </c>
      <c r="D2718" s="0" t="n">
        <v>0</v>
      </c>
      <c r="E2718" s="0" t="n">
        <v>1.50213802</v>
      </c>
      <c r="F2718" s="0" t="n">
        <v>8.972637032</v>
      </c>
      <c r="G2718" s="0" t="n">
        <v>9.772140662</v>
      </c>
      <c r="H2718" s="0" t="n">
        <v>10.48939265</v>
      </c>
    </row>
    <row r="2719" customFormat="false" ht="15" hidden="false" customHeight="false" outlineLevel="0" collapsed="false">
      <c r="A2719" s="0" t="s">
        <v>3915</v>
      </c>
      <c r="B2719" s="0" t="s">
        <v>996</v>
      </c>
      <c r="C2719" s="0" t="s">
        <v>661</v>
      </c>
      <c r="D2719" s="0" t="n">
        <v>0</v>
      </c>
      <c r="E2719" s="0" t="n">
        <v>-0.0001744856482</v>
      </c>
      <c r="F2719" s="0" t="n">
        <v>-0.009986276624</v>
      </c>
      <c r="G2719" s="0" t="n">
        <v>-0.1094259542</v>
      </c>
      <c r="H2719" s="0" t="n">
        <v>-0.207181511</v>
      </c>
    </row>
    <row r="2720" customFormat="false" ht="15" hidden="false" customHeight="false" outlineLevel="0" collapsed="false">
      <c r="A2720" s="0" t="s">
        <v>3916</v>
      </c>
      <c r="B2720" s="0" t="s">
        <v>928</v>
      </c>
      <c r="C2720" s="0" t="s">
        <v>661</v>
      </c>
      <c r="D2720" s="0" t="n">
        <v>0</v>
      </c>
      <c r="E2720" s="0" t="n">
        <v>0.2925799294</v>
      </c>
      <c r="F2720" s="0" t="n">
        <v>1.706988539</v>
      </c>
      <c r="G2720" s="0" t="n">
        <v>1.63415911</v>
      </c>
      <c r="H2720" s="0" t="n">
        <v>1.480409163</v>
      </c>
    </row>
    <row r="2721" customFormat="false" ht="15" hidden="false" customHeight="false" outlineLevel="0" collapsed="false">
      <c r="A2721" s="0" t="s">
        <v>3917</v>
      </c>
      <c r="B2721" s="0" t="s">
        <v>954</v>
      </c>
      <c r="C2721" s="0" t="s">
        <v>661</v>
      </c>
      <c r="D2721" s="0" t="n">
        <v>0</v>
      </c>
      <c r="E2721" s="0" t="n">
        <v>0.6260060196</v>
      </c>
      <c r="F2721" s="0" t="n">
        <v>3.724630678</v>
      </c>
      <c r="G2721" s="0" t="n">
        <v>3.659221498</v>
      </c>
      <c r="H2721" s="0" t="n">
        <v>3.633541351</v>
      </c>
    </row>
    <row r="2722" customFormat="false" ht="15" hidden="false" customHeight="false" outlineLevel="0" collapsed="false">
      <c r="A2722" s="0" t="s">
        <v>3918</v>
      </c>
      <c r="B2722" s="0" t="s">
        <v>988</v>
      </c>
      <c r="C2722" s="0" t="s">
        <v>661</v>
      </c>
      <c r="D2722" s="0" t="n">
        <v>0</v>
      </c>
      <c r="E2722" s="0" t="n">
        <v>0.03638433846</v>
      </c>
      <c r="F2722" s="0" t="n">
        <v>0.1884902095</v>
      </c>
      <c r="G2722" s="0" t="n">
        <v>-0.06449513289</v>
      </c>
      <c r="H2722" s="0" t="n">
        <v>-0.4242920708</v>
      </c>
    </row>
    <row r="2723" customFormat="false" ht="15" hidden="false" customHeight="false" outlineLevel="0" collapsed="false">
      <c r="A2723" s="0" t="s">
        <v>3919</v>
      </c>
      <c r="B2723" s="0" t="s">
        <v>974</v>
      </c>
      <c r="C2723" s="0" t="s">
        <v>661</v>
      </c>
      <c r="D2723" s="0" t="n">
        <v>0</v>
      </c>
      <c r="E2723" s="0" t="n">
        <v>-0.005976214188</v>
      </c>
      <c r="F2723" s="0" t="n">
        <v>-0.05684813754</v>
      </c>
      <c r="G2723" s="0" t="n">
        <v>-0.3635129282</v>
      </c>
      <c r="H2723" s="0" t="n">
        <v>-0.6596481002</v>
      </c>
    </row>
    <row r="2724" customFormat="false" ht="15" hidden="false" customHeight="false" outlineLevel="0" collapsed="false">
      <c r="A2724" s="0" t="s">
        <v>3920</v>
      </c>
      <c r="B2724" s="0" t="s">
        <v>992</v>
      </c>
      <c r="C2724" s="0" t="s">
        <v>661</v>
      </c>
      <c r="D2724" s="0" t="n">
        <v>0</v>
      </c>
      <c r="E2724" s="0" t="n">
        <v>0.1195135468</v>
      </c>
      <c r="F2724" s="0" t="n">
        <v>0.7019999339</v>
      </c>
      <c r="G2724" s="0" t="n">
        <v>0.7800923578</v>
      </c>
      <c r="H2724" s="0" t="n">
        <v>0.82208734</v>
      </c>
    </row>
    <row r="2725" customFormat="false" ht="15" hidden="false" customHeight="false" outlineLevel="0" collapsed="false">
      <c r="A2725" s="0" t="s">
        <v>3921</v>
      </c>
      <c r="B2725" s="0" t="s">
        <v>760</v>
      </c>
      <c r="C2725" s="0" t="s">
        <v>661</v>
      </c>
      <c r="D2725" s="0" t="n">
        <v>0</v>
      </c>
      <c r="E2725" s="0" t="n">
        <v>0.6762049669</v>
      </c>
      <c r="F2725" s="0" t="n">
        <v>3.143293928</v>
      </c>
      <c r="G2725" s="0" t="n">
        <v>-4.909453185</v>
      </c>
      <c r="H2725" s="0" t="n">
        <v>-11.8557088</v>
      </c>
    </row>
    <row r="2726" customFormat="false" ht="15" hidden="false" customHeight="false" outlineLevel="0" collapsed="false">
      <c r="A2726" s="0" t="s">
        <v>3922</v>
      </c>
      <c r="B2726" s="0" t="s">
        <v>982</v>
      </c>
      <c r="C2726" s="0" t="s">
        <v>661</v>
      </c>
      <c r="D2726" s="0" t="n">
        <v>0</v>
      </c>
      <c r="E2726" s="0" t="n">
        <v>0.1062867083</v>
      </c>
      <c r="F2726" s="0" t="n">
        <v>0.6133282112</v>
      </c>
      <c r="G2726" s="0" t="n">
        <v>0.426754013</v>
      </c>
      <c r="H2726" s="0" t="n">
        <v>0.228977082</v>
      </c>
    </row>
    <row r="2727" customFormat="false" ht="15" hidden="false" customHeight="false" outlineLevel="0" collapsed="false">
      <c r="A2727" s="0" t="s">
        <v>3923</v>
      </c>
      <c r="B2727" s="0" t="s">
        <v>940</v>
      </c>
      <c r="C2727" s="0" t="s">
        <v>661</v>
      </c>
      <c r="D2727" s="0" t="n">
        <v>0</v>
      </c>
      <c r="E2727" s="0" t="n">
        <v>0.1106634942</v>
      </c>
      <c r="F2727" s="0" t="n">
        <v>0.637319829</v>
      </c>
      <c r="G2727" s="0" t="n">
        <v>0.5749745819</v>
      </c>
      <c r="H2727" s="0" t="n">
        <v>0.4119011065</v>
      </c>
    </row>
    <row r="2728" customFormat="false" ht="15" hidden="false" customHeight="false" outlineLevel="0" collapsed="false">
      <c r="A2728" s="0" t="s">
        <v>3924</v>
      </c>
      <c r="B2728" s="0" t="s">
        <v>792</v>
      </c>
      <c r="C2728" s="0" t="s">
        <v>661</v>
      </c>
      <c r="D2728" s="0" t="n">
        <v>0</v>
      </c>
      <c r="E2728" s="0" t="n">
        <v>1.188775837</v>
      </c>
      <c r="F2728" s="0" t="n">
        <v>6.071795237</v>
      </c>
      <c r="G2728" s="0" t="n">
        <v>-0.7013200443</v>
      </c>
      <c r="H2728" s="0" t="n">
        <v>-8.737089381</v>
      </c>
    </row>
    <row r="2729" customFormat="false" ht="15" hidden="false" customHeight="false" outlineLevel="0" collapsed="false">
      <c r="A2729" s="0" t="s">
        <v>3925</v>
      </c>
      <c r="B2729" s="0" t="s">
        <v>948</v>
      </c>
      <c r="C2729" s="0" t="s">
        <v>661</v>
      </c>
      <c r="D2729" s="0" t="n">
        <v>0</v>
      </c>
      <c r="E2729" s="0" t="n">
        <v>0.1885246845</v>
      </c>
      <c r="F2729" s="0" t="n">
        <v>1.091221532</v>
      </c>
      <c r="G2729" s="0" t="n">
        <v>0.6649097343</v>
      </c>
      <c r="H2729" s="0" t="n">
        <v>0.1158457513</v>
      </c>
    </row>
    <row r="2730" customFormat="false" ht="15" hidden="false" customHeight="false" outlineLevel="0" collapsed="false">
      <c r="A2730" s="0" t="s">
        <v>3926</v>
      </c>
      <c r="B2730" s="0" t="s">
        <v>730</v>
      </c>
      <c r="C2730" s="0" t="s">
        <v>661</v>
      </c>
      <c r="D2730" s="0" t="n">
        <v>0</v>
      </c>
      <c r="E2730" s="0" t="n">
        <v>0.3261060201</v>
      </c>
      <c r="F2730" s="0" t="n">
        <v>2.045895773</v>
      </c>
      <c r="G2730" s="0" t="n">
        <v>4.5054956</v>
      </c>
      <c r="H2730" s="0" t="n">
        <v>8.220935047</v>
      </c>
    </row>
    <row r="2731" customFormat="false" ht="15" hidden="false" customHeight="false" outlineLevel="0" collapsed="false">
      <c r="A2731" s="0" t="s">
        <v>3927</v>
      </c>
      <c r="B2731" s="0" t="s">
        <v>762</v>
      </c>
      <c r="C2731" s="0" t="s">
        <v>661</v>
      </c>
      <c r="D2731" s="0" t="n">
        <v>0</v>
      </c>
      <c r="E2731" s="0" t="n">
        <v>0.2675871683</v>
      </c>
      <c r="F2731" s="0" t="n">
        <v>1.623507443</v>
      </c>
      <c r="G2731" s="0" t="n">
        <v>3.971667262</v>
      </c>
      <c r="H2731" s="0" t="n">
        <v>6.757168786</v>
      </c>
    </row>
    <row r="2732" customFormat="false" ht="15" hidden="false" customHeight="false" outlineLevel="0" collapsed="false">
      <c r="A2732" s="0" t="s">
        <v>3928</v>
      </c>
      <c r="B2732" s="0" t="s">
        <v>892</v>
      </c>
      <c r="C2732" s="0" t="s">
        <v>661</v>
      </c>
      <c r="D2732" s="0" t="n">
        <v>0</v>
      </c>
      <c r="E2732" s="0" t="n">
        <v>0.1263455582</v>
      </c>
      <c r="F2732" s="0" t="n">
        <v>0.7090621665</v>
      </c>
      <c r="G2732" s="0" t="n">
        <v>0.5524587537</v>
      </c>
      <c r="H2732" s="0" t="n">
        <v>0.2432830174</v>
      </c>
    </row>
    <row r="2733" customFormat="false" ht="15" hidden="false" customHeight="false" outlineLevel="0" collapsed="false">
      <c r="A2733" s="0" t="s">
        <v>3929</v>
      </c>
      <c r="B2733" s="0" t="s">
        <v>1064</v>
      </c>
      <c r="C2733" s="0" t="s">
        <v>661</v>
      </c>
      <c r="D2733" s="0" t="n">
        <v>0</v>
      </c>
      <c r="E2733" s="0" t="n">
        <v>0.0006887140706</v>
      </c>
      <c r="F2733" s="0" t="n">
        <v>0.003863145188</v>
      </c>
      <c r="G2733" s="0" t="n">
        <v>0.005045785706</v>
      </c>
      <c r="H2733" s="0" t="n">
        <v>0.00660387865</v>
      </c>
    </row>
    <row r="2734" customFormat="false" ht="15" hidden="false" customHeight="false" outlineLevel="0" collapsed="false">
      <c r="A2734" s="0" t="s">
        <v>3930</v>
      </c>
      <c r="B2734" s="0" t="s">
        <v>796</v>
      </c>
      <c r="C2734" s="0" t="s">
        <v>661</v>
      </c>
      <c r="D2734" s="0" t="n">
        <v>0</v>
      </c>
      <c r="E2734" s="0" t="n">
        <v>0.1650051095</v>
      </c>
      <c r="F2734" s="0" t="n">
        <v>0.960512672</v>
      </c>
      <c r="G2734" s="0" t="n">
        <v>1.217845397</v>
      </c>
      <c r="H2734" s="0" t="n">
        <v>1.902950306</v>
      </c>
    </row>
    <row r="2735" customFormat="false" ht="15" hidden="false" customHeight="false" outlineLevel="0" collapsed="false">
      <c r="A2735" s="0" t="s">
        <v>3931</v>
      </c>
      <c r="B2735" s="0" t="s">
        <v>832</v>
      </c>
      <c r="C2735" s="0" t="s">
        <v>661</v>
      </c>
      <c r="D2735" s="0" t="n">
        <v>0</v>
      </c>
      <c r="E2735" s="0" t="n">
        <v>0.386053588</v>
      </c>
      <c r="F2735" s="0" t="n">
        <v>2.137635737</v>
      </c>
      <c r="G2735" s="0" t="n">
        <v>3.3538694</v>
      </c>
      <c r="H2735" s="0" t="n">
        <v>4.961529073</v>
      </c>
    </row>
    <row r="2736" customFormat="false" ht="15" hidden="false" customHeight="false" outlineLevel="0" collapsed="false">
      <c r="A2736" s="0" t="s">
        <v>3932</v>
      </c>
      <c r="B2736" s="0" t="s">
        <v>772</v>
      </c>
      <c r="C2736" s="0" t="s">
        <v>661</v>
      </c>
      <c r="D2736" s="0" t="n">
        <v>0</v>
      </c>
      <c r="E2736" s="0" t="n">
        <v>1.15537471</v>
      </c>
      <c r="F2736" s="0" t="n">
        <v>6.223236014</v>
      </c>
      <c r="G2736" s="0" t="n">
        <v>3.391651501</v>
      </c>
      <c r="H2736" s="0" t="n">
        <v>-0.3053698718</v>
      </c>
    </row>
    <row r="2737" customFormat="false" ht="15" hidden="false" customHeight="false" outlineLevel="0" collapsed="false">
      <c r="A2737" s="0" t="s">
        <v>3933</v>
      </c>
      <c r="B2737" s="0" t="s">
        <v>848</v>
      </c>
      <c r="C2737" s="0" t="s">
        <v>661</v>
      </c>
      <c r="D2737" s="0" t="n">
        <v>0</v>
      </c>
      <c r="E2737" s="0" t="n">
        <v>0.0429302317</v>
      </c>
      <c r="F2737" s="0" t="n">
        <v>0.1951700579</v>
      </c>
      <c r="G2737" s="0" t="n">
        <v>-0.5301316852</v>
      </c>
      <c r="H2737" s="0" t="n">
        <v>-1.088785561</v>
      </c>
    </row>
    <row r="2738" customFormat="false" ht="15" hidden="false" customHeight="false" outlineLevel="0" collapsed="false">
      <c r="A2738" s="0" t="s">
        <v>3934</v>
      </c>
      <c r="B2738" s="0" t="s">
        <v>784</v>
      </c>
      <c r="C2738" s="0" t="s">
        <v>661</v>
      </c>
      <c r="D2738" s="0" t="n">
        <v>0</v>
      </c>
      <c r="E2738" s="0" t="n">
        <v>0.9047027498</v>
      </c>
      <c r="F2738" s="0" t="n">
        <v>5.212939753</v>
      </c>
      <c r="G2738" s="0" t="n">
        <v>4.028687042</v>
      </c>
      <c r="H2738" s="0" t="n">
        <v>3.232463856</v>
      </c>
    </row>
    <row r="2739" customFormat="false" ht="15" hidden="false" customHeight="false" outlineLevel="0" collapsed="false">
      <c r="A2739" s="0" t="s">
        <v>3935</v>
      </c>
      <c r="B2739" s="0" t="s">
        <v>754</v>
      </c>
      <c r="C2739" s="0" t="s">
        <v>661</v>
      </c>
      <c r="D2739" s="0" t="n">
        <v>0</v>
      </c>
      <c r="E2739" s="0" t="n">
        <v>0.1775743069</v>
      </c>
      <c r="F2739" s="0" t="n">
        <v>0.4668521719</v>
      </c>
      <c r="G2739" s="0" t="n">
        <v>-5.751037893</v>
      </c>
      <c r="H2739" s="0" t="n">
        <v>-13.0236636</v>
      </c>
    </row>
    <row r="2740" customFormat="false" ht="15" hidden="false" customHeight="false" outlineLevel="0" collapsed="false">
      <c r="A2740" s="0" t="s">
        <v>3936</v>
      </c>
      <c r="B2740" s="0" t="s">
        <v>1062</v>
      </c>
      <c r="C2740" s="0" t="s">
        <v>661</v>
      </c>
      <c r="D2740" s="0" t="n">
        <v>0</v>
      </c>
      <c r="E2740" s="0" t="n">
        <v>0.003921453118</v>
      </c>
      <c r="F2740" s="0" t="n">
        <v>0.02259819962</v>
      </c>
      <c r="G2740" s="0" t="n">
        <v>0.04281597514</v>
      </c>
      <c r="H2740" s="0" t="n">
        <v>0.0646228897</v>
      </c>
    </row>
    <row r="2741" customFormat="false" ht="15" hidden="false" customHeight="false" outlineLevel="0" collapsed="false">
      <c r="A2741" s="0" t="s">
        <v>3937</v>
      </c>
      <c r="B2741" s="0" t="s">
        <v>912</v>
      </c>
      <c r="C2741" s="0" t="s">
        <v>661</v>
      </c>
      <c r="D2741" s="0" t="n">
        <v>0</v>
      </c>
      <c r="E2741" s="0" t="n">
        <v>0.2896948912</v>
      </c>
      <c r="F2741" s="0" t="n">
        <v>1.695108816</v>
      </c>
      <c r="G2741" s="0" t="n">
        <v>1.326888537</v>
      </c>
      <c r="H2741" s="0" t="n">
        <v>0.8113988245</v>
      </c>
    </row>
    <row r="2742" customFormat="false" ht="15" hidden="false" customHeight="false" outlineLevel="0" collapsed="false">
      <c r="A2742" s="0" t="s">
        <v>3938</v>
      </c>
      <c r="B2742" s="0" t="s">
        <v>732</v>
      </c>
      <c r="C2742" s="0" t="s">
        <v>661</v>
      </c>
      <c r="D2742" s="0" t="n">
        <v>0</v>
      </c>
      <c r="E2742" s="0" t="n">
        <v>0.3134352938</v>
      </c>
      <c r="F2742" s="0" t="n">
        <v>0.9234136024</v>
      </c>
      <c r="G2742" s="0" t="n">
        <v>-6.745255608</v>
      </c>
      <c r="H2742" s="0" t="n">
        <v>-11.14102174</v>
      </c>
    </row>
    <row r="2743" customFormat="false" ht="15" hidden="false" customHeight="false" outlineLevel="0" collapsed="false">
      <c r="A2743" s="0" t="s">
        <v>3939</v>
      </c>
      <c r="B2743" s="0" t="s">
        <v>834</v>
      </c>
      <c r="C2743" s="0" t="s">
        <v>661</v>
      </c>
      <c r="D2743" s="0" t="n">
        <v>0</v>
      </c>
      <c r="E2743" s="0" t="n">
        <v>0.04175325045</v>
      </c>
      <c r="F2743" s="0" t="n">
        <v>0.2116103277</v>
      </c>
      <c r="G2743" s="0" t="n">
        <v>0.1015705221</v>
      </c>
      <c r="H2743" s="0" t="n">
        <v>0.2189110872</v>
      </c>
    </row>
    <row r="2744" customFormat="false" ht="15" hidden="false" customHeight="false" outlineLevel="0" collapsed="false">
      <c r="A2744" s="0" t="s">
        <v>3940</v>
      </c>
      <c r="B2744" s="0" t="s">
        <v>786</v>
      </c>
      <c r="C2744" s="0" t="s">
        <v>661</v>
      </c>
      <c r="D2744" s="0" t="n">
        <v>0</v>
      </c>
      <c r="E2744" s="0" t="n">
        <v>0.06988685202</v>
      </c>
      <c r="F2744" s="0" t="n">
        <v>0.2843050867</v>
      </c>
      <c r="G2744" s="0" t="n">
        <v>-0.5117148436</v>
      </c>
      <c r="H2744" s="0" t="n">
        <v>-0.5583855054</v>
      </c>
    </row>
    <row r="2745" customFormat="false" ht="15" hidden="false" customHeight="false" outlineLevel="0" collapsed="false">
      <c r="A2745" s="0" t="s">
        <v>3941</v>
      </c>
      <c r="B2745" s="0" t="s">
        <v>888</v>
      </c>
      <c r="C2745" s="0" t="s">
        <v>661</v>
      </c>
      <c r="D2745" s="0" t="n">
        <v>0</v>
      </c>
      <c r="E2745" s="0" t="n">
        <v>0.4453363588</v>
      </c>
      <c r="F2745" s="0" t="n">
        <v>2.557831728</v>
      </c>
      <c r="G2745" s="0" t="n">
        <v>2.129209595</v>
      </c>
      <c r="H2745" s="0" t="n">
        <v>1.809077281</v>
      </c>
    </row>
    <row r="2746" customFormat="false" ht="15" hidden="false" customHeight="false" outlineLevel="0" collapsed="false">
      <c r="A2746" s="0" t="s">
        <v>3942</v>
      </c>
      <c r="B2746" s="0" t="s">
        <v>816</v>
      </c>
      <c r="C2746" s="0" t="s">
        <v>661</v>
      </c>
      <c r="D2746" s="0" t="n">
        <v>0</v>
      </c>
      <c r="E2746" s="0" t="n">
        <v>0.7141151144</v>
      </c>
      <c r="F2746" s="0" t="n">
        <v>3.430736794</v>
      </c>
      <c r="G2746" s="0" t="n">
        <v>6.508275128</v>
      </c>
      <c r="H2746" s="0" t="n">
        <v>10.14964727</v>
      </c>
    </row>
    <row r="2747" customFormat="false" ht="15" hidden="false" customHeight="false" outlineLevel="0" collapsed="false">
      <c r="A2747" s="0" t="s">
        <v>3943</v>
      </c>
      <c r="B2747" s="0" t="s">
        <v>776</v>
      </c>
      <c r="C2747" s="0" t="s">
        <v>661</v>
      </c>
      <c r="D2747" s="0" t="n">
        <v>0</v>
      </c>
      <c r="E2747" s="0" t="n">
        <v>0.1765023122</v>
      </c>
      <c r="F2747" s="0" t="n">
        <v>0.8742119652</v>
      </c>
      <c r="G2747" s="0" t="n">
        <v>-0.1047439169</v>
      </c>
      <c r="H2747" s="0" t="n">
        <v>-0.966623421</v>
      </c>
    </row>
    <row r="2748" customFormat="false" ht="15" hidden="false" customHeight="false" outlineLevel="0" collapsed="false">
      <c r="A2748" s="0" t="s">
        <v>3944</v>
      </c>
      <c r="B2748" s="0" t="s">
        <v>714</v>
      </c>
      <c r="C2748" s="0" t="s">
        <v>661</v>
      </c>
      <c r="D2748" s="0" t="n">
        <v>0</v>
      </c>
      <c r="E2748" s="0" t="n">
        <v>6.435653742</v>
      </c>
      <c r="F2748" s="0" t="n">
        <v>38.62791974</v>
      </c>
      <c r="G2748" s="0" t="n">
        <v>102.7634544</v>
      </c>
      <c r="H2748" s="0" t="n">
        <v>192.947297</v>
      </c>
    </row>
    <row r="2749" customFormat="false" ht="15" hidden="false" customHeight="false" outlineLevel="0" collapsed="false">
      <c r="A2749" s="0" t="s">
        <v>3945</v>
      </c>
      <c r="B2749" s="0" t="s">
        <v>958</v>
      </c>
      <c r="C2749" s="0" t="s">
        <v>661</v>
      </c>
      <c r="D2749" s="0" t="n">
        <v>0</v>
      </c>
      <c r="E2749" s="0" t="n">
        <v>0.02810133034</v>
      </c>
      <c r="F2749" s="0" t="n">
        <v>0.1542439549</v>
      </c>
      <c r="G2749" s="0" t="n">
        <v>0.03054240636</v>
      </c>
      <c r="H2749" s="0" t="n">
        <v>-0.1441577267</v>
      </c>
    </row>
    <row r="2750" customFormat="false" ht="15" hidden="false" customHeight="false" outlineLevel="0" collapsed="false">
      <c r="A2750" s="0" t="s">
        <v>3946</v>
      </c>
      <c r="B2750" s="0" t="s">
        <v>728</v>
      </c>
      <c r="C2750" s="0" t="s">
        <v>661</v>
      </c>
      <c r="D2750" s="0" t="n">
        <v>0</v>
      </c>
      <c r="E2750" s="0" t="n">
        <v>0.3584526091</v>
      </c>
      <c r="F2750" s="0" t="n">
        <v>-0.2338129702</v>
      </c>
      <c r="G2750" s="0" t="n">
        <v>-22.5167816</v>
      </c>
      <c r="H2750" s="0" t="n">
        <v>-36.57347546</v>
      </c>
    </row>
    <row r="2751" customFormat="false" ht="15" hidden="false" customHeight="false" outlineLevel="0" collapsed="false">
      <c r="A2751" s="0" t="s">
        <v>3947</v>
      </c>
      <c r="B2751" s="0" t="s">
        <v>932</v>
      </c>
      <c r="C2751" s="0" t="s">
        <v>661</v>
      </c>
      <c r="D2751" s="0" t="n">
        <v>0</v>
      </c>
      <c r="E2751" s="0" t="n">
        <v>0.4794148845</v>
      </c>
      <c r="F2751" s="0" t="n">
        <v>2.720080236</v>
      </c>
      <c r="G2751" s="0" t="n">
        <v>2.399427865</v>
      </c>
      <c r="H2751" s="0" t="n">
        <v>1.969880372</v>
      </c>
    </row>
    <row r="2752" customFormat="false" ht="15" hidden="false" customHeight="false" outlineLevel="0" collapsed="false">
      <c r="A2752" s="0" t="s">
        <v>3948</v>
      </c>
      <c r="B2752" s="0" t="s">
        <v>910</v>
      </c>
      <c r="C2752" s="0" t="s">
        <v>661</v>
      </c>
      <c r="D2752" s="0" t="n">
        <v>0</v>
      </c>
      <c r="E2752" s="0" t="n">
        <v>0.05927160981</v>
      </c>
      <c r="F2752" s="0" t="n">
        <v>0.2636222521</v>
      </c>
      <c r="G2752" s="0" t="n">
        <v>-0.877948832</v>
      </c>
      <c r="H2752" s="0" t="n">
        <v>-2.401965151</v>
      </c>
    </row>
    <row r="2753" customFormat="false" ht="15" hidden="false" customHeight="false" outlineLevel="0" collapsed="false">
      <c r="A2753" s="0" t="s">
        <v>3949</v>
      </c>
      <c r="B2753" s="0" t="s">
        <v>740</v>
      </c>
      <c r="C2753" s="0" t="s">
        <v>661</v>
      </c>
      <c r="D2753" s="0" t="n">
        <v>0</v>
      </c>
      <c r="E2753" s="0" t="n">
        <v>-0.8169143268</v>
      </c>
      <c r="F2753" s="0" t="n">
        <v>-6.150678628</v>
      </c>
      <c r="G2753" s="0" t="n">
        <v>-13.93713561</v>
      </c>
      <c r="H2753" s="0" t="n">
        <v>-13.44937215</v>
      </c>
    </row>
    <row r="2754" customFormat="false" ht="15" hidden="false" customHeight="false" outlineLevel="0" collapsed="false">
      <c r="A2754" s="0" t="s">
        <v>3950</v>
      </c>
      <c r="B2754" s="0" t="s">
        <v>1042</v>
      </c>
      <c r="C2754" s="0" t="s">
        <v>661</v>
      </c>
      <c r="D2754" s="0" t="n">
        <v>0</v>
      </c>
      <c r="E2754" s="0" t="n">
        <v>0.3612360291</v>
      </c>
      <c r="F2754" s="0" t="n">
        <v>2.166516586</v>
      </c>
      <c r="G2754" s="0" t="n">
        <v>2.148528831</v>
      </c>
      <c r="H2754" s="0" t="n">
        <v>2.125240133</v>
      </c>
    </row>
    <row r="2755" customFormat="false" ht="15" hidden="false" customHeight="false" outlineLevel="0" collapsed="false">
      <c r="A2755" s="0" t="s">
        <v>3951</v>
      </c>
      <c r="B2755" s="0" t="s">
        <v>998</v>
      </c>
      <c r="C2755" s="0" t="s">
        <v>661</v>
      </c>
      <c r="D2755" s="0" t="n">
        <v>0</v>
      </c>
      <c r="E2755" s="0" t="n">
        <v>0.03756672664</v>
      </c>
      <c r="F2755" s="0" t="n">
        <v>0.2076679321</v>
      </c>
      <c r="G2755" s="0" t="n">
        <v>0.03801534017</v>
      </c>
      <c r="H2755" s="0" t="n">
        <v>-0.2180101007</v>
      </c>
    </row>
    <row r="2756" customFormat="false" ht="15" hidden="false" customHeight="false" outlineLevel="0" collapsed="false">
      <c r="A2756" s="0" t="s">
        <v>3952</v>
      </c>
      <c r="B2756" s="0" t="s">
        <v>908</v>
      </c>
      <c r="C2756" s="0" t="s">
        <v>661</v>
      </c>
      <c r="D2756" s="0" t="n">
        <v>0</v>
      </c>
      <c r="E2756" s="0" t="n">
        <v>0.01480491803</v>
      </c>
      <c r="F2756" s="0" t="n">
        <v>0.03916104</v>
      </c>
      <c r="G2756" s="0" t="n">
        <v>-0.6096733578</v>
      </c>
      <c r="H2756" s="0" t="n">
        <v>-1.390623703</v>
      </c>
    </row>
    <row r="2757" customFormat="false" ht="15" hidden="false" customHeight="false" outlineLevel="0" collapsed="false">
      <c r="A2757" s="0" t="s">
        <v>3953</v>
      </c>
      <c r="B2757" s="0" t="s">
        <v>984</v>
      </c>
      <c r="C2757" s="0" t="s">
        <v>661</v>
      </c>
      <c r="D2757" s="0" t="n">
        <v>0</v>
      </c>
      <c r="E2757" s="0" t="n">
        <v>0.2254021572</v>
      </c>
      <c r="F2757" s="0" t="n">
        <v>1.344653126</v>
      </c>
      <c r="G2757" s="0" t="n">
        <v>1.521865612</v>
      </c>
      <c r="H2757" s="0" t="n">
        <v>1.666628866</v>
      </c>
    </row>
    <row r="2758" customFormat="false" ht="15" hidden="false" customHeight="false" outlineLevel="0" collapsed="false">
      <c r="A2758" s="0" t="s">
        <v>3954</v>
      </c>
      <c r="B2758" s="0" t="s">
        <v>852</v>
      </c>
      <c r="C2758" s="0" t="s">
        <v>661</v>
      </c>
      <c r="D2758" s="0" t="n">
        <v>0</v>
      </c>
      <c r="E2758" s="0" t="n">
        <v>0.1085673329</v>
      </c>
      <c r="F2758" s="0" t="n">
        <v>0.6207930284</v>
      </c>
      <c r="G2758" s="0" t="n">
        <v>1.150926006</v>
      </c>
      <c r="H2758" s="0" t="n">
        <v>2.015289155</v>
      </c>
    </row>
    <row r="2759" customFormat="false" ht="15" hidden="false" customHeight="false" outlineLevel="0" collapsed="false">
      <c r="A2759" s="0" t="s">
        <v>3955</v>
      </c>
      <c r="B2759" s="0" t="s">
        <v>1056</v>
      </c>
      <c r="C2759" s="0" t="s">
        <v>661</v>
      </c>
      <c r="D2759" s="0" t="n">
        <v>0</v>
      </c>
      <c r="E2759" s="0" t="n">
        <v>0.002607421577</v>
      </c>
      <c r="F2759" s="0" t="n">
        <v>0.01464160513</v>
      </c>
      <c r="G2759" s="0" t="n">
        <v>0.00957452607</v>
      </c>
      <c r="H2759" s="0" t="n">
        <v>0.0007548219567</v>
      </c>
    </row>
    <row r="2760" customFormat="false" ht="15" hidden="false" customHeight="false" outlineLevel="0" collapsed="false">
      <c r="A2760" s="0" t="s">
        <v>3956</v>
      </c>
      <c r="B2760" s="0" t="s">
        <v>1016</v>
      </c>
      <c r="C2760" s="0" t="s">
        <v>661</v>
      </c>
      <c r="D2760" s="0" t="n">
        <v>0</v>
      </c>
      <c r="E2760" s="0" t="n">
        <v>0.0795540509</v>
      </c>
      <c r="F2760" s="0" t="n">
        <v>0.4621040107</v>
      </c>
      <c r="G2760" s="0" t="n">
        <v>0.3490564533</v>
      </c>
      <c r="H2760" s="0" t="n">
        <v>0.2141289301</v>
      </c>
    </row>
    <row r="2761" customFormat="false" ht="15" hidden="false" customHeight="false" outlineLevel="0" collapsed="false">
      <c r="A2761" s="0" t="s">
        <v>3957</v>
      </c>
      <c r="B2761" s="0" t="s">
        <v>822</v>
      </c>
      <c r="C2761" s="0" t="s">
        <v>661</v>
      </c>
      <c r="D2761" s="0" t="n">
        <v>0</v>
      </c>
      <c r="E2761" s="0" t="n">
        <v>0.03632364051</v>
      </c>
      <c r="F2761" s="0" t="n">
        <v>0.1472629655</v>
      </c>
      <c r="G2761" s="0" t="n">
        <v>0.06601472804</v>
      </c>
      <c r="H2761" s="0" t="n">
        <v>0.3621171488</v>
      </c>
    </row>
    <row r="2762" customFormat="false" ht="15" hidden="false" customHeight="false" outlineLevel="0" collapsed="false">
      <c r="A2762" s="0" t="s">
        <v>3958</v>
      </c>
      <c r="B2762" s="0" t="s">
        <v>870</v>
      </c>
      <c r="C2762" s="0" t="s">
        <v>661</v>
      </c>
      <c r="D2762" s="0" t="n">
        <v>0</v>
      </c>
      <c r="E2762" s="0" t="n">
        <v>0.01383498981</v>
      </c>
      <c r="F2762" s="0" t="n">
        <v>0.04734447481</v>
      </c>
      <c r="G2762" s="0" t="n">
        <v>-0.2334419807</v>
      </c>
      <c r="H2762" s="0" t="n">
        <v>-0.3039876838</v>
      </c>
    </row>
    <row r="2763" customFormat="false" ht="15" hidden="false" customHeight="false" outlineLevel="0" collapsed="false">
      <c r="A2763" s="0" t="s">
        <v>3959</v>
      </c>
      <c r="B2763" s="0" t="s">
        <v>746</v>
      </c>
      <c r="C2763" s="0" t="s">
        <v>661</v>
      </c>
      <c r="D2763" s="0" t="n">
        <v>0</v>
      </c>
      <c r="E2763" s="0" t="n">
        <v>0.1083832757</v>
      </c>
      <c r="F2763" s="0" t="n">
        <v>0.6349490042</v>
      </c>
      <c r="G2763" s="0" t="n">
        <v>0.7862074857</v>
      </c>
      <c r="H2763" s="0" t="n">
        <v>1.518873486</v>
      </c>
    </row>
    <row r="2764" customFormat="false" ht="15" hidden="false" customHeight="false" outlineLevel="0" collapsed="false">
      <c r="A2764" s="0" t="s">
        <v>3960</v>
      </c>
      <c r="B2764" s="0" t="s">
        <v>1010</v>
      </c>
      <c r="C2764" s="0" t="s">
        <v>661</v>
      </c>
      <c r="D2764" s="0" t="n">
        <v>0</v>
      </c>
      <c r="E2764" s="0" t="n">
        <v>0.00520012062</v>
      </c>
      <c r="F2764" s="0" t="n">
        <v>0.02098776273</v>
      </c>
      <c r="G2764" s="0" t="n">
        <v>-0.07696603876</v>
      </c>
      <c r="H2764" s="0" t="n">
        <v>-0.1919350432</v>
      </c>
    </row>
    <row r="2765" customFormat="false" ht="15" hidden="false" customHeight="false" outlineLevel="0" collapsed="false">
      <c r="A2765" s="0" t="s">
        <v>3961</v>
      </c>
      <c r="B2765" s="0" t="s">
        <v>1036</v>
      </c>
      <c r="C2765" s="0" t="s">
        <v>661</v>
      </c>
      <c r="D2765" s="0" t="n">
        <v>0</v>
      </c>
      <c r="E2765" s="0" t="n">
        <v>0.001391667038</v>
      </c>
      <c r="F2765" s="0" t="n">
        <v>0.002958745506</v>
      </c>
      <c r="G2765" s="0" t="n">
        <v>-0.03247558302</v>
      </c>
      <c r="H2765" s="0" t="n">
        <v>-0.06223756549</v>
      </c>
    </row>
    <row r="2766" customFormat="false" ht="15" hidden="false" customHeight="false" outlineLevel="0" collapsed="false">
      <c r="A2766" s="0" t="s">
        <v>3962</v>
      </c>
      <c r="B2766" s="0" t="s">
        <v>858</v>
      </c>
      <c r="C2766" s="0" t="s">
        <v>661</v>
      </c>
      <c r="D2766" s="0" t="n">
        <v>0</v>
      </c>
      <c r="E2766" s="0" t="n">
        <v>0.02607639394</v>
      </c>
      <c r="F2766" s="0" t="n">
        <v>0.06642019083</v>
      </c>
      <c r="G2766" s="0" t="n">
        <v>-1.1243103</v>
      </c>
      <c r="H2766" s="0" t="n">
        <v>-2.43651151</v>
      </c>
    </row>
    <row r="2767" customFormat="false" ht="15" hidden="false" customHeight="false" outlineLevel="0" collapsed="false">
      <c r="A2767" s="0" t="s">
        <v>3963</v>
      </c>
      <c r="B2767" s="0" t="s">
        <v>942</v>
      </c>
      <c r="C2767" s="0" t="s">
        <v>661</v>
      </c>
      <c r="D2767" s="0" t="n">
        <v>0</v>
      </c>
      <c r="E2767" s="0" t="n">
        <v>0.4350670703</v>
      </c>
      <c r="F2767" s="0" t="n">
        <v>2.595855275</v>
      </c>
      <c r="G2767" s="0" t="n">
        <v>3.203260443</v>
      </c>
      <c r="H2767" s="0" t="n">
        <v>3.672888279</v>
      </c>
    </row>
    <row r="2768" customFormat="false" ht="15" hidden="false" customHeight="false" outlineLevel="0" collapsed="false">
      <c r="A2768" s="0" t="s">
        <v>3964</v>
      </c>
      <c r="B2768" s="0" t="s">
        <v>986</v>
      </c>
      <c r="C2768" s="0" t="s">
        <v>661</v>
      </c>
      <c r="D2768" s="0" t="n">
        <v>0</v>
      </c>
      <c r="E2768" s="0" t="n">
        <v>0.02705097259</v>
      </c>
      <c r="F2768" s="0" t="n">
        <v>0.1426260179</v>
      </c>
      <c r="G2768" s="0" t="n">
        <v>-0.06477407826</v>
      </c>
      <c r="H2768" s="0" t="n">
        <v>-0.2995952823</v>
      </c>
    </row>
    <row r="2769" customFormat="false" ht="15" hidden="false" customHeight="false" outlineLevel="0" collapsed="false">
      <c r="A2769" s="0" t="s">
        <v>3965</v>
      </c>
      <c r="B2769" s="0" t="s">
        <v>752</v>
      </c>
      <c r="C2769" s="0" t="s">
        <v>661</v>
      </c>
      <c r="D2769" s="0" t="n">
        <v>0</v>
      </c>
      <c r="E2769" s="0" t="n">
        <v>0.4840241723</v>
      </c>
      <c r="F2769" s="0" t="n">
        <v>1.804262774</v>
      </c>
      <c r="G2769" s="0" t="n">
        <v>-7.824686494</v>
      </c>
      <c r="H2769" s="0" t="n">
        <v>-17.58956564</v>
      </c>
    </row>
    <row r="2770" customFormat="false" ht="15" hidden="false" customHeight="false" outlineLevel="0" collapsed="false">
      <c r="A2770" s="0" t="s">
        <v>3966</v>
      </c>
      <c r="B2770" s="0" t="s">
        <v>968</v>
      </c>
      <c r="C2770" s="0" t="s">
        <v>661</v>
      </c>
      <c r="D2770" s="0" t="n">
        <v>0</v>
      </c>
      <c r="E2770" s="0" t="n">
        <v>0.06301309286</v>
      </c>
      <c r="F2770" s="0" t="n">
        <v>0.2866733869</v>
      </c>
      <c r="G2770" s="0" t="n">
        <v>0.3349341211</v>
      </c>
      <c r="H2770" s="0" t="n">
        <v>0.3440934321</v>
      </c>
    </row>
    <row r="2771" customFormat="false" ht="15" hidden="false" customHeight="false" outlineLevel="0" collapsed="false">
      <c r="A2771" s="0" t="s">
        <v>3967</v>
      </c>
      <c r="B2771" s="0" t="s">
        <v>872</v>
      </c>
      <c r="C2771" s="0" t="s">
        <v>661</v>
      </c>
      <c r="D2771" s="0" t="n">
        <v>0</v>
      </c>
      <c r="E2771" s="0" t="n">
        <v>0.7567670571</v>
      </c>
      <c r="F2771" s="0" t="n">
        <v>4.078541823</v>
      </c>
      <c r="G2771" s="0" t="n">
        <v>6.731383403</v>
      </c>
      <c r="H2771" s="0" t="n">
        <v>8.644308547</v>
      </c>
    </row>
    <row r="2772" customFormat="false" ht="15" hidden="false" customHeight="false" outlineLevel="0" collapsed="false">
      <c r="A2772" s="0" t="s">
        <v>3968</v>
      </c>
      <c r="B2772" s="0" t="s">
        <v>1040</v>
      </c>
      <c r="C2772" s="0" t="s">
        <v>661</v>
      </c>
      <c r="D2772" s="0" t="n">
        <v>0</v>
      </c>
      <c r="E2772" s="0" t="n">
        <v>0.01038743885</v>
      </c>
      <c r="F2772" s="0" t="n">
        <v>0.05238690805</v>
      </c>
      <c r="G2772" s="0" t="n">
        <v>-0.03672653193</v>
      </c>
      <c r="H2772" s="0" t="n">
        <v>-0.1801198219</v>
      </c>
    </row>
    <row r="2773" customFormat="false" ht="15" hidden="false" customHeight="false" outlineLevel="0" collapsed="false">
      <c r="A2773" s="0" t="s">
        <v>3969</v>
      </c>
      <c r="B2773" s="0" t="s">
        <v>1060</v>
      </c>
      <c r="C2773" s="0" t="s">
        <v>661</v>
      </c>
      <c r="D2773" s="0" t="n">
        <v>0</v>
      </c>
      <c r="E2773" s="0" t="n">
        <v>0.000325702353</v>
      </c>
      <c r="F2773" s="0" t="n">
        <v>0.001125489782</v>
      </c>
      <c r="G2773" s="0" t="n">
        <v>-0.01336101499</v>
      </c>
      <c r="H2773" s="0" t="n">
        <v>-0.02978094774</v>
      </c>
    </row>
    <row r="2774" customFormat="false" ht="15" hidden="false" customHeight="false" outlineLevel="0" collapsed="false">
      <c r="A2774" s="0" t="s">
        <v>3970</v>
      </c>
      <c r="B2774" s="0" t="s">
        <v>944</v>
      </c>
      <c r="C2774" s="0" t="s">
        <v>661</v>
      </c>
      <c r="D2774" s="0" t="n">
        <v>0</v>
      </c>
      <c r="E2774" s="0" t="n">
        <v>0.1075330466</v>
      </c>
      <c r="F2774" s="0" t="n">
        <v>0.5899105617</v>
      </c>
      <c r="G2774" s="0" t="n">
        <v>0.960813028</v>
      </c>
      <c r="H2774" s="0" t="n">
        <v>1.41316555</v>
      </c>
    </row>
    <row r="2775" customFormat="false" ht="15" hidden="false" customHeight="false" outlineLevel="0" collapsed="false">
      <c r="A2775" s="0" t="s">
        <v>3971</v>
      </c>
      <c r="B2775" s="0" t="s">
        <v>884</v>
      </c>
      <c r="C2775" s="0" t="s">
        <v>661</v>
      </c>
      <c r="D2775" s="0" t="n">
        <v>0</v>
      </c>
      <c r="E2775" s="0" t="n">
        <v>0.05632537539</v>
      </c>
      <c r="F2775" s="0" t="n">
        <v>0.2505061955</v>
      </c>
      <c r="G2775" s="0" t="n">
        <v>-0.2272753976</v>
      </c>
      <c r="H2775" s="0" t="n">
        <v>-0.6217664357</v>
      </c>
    </row>
    <row r="2776" customFormat="false" ht="15" hidden="false" customHeight="false" outlineLevel="0" collapsed="false">
      <c r="A2776" s="0" t="s">
        <v>3972</v>
      </c>
      <c r="B2776" s="0" t="s">
        <v>726</v>
      </c>
      <c r="C2776" s="0" t="s">
        <v>661</v>
      </c>
      <c r="D2776" s="0" t="n">
        <v>0</v>
      </c>
      <c r="E2776" s="0" t="n">
        <v>0.6336246564</v>
      </c>
      <c r="F2776" s="0" t="n">
        <v>2.847316785</v>
      </c>
      <c r="G2776" s="0" t="n">
        <v>-2.72665493</v>
      </c>
      <c r="H2776" s="0" t="n">
        <v>-6.997081796</v>
      </c>
    </row>
    <row r="2777" customFormat="false" ht="15" hidden="false" customHeight="false" outlineLevel="0" collapsed="false">
      <c r="A2777" s="0" t="s">
        <v>3973</v>
      </c>
      <c r="B2777" s="0" t="s">
        <v>842</v>
      </c>
      <c r="C2777" s="0" t="s">
        <v>661</v>
      </c>
      <c r="D2777" s="0" t="n">
        <v>0</v>
      </c>
      <c r="E2777" s="0" t="n">
        <v>0.7263788729</v>
      </c>
      <c r="F2777" s="0" t="n">
        <v>4.2214245</v>
      </c>
      <c r="G2777" s="0" t="n">
        <v>3.137404403</v>
      </c>
      <c r="H2777" s="0" t="n">
        <v>1.768080882</v>
      </c>
    </row>
    <row r="2778" customFormat="false" ht="15" hidden="false" customHeight="false" outlineLevel="0" collapsed="false">
      <c r="A2778" s="0" t="s">
        <v>3974</v>
      </c>
      <c r="B2778" s="0" t="s">
        <v>866</v>
      </c>
      <c r="C2778" s="0" t="s">
        <v>661</v>
      </c>
      <c r="D2778" s="0" t="n">
        <v>0</v>
      </c>
      <c r="E2778" s="0" t="n">
        <v>0.2436050078</v>
      </c>
      <c r="F2778" s="0" t="n">
        <v>1.419113433</v>
      </c>
      <c r="G2778" s="0" t="n">
        <v>1.189508689</v>
      </c>
      <c r="H2778" s="0" t="n">
        <v>0.8112265849</v>
      </c>
    </row>
    <row r="2779" customFormat="false" ht="15" hidden="false" customHeight="false" outlineLevel="0" collapsed="false">
      <c r="A2779" s="0" t="s">
        <v>3975</v>
      </c>
      <c r="B2779" s="0" t="s">
        <v>804</v>
      </c>
      <c r="C2779" s="0" t="s">
        <v>661</v>
      </c>
      <c r="D2779" s="0" t="n">
        <v>0</v>
      </c>
      <c r="E2779" s="0" t="n">
        <v>0.7742275403</v>
      </c>
      <c r="F2779" s="0" t="n">
        <v>4.69315515</v>
      </c>
      <c r="G2779" s="0" t="n">
        <v>10.43135708</v>
      </c>
      <c r="H2779" s="0" t="n">
        <v>17.90345759</v>
      </c>
    </row>
    <row r="2780" customFormat="false" ht="15" hidden="false" customHeight="false" outlineLevel="0" collapsed="false">
      <c r="A2780" s="0" t="s">
        <v>3976</v>
      </c>
      <c r="B2780" s="0" t="s">
        <v>860</v>
      </c>
      <c r="C2780" s="0" t="s">
        <v>661</v>
      </c>
      <c r="D2780" s="0" t="n">
        <v>0</v>
      </c>
      <c r="E2780" s="0" t="n">
        <v>0.09027456481</v>
      </c>
      <c r="F2780" s="0" t="n">
        <v>0.5145783602</v>
      </c>
      <c r="G2780" s="0" t="n">
        <v>0.4610889801</v>
      </c>
      <c r="H2780" s="0" t="n">
        <v>0.4665499989</v>
      </c>
    </row>
    <row r="2781" customFormat="false" ht="15" hidden="false" customHeight="false" outlineLevel="0" collapsed="false">
      <c r="A2781" s="0" t="s">
        <v>3977</v>
      </c>
      <c r="B2781" s="0" t="s">
        <v>693</v>
      </c>
      <c r="C2781" s="0" t="s">
        <v>661</v>
      </c>
      <c r="D2781" s="0" t="n">
        <v>0</v>
      </c>
      <c r="E2781" s="0" t="n">
        <v>14.96707427</v>
      </c>
      <c r="F2781" s="0" t="n">
        <v>102.7929351</v>
      </c>
      <c r="G2781" s="0" t="n">
        <v>199.168886</v>
      </c>
      <c r="H2781" s="0" t="n">
        <v>281.4046657</v>
      </c>
    </row>
    <row r="2782" customFormat="false" ht="15" hidden="false" customHeight="false" outlineLevel="0" collapsed="false">
      <c r="A2782" s="0" t="s">
        <v>3978</v>
      </c>
      <c r="B2782" s="0" t="s">
        <v>810</v>
      </c>
      <c r="C2782" s="0" t="s">
        <v>661</v>
      </c>
      <c r="D2782" s="0" t="n">
        <v>0</v>
      </c>
      <c r="E2782" s="0" t="n">
        <v>0.5789626234</v>
      </c>
      <c r="F2782" s="0" t="n">
        <v>2.932500136</v>
      </c>
      <c r="G2782" s="0" t="n">
        <v>1.379228181</v>
      </c>
      <c r="H2782" s="0" t="n">
        <v>-0.9438390891</v>
      </c>
    </row>
    <row r="2783" customFormat="false" ht="15" hidden="false" customHeight="false" outlineLevel="0" collapsed="false">
      <c r="A2783" s="0" t="s">
        <v>3979</v>
      </c>
      <c r="B2783" s="0" t="s">
        <v>1052</v>
      </c>
      <c r="C2783" s="0" t="s">
        <v>661</v>
      </c>
      <c r="D2783" s="0" t="n">
        <v>0</v>
      </c>
      <c r="E2783" s="0" t="n">
        <v>0.0001073309054</v>
      </c>
      <c r="F2783" s="0" t="n">
        <v>-0.001689310542</v>
      </c>
      <c r="G2783" s="0" t="n">
        <v>-0.02880011085</v>
      </c>
      <c r="H2783" s="0" t="n">
        <v>-0.05993415825</v>
      </c>
    </row>
    <row r="2784" customFormat="false" ht="15" hidden="false" customHeight="false" outlineLevel="0" collapsed="false">
      <c r="A2784" s="0" t="s">
        <v>3980</v>
      </c>
      <c r="B2784" s="0" t="s">
        <v>820</v>
      </c>
      <c r="C2784" s="0" t="s">
        <v>661</v>
      </c>
      <c r="D2784" s="0" t="n">
        <v>0</v>
      </c>
      <c r="E2784" s="0" t="n">
        <v>0.8189337896</v>
      </c>
      <c r="F2784" s="0" t="n">
        <v>4.842209868</v>
      </c>
      <c r="G2784" s="0" t="n">
        <v>7.408296932</v>
      </c>
      <c r="H2784" s="0" t="n">
        <v>10.30710376</v>
      </c>
    </row>
    <row r="2785" customFormat="false" ht="15" hidden="false" customHeight="false" outlineLevel="0" collapsed="false">
      <c r="A2785" s="0" t="s">
        <v>3981</v>
      </c>
      <c r="B2785" s="0" t="s">
        <v>744</v>
      </c>
      <c r="C2785" s="0" t="s">
        <v>661</v>
      </c>
      <c r="D2785" s="0" t="n">
        <v>0</v>
      </c>
      <c r="E2785" s="0" t="n">
        <v>0.3739192863</v>
      </c>
      <c r="F2785" s="0" t="n">
        <v>1.525858292</v>
      </c>
      <c r="G2785" s="0" t="n">
        <v>-4.329802311</v>
      </c>
      <c r="H2785" s="0" t="n">
        <v>-10.67132796</v>
      </c>
    </row>
    <row r="2786" customFormat="false" ht="15" hidden="false" customHeight="false" outlineLevel="0" collapsed="false">
      <c r="A2786" s="0" t="s">
        <v>3982</v>
      </c>
      <c r="B2786" s="0" t="s">
        <v>1048</v>
      </c>
      <c r="C2786" s="0" t="s">
        <v>661</v>
      </c>
      <c r="D2786" s="0" t="n">
        <v>0</v>
      </c>
      <c r="E2786" s="0" t="n">
        <v>0.001243829256</v>
      </c>
      <c r="F2786" s="0" t="n">
        <v>0.00717067911</v>
      </c>
      <c r="G2786" s="0" t="n">
        <v>-0.01289873427</v>
      </c>
      <c r="H2786" s="0" t="n">
        <v>-0.03847213635</v>
      </c>
    </row>
    <row r="2787" customFormat="false" ht="15" hidden="false" customHeight="false" outlineLevel="0" collapsed="false">
      <c r="A2787" s="0" t="s">
        <v>3983</v>
      </c>
      <c r="B2787" s="0" t="s">
        <v>1050</v>
      </c>
      <c r="C2787" s="0" t="s">
        <v>661</v>
      </c>
      <c r="D2787" s="0" t="n">
        <v>0</v>
      </c>
      <c r="E2787" s="0" t="n">
        <v>0.001510490293</v>
      </c>
      <c r="F2787" s="0" t="n">
        <v>0.007401241861</v>
      </c>
      <c r="G2787" s="0" t="n">
        <v>-0.01675806316</v>
      </c>
      <c r="H2787" s="0" t="n">
        <v>-0.04352121939</v>
      </c>
    </row>
    <row r="2788" customFormat="false" ht="15" hidden="false" customHeight="false" outlineLevel="0" collapsed="false">
      <c r="A2788" s="0" t="s">
        <v>3984</v>
      </c>
      <c r="B2788" s="0" t="s">
        <v>990</v>
      </c>
      <c r="C2788" s="0" t="s">
        <v>661</v>
      </c>
      <c r="D2788" s="0" t="n">
        <v>0</v>
      </c>
      <c r="E2788" s="0" t="n">
        <v>-0.002848070348</v>
      </c>
      <c r="F2788" s="0" t="n">
        <v>-0.03558216156</v>
      </c>
      <c r="G2788" s="0" t="n">
        <v>-0.2405961032</v>
      </c>
      <c r="H2788" s="0" t="n">
        <v>-0.4409620364</v>
      </c>
    </row>
    <row r="2789" customFormat="false" ht="15" hidden="false" customHeight="false" outlineLevel="0" collapsed="false">
      <c r="A2789" s="0" t="s">
        <v>3985</v>
      </c>
      <c r="B2789" s="0" t="s">
        <v>1004</v>
      </c>
      <c r="C2789" s="0" t="s">
        <v>661</v>
      </c>
      <c r="D2789" s="0" t="n">
        <v>0</v>
      </c>
      <c r="E2789" s="0" t="n">
        <v>0.08511105714</v>
      </c>
      <c r="F2789" s="0" t="n">
        <v>0.428951899</v>
      </c>
      <c r="G2789" s="0" t="n">
        <v>-0.05779328431</v>
      </c>
      <c r="H2789" s="0" t="n">
        <v>-1.016681641</v>
      </c>
    </row>
    <row r="2790" customFormat="false" ht="15" hidden="false" customHeight="false" outlineLevel="0" collapsed="false">
      <c r="A2790" s="0" t="s">
        <v>3986</v>
      </c>
      <c r="B2790" s="0" t="s">
        <v>774</v>
      </c>
      <c r="C2790" s="0" t="s">
        <v>661</v>
      </c>
      <c r="D2790" s="0" t="n">
        <v>0</v>
      </c>
      <c r="E2790" s="0" t="n">
        <v>0.8088028651</v>
      </c>
      <c r="F2790" s="0" t="n">
        <v>4.346065506</v>
      </c>
      <c r="G2790" s="0" t="n">
        <v>5.523003053</v>
      </c>
      <c r="H2790" s="0" t="n">
        <v>8.539262352</v>
      </c>
    </row>
    <row r="2791" customFormat="false" ht="15" hidden="false" customHeight="false" outlineLevel="0" collapsed="false">
      <c r="A2791" s="0" t="s">
        <v>3987</v>
      </c>
      <c r="B2791" s="0" t="s">
        <v>930</v>
      </c>
      <c r="C2791" s="0" t="s">
        <v>661</v>
      </c>
      <c r="D2791" s="0" t="n">
        <v>0</v>
      </c>
      <c r="E2791" s="0" t="n">
        <v>0.4702835356</v>
      </c>
      <c r="F2791" s="0" t="n">
        <v>2.792534338</v>
      </c>
      <c r="G2791" s="0" t="n">
        <v>2.73524049</v>
      </c>
      <c r="H2791" s="0" t="n">
        <v>2.669893873</v>
      </c>
    </row>
    <row r="2792" customFormat="false" ht="15" hidden="false" customHeight="false" outlineLevel="0" collapsed="false">
      <c r="A2792" s="0" t="s">
        <v>3988</v>
      </c>
      <c r="B2792" s="0" t="s">
        <v>878</v>
      </c>
      <c r="C2792" s="0" t="s">
        <v>661</v>
      </c>
      <c r="D2792" s="0" t="n">
        <v>0</v>
      </c>
      <c r="E2792" s="0" t="n">
        <v>0.7470251185</v>
      </c>
      <c r="F2792" s="0" t="n">
        <v>4.468382808</v>
      </c>
      <c r="G2792" s="0" t="n">
        <v>4.542512353</v>
      </c>
      <c r="H2792" s="0" t="n">
        <v>4.632874093</v>
      </c>
    </row>
    <row r="2793" customFormat="false" ht="15" hidden="false" customHeight="false" outlineLevel="0" collapsed="false">
      <c r="A2793" s="0" t="s">
        <v>3989</v>
      </c>
      <c r="B2793" s="0" t="s">
        <v>1018</v>
      </c>
      <c r="C2793" s="0" t="s">
        <v>663</v>
      </c>
      <c r="D2793" s="0" t="n">
        <v>0</v>
      </c>
      <c r="E2793" s="0" t="n">
        <v>0.002741610151</v>
      </c>
      <c r="F2793" s="0" t="n">
        <v>0.00757065029</v>
      </c>
      <c r="G2793" s="0" t="n">
        <v>-0.05097313154</v>
      </c>
      <c r="H2793" s="0" t="n">
        <v>-0.1046264065</v>
      </c>
    </row>
    <row r="2794" customFormat="false" ht="15" hidden="false" customHeight="false" outlineLevel="0" collapsed="false">
      <c r="A2794" s="0" t="s">
        <v>3990</v>
      </c>
      <c r="B2794" s="0" t="s">
        <v>962</v>
      </c>
      <c r="C2794" s="0" t="s">
        <v>663</v>
      </c>
      <c r="D2794" s="0" t="n">
        <v>0</v>
      </c>
      <c r="E2794" s="0" t="n">
        <v>0.04309690718</v>
      </c>
      <c r="F2794" s="0" t="n">
        <v>0.1823384217</v>
      </c>
      <c r="G2794" s="0" t="n">
        <v>-0.554981853</v>
      </c>
      <c r="H2794" s="0" t="n">
        <v>-1.563303456</v>
      </c>
    </row>
    <row r="2795" customFormat="false" ht="15" hidden="false" customHeight="false" outlineLevel="0" collapsed="false">
      <c r="A2795" s="0" t="s">
        <v>3991</v>
      </c>
      <c r="B2795" s="0" t="s">
        <v>828</v>
      </c>
      <c r="C2795" s="0" t="s">
        <v>663</v>
      </c>
      <c r="D2795" s="0" t="n">
        <v>0</v>
      </c>
      <c r="E2795" s="0" t="n">
        <v>0.4450309647</v>
      </c>
      <c r="F2795" s="0" t="n">
        <v>2.550043262</v>
      </c>
      <c r="G2795" s="0" t="n">
        <v>1.382706378</v>
      </c>
      <c r="H2795" s="0" t="n">
        <v>-0.1446324991</v>
      </c>
    </row>
    <row r="2796" customFormat="false" ht="15" hidden="false" customHeight="false" outlineLevel="0" collapsed="false">
      <c r="A2796" s="0" t="s">
        <v>3992</v>
      </c>
      <c r="B2796" s="0" t="s">
        <v>926</v>
      </c>
      <c r="C2796" s="0" t="s">
        <v>663</v>
      </c>
      <c r="D2796" s="0" t="n">
        <v>0</v>
      </c>
      <c r="E2796" s="0" t="n">
        <v>0.004712515348</v>
      </c>
      <c r="F2796" s="0" t="n">
        <v>-0.005073987981</v>
      </c>
      <c r="G2796" s="0" t="n">
        <v>-0.3165025002</v>
      </c>
      <c r="H2796" s="0" t="n">
        <v>-0.6470170336</v>
      </c>
    </row>
    <row r="2797" customFormat="false" ht="15" hidden="false" customHeight="false" outlineLevel="0" collapsed="false">
      <c r="A2797" s="0" t="s">
        <v>3993</v>
      </c>
      <c r="B2797" s="0" t="s">
        <v>748</v>
      </c>
      <c r="C2797" s="0" t="s">
        <v>663</v>
      </c>
      <c r="D2797" s="0" t="n">
        <v>0</v>
      </c>
      <c r="E2797" s="0" t="n">
        <v>0.8563938073</v>
      </c>
      <c r="F2797" s="0" t="n">
        <v>4.760799483</v>
      </c>
      <c r="G2797" s="0" t="n">
        <v>7.352516464</v>
      </c>
      <c r="H2797" s="0" t="n">
        <v>12.11335328</v>
      </c>
    </row>
    <row r="2798" customFormat="false" ht="15" hidden="false" customHeight="false" outlineLevel="0" collapsed="false">
      <c r="A2798" s="0" t="s">
        <v>3994</v>
      </c>
      <c r="B2798" s="0" t="s">
        <v>736</v>
      </c>
      <c r="C2798" s="0" t="s">
        <v>663</v>
      </c>
      <c r="D2798" s="0" t="n">
        <v>0</v>
      </c>
      <c r="E2798" s="0" t="n">
        <v>0.9430094505</v>
      </c>
      <c r="F2798" s="0" t="n">
        <v>4.790761334</v>
      </c>
      <c r="G2798" s="0" t="n">
        <v>0.25571611</v>
      </c>
      <c r="H2798" s="0" t="n">
        <v>-2.744509367</v>
      </c>
    </row>
    <row r="2799" customFormat="false" ht="15" hidden="false" customHeight="false" outlineLevel="0" collapsed="false">
      <c r="A2799" s="0" t="s">
        <v>3995</v>
      </c>
      <c r="B2799" s="0" t="s">
        <v>920</v>
      </c>
      <c r="C2799" s="0" t="s">
        <v>663</v>
      </c>
      <c r="D2799" s="0" t="n">
        <v>0</v>
      </c>
      <c r="E2799" s="0" t="n">
        <v>0.01942402063</v>
      </c>
      <c r="F2799" s="0" t="n">
        <v>0.1006830361</v>
      </c>
      <c r="G2799" s="0" t="n">
        <v>0.08121944594</v>
      </c>
      <c r="H2799" s="0" t="n">
        <v>0.1600314221</v>
      </c>
    </row>
    <row r="2800" customFormat="false" ht="15" hidden="false" customHeight="false" outlineLevel="0" collapsed="false">
      <c r="A2800" s="0" t="s">
        <v>3996</v>
      </c>
      <c r="B2800" s="0" t="s">
        <v>1038</v>
      </c>
      <c r="C2800" s="0" t="s">
        <v>663</v>
      </c>
      <c r="D2800" s="0" t="n">
        <v>0</v>
      </c>
      <c r="E2800" s="0" t="n">
        <v>0.004346995619</v>
      </c>
      <c r="F2800" s="0" t="n">
        <v>0.01943133164</v>
      </c>
      <c r="G2800" s="0" t="n">
        <v>-0.01161020651</v>
      </c>
      <c r="H2800" s="0" t="n">
        <v>-0.04766330605</v>
      </c>
    </row>
    <row r="2801" customFormat="false" ht="15" hidden="false" customHeight="false" outlineLevel="0" collapsed="false">
      <c r="A2801" s="0" t="s">
        <v>3997</v>
      </c>
      <c r="B2801" s="0" t="s">
        <v>718</v>
      </c>
      <c r="C2801" s="0" t="s">
        <v>663</v>
      </c>
      <c r="D2801" s="0" t="n">
        <v>0</v>
      </c>
      <c r="E2801" s="0" t="n">
        <v>0.9024925963</v>
      </c>
      <c r="F2801" s="0" t="n">
        <v>6.311112071</v>
      </c>
      <c r="G2801" s="0" t="n">
        <v>12.99976873</v>
      </c>
      <c r="H2801" s="0" t="n">
        <v>20.35457221</v>
      </c>
    </row>
    <row r="2802" customFormat="false" ht="15" hidden="false" customHeight="false" outlineLevel="0" collapsed="false">
      <c r="A2802" s="0" t="s">
        <v>3998</v>
      </c>
      <c r="B2802" s="0" t="s">
        <v>758</v>
      </c>
      <c r="C2802" s="0" t="s">
        <v>663</v>
      </c>
      <c r="D2802" s="0" t="n">
        <v>0</v>
      </c>
      <c r="E2802" s="0" t="n">
        <v>0.07802444243</v>
      </c>
      <c r="F2802" s="0" t="n">
        <v>0.3693960831</v>
      </c>
      <c r="G2802" s="0" t="n">
        <v>-0.2021712389</v>
      </c>
      <c r="H2802" s="0" t="n">
        <v>0.3261079717</v>
      </c>
    </row>
    <row r="2803" customFormat="false" ht="15" hidden="false" customHeight="false" outlineLevel="0" collapsed="false">
      <c r="A2803" s="0" t="s">
        <v>3999</v>
      </c>
      <c r="B2803" s="0" t="s">
        <v>868</v>
      </c>
      <c r="C2803" s="0" t="s">
        <v>663</v>
      </c>
      <c r="D2803" s="0" t="n">
        <v>0</v>
      </c>
      <c r="E2803" s="0" t="n">
        <v>0.1101248108</v>
      </c>
      <c r="F2803" s="0" t="n">
        <v>0.5342919481</v>
      </c>
      <c r="G2803" s="0" t="n">
        <v>0.186677969</v>
      </c>
      <c r="H2803" s="0" t="n">
        <v>0.07373301748</v>
      </c>
    </row>
    <row r="2804" customFormat="false" ht="15" hidden="false" customHeight="false" outlineLevel="0" collapsed="false">
      <c r="A2804" s="0" t="s">
        <v>4000</v>
      </c>
      <c r="B2804" s="0" t="s">
        <v>1012</v>
      </c>
      <c r="C2804" s="0" t="s">
        <v>663</v>
      </c>
      <c r="D2804" s="0" t="n">
        <v>0</v>
      </c>
      <c r="E2804" s="0" t="n">
        <v>0.04114059185</v>
      </c>
      <c r="F2804" s="0" t="n">
        <v>0.2389951142</v>
      </c>
      <c r="G2804" s="0" t="n">
        <v>0.1997566225</v>
      </c>
      <c r="H2804" s="0" t="n">
        <v>0.1445382445</v>
      </c>
    </row>
    <row r="2805" customFormat="false" ht="15" hidden="false" customHeight="false" outlineLevel="0" collapsed="false">
      <c r="A2805" s="0" t="s">
        <v>4001</v>
      </c>
      <c r="B2805" s="0" t="s">
        <v>742</v>
      </c>
      <c r="C2805" s="0" t="s">
        <v>663</v>
      </c>
      <c r="D2805" s="0" t="n">
        <v>0</v>
      </c>
      <c r="E2805" s="0" t="n">
        <v>0.09475049539</v>
      </c>
      <c r="F2805" s="0" t="n">
        <v>0.5254672689</v>
      </c>
      <c r="G2805" s="0" t="n">
        <v>0.678897804</v>
      </c>
      <c r="H2805" s="0" t="n">
        <v>1.895992356</v>
      </c>
    </row>
    <row r="2806" customFormat="false" ht="15" hidden="false" customHeight="false" outlineLevel="0" collapsed="false">
      <c r="A2806" s="0" t="s">
        <v>4002</v>
      </c>
      <c r="B2806" s="0" t="s">
        <v>934</v>
      </c>
      <c r="C2806" s="0" t="s">
        <v>663</v>
      </c>
      <c r="D2806" s="0" t="n">
        <v>0</v>
      </c>
      <c r="E2806" s="0" t="n">
        <v>0.121483573</v>
      </c>
      <c r="F2806" s="0" t="n">
        <v>0.6633732395</v>
      </c>
      <c r="G2806" s="0" t="n">
        <v>-0.1066402483</v>
      </c>
      <c r="H2806" s="0" t="n">
        <v>-1.134951453</v>
      </c>
    </row>
    <row r="2807" customFormat="false" ht="15" hidden="false" customHeight="false" outlineLevel="0" collapsed="false">
      <c r="A2807" s="0" t="s">
        <v>4003</v>
      </c>
      <c r="B2807" s="0" t="s">
        <v>938</v>
      </c>
      <c r="C2807" s="0" t="s">
        <v>663</v>
      </c>
      <c r="D2807" s="0" t="n">
        <v>0</v>
      </c>
      <c r="E2807" s="0" t="n">
        <v>0.2640404786</v>
      </c>
      <c r="F2807" s="0" t="n">
        <v>1.529127053</v>
      </c>
      <c r="G2807" s="0" t="n">
        <v>0.9958926125</v>
      </c>
      <c r="H2807" s="0" t="n">
        <v>0.2062766209</v>
      </c>
    </row>
    <row r="2808" customFormat="false" ht="15" hidden="false" customHeight="false" outlineLevel="0" collapsed="false">
      <c r="A2808" s="0" t="s">
        <v>4004</v>
      </c>
      <c r="B2808" s="0" t="s">
        <v>756</v>
      </c>
      <c r="C2808" s="0" t="s">
        <v>663</v>
      </c>
      <c r="D2808" s="0" t="n">
        <v>0</v>
      </c>
      <c r="E2808" s="0" t="n">
        <v>0.04933566668</v>
      </c>
      <c r="F2808" s="0" t="n">
        <v>-0.720804993</v>
      </c>
      <c r="G2808" s="0" t="n">
        <v>-12.42836863</v>
      </c>
      <c r="H2808" s="0" t="n">
        <v>-25.4345121</v>
      </c>
    </row>
    <row r="2809" customFormat="false" ht="15" hidden="false" customHeight="false" outlineLevel="0" collapsed="false">
      <c r="A2809" s="0" t="s">
        <v>4005</v>
      </c>
      <c r="B2809" s="0" t="s">
        <v>830</v>
      </c>
      <c r="C2809" s="0" t="s">
        <v>663</v>
      </c>
      <c r="D2809" s="0" t="n">
        <v>0</v>
      </c>
      <c r="E2809" s="0" t="n">
        <v>0.01629425538</v>
      </c>
      <c r="F2809" s="0" t="n">
        <v>-0.1421362842</v>
      </c>
      <c r="G2809" s="0" t="n">
        <v>-2.228854391</v>
      </c>
      <c r="H2809" s="0" t="n">
        <v>-4.389706407</v>
      </c>
    </row>
    <row r="2810" customFormat="false" ht="15" hidden="false" customHeight="false" outlineLevel="0" collapsed="false">
      <c r="A2810" s="0" t="s">
        <v>4006</v>
      </c>
      <c r="B2810" s="0" t="s">
        <v>898</v>
      </c>
      <c r="C2810" s="0" t="s">
        <v>663</v>
      </c>
      <c r="D2810" s="0" t="n">
        <v>0</v>
      </c>
      <c r="E2810" s="0" t="n">
        <v>0.09058059981</v>
      </c>
      <c r="F2810" s="0" t="n">
        <v>0.5553221049</v>
      </c>
      <c r="G2810" s="0" t="n">
        <v>0.6889335505</v>
      </c>
      <c r="H2810" s="0" t="n">
        <v>0.9984181483</v>
      </c>
    </row>
    <row r="2811" customFormat="false" ht="15" hidden="false" customHeight="false" outlineLevel="0" collapsed="false">
      <c r="A2811" s="0" t="s">
        <v>4007</v>
      </c>
      <c r="B2811" s="0" t="s">
        <v>976</v>
      </c>
      <c r="C2811" s="0" t="s">
        <v>663</v>
      </c>
      <c r="D2811" s="0" t="n">
        <v>0</v>
      </c>
      <c r="E2811" s="0" t="n">
        <v>0.008742018177</v>
      </c>
      <c r="F2811" s="0" t="n">
        <v>0.02314637969</v>
      </c>
      <c r="G2811" s="0" t="n">
        <v>-0.2131522763</v>
      </c>
      <c r="H2811" s="0" t="n">
        <v>-0.4311262894</v>
      </c>
    </row>
    <row r="2812" customFormat="false" ht="15" hidden="false" customHeight="false" outlineLevel="0" collapsed="false">
      <c r="A2812" s="0" t="s">
        <v>4008</v>
      </c>
      <c r="B2812" s="0" t="s">
        <v>924</v>
      </c>
      <c r="C2812" s="0" t="s">
        <v>663</v>
      </c>
      <c r="D2812" s="0" t="n">
        <v>0</v>
      </c>
      <c r="E2812" s="0" t="n">
        <v>0.02008811136</v>
      </c>
      <c r="F2812" s="0" t="n">
        <v>0.07730018602</v>
      </c>
      <c r="G2812" s="0" t="n">
        <v>-0.2855537764</v>
      </c>
      <c r="H2812" s="0" t="n">
        <v>-0.5423835546</v>
      </c>
    </row>
    <row r="2813" customFormat="false" ht="15" hidden="false" customHeight="false" outlineLevel="0" collapsed="false">
      <c r="A2813" s="0" t="s">
        <v>4009</v>
      </c>
      <c r="B2813" s="0" t="s">
        <v>864</v>
      </c>
      <c r="C2813" s="0" t="s">
        <v>663</v>
      </c>
      <c r="D2813" s="0" t="n">
        <v>0</v>
      </c>
      <c r="E2813" s="0" t="n">
        <v>0.1065433454</v>
      </c>
      <c r="F2813" s="0" t="n">
        <v>0.3201121682</v>
      </c>
      <c r="G2813" s="0" t="n">
        <v>-1.505843795</v>
      </c>
      <c r="H2813" s="0" t="n">
        <v>-3.147745053</v>
      </c>
    </row>
    <row r="2814" customFormat="false" ht="15" hidden="false" customHeight="false" outlineLevel="0" collapsed="false">
      <c r="A2814" s="0" t="s">
        <v>4010</v>
      </c>
      <c r="B2814" s="0" t="s">
        <v>1022</v>
      </c>
      <c r="C2814" s="0" t="s">
        <v>663</v>
      </c>
      <c r="D2814" s="0" t="n">
        <v>0</v>
      </c>
      <c r="E2814" s="0" t="n">
        <v>0.0461363682</v>
      </c>
      <c r="F2814" s="0" t="n">
        <v>0.2716865315</v>
      </c>
      <c r="G2814" s="0" t="n">
        <v>0.2150248712</v>
      </c>
      <c r="H2814" s="0" t="n">
        <v>0.1579297571</v>
      </c>
    </row>
    <row r="2815" customFormat="false" ht="15" hidden="false" customHeight="false" outlineLevel="0" collapsed="false">
      <c r="A2815" s="0" t="s">
        <v>4011</v>
      </c>
      <c r="B2815" s="0" t="s">
        <v>896</v>
      </c>
      <c r="C2815" s="0" t="s">
        <v>663</v>
      </c>
      <c r="D2815" s="0" t="n">
        <v>0</v>
      </c>
      <c r="E2815" s="0" t="n">
        <v>0.6546027011</v>
      </c>
      <c r="F2815" s="0" t="n">
        <v>3.812591212</v>
      </c>
      <c r="G2815" s="0" t="n">
        <v>3.037348055</v>
      </c>
      <c r="H2815" s="0" t="n">
        <v>2.011288472</v>
      </c>
    </row>
    <row r="2816" customFormat="false" ht="15" hidden="false" customHeight="false" outlineLevel="0" collapsed="false">
      <c r="A2816" s="0" t="s">
        <v>4012</v>
      </c>
      <c r="B2816" s="0" t="s">
        <v>710</v>
      </c>
      <c r="C2816" s="0" t="s">
        <v>663</v>
      </c>
      <c r="D2816" s="0" t="n">
        <v>0</v>
      </c>
      <c r="E2816" s="0" t="n">
        <v>5.287587046</v>
      </c>
      <c r="F2816" s="0" t="n">
        <v>29.40998916</v>
      </c>
      <c r="G2816" s="0" t="n">
        <v>9.790827414</v>
      </c>
      <c r="H2816" s="0" t="n">
        <v>-10.81368993</v>
      </c>
    </row>
    <row r="2817" customFormat="false" ht="15" hidden="false" customHeight="false" outlineLevel="0" collapsed="false">
      <c r="A2817" s="0" t="s">
        <v>4013</v>
      </c>
      <c r="B2817" s="0" t="s">
        <v>1000</v>
      </c>
      <c r="C2817" s="0" t="s">
        <v>663</v>
      </c>
      <c r="D2817" s="0" t="n">
        <v>0</v>
      </c>
      <c r="E2817" s="0" t="n">
        <v>0.001914260531</v>
      </c>
      <c r="F2817" s="0" t="n">
        <v>0.004013440742</v>
      </c>
      <c r="G2817" s="0" t="n">
        <v>-0.06271053248</v>
      </c>
      <c r="H2817" s="0" t="n">
        <v>-0.1084626711</v>
      </c>
    </row>
    <row r="2818" customFormat="false" ht="15" hidden="false" customHeight="false" outlineLevel="0" collapsed="false">
      <c r="A2818" s="0" t="s">
        <v>4014</v>
      </c>
      <c r="B2818" s="0" t="s">
        <v>980</v>
      </c>
      <c r="C2818" s="0" t="s">
        <v>663</v>
      </c>
      <c r="D2818" s="0" t="n">
        <v>0</v>
      </c>
      <c r="E2818" s="0" t="n">
        <v>0.02724645748</v>
      </c>
      <c r="F2818" s="0" t="n">
        <v>0.139712375</v>
      </c>
      <c r="G2818" s="0" t="n">
        <v>0.0747670209</v>
      </c>
      <c r="H2818" s="0" t="n">
        <v>0.06120082389</v>
      </c>
    </row>
    <row r="2819" customFormat="false" ht="15" hidden="false" customHeight="false" outlineLevel="0" collapsed="false">
      <c r="A2819" s="0" t="s">
        <v>4015</v>
      </c>
      <c r="B2819" s="0" t="s">
        <v>1020</v>
      </c>
      <c r="C2819" s="0" t="s">
        <v>663</v>
      </c>
      <c r="D2819" s="0" t="n">
        <v>0</v>
      </c>
      <c r="E2819" s="0" t="n">
        <v>0.002564519661</v>
      </c>
      <c r="F2819" s="0" t="n">
        <v>0.009998900445</v>
      </c>
      <c r="G2819" s="0" t="n">
        <v>-0.03437549847</v>
      </c>
      <c r="H2819" s="0" t="n">
        <v>0.005105420997</v>
      </c>
    </row>
    <row r="2820" customFormat="false" ht="15" hidden="false" customHeight="false" outlineLevel="0" collapsed="false">
      <c r="A2820" s="0" t="s">
        <v>4016</v>
      </c>
      <c r="B2820" s="0" t="s">
        <v>952</v>
      </c>
      <c r="C2820" s="0" t="s">
        <v>663</v>
      </c>
      <c r="D2820" s="0" t="n">
        <v>0</v>
      </c>
      <c r="E2820" s="0" t="n">
        <v>0.3322786189</v>
      </c>
      <c r="F2820" s="0" t="n">
        <v>1.950765252</v>
      </c>
      <c r="G2820" s="0" t="n">
        <v>1.526370901</v>
      </c>
      <c r="H2820" s="0" t="n">
        <v>1.110415685</v>
      </c>
    </row>
    <row r="2821" customFormat="false" ht="15" hidden="false" customHeight="false" outlineLevel="0" collapsed="false">
      <c r="A2821" s="0" t="s">
        <v>4017</v>
      </c>
      <c r="B2821" s="0" t="s">
        <v>1026</v>
      </c>
      <c r="C2821" s="0" t="s">
        <v>663</v>
      </c>
      <c r="D2821" s="0" t="n">
        <v>0</v>
      </c>
      <c r="E2821" s="0" t="n">
        <v>0.2865010801</v>
      </c>
      <c r="F2821" s="0" t="n">
        <v>1.718184997</v>
      </c>
      <c r="G2821" s="0" t="n">
        <v>1.785180332</v>
      </c>
      <c r="H2821" s="0" t="n">
        <v>1.845899983</v>
      </c>
    </row>
    <row r="2822" customFormat="false" ht="15" hidden="false" customHeight="false" outlineLevel="0" collapsed="false">
      <c r="A2822" s="0" t="s">
        <v>4018</v>
      </c>
      <c r="B2822" s="0" t="s">
        <v>708</v>
      </c>
      <c r="C2822" s="0" t="s">
        <v>663</v>
      </c>
      <c r="D2822" s="0" t="n">
        <v>0</v>
      </c>
      <c r="E2822" s="0" t="n">
        <v>2.377344078</v>
      </c>
      <c r="F2822" s="0" t="n">
        <v>14.44293069</v>
      </c>
      <c r="G2822" s="0" t="n">
        <v>32.78425664</v>
      </c>
      <c r="H2822" s="0" t="n">
        <v>51.70933897</v>
      </c>
    </row>
    <row r="2823" customFormat="false" ht="15" hidden="false" customHeight="false" outlineLevel="0" collapsed="false">
      <c r="A2823" s="0" t="s">
        <v>4019</v>
      </c>
      <c r="B2823" s="0" t="s">
        <v>734</v>
      </c>
      <c r="C2823" s="0" t="s">
        <v>663</v>
      </c>
      <c r="D2823" s="0" t="n">
        <v>0</v>
      </c>
      <c r="E2823" s="0" t="n">
        <v>0.02370900768</v>
      </c>
      <c r="F2823" s="0" t="n">
        <v>0.1446207571</v>
      </c>
      <c r="G2823" s="0" t="n">
        <v>-0.1790387356</v>
      </c>
      <c r="H2823" s="0" t="n">
        <v>0.5679259015</v>
      </c>
    </row>
    <row r="2824" customFormat="false" ht="15" hidden="false" customHeight="false" outlineLevel="0" collapsed="false">
      <c r="A2824" s="0" t="s">
        <v>4020</v>
      </c>
      <c r="B2824" s="0" t="s">
        <v>782</v>
      </c>
      <c r="C2824" s="0" t="s">
        <v>663</v>
      </c>
      <c r="D2824" s="0" t="n">
        <v>0</v>
      </c>
      <c r="E2824" s="0" t="n">
        <v>0.1252840278</v>
      </c>
      <c r="F2824" s="0" t="n">
        <v>0.2908383699</v>
      </c>
      <c r="G2824" s="0" t="n">
        <v>-3.117583257</v>
      </c>
      <c r="H2824" s="0" t="n">
        <v>-5.778208598</v>
      </c>
    </row>
    <row r="2825" customFormat="false" ht="15" hidden="false" customHeight="false" outlineLevel="0" collapsed="false">
      <c r="A2825" s="0" t="s">
        <v>4021</v>
      </c>
      <c r="B2825" s="0" t="s">
        <v>696</v>
      </c>
      <c r="C2825" s="0" t="s">
        <v>663</v>
      </c>
      <c r="D2825" s="0" t="n">
        <v>0</v>
      </c>
      <c r="E2825" s="0" t="n">
        <v>-10.85259801</v>
      </c>
      <c r="F2825" s="0" t="n">
        <v>-104.7181514</v>
      </c>
      <c r="G2825" s="0" t="n">
        <v>-500.259515</v>
      </c>
      <c r="H2825" s="0" t="n">
        <v>-386.6793022</v>
      </c>
    </row>
    <row r="2826" customFormat="false" ht="15" hidden="false" customHeight="false" outlineLevel="0" collapsed="false">
      <c r="A2826" s="0" t="s">
        <v>4022</v>
      </c>
      <c r="B2826" s="0" t="s">
        <v>836</v>
      </c>
      <c r="C2826" s="0" t="s">
        <v>663</v>
      </c>
      <c r="D2826" s="0" t="n">
        <v>0</v>
      </c>
      <c r="E2826" s="0" t="n">
        <v>0.04578004689</v>
      </c>
      <c r="F2826" s="0" t="n">
        <v>0.1761716892</v>
      </c>
      <c r="G2826" s="0" t="n">
        <v>-0.9327457116</v>
      </c>
      <c r="H2826" s="0" t="n">
        <v>-2.126101324</v>
      </c>
    </row>
    <row r="2827" customFormat="false" ht="15" hidden="false" customHeight="false" outlineLevel="0" collapsed="false">
      <c r="A2827" s="0" t="s">
        <v>4023</v>
      </c>
      <c r="B2827" s="0" t="s">
        <v>880</v>
      </c>
      <c r="C2827" s="0" t="s">
        <v>663</v>
      </c>
      <c r="D2827" s="0" t="n">
        <v>0</v>
      </c>
      <c r="E2827" s="0" t="n">
        <v>0.3854229629</v>
      </c>
      <c r="F2827" s="0" t="n">
        <v>2.277109595</v>
      </c>
      <c r="G2827" s="0" t="n">
        <v>2.231706857</v>
      </c>
      <c r="H2827" s="0" t="n">
        <v>2.139591239</v>
      </c>
    </row>
    <row r="2828" customFormat="false" ht="15" hidden="false" customHeight="false" outlineLevel="0" collapsed="false">
      <c r="A2828" s="0" t="s">
        <v>4024</v>
      </c>
      <c r="B2828" s="0" t="s">
        <v>850</v>
      </c>
      <c r="C2828" s="0" t="s">
        <v>663</v>
      </c>
      <c r="D2828" s="0" t="n">
        <v>0</v>
      </c>
      <c r="E2828" s="0" t="n">
        <v>5.179835052</v>
      </c>
      <c r="F2828" s="0" t="n">
        <v>31.04279157</v>
      </c>
      <c r="G2828" s="0" t="n">
        <v>31.02424847</v>
      </c>
      <c r="H2828" s="0" t="n">
        <v>30.91726613</v>
      </c>
    </row>
    <row r="2829" customFormat="false" ht="15" hidden="false" customHeight="false" outlineLevel="0" collapsed="false">
      <c r="A2829" s="0" t="s">
        <v>4025</v>
      </c>
      <c r="B2829" s="0" t="s">
        <v>978</v>
      </c>
      <c r="C2829" s="0" t="s">
        <v>663</v>
      </c>
      <c r="D2829" s="0" t="n">
        <v>0</v>
      </c>
      <c r="E2829" s="0" t="n">
        <v>0.1437333243</v>
      </c>
      <c r="F2829" s="0" t="n">
        <v>0.83029443</v>
      </c>
      <c r="G2829" s="0" t="n">
        <v>0.8412224094</v>
      </c>
      <c r="H2829" s="0" t="n">
        <v>0.8201912491</v>
      </c>
    </row>
    <row r="2830" customFormat="false" ht="15" hidden="false" customHeight="false" outlineLevel="0" collapsed="false">
      <c r="A2830" s="0" t="s">
        <v>4026</v>
      </c>
      <c r="B2830" s="0" t="s">
        <v>766</v>
      </c>
      <c r="C2830" s="0" t="s">
        <v>663</v>
      </c>
      <c r="D2830" s="0" t="n">
        <v>0</v>
      </c>
      <c r="E2830" s="0" t="n">
        <v>0.8261197038</v>
      </c>
      <c r="F2830" s="0" t="n">
        <v>4.357153167</v>
      </c>
      <c r="G2830" s="0" t="n">
        <v>-1.705583936</v>
      </c>
      <c r="H2830" s="0" t="n">
        <v>-8.11959081</v>
      </c>
    </row>
    <row r="2831" customFormat="false" ht="15" hidden="false" customHeight="false" outlineLevel="0" collapsed="false">
      <c r="A2831" s="0" t="s">
        <v>4027</v>
      </c>
      <c r="B2831" s="0" t="s">
        <v>1044</v>
      </c>
      <c r="C2831" s="0" t="s">
        <v>663</v>
      </c>
      <c r="D2831" s="0" t="n">
        <v>0</v>
      </c>
      <c r="E2831" s="0" t="n">
        <v>0.003245990327</v>
      </c>
      <c r="F2831" s="0" t="n">
        <v>0.01561208986</v>
      </c>
      <c r="G2831" s="0" t="n">
        <v>-0.03370898995</v>
      </c>
      <c r="H2831" s="0" t="n">
        <v>-0.1146934238</v>
      </c>
    </row>
    <row r="2832" customFormat="false" ht="15" hidden="false" customHeight="false" outlineLevel="0" collapsed="false">
      <c r="A2832" s="0" t="s">
        <v>4028</v>
      </c>
      <c r="B2832" s="0" t="s">
        <v>1024</v>
      </c>
      <c r="C2832" s="0" t="s">
        <v>663</v>
      </c>
      <c r="D2832" s="0" t="n">
        <v>0</v>
      </c>
      <c r="E2832" s="0" t="n">
        <v>0.00288771066</v>
      </c>
      <c r="F2832" s="0" t="n">
        <v>0.01351958787</v>
      </c>
      <c r="G2832" s="0" t="n">
        <v>-0.02121508881</v>
      </c>
      <c r="H2832" s="0" t="n">
        <v>-0.06219227621</v>
      </c>
    </row>
    <row r="2833" customFormat="false" ht="15" hidden="false" customHeight="false" outlineLevel="0" collapsed="false">
      <c r="A2833" s="0" t="s">
        <v>4029</v>
      </c>
      <c r="B2833" s="0" t="s">
        <v>838</v>
      </c>
      <c r="C2833" s="0" t="s">
        <v>663</v>
      </c>
      <c r="D2833" s="0" t="n">
        <v>0</v>
      </c>
      <c r="E2833" s="0" t="n">
        <v>0.01620964986</v>
      </c>
      <c r="F2833" s="0" t="n">
        <v>0.03401027836</v>
      </c>
      <c r="G2833" s="0" t="n">
        <v>-0.6989049437</v>
      </c>
      <c r="H2833" s="0" t="n">
        <v>-1.469431447</v>
      </c>
    </row>
    <row r="2834" customFormat="false" ht="15" hidden="false" customHeight="false" outlineLevel="0" collapsed="false">
      <c r="A2834" s="0" t="s">
        <v>4030</v>
      </c>
      <c r="B2834" s="0" t="s">
        <v>906</v>
      </c>
      <c r="C2834" s="0" t="s">
        <v>663</v>
      </c>
      <c r="D2834" s="0" t="n">
        <v>0</v>
      </c>
      <c r="E2834" s="0" t="n">
        <v>0.006413800214</v>
      </c>
      <c r="F2834" s="0" t="n">
        <v>-0.01929491256</v>
      </c>
      <c r="G2834" s="0" t="n">
        <v>-0.05143470497</v>
      </c>
      <c r="H2834" s="0" t="n">
        <v>0.3350403188</v>
      </c>
    </row>
    <row r="2835" customFormat="false" ht="15" hidden="false" customHeight="false" outlineLevel="0" collapsed="false">
      <c r="A2835" s="0" t="s">
        <v>4031</v>
      </c>
      <c r="B2835" s="0" t="s">
        <v>778</v>
      </c>
      <c r="C2835" s="0" t="s">
        <v>663</v>
      </c>
      <c r="D2835" s="0" t="n">
        <v>0</v>
      </c>
      <c r="E2835" s="0" t="n">
        <v>0.02619072456</v>
      </c>
      <c r="F2835" s="0" t="n">
        <v>0.1168812145</v>
      </c>
      <c r="G2835" s="0" t="n">
        <v>-1.061458242</v>
      </c>
      <c r="H2835" s="0" t="n">
        <v>-0.7543719904</v>
      </c>
    </row>
    <row r="2836" customFormat="false" ht="15" hidden="false" customHeight="false" outlineLevel="0" collapsed="false">
      <c r="A2836" s="0" t="s">
        <v>4032</v>
      </c>
      <c r="B2836" s="0" t="s">
        <v>700</v>
      </c>
      <c r="C2836" s="0" t="s">
        <v>663</v>
      </c>
      <c r="D2836" s="0" t="n">
        <v>0</v>
      </c>
      <c r="E2836" s="0" t="n">
        <v>0.27941712</v>
      </c>
      <c r="F2836" s="0" t="n">
        <v>0.8201681046</v>
      </c>
      <c r="G2836" s="0" t="n">
        <v>-4.941269796</v>
      </c>
      <c r="H2836" s="0" t="n">
        <v>-0.8643977431</v>
      </c>
    </row>
    <row r="2837" customFormat="false" ht="15" hidden="false" customHeight="false" outlineLevel="0" collapsed="false">
      <c r="A2837" s="0" t="s">
        <v>4033</v>
      </c>
      <c r="B2837" s="0" t="s">
        <v>1014</v>
      </c>
      <c r="C2837" s="0" t="s">
        <v>663</v>
      </c>
      <c r="D2837" s="0" t="n">
        <v>0</v>
      </c>
      <c r="E2837" s="0" t="n">
        <v>0.002956815431</v>
      </c>
      <c r="F2837" s="0" t="n">
        <v>0.01422850585</v>
      </c>
      <c r="G2837" s="0" t="n">
        <v>-0.02114240658</v>
      </c>
      <c r="H2837" s="0" t="n">
        <v>-0.05903964607</v>
      </c>
    </row>
    <row r="2838" customFormat="false" ht="15" hidden="false" customHeight="false" outlineLevel="0" collapsed="false">
      <c r="A2838" s="0" t="s">
        <v>4034</v>
      </c>
      <c r="B2838" s="0" t="s">
        <v>1058</v>
      </c>
      <c r="C2838" s="0" t="s">
        <v>663</v>
      </c>
      <c r="D2838" s="0" t="n">
        <v>0</v>
      </c>
      <c r="E2838" s="0" t="n">
        <v>3.084971374E-005</v>
      </c>
      <c r="F2838" s="0" t="n">
        <v>-0.001395539366</v>
      </c>
      <c r="G2838" s="0" t="n">
        <v>-0.01813830361</v>
      </c>
      <c r="H2838" s="0" t="n">
        <v>-0.03698273278</v>
      </c>
    </row>
    <row r="2839" customFormat="false" ht="15" hidden="false" customHeight="false" outlineLevel="0" collapsed="false">
      <c r="A2839" s="0" t="s">
        <v>4035</v>
      </c>
      <c r="B2839" s="0" t="s">
        <v>768</v>
      </c>
      <c r="C2839" s="0" t="s">
        <v>663</v>
      </c>
      <c r="D2839" s="0" t="n">
        <v>0</v>
      </c>
      <c r="E2839" s="0" t="n">
        <v>0.1229144705</v>
      </c>
      <c r="F2839" s="0" t="n">
        <v>0.6748620223</v>
      </c>
      <c r="G2839" s="0" t="n">
        <v>0.6038764879</v>
      </c>
      <c r="H2839" s="0" t="n">
        <v>0.9788415311</v>
      </c>
    </row>
    <row r="2840" customFormat="false" ht="15" hidden="false" customHeight="false" outlineLevel="0" collapsed="false">
      <c r="A2840" s="0" t="s">
        <v>4036</v>
      </c>
      <c r="B2840" s="0" t="s">
        <v>818</v>
      </c>
      <c r="C2840" s="0" t="s">
        <v>663</v>
      </c>
      <c r="D2840" s="0" t="n">
        <v>0</v>
      </c>
      <c r="E2840" s="0" t="n">
        <v>-0.005406387197</v>
      </c>
      <c r="F2840" s="0" t="n">
        <v>-0.2714793227</v>
      </c>
      <c r="G2840" s="0" t="n">
        <v>-2.919833332</v>
      </c>
      <c r="H2840" s="0" t="n">
        <v>-5.704716921</v>
      </c>
    </row>
    <row r="2841" customFormat="false" ht="15" hidden="false" customHeight="false" outlineLevel="0" collapsed="false">
      <c r="A2841" s="0" t="s">
        <v>4037</v>
      </c>
      <c r="B2841" s="0" t="s">
        <v>788</v>
      </c>
      <c r="C2841" s="0" t="s">
        <v>663</v>
      </c>
      <c r="D2841" s="0" t="n">
        <v>0</v>
      </c>
      <c r="E2841" s="0" t="n">
        <v>0.4190410342</v>
      </c>
      <c r="F2841" s="0" t="n">
        <v>1.547179108</v>
      </c>
      <c r="G2841" s="0" t="n">
        <v>-4.694200379</v>
      </c>
      <c r="H2841" s="0" t="n">
        <v>-11.41324948</v>
      </c>
    </row>
    <row r="2842" customFormat="false" ht="15" hidden="false" customHeight="false" outlineLevel="0" collapsed="false">
      <c r="A2842" s="0" t="s">
        <v>4038</v>
      </c>
      <c r="B2842" s="0" t="s">
        <v>824</v>
      </c>
      <c r="C2842" s="0" t="s">
        <v>663</v>
      </c>
      <c r="D2842" s="0" t="n">
        <v>0</v>
      </c>
      <c r="E2842" s="0" t="n">
        <v>0.2935379472</v>
      </c>
      <c r="F2842" s="0" t="n">
        <v>1.455336052</v>
      </c>
      <c r="G2842" s="0" t="n">
        <v>-1.193802342</v>
      </c>
      <c r="H2842" s="0" t="n">
        <v>-4.060844432</v>
      </c>
    </row>
    <row r="2843" customFormat="false" ht="15" hidden="false" customHeight="false" outlineLevel="0" collapsed="false">
      <c r="A2843" s="0" t="s">
        <v>4039</v>
      </c>
      <c r="B2843" s="0" t="s">
        <v>764</v>
      </c>
      <c r="C2843" s="0" t="s">
        <v>663</v>
      </c>
      <c r="D2843" s="0" t="n">
        <v>0</v>
      </c>
      <c r="E2843" s="0" t="n">
        <v>-1.161755435</v>
      </c>
      <c r="F2843" s="0" t="n">
        <v>-10.55342019</v>
      </c>
      <c r="G2843" s="0" t="n">
        <v>-54.74386737</v>
      </c>
      <c r="H2843" s="0" t="n">
        <v>-111.4749132</v>
      </c>
    </row>
    <row r="2844" customFormat="false" ht="15" hidden="false" customHeight="false" outlineLevel="0" collapsed="false">
      <c r="A2844" s="0" t="s">
        <v>4040</v>
      </c>
      <c r="B2844" s="0" t="s">
        <v>722</v>
      </c>
      <c r="C2844" s="0" t="s">
        <v>663</v>
      </c>
      <c r="D2844" s="0" t="n">
        <v>0</v>
      </c>
      <c r="E2844" s="0" t="n">
        <v>0.3022270189</v>
      </c>
      <c r="F2844" s="0" t="n">
        <v>1.05749553</v>
      </c>
      <c r="G2844" s="0" t="n">
        <v>-2.855262954</v>
      </c>
      <c r="H2844" s="0" t="n">
        <v>-3.051350457</v>
      </c>
    </row>
    <row r="2845" customFormat="false" ht="15" hidden="false" customHeight="false" outlineLevel="0" collapsed="false">
      <c r="A2845" s="0" t="s">
        <v>4041</v>
      </c>
      <c r="B2845" s="0" t="s">
        <v>902</v>
      </c>
      <c r="C2845" s="0" t="s">
        <v>663</v>
      </c>
      <c r="D2845" s="0" t="n">
        <v>0</v>
      </c>
      <c r="E2845" s="0" t="n">
        <v>0.03008419401</v>
      </c>
      <c r="F2845" s="0" t="n">
        <v>0.1538904671</v>
      </c>
      <c r="G2845" s="0" t="n">
        <v>0.1603569975</v>
      </c>
      <c r="H2845" s="0" t="n">
        <v>0.3040786342</v>
      </c>
    </row>
    <row r="2846" customFormat="false" ht="15" hidden="false" customHeight="false" outlineLevel="0" collapsed="false">
      <c r="A2846" s="0" t="s">
        <v>4042</v>
      </c>
      <c r="B2846" s="0" t="s">
        <v>802</v>
      </c>
      <c r="C2846" s="0" t="s">
        <v>663</v>
      </c>
      <c r="D2846" s="0" t="n">
        <v>0</v>
      </c>
      <c r="E2846" s="0" t="n">
        <v>0.6993721187</v>
      </c>
      <c r="F2846" s="0" t="n">
        <v>4.218942641</v>
      </c>
      <c r="G2846" s="0" t="n">
        <v>4.697956011</v>
      </c>
      <c r="H2846" s="0" t="n">
        <v>4.983890244</v>
      </c>
    </row>
    <row r="2847" customFormat="false" ht="15" hidden="false" customHeight="false" outlineLevel="0" collapsed="false">
      <c r="A2847" s="0" t="s">
        <v>4043</v>
      </c>
      <c r="B2847" s="0" t="s">
        <v>794</v>
      </c>
      <c r="C2847" s="0" t="s">
        <v>663</v>
      </c>
      <c r="D2847" s="0" t="n">
        <v>0</v>
      </c>
      <c r="E2847" s="0" t="n">
        <v>0.07291036952</v>
      </c>
      <c r="F2847" s="0" t="n">
        <v>0.394444625</v>
      </c>
      <c r="G2847" s="0" t="n">
        <v>0.3368938093</v>
      </c>
      <c r="H2847" s="0" t="n">
        <v>0.6010221498</v>
      </c>
    </row>
    <row r="2848" customFormat="false" ht="15" hidden="false" customHeight="false" outlineLevel="0" collapsed="false">
      <c r="A2848" s="0" t="s">
        <v>4044</v>
      </c>
      <c r="B2848" s="0" t="s">
        <v>1006</v>
      </c>
      <c r="C2848" s="0" t="s">
        <v>663</v>
      </c>
      <c r="D2848" s="0" t="n">
        <v>0</v>
      </c>
      <c r="E2848" s="0" t="n">
        <v>0.002689535276</v>
      </c>
      <c r="F2848" s="0" t="n">
        <v>0.007035560363</v>
      </c>
      <c r="G2848" s="0" t="n">
        <v>-0.08416138667</v>
      </c>
      <c r="H2848" s="0" t="n">
        <v>-0.1815875362</v>
      </c>
    </row>
    <row r="2849" customFormat="false" ht="15" hidden="false" customHeight="false" outlineLevel="0" collapsed="false">
      <c r="A2849" s="0" t="s">
        <v>4045</v>
      </c>
      <c r="B2849" s="0" t="s">
        <v>706</v>
      </c>
      <c r="C2849" s="0" t="s">
        <v>663</v>
      </c>
      <c r="D2849" s="0" t="n">
        <v>0</v>
      </c>
      <c r="E2849" s="0" t="n">
        <v>0.2334148039</v>
      </c>
      <c r="F2849" s="0" t="n">
        <v>0.9472678583</v>
      </c>
      <c r="G2849" s="0" t="n">
        <v>-3.886463678</v>
      </c>
      <c r="H2849" s="0" t="n">
        <v>-2.589947573</v>
      </c>
    </row>
    <row r="2850" customFormat="false" ht="15" hidden="false" customHeight="false" outlineLevel="0" collapsed="false">
      <c r="A2850" s="0" t="s">
        <v>4046</v>
      </c>
      <c r="B2850" s="0" t="s">
        <v>950</v>
      </c>
      <c r="C2850" s="0" t="s">
        <v>663</v>
      </c>
      <c r="D2850" s="0" t="n">
        <v>0</v>
      </c>
      <c r="E2850" s="0" t="n">
        <v>0.09038456859</v>
      </c>
      <c r="F2850" s="0" t="n">
        <v>0.5299193568</v>
      </c>
      <c r="G2850" s="0" t="n">
        <v>0.5846711076</v>
      </c>
      <c r="H2850" s="0" t="n">
        <v>0.6310397668</v>
      </c>
    </row>
    <row r="2851" customFormat="false" ht="15" hidden="false" customHeight="false" outlineLevel="0" collapsed="false">
      <c r="A2851" s="0" t="s">
        <v>4047</v>
      </c>
      <c r="B2851" s="0" t="s">
        <v>704</v>
      </c>
      <c r="C2851" s="0" t="s">
        <v>663</v>
      </c>
      <c r="D2851" s="0" t="n">
        <v>0</v>
      </c>
      <c r="E2851" s="0" t="n">
        <v>-0.1090325433</v>
      </c>
      <c r="F2851" s="0" t="n">
        <v>-2.41787142</v>
      </c>
      <c r="G2851" s="0" t="n">
        <v>-9.36028074</v>
      </c>
      <c r="H2851" s="0" t="n">
        <v>-8.422903281</v>
      </c>
    </row>
    <row r="2852" customFormat="false" ht="15" hidden="false" customHeight="false" outlineLevel="0" collapsed="false">
      <c r="A2852" s="0" t="s">
        <v>4048</v>
      </c>
      <c r="B2852" s="0" t="s">
        <v>900</v>
      </c>
      <c r="C2852" s="0" t="s">
        <v>663</v>
      </c>
      <c r="D2852" s="0" t="n">
        <v>0</v>
      </c>
      <c r="E2852" s="0" t="n">
        <v>0.02176026317</v>
      </c>
      <c r="F2852" s="0" t="n">
        <v>0.05503011149</v>
      </c>
      <c r="G2852" s="0" t="n">
        <v>-0.5377831762</v>
      </c>
      <c r="H2852" s="0" t="n">
        <v>-1.178439687</v>
      </c>
    </row>
    <row r="2853" customFormat="false" ht="15" hidden="false" customHeight="false" outlineLevel="0" collapsed="false">
      <c r="A2853" s="0" t="s">
        <v>4049</v>
      </c>
      <c r="B2853" s="0" t="s">
        <v>844</v>
      </c>
      <c r="C2853" s="0" t="s">
        <v>663</v>
      </c>
      <c r="D2853" s="0" t="n">
        <v>0</v>
      </c>
      <c r="E2853" s="0" t="n">
        <v>0.08730919889</v>
      </c>
      <c r="F2853" s="0" t="n">
        <v>0.3657031405</v>
      </c>
      <c r="G2853" s="0" t="n">
        <v>-0.6986173083</v>
      </c>
      <c r="H2853" s="0" t="n">
        <v>-1.769828546</v>
      </c>
    </row>
    <row r="2854" customFormat="false" ht="15" hidden="false" customHeight="false" outlineLevel="0" collapsed="false">
      <c r="A2854" s="0" t="s">
        <v>4050</v>
      </c>
      <c r="B2854" s="0" t="s">
        <v>914</v>
      </c>
      <c r="C2854" s="0" t="s">
        <v>663</v>
      </c>
      <c r="D2854" s="0" t="n">
        <v>0</v>
      </c>
      <c r="E2854" s="0" t="n">
        <v>0.1786519642</v>
      </c>
      <c r="F2854" s="0" t="n">
        <v>0.9597555812</v>
      </c>
      <c r="G2854" s="0" t="n">
        <v>0.6999086944</v>
      </c>
      <c r="H2854" s="0" t="n">
        <v>0.3357880309</v>
      </c>
    </row>
    <row r="2855" customFormat="false" ht="15" hidden="false" customHeight="false" outlineLevel="0" collapsed="false">
      <c r="A2855" s="0" t="s">
        <v>4051</v>
      </c>
      <c r="B2855" s="0" t="s">
        <v>1028</v>
      </c>
      <c r="C2855" s="0" t="s">
        <v>663</v>
      </c>
      <c r="D2855" s="0" t="n">
        <v>0</v>
      </c>
      <c r="E2855" s="0" t="n">
        <v>0.01188708778</v>
      </c>
      <c r="F2855" s="0" t="n">
        <v>0.06129445079</v>
      </c>
      <c r="G2855" s="0" t="n">
        <v>-0.005149652624</v>
      </c>
      <c r="H2855" s="0" t="n">
        <v>-0.1418695643</v>
      </c>
    </row>
    <row r="2856" customFormat="false" ht="15" hidden="false" customHeight="false" outlineLevel="0" collapsed="false">
      <c r="A2856" s="0" t="s">
        <v>4052</v>
      </c>
      <c r="B2856" s="0" t="s">
        <v>1030</v>
      </c>
      <c r="C2856" s="0" t="s">
        <v>663</v>
      </c>
      <c r="D2856" s="0" t="n">
        <v>0</v>
      </c>
      <c r="E2856" s="0" t="n">
        <v>0.02139886604</v>
      </c>
      <c r="F2856" s="0" t="n">
        <v>0.1241484247</v>
      </c>
      <c r="G2856" s="0" t="n">
        <v>0.1010229991</v>
      </c>
      <c r="H2856" s="0" t="n">
        <v>0.04947783262</v>
      </c>
    </row>
    <row r="2857" customFormat="false" ht="15" hidden="false" customHeight="false" outlineLevel="0" collapsed="false">
      <c r="A2857" s="0" t="s">
        <v>4053</v>
      </c>
      <c r="B2857" s="0" t="s">
        <v>994</v>
      </c>
      <c r="C2857" s="0" t="s">
        <v>663</v>
      </c>
      <c r="D2857" s="0" t="n">
        <v>0</v>
      </c>
      <c r="E2857" s="0" t="n">
        <v>0.06572924739</v>
      </c>
      <c r="F2857" s="0" t="n">
        <v>0.3808872258</v>
      </c>
      <c r="G2857" s="0" t="n">
        <v>0.534730267</v>
      </c>
      <c r="H2857" s="0" t="n">
        <v>0.7142720347</v>
      </c>
    </row>
    <row r="2858" customFormat="false" ht="15" hidden="false" customHeight="false" outlineLevel="0" collapsed="false">
      <c r="A2858" s="0" t="s">
        <v>4054</v>
      </c>
      <c r="B2858" s="0" t="s">
        <v>798</v>
      </c>
      <c r="C2858" s="0" t="s">
        <v>663</v>
      </c>
      <c r="D2858" s="0" t="n">
        <v>0</v>
      </c>
      <c r="E2858" s="0" t="n">
        <v>-0.008767957901</v>
      </c>
      <c r="F2858" s="0" t="n">
        <v>-0.2905546869</v>
      </c>
      <c r="G2858" s="0" t="n">
        <v>-1.838599839</v>
      </c>
      <c r="H2858" s="0" t="n">
        <v>-1.876891602</v>
      </c>
    </row>
    <row r="2859" customFormat="false" ht="15" hidden="false" customHeight="false" outlineLevel="0" collapsed="false">
      <c r="A2859" s="0" t="s">
        <v>4055</v>
      </c>
      <c r="B2859" s="0" t="s">
        <v>1046</v>
      </c>
      <c r="C2859" s="0" t="s">
        <v>663</v>
      </c>
      <c r="D2859" s="0" t="n">
        <v>0</v>
      </c>
      <c r="E2859" s="0" t="n">
        <v>0.0003320331832</v>
      </c>
      <c r="F2859" s="0" t="n">
        <v>-0.002263784314</v>
      </c>
      <c r="G2859" s="0" t="n">
        <v>-0.04325549632</v>
      </c>
      <c r="H2859" s="0" t="n">
        <v>-0.09276680004</v>
      </c>
    </row>
    <row r="2860" customFormat="false" ht="15" hidden="false" customHeight="false" outlineLevel="0" collapsed="false">
      <c r="A2860" s="0" t="s">
        <v>4056</v>
      </c>
      <c r="B2860" s="0" t="s">
        <v>826</v>
      </c>
      <c r="C2860" s="0" t="s">
        <v>663</v>
      </c>
      <c r="D2860" s="0" t="n">
        <v>0</v>
      </c>
      <c r="E2860" s="0" t="n">
        <v>0.06246174497</v>
      </c>
      <c r="F2860" s="0" t="n">
        <v>0.2029680773</v>
      </c>
      <c r="G2860" s="0" t="n">
        <v>-1.821344478</v>
      </c>
      <c r="H2860" s="0" t="n">
        <v>-3.95150014</v>
      </c>
    </row>
    <row r="2861" customFormat="false" ht="15" hidden="false" customHeight="false" outlineLevel="0" collapsed="false">
      <c r="A2861" s="0" t="s">
        <v>4057</v>
      </c>
      <c r="B2861" s="0" t="s">
        <v>890</v>
      </c>
      <c r="C2861" s="0" t="s">
        <v>663</v>
      </c>
      <c r="D2861" s="0" t="n">
        <v>0</v>
      </c>
      <c r="E2861" s="0" t="n">
        <v>0.1189587634</v>
      </c>
      <c r="F2861" s="0" t="n">
        <v>0.6657201273</v>
      </c>
      <c r="G2861" s="0" t="n">
        <v>-0.0421193837</v>
      </c>
      <c r="H2861" s="0" t="n">
        <v>-0.9271123398</v>
      </c>
    </row>
    <row r="2862" customFormat="false" ht="15" hidden="false" customHeight="false" outlineLevel="0" collapsed="false">
      <c r="A2862" s="0" t="s">
        <v>4058</v>
      </c>
      <c r="B2862" s="0" t="s">
        <v>770</v>
      </c>
      <c r="C2862" s="0" t="s">
        <v>663</v>
      </c>
      <c r="D2862" s="0" t="n">
        <v>0</v>
      </c>
      <c r="E2862" s="0" t="n">
        <v>-0.4362002629</v>
      </c>
      <c r="F2862" s="0" t="n">
        <v>-2.69577454</v>
      </c>
      <c r="G2862" s="0" t="n">
        <v>-5.521914037</v>
      </c>
      <c r="H2862" s="0" t="n">
        <v>-5.817677805</v>
      </c>
    </row>
    <row r="2863" customFormat="false" ht="15" hidden="false" customHeight="false" outlineLevel="0" collapsed="false">
      <c r="A2863" s="0" t="s">
        <v>4059</v>
      </c>
      <c r="B2863" s="0" t="s">
        <v>904</v>
      </c>
      <c r="C2863" s="0" t="s">
        <v>663</v>
      </c>
      <c r="D2863" s="0" t="n">
        <v>0</v>
      </c>
      <c r="E2863" s="0" t="n">
        <v>0.0663664739</v>
      </c>
      <c r="F2863" s="0" t="n">
        <v>0.3182089386</v>
      </c>
      <c r="G2863" s="0" t="n">
        <v>-0.9103112046</v>
      </c>
      <c r="H2863" s="0" t="n">
        <v>-2.397750182</v>
      </c>
    </row>
    <row r="2864" customFormat="false" ht="15" hidden="false" customHeight="false" outlineLevel="0" collapsed="false">
      <c r="A2864" s="0" t="s">
        <v>4060</v>
      </c>
      <c r="B2864" s="0" t="s">
        <v>846</v>
      </c>
      <c r="C2864" s="0" t="s">
        <v>663</v>
      </c>
      <c r="D2864" s="0" t="n">
        <v>0</v>
      </c>
      <c r="E2864" s="0" t="n">
        <v>0.01162138557</v>
      </c>
      <c r="F2864" s="0" t="n">
        <v>-0.0299618058</v>
      </c>
      <c r="G2864" s="0" t="n">
        <v>-0.6526212821</v>
      </c>
      <c r="H2864" s="0" t="n">
        <v>-0.8698886361</v>
      </c>
    </row>
    <row r="2865" customFormat="false" ht="15" hidden="false" customHeight="false" outlineLevel="0" collapsed="false">
      <c r="A2865" s="0" t="s">
        <v>4061</v>
      </c>
      <c r="B2865" s="0" t="s">
        <v>956</v>
      </c>
      <c r="C2865" s="0" t="s">
        <v>663</v>
      </c>
      <c r="D2865" s="0" t="n">
        <v>0</v>
      </c>
      <c r="E2865" s="0" t="n">
        <v>0.0442681316</v>
      </c>
      <c r="F2865" s="0" t="n">
        <v>0.2495274378</v>
      </c>
      <c r="G2865" s="0" t="n">
        <v>0.2288714123</v>
      </c>
      <c r="H2865" s="0" t="n">
        <v>0.1582397773</v>
      </c>
    </row>
    <row r="2866" customFormat="false" ht="15" hidden="false" customHeight="false" outlineLevel="0" collapsed="false">
      <c r="A2866" s="0" t="s">
        <v>4062</v>
      </c>
      <c r="B2866" s="0" t="s">
        <v>800</v>
      </c>
      <c r="C2866" s="0" t="s">
        <v>663</v>
      </c>
      <c r="D2866" s="0" t="n">
        <v>0</v>
      </c>
      <c r="E2866" s="0" t="n">
        <v>0.005184183973</v>
      </c>
      <c r="F2866" s="0" t="n">
        <v>-0.2198693443</v>
      </c>
      <c r="G2866" s="0" t="n">
        <v>-2.427785305</v>
      </c>
      <c r="H2866" s="0" t="n">
        <v>-4.216962815</v>
      </c>
    </row>
    <row r="2867" customFormat="false" ht="15" hidden="false" customHeight="false" outlineLevel="0" collapsed="false">
      <c r="A2867" s="0" t="s">
        <v>4063</v>
      </c>
      <c r="B2867" s="0" t="s">
        <v>724</v>
      </c>
      <c r="C2867" s="0" t="s">
        <v>663</v>
      </c>
      <c r="D2867" s="0" t="n">
        <v>0</v>
      </c>
      <c r="E2867" s="0" t="n">
        <v>2.139635767</v>
      </c>
      <c r="F2867" s="0" t="n">
        <v>8.606510508</v>
      </c>
      <c r="G2867" s="0" t="n">
        <v>-34.02130191</v>
      </c>
      <c r="H2867" s="0" t="n">
        <v>-86.38170936</v>
      </c>
    </row>
    <row r="2868" customFormat="false" ht="15" hidden="false" customHeight="false" outlineLevel="0" collapsed="false">
      <c r="A2868" s="0" t="s">
        <v>4064</v>
      </c>
      <c r="B2868" s="0" t="s">
        <v>36</v>
      </c>
      <c r="C2868" s="0" t="s">
        <v>663</v>
      </c>
      <c r="D2868" s="0" t="n">
        <v>0</v>
      </c>
      <c r="E2868" s="0" t="n">
        <v>1.773167044</v>
      </c>
      <c r="F2868" s="0" t="n">
        <v>1.892762644</v>
      </c>
      <c r="G2868" s="0" t="n">
        <v>-83.28160364</v>
      </c>
      <c r="H2868" s="0" t="n">
        <v>-179.9267794</v>
      </c>
    </row>
    <row r="2869" customFormat="false" ht="15" hidden="false" customHeight="false" outlineLevel="0" collapsed="false">
      <c r="A2869" s="0" t="s">
        <v>4065</v>
      </c>
      <c r="B2869" s="0" t="s">
        <v>738</v>
      </c>
      <c r="C2869" s="0" t="s">
        <v>663</v>
      </c>
      <c r="D2869" s="0" t="n">
        <v>0</v>
      </c>
      <c r="E2869" s="0" t="n">
        <v>0.06738690677</v>
      </c>
      <c r="F2869" s="0" t="n">
        <v>0.4255190747</v>
      </c>
      <c r="G2869" s="0" t="n">
        <v>-0.1595338138</v>
      </c>
      <c r="H2869" s="0" t="n">
        <v>0.3210789189</v>
      </c>
    </row>
    <row r="2870" customFormat="false" ht="15" hidden="false" customHeight="false" outlineLevel="0" collapsed="false">
      <c r="A2870" s="0" t="s">
        <v>4066</v>
      </c>
      <c r="B2870" s="0" t="s">
        <v>790</v>
      </c>
      <c r="C2870" s="0" t="s">
        <v>663</v>
      </c>
      <c r="D2870" s="0" t="n">
        <v>0</v>
      </c>
      <c r="E2870" s="0" t="n">
        <v>1.777944418</v>
      </c>
      <c r="F2870" s="0" t="n">
        <v>7.345884607</v>
      </c>
      <c r="G2870" s="0" t="n">
        <v>5.363311064</v>
      </c>
      <c r="H2870" s="0" t="n">
        <v>3.622424138</v>
      </c>
    </row>
    <row r="2871" customFormat="false" ht="15" hidden="false" customHeight="false" outlineLevel="0" collapsed="false">
      <c r="A2871" s="0" t="s">
        <v>4067</v>
      </c>
      <c r="B2871" s="0" t="s">
        <v>806</v>
      </c>
      <c r="C2871" s="0" t="s">
        <v>663</v>
      </c>
      <c r="D2871" s="0" t="n">
        <v>0</v>
      </c>
      <c r="E2871" s="0" t="n">
        <v>0.4795753332</v>
      </c>
      <c r="F2871" s="0" t="n">
        <v>2.042292479</v>
      </c>
      <c r="G2871" s="0" t="n">
        <v>-2.999864678</v>
      </c>
      <c r="H2871" s="0" t="n">
        <v>-10.14176806</v>
      </c>
    </row>
    <row r="2872" customFormat="false" ht="15" hidden="false" customHeight="false" outlineLevel="0" collapsed="false">
      <c r="A2872" s="0" t="s">
        <v>4068</v>
      </c>
      <c r="B2872" s="0" t="s">
        <v>916</v>
      </c>
      <c r="C2872" s="0" t="s">
        <v>663</v>
      </c>
      <c r="D2872" s="0" t="n">
        <v>0</v>
      </c>
      <c r="E2872" s="0" t="n">
        <v>0.08640538441</v>
      </c>
      <c r="F2872" s="0" t="n">
        <v>0.5143210997</v>
      </c>
      <c r="G2872" s="0" t="n">
        <v>0.5447374802</v>
      </c>
      <c r="H2872" s="0" t="n">
        <v>0.6026615429</v>
      </c>
    </row>
    <row r="2873" customFormat="false" ht="15" hidden="false" customHeight="false" outlineLevel="0" collapsed="false">
      <c r="A2873" s="0" t="s">
        <v>4069</v>
      </c>
      <c r="B2873" s="0" t="s">
        <v>750</v>
      </c>
      <c r="C2873" s="0" t="s">
        <v>663</v>
      </c>
      <c r="D2873" s="0" t="n">
        <v>0</v>
      </c>
      <c r="E2873" s="0" t="n">
        <v>0.2686054605</v>
      </c>
      <c r="F2873" s="0" t="n">
        <v>2.15469699</v>
      </c>
      <c r="G2873" s="0" t="n">
        <v>4.690333953</v>
      </c>
      <c r="H2873" s="0" t="n">
        <v>5.538395076</v>
      </c>
    </row>
    <row r="2874" customFormat="false" ht="15" hidden="false" customHeight="false" outlineLevel="0" collapsed="false">
      <c r="A2874" s="0" t="s">
        <v>4070</v>
      </c>
      <c r="B2874" s="0" t="s">
        <v>712</v>
      </c>
      <c r="C2874" s="0" t="s">
        <v>663</v>
      </c>
      <c r="D2874" s="0" t="n">
        <v>0</v>
      </c>
      <c r="E2874" s="0" t="n">
        <v>-0.7415773325</v>
      </c>
      <c r="F2874" s="0" t="n">
        <v>-5.161022471</v>
      </c>
      <c r="G2874" s="0" t="n">
        <v>-16.66851471</v>
      </c>
      <c r="H2874" s="0" t="n">
        <v>-17.03212912</v>
      </c>
    </row>
    <row r="2875" customFormat="false" ht="15" hidden="false" customHeight="false" outlineLevel="0" collapsed="false">
      <c r="A2875" s="0" t="s">
        <v>4071</v>
      </c>
      <c r="B2875" s="0" t="s">
        <v>964</v>
      </c>
      <c r="C2875" s="0" t="s">
        <v>663</v>
      </c>
      <c r="D2875" s="0" t="n">
        <v>0</v>
      </c>
      <c r="E2875" s="0" t="n">
        <v>0.01174306506</v>
      </c>
      <c r="F2875" s="0" t="n">
        <v>0.02792398084</v>
      </c>
      <c r="G2875" s="0" t="n">
        <v>-0.3025750571</v>
      </c>
      <c r="H2875" s="0" t="n">
        <v>-0.6768507509</v>
      </c>
    </row>
    <row r="2876" customFormat="false" ht="15" hidden="false" customHeight="false" outlineLevel="0" collapsed="false">
      <c r="A2876" s="0" t="s">
        <v>4072</v>
      </c>
      <c r="B2876" s="0" t="s">
        <v>876</v>
      </c>
      <c r="C2876" s="0" t="s">
        <v>663</v>
      </c>
      <c r="D2876" s="0" t="n">
        <v>0</v>
      </c>
      <c r="E2876" s="0" t="n">
        <v>-0.04435584177</v>
      </c>
      <c r="F2876" s="0" t="n">
        <v>-0.4205057667</v>
      </c>
      <c r="G2876" s="0" t="n">
        <v>-2.678020675</v>
      </c>
      <c r="H2876" s="0" t="n">
        <v>-4.944440302</v>
      </c>
    </row>
    <row r="2877" customFormat="false" ht="15" hidden="false" customHeight="false" outlineLevel="0" collapsed="false">
      <c r="A2877" s="0" t="s">
        <v>4073</v>
      </c>
      <c r="B2877" s="0" t="s">
        <v>702</v>
      </c>
      <c r="C2877" s="0" t="s">
        <v>663</v>
      </c>
      <c r="D2877" s="0" t="n">
        <v>0</v>
      </c>
      <c r="E2877" s="0" t="n">
        <v>-1.995795234</v>
      </c>
      <c r="F2877" s="0" t="n">
        <v>-12.70310448</v>
      </c>
      <c r="G2877" s="0" t="n">
        <v>-23.23946856</v>
      </c>
      <c r="H2877" s="0" t="n">
        <v>-7.869887527</v>
      </c>
    </row>
    <row r="2878" customFormat="false" ht="15" hidden="false" customHeight="false" outlineLevel="0" collapsed="false">
      <c r="A2878" s="0" t="s">
        <v>4074</v>
      </c>
      <c r="B2878" s="0" t="s">
        <v>780</v>
      </c>
      <c r="C2878" s="0" t="s">
        <v>663</v>
      </c>
      <c r="D2878" s="0" t="n">
        <v>0</v>
      </c>
      <c r="E2878" s="0" t="n">
        <v>0.09272870439</v>
      </c>
      <c r="F2878" s="0" t="n">
        <v>-0.5506933214</v>
      </c>
      <c r="G2878" s="0" t="n">
        <v>-10.37906189</v>
      </c>
      <c r="H2878" s="0" t="n">
        <v>-20.60915853</v>
      </c>
    </row>
    <row r="2879" customFormat="false" ht="15" hidden="false" customHeight="false" outlineLevel="0" collapsed="false">
      <c r="A2879" s="0" t="s">
        <v>4075</v>
      </c>
      <c r="B2879" s="0" t="s">
        <v>814</v>
      </c>
      <c r="C2879" s="0" t="s">
        <v>663</v>
      </c>
      <c r="D2879" s="0" t="n">
        <v>0</v>
      </c>
      <c r="E2879" s="0" t="n">
        <v>0.243457255</v>
      </c>
      <c r="F2879" s="0" t="n">
        <v>1.325159657</v>
      </c>
      <c r="G2879" s="0" t="n">
        <v>0.5271797206</v>
      </c>
      <c r="H2879" s="0" t="n">
        <v>-0.5471671043</v>
      </c>
    </row>
    <row r="2880" customFormat="false" ht="15" hidden="false" customHeight="false" outlineLevel="0" collapsed="false">
      <c r="A2880" s="0" t="s">
        <v>4076</v>
      </c>
      <c r="B2880" s="0" t="s">
        <v>946</v>
      </c>
      <c r="C2880" s="0" t="s">
        <v>663</v>
      </c>
      <c r="D2880" s="0" t="n">
        <v>0</v>
      </c>
      <c r="E2880" s="0" t="n">
        <v>0.02782329898</v>
      </c>
      <c r="F2880" s="0" t="n">
        <v>0.1257087312</v>
      </c>
      <c r="G2880" s="0" t="n">
        <v>-0.1428198098</v>
      </c>
      <c r="H2880" s="0" t="n">
        <v>-0.4874643171</v>
      </c>
    </row>
    <row r="2881" customFormat="false" ht="15" hidden="false" customHeight="false" outlineLevel="0" collapsed="false">
      <c r="A2881" s="0" t="s">
        <v>4077</v>
      </c>
      <c r="B2881" s="0" t="s">
        <v>886</v>
      </c>
      <c r="C2881" s="0" t="s">
        <v>663</v>
      </c>
      <c r="D2881" s="0" t="n">
        <v>0</v>
      </c>
      <c r="E2881" s="0" t="n">
        <v>0.332629441</v>
      </c>
      <c r="F2881" s="0" t="n">
        <v>1.897246473</v>
      </c>
      <c r="G2881" s="0" t="n">
        <v>0.9252566902</v>
      </c>
      <c r="H2881" s="0" t="n">
        <v>-0.1978638156</v>
      </c>
    </row>
    <row r="2882" customFormat="false" ht="15" hidden="false" customHeight="false" outlineLevel="0" collapsed="false">
      <c r="A2882" s="0" t="s">
        <v>4078</v>
      </c>
      <c r="B2882" s="0" t="s">
        <v>1054</v>
      </c>
      <c r="C2882" s="0" t="s">
        <v>663</v>
      </c>
      <c r="D2882" s="0" t="n">
        <v>0</v>
      </c>
      <c r="E2882" s="0" t="n">
        <v>0.00233921281</v>
      </c>
      <c r="F2882" s="0" t="n">
        <v>0.01055188712</v>
      </c>
      <c r="G2882" s="0" t="n">
        <v>-0.006988638088</v>
      </c>
      <c r="H2882" s="0" t="n">
        <v>-0.02531197167</v>
      </c>
    </row>
    <row r="2883" customFormat="false" ht="15" hidden="false" customHeight="false" outlineLevel="0" collapsed="false">
      <c r="A2883" s="0" t="s">
        <v>4079</v>
      </c>
      <c r="B2883" s="0" t="s">
        <v>716</v>
      </c>
      <c r="C2883" s="0" t="s">
        <v>663</v>
      </c>
      <c r="D2883" s="0" t="n">
        <v>0</v>
      </c>
      <c r="E2883" s="0" t="n">
        <v>-0.282448895</v>
      </c>
      <c r="F2883" s="0" t="n">
        <v>-2.258050051</v>
      </c>
      <c r="G2883" s="0" t="n">
        <v>-3.425184457</v>
      </c>
      <c r="H2883" s="0" t="n">
        <v>4.191755933</v>
      </c>
    </row>
    <row r="2884" customFormat="false" ht="15" hidden="false" customHeight="false" outlineLevel="0" collapsed="false">
      <c r="A2884" s="0" t="s">
        <v>4080</v>
      </c>
      <c r="B2884" s="0" t="s">
        <v>812</v>
      </c>
      <c r="C2884" s="0" t="s">
        <v>663</v>
      </c>
      <c r="D2884" s="0" t="n">
        <v>0</v>
      </c>
      <c r="E2884" s="0" t="n">
        <v>0.1583051079</v>
      </c>
      <c r="F2884" s="0" t="n">
        <v>0.2586045705</v>
      </c>
      <c r="G2884" s="0" t="n">
        <v>-4.254722219</v>
      </c>
      <c r="H2884" s="0" t="n">
        <v>-7.995975296</v>
      </c>
    </row>
    <row r="2885" customFormat="false" ht="15" hidden="false" customHeight="false" outlineLevel="0" collapsed="false">
      <c r="A2885" s="0" t="s">
        <v>4081</v>
      </c>
      <c r="B2885" s="0" t="s">
        <v>972</v>
      </c>
      <c r="C2885" s="0" t="s">
        <v>663</v>
      </c>
      <c r="D2885" s="0" t="n">
        <v>0</v>
      </c>
      <c r="E2885" s="0" t="n">
        <v>0.2353841884</v>
      </c>
      <c r="F2885" s="0" t="n">
        <v>1.375337548</v>
      </c>
      <c r="G2885" s="0" t="n">
        <v>1.646601747</v>
      </c>
      <c r="H2885" s="0" t="n">
        <v>1.861263604</v>
      </c>
    </row>
    <row r="2886" customFormat="false" ht="15" hidden="false" customHeight="false" outlineLevel="0" collapsed="false">
      <c r="A2886" s="0" t="s">
        <v>4082</v>
      </c>
      <c r="B2886" s="0" t="s">
        <v>922</v>
      </c>
      <c r="C2886" s="0" t="s">
        <v>663</v>
      </c>
      <c r="D2886" s="0" t="n">
        <v>0</v>
      </c>
      <c r="E2886" s="0" t="n">
        <v>0.07714021893</v>
      </c>
      <c r="F2886" s="0" t="n">
        <v>0.305075552</v>
      </c>
      <c r="G2886" s="0" t="n">
        <v>-0.8589993806</v>
      </c>
      <c r="H2886" s="0" t="n">
        <v>-2.054497689</v>
      </c>
    </row>
    <row r="2887" customFormat="false" ht="15" hidden="false" customHeight="false" outlineLevel="0" collapsed="false">
      <c r="A2887" s="0" t="s">
        <v>4083</v>
      </c>
      <c r="B2887" s="0" t="s">
        <v>1008</v>
      </c>
      <c r="C2887" s="0" t="s">
        <v>663</v>
      </c>
      <c r="D2887" s="0" t="n">
        <v>0</v>
      </c>
      <c r="E2887" s="0" t="n">
        <v>0.1201823689</v>
      </c>
      <c r="F2887" s="0" t="n">
        <v>0.7185185247</v>
      </c>
      <c r="G2887" s="0" t="n">
        <v>0.7305993312</v>
      </c>
      <c r="H2887" s="0" t="n">
        <v>0.7218592198</v>
      </c>
    </row>
    <row r="2888" customFormat="false" ht="15" hidden="false" customHeight="false" outlineLevel="0" collapsed="false">
      <c r="A2888" s="0" t="s">
        <v>4084</v>
      </c>
      <c r="B2888" s="0" t="s">
        <v>874</v>
      </c>
      <c r="C2888" s="0" t="s">
        <v>663</v>
      </c>
      <c r="D2888" s="0" t="n">
        <v>0</v>
      </c>
      <c r="E2888" s="0" t="n">
        <v>0.05685930583</v>
      </c>
      <c r="F2888" s="0" t="n">
        <v>-0.2567646153</v>
      </c>
      <c r="G2888" s="0" t="n">
        <v>-6.146959201</v>
      </c>
      <c r="H2888" s="0" t="n">
        <v>-12.51877642</v>
      </c>
    </row>
    <row r="2889" customFormat="false" ht="15" hidden="false" customHeight="false" outlineLevel="0" collapsed="false">
      <c r="A2889" s="0" t="s">
        <v>4085</v>
      </c>
      <c r="B2889" s="0" t="s">
        <v>1032</v>
      </c>
      <c r="C2889" s="0" t="s">
        <v>663</v>
      </c>
      <c r="D2889" s="0" t="n">
        <v>0</v>
      </c>
      <c r="E2889" s="0" t="n">
        <v>-0.0001107418625</v>
      </c>
      <c r="F2889" s="0" t="n">
        <v>-0.005306926817</v>
      </c>
      <c r="G2889" s="0" t="n">
        <v>-0.06093979818</v>
      </c>
      <c r="H2889" s="0" t="n">
        <v>-0.1244138028</v>
      </c>
    </row>
    <row r="2890" customFormat="false" ht="15" hidden="false" customHeight="false" outlineLevel="0" collapsed="false">
      <c r="A2890" s="0" t="s">
        <v>4086</v>
      </c>
      <c r="B2890" s="0" t="s">
        <v>840</v>
      </c>
      <c r="C2890" s="0" t="s">
        <v>663</v>
      </c>
      <c r="D2890" s="0" t="n">
        <v>0</v>
      </c>
      <c r="E2890" s="0" t="n">
        <v>0.05270686572</v>
      </c>
      <c r="F2890" s="0" t="n">
        <v>0.1583169887</v>
      </c>
      <c r="G2890" s="0" t="n">
        <v>-1.479215435</v>
      </c>
      <c r="H2890" s="0" t="n">
        <v>-3.552117933</v>
      </c>
    </row>
    <row r="2891" customFormat="false" ht="15" hidden="false" customHeight="false" outlineLevel="0" collapsed="false">
      <c r="A2891" s="0" t="s">
        <v>4087</v>
      </c>
      <c r="B2891" s="0" t="s">
        <v>1034</v>
      </c>
      <c r="C2891" s="0" t="s">
        <v>663</v>
      </c>
      <c r="D2891" s="0" t="n">
        <v>0</v>
      </c>
      <c r="E2891" s="0" t="n">
        <v>0.02319432616</v>
      </c>
      <c r="F2891" s="0" t="n">
        <v>0.1112799256</v>
      </c>
      <c r="G2891" s="0" t="n">
        <v>0.07857635774</v>
      </c>
      <c r="H2891" s="0" t="n">
        <v>-0.02676115979</v>
      </c>
    </row>
    <row r="2892" customFormat="false" ht="15" hidden="false" customHeight="false" outlineLevel="0" collapsed="false">
      <c r="A2892" s="0" t="s">
        <v>4088</v>
      </c>
      <c r="B2892" s="0" t="s">
        <v>856</v>
      </c>
      <c r="C2892" s="0" t="s">
        <v>663</v>
      </c>
      <c r="D2892" s="0" t="n">
        <v>0</v>
      </c>
      <c r="E2892" s="0" t="n">
        <v>0.01397602817</v>
      </c>
      <c r="F2892" s="0" t="n">
        <v>0.03311827223</v>
      </c>
      <c r="G2892" s="0" t="n">
        <v>-0.3730129087</v>
      </c>
      <c r="H2892" s="0" t="n">
        <v>-0.4041634326</v>
      </c>
    </row>
    <row r="2893" customFormat="false" ht="15" hidden="false" customHeight="false" outlineLevel="0" collapsed="false">
      <c r="A2893" s="0" t="s">
        <v>4089</v>
      </c>
      <c r="B2893" s="0" t="s">
        <v>854</v>
      </c>
      <c r="C2893" s="0" t="s">
        <v>663</v>
      </c>
      <c r="D2893" s="0" t="n">
        <v>0</v>
      </c>
      <c r="E2893" s="0" t="n">
        <v>0.005953039121</v>
      </c>
      <c r="F2893" s="0" t="n">
        <v>0.0204512371</v>
      </c>
      <c r="G2893" s="0" t="n">
        <v>-0.1829805002</v>
      </c>
      <c r="H2893" s="0" t="n">
        <v>-0.2382647509</v>
      </c>
    </row>
    <row r="2894" customFormat="false" ht="15" hidden="false" customHeight="false" outlineLevel="0" collapsed="false">
      <c r="A2894" s="0" t="s">
        <v>4090</v>
      </c>
      <c r="B2894" s="0" t="s">
        <v>894</v>
      </c>
      <c r="C2894" s="0" t="s">
        <v>663</v>
      </c>
      <c r="D2894" s="0" t="n">
        <v>0</v>
      </c>
      <c r="E2894" s="0" t="n">
        <v>-0.002092743248</v>
      </c>
      <c r="F2894" s="0" t="n">
        <v>-0.05931205935</v>
      </c>
      <c r="G2894" s="0" t="n">
        <v>-0.4992360416</v>
      </c>
      <c r="H2894" s="0" t="n">
        <v>-0.6285907564</v>
      </c>
    </row>
    <row r="2895" customFormat="false" ht="15" hidden="false" customHeight="false" outlineLevel="0" collapsed="false">
      <c r="A2895" s="0" t="s">
        <v>4091</v>
      </c>
      <c r="B2895" s="0" t="s">
        <v>882</v>
      </c>
      <c r="C2895" s="0" t="s">
        <v>663</v>
      </c>
      <c r="D2895" s="0" t="n">
        <v>0</v>
      </c>
      <c r="E2895" s="0" t="n">
        <v>-0.03626028241</v>
      </c>
      <c r="F2895" s="0" t="n">
        <v>-0.2090411208</v>
      </c>
      <c r="G2895" s="0" t="n">
        <v>-0.4496652426</v>
      </c>
      <c r="H2895" s="0" t="n">
        <v>-0.5631489512</v>
      </c>
    </row>
    <row r="2896" customFormat="false" ht="15" hidden="false" customHeight="false" outlineLevel="0" collapsed="false">
      <c r="A2896" s="0" t="s">
        <v>4092</v>
      </c>
      <c r="B2896" s="0" t="s">
        <v>808</v>
      </c>
      <c r="C2896" s="0" t="s">
        <v>663</v>
      </c>
      <c r="D2896" s="0" t="n">
        <v>0</v>
      </c>
      <c r="E2896" s="0" t="n">
        <v>0.02999406461</v>
      </c>
      <c r="F2896" s="0" t="n">
        <v>-0.2591342558</v>
      </c>
      <c r="G2896" s="0" t="n">
        <v>-5.091882849</v>
      </c>
      <c r="H2896" s="0" t="n">
        <v>-10.5791887</v>
      </c>
    </row>
    <row r="2897" customFormat="false" ht="15" hidden="false" customHeight="false" outlineLevel="0" collapsed="false">
      <c r="A2897" s="0" t="s">
        <v>4093</v>
      </c>
      <c r="B2897" s="0" t="s">
        <v>966</v>
      </c>
      <c r="C2897" s="0" t="s">
        <v>663</v>
      </c>
      <c r="D2897" s="0" t="n">
        <v>0</v>
      </c>
      <c r="E2897" s="0" t="n">
        <v>0.01457997763</v>
      </c>
      <c r="F2897" s="0" t="n">
        <v>0.01501506868</v>
      </c>
      <c r="G2897" s="0" t="n">
        <v>-0.5924295835</v>
      </c>
      <c r="H2897" s="0" t="n">
        <v>-1.292882297</v>
      </c>
    </row>
    <row r="2898" customFormat="false" ht="15" hidden="false" customHeight="false" outlineLevel="0" collapsed="false">
      <c r="A2898" s="0" t="s">
        <v>4094</v>
      </c>
      <c r="B2898" s="0" t="s">
        <v>960</v>
      </c>
      <c r="C2898" s="0" t="s">
        <v>663</v>
      </c>
      <c r="D2898" s="0" t="n">
        <v>0</v>
      </c>
      <c r="E2898" s="0" t="n">
        <v>0.1637888586</v>
      </c>
      <c r="F2898" s="0" t="n">
        <v>0.9639493131</v>
      </c>
      <c r="G2898" s="0" t="n">
        <v>0.9881391883</v>
      </c>
      <c r="H2898" s="0" t="n">
        <v>0.992016993</v>
      </c>
    </row>
    <row r="2899" customFormat="false" ht="15" hidden="false" customHeight="false" outlineLevel="0" collapsed="false">
      <c r="A2899" s="0" t="s">
        <v>4095</v>
      </c>
      <c r="B2899" s="0" t="s">
        <v>1002</v>
      </c>
      <c r="C2899" s="0" t="s">
        <v>663</v>
      </c>
      <c r="D2899" s="0" t="n">
        <v>0</v>
      </c>
      <c r="E2899" s="0" t="n">
        <v>-6.43596481E-005</v>
      </c>
      <c r="F2899" s="0" t="n">
        <v>-0.02141022037</v>
      </c>
      <c r="G2899" s="0" t="n">
        <v>-0.2598737287</v>
      </c>
      <c r="H2899" s="0" t="n">
        <v>-0.5171169283</v>
      </c>
    </row>
    <row r="2900" customFormat="false" ht="15" hidden="false" customHeight="false" outlineLevel="0" collapsed="false">
      <c r="A2900" s="0" t="s">
        <v>4096</v>
      </c>
      <c r="B2900" s="0" t="s">
        <v>720</v>
      </c>
      <c r="C2900" s="0" t="s">
        <v>663</v>
      </c>
      <c r="D2900" s="0" t="n">
        <v>0</v>
      </c>
      <c r="E2900" s="0" t="n">
        <v>1.428054054</v>
      </c>
      <c r="F2900" s="0" t="n">
        <v>6.314930312</v>
      </c>
      <c r="G2900" s="0" t="n">
        <v>-7.817350605</v>
      </c>
      <c r="H2900" s="0" t="n">
        <v>-22.69355706</v>
      </c>
    </row>
    <row r="2901" customFormat="false" ht="15" hidden="false" customHeight="false" outlineLevel="0" collapsed="false">
      <c r="A2901" s="0" t="s">
        <v>4097</v>
      </c>
      <c r="B2901" s="0" t="s">
        <v>970</v>
      </c>
      <c r="C2901" s="0" t="s">
        <v>663</v>
      </c>
      <c r="D2901" s="0" t="n">
        <v>0</v>
      </c>
      <c r="E2901" s="0" t="n">
        <v>0.008602300132</v>
      </c>
      <c r="F2901" s="0" t="n">
        <v>0.004235954122</v>
      </c>
      <c r="G2901" s="0" t="n">
        <v>-0.4141702935</v>
      </c>
      <c r="H2901" s="0" t="n">
        <v>-0.843916051</v>
      </c>
    </row>
    <row r="2902" customFormat="false" ht="15" hidden="false" customHeight="false" outlineLevel="0" collapsed="false">
      <c r="A2902" s="0" t="s">
        <v>4098</v>
      </c>
      <c r="B2902" s="0" t="s">
        <v>918</v>
      </c>
      <c r="C2902" s="0" t="s">
        <v>663</v>
      </c>
      <c r="D2902" s="0" t="n">
        <v>0</v>
      </c>
      <c r="E2902" s="0" t="n">
        <v>0.108447189</v>
      </c>
      <c r="F2902" s="0" t="n">
        <v>0.5889597707</v>
      </c>
      <c r="G2902" s="0" t="n">
        <v>-0.0518414686</v>
      </c>
      <c r="H2902" s="0" t="n">
        <v>-1.037287554</v>
      </c>
    </row>
    <row r="2903" customFormat="false" ht="15" hidden="false" customHeight="false" outlineLevel="0" collapsed="false">
      <c r="A2903" s="0" t="s">
        <v>4099</v>
      </c>
      <c r="B2903" s="0" t="s">
        <v>936</v>
      </c>
      <c r="C2903" s="0" t="s">
        <v>663</v>
      </c>
      <c r="D2903" s="0" t="n">
        <v>0</v>
      </c>
      <c r="E2903" s="0" t="n">
        <v>-0.01079087497</v>
      </c>
      <c r="F2903" s="0" t="n">
        <v>-0.06799077178</v>
      </c>
      <c r="G2903" s="0" t="n">
        <v>-0.165100146</v>
      </c>
      <c r="H2903" s="0" t="n">
        <v>-0.1674600335</v>
      </c>
    </row>
    <row r="2904" customFormat="false" ht="15" hidden="false" customHeight="false" outlineLevel="0" collapsed="false">
      <c r="A2904" s="0" t="s">
        <v>4100</v>
      </c>
      <c r="B2904" s="0" t="s">
        <v>862</v>
      </c>
      <c r="C2904" s="0" t="s">
        <v>663</v>
      </c>
      <c r="D2904" s="0" t="n">
        <v>0</v>
      </c>
      <c r="E2904" s="0" t="n">
        <v>1.49596637</v>
      </c>
      <c r="F2904" s="0" t="n">
        <v>8.903159546</v>
      </c>
      <c r="G2904" s="0" t="n">
        <v>9.424480393</v>
      </c>
      <c r="H2904" s="0" t="n">
        <v>9.799786319</v>
      </c>
    </row>
    <row r="2905" customFormat="false" ht="15" hidden="false" customHeight="false" outlineLevel="0" collapsed="false">
      <c r="A2905" s="0" t="s">
        <v>4101</v>
      </c>
      <c r="B2905" s="0" t="s">
        <v>996</v>
      </c>
      <c r="C2905" s="0" t="s">
        <v>663</v>
      </c>
      <c r="D2905" s="0" t="n">
        <v>0</v>
      </c>
      <c r="E2905" s="0" t="n">
        <v>-0.0001744856482</v>
      </c>
      <c r="F2905" s="0" t="n">
        <v>-0.009986276624</v>
      </c>
      <c r="G2905" s="0" t="n">
        <v>-0.1094259542</v>
      </c>
      <c r="H2905" s="0" t="n">
        <v>-0.207181511</v>
      </c>
    </row>
    <row r="2906" customFormat="false" ht="15" hidden="false" customHeight="false" outlineLevel="0" collapsed="false">
      <c r="A2906" s="0" t="s">
        <v>4102</v>
      </c>
      <c r="B2906" s="0" t="s">
        <v>928</v>
      </c>
      <c r="C2906" s="0" t="s">
        <v>663</v>
      </c>
      <c r="D2906" s="0" t="n">
        <v>0</v>
      </c>
      <c r="E2906" s="0" t="n">
        <v>0.2648142231</v>
      </c>
      <c r="F2906" s="0" t="n">
        <v>1.504542103</v>
      </c>
      <c r="G2906" s="0" t="n">
        <v>0.8725864502</v>
      </c>
      <c r="H2906" s="0" t="n">
        <v>0.05176531658</v>
      </c>
    </row>
    <row r="2907" customFormat="false" ht="15" hidden="false" customHeight="false" outlineLevel="0" collapsed="false">
      <c r="A2907" s="0" t="s">
        <v>4103</v>
      </c>
      <c r="B2907" s="0" t="s">
        <v>954</v>
      </c>
      <c r="C2907" s="0" t="s">
        <v>663</v>
      </c>
      <c r="D2907" s="0" t="n">
        <v>0</v>
      </c>
      <c r="E2907" s="0" t="n">
        <v>0.6260018959</v>
      </c>
      <c r="F2907" s="0" t="n">
        <v>3.724560477</v>
      </c>
      <c r="G2907" s="0" t="n">
        <v>3.658824418</v>
      </c>
      <c r="H2907" s="0" t="n">
        <v>3.632759326</v>
      </c>
    </row>
    <row r="2908" customFormat="false" ht="15" hidden="false" customHeight="false" outlineLevel="0" collapsed="false">
      <c r="A2908" s="0" t="s">
        <v>4104</v>
      </c>
      <c r="B2908" s="0" t="s">
        <v>988</v>
      </c>
      <c r="C2908" s="0" t="s">
        <v>663</v>
      </c>
      <c r="D2908" s="0" t="n">
        <v>0</v>
      </c>
      <c r="E2908" s="0" t="n">
        <v>0.03626597049</v>
      </c>
      <c r="F2908" s="0" t="n">
        <v>0.1868947112</v>
      </c>
      <c r="G2908" s="0" t="n">
        <v>-0.07424543469</v>
      </c>
      <c r="H2908" s="0" t="n">
        <v>-0.4449400057</v>
      </c>
    </row>
    <row r="2909" customFormat="false" ht="15" hidden="false" customHeight="false" outlineLevel="0" collapsed="false">
      <c r="A2909" s="0" t="s">
        <v>4105</v>
      </c>
      <c r="B2909" s="0" t="s">
        <v>974</v>
      </c>
      <c r="C2909" s="0" t="s">
        <v>663</v>
      </c>
      <c r="D2909" s="0" t="n">
        <v>0</v>
      </c>
      <c r="E2909" s="0" t="n">
        <v>-0.009352510707</v>
      </c>
      <c r="F2909" s="0" t="n">
        <v>-0.08168003158</v>
      </c>
      <c r="G2909" s="0" t="n">
        <v>-0.4607305684</v>
      </c>
      <c r="H2909" s="0" t="n">
        <v>-0.8313719308</v>
      </c>
    </row>
    <row r="2910" customFormat="false" ht="15" hidden="false" customHeight="false" outlineLevel="0" collapsed="false">
      <c r="A2910" s="0" t="s">
        <v>4106</v>
      </c>
      <c r="B2910" s="0" t="s">
        <v>992</v>
      </c>
      <c r="C2910" s="0" t="s">
        <v>663</v>
      </c>
      <c r="D2910" s="0" t="n">
        <v>0</v>
      </c>
      <c r="E2910" s="0" t="n">
        <v>0.1195027925</v>
      </c>
      <c r="F2910" s="0" t="n">
        <v>0.7019233488</v>
      </c>
      <c r="G2910" s="0" t="n">
        <v>0.7798015413</v>
      </c>
      <c r="H2910" s="0" t="n">
        <v>0.8214907061</v>
      </c>
    </row>
    <row r="2911" customFormat="false" ht="15" hidden="false" customHeight="false" outlineLevel="0" collapsed="false">
      <c r="A2911" s="0" t="s">
        <v>4107</v>
      </c>
      <c r="B2911" s="0" t="s">
        <v>760</v>
      </c>
      <c r="C2911" s="0" t="s">
        <v>663</v>
      </c>
      <c r="D2911" s="0" t="n">
        <v>0</v>
      </c>
      <c r="E2911" s="0" t="n">
        <v>0.5198766243</v>
      </c>
      <c r="F2911" s="0" t="n">
        <v>1.543386845</v>
      </c>
      <c r="G2911" s="0" t="n">
        <v>-12.67803438</v>
      </c>
      <c r="H2911" s="0" t="n">
        <v>-26.13548097</v>
      </c>
    </row>
    <row r="2912" customFormat="false" ht="15" hidden="false" customHeight="false" outlineLevel="0" collapsed="false">
      <c r="A2912" s="0" t="s">
        <v>4108</v>
      </c>
      <c r="B2912" s="0" t="s">
        <v>982</v>
      </c>
      <c r="C2912" s="0" t="s">
        <v>663</v>
      </c>
      <c r="D2912" s="0" t="n">
        <v>0</v>
      </c>
      <c r="E2912" s="0" t="n">
        <v>0.1059106017</v>
      </c>
      <c r="F2912" s="0" t="n">
        <v>0.6085978441</v>
      </c>
      <c r="G2912" s="0" t="n">
        <v>0.4031843347</v>
      </c>
      <c r="H2912" s="0" t="n">
        <v>0.1858285685</v>
      </c>
    </row>
    <row r="2913" customFormat="false" ht="15" hidden="false" customHeight="false" outlineLevel="0" collapsed="false">
      <c r="A2913" s="0" t="s">
        <v>4109</v>
      </c>
      <c r="B2913" s="0" t="s">
        <v>940</v>
      </c>
      <c r="C2913" s="0" t="s">
        <v>663</v>
      </c>
      <c r="D2913" s="0" t="n">
        <v>0</v>
      </c>
      <c r="E2913" s="0" t="n">
        <v>0.1106614897</v>
      </c>
      <c r="F2913" s="0" t="n">
        <v>0.6373000521</v>
      </c>
      <c r="G2913" s="0" t="n">
        <v>0.5748667708</v>
      </c>
      <c r="H2913" s="0" t="n">
        <v>0.4116757556</v>
      </c>
    </row>
    <row r="2914" customFormat="false" ht="15" hidden="false" customHeight="false" outlineLevel="0" collapsed="false">
      <c r="A2914" s="0" t="s">
        <v>4110</v>
      </c>
      <c r="B2914" s="0" t="s">
        <v>792</v>
      </c>
      <c r="C2914" s="0" t="s">
        <v>663</v>
      </c>
      <c r="D2914" s="0" t="n">
        <v>0</v>
      </c>
      <c r="E2914" s="0" t="n">
        <v>1.183907732</v>
      </c>
      <c r="F2914" s="0" t="n">
        <v>6.020743436</v>
      </c>
      <c r="G2914" s="0" t="n">
        <v>-0.9536800555</v>
      </c>
      <c r="H2914" s="0" t="n">
        <v>-9.237146906</v>
      </c>
    </row>
    <row r="2915" customFormat="false" ht="15" hidden="false" customHeight="false" outlineLevel="0" collapsed="false">
      <c r="A2915" s="0" t="s">
        <v>4111</v>
      </c>
      <c r="B2915" s="0" t="s">
        <v>948</v>
      </c>
      <c r="C2915" s="0" t="s">
        <v>663</v>
      </c>
      <c r="D2915" s="0" t="n">
        <v>0</v>
      </c>
      <c r="E2915" s="0" t="n">
        <v>0.1872862161</v>
      </c>
      <c r="F2915" s="0" t="n">
        <v>1.080904088</v>
      </c>
      <c r="G2915" s="0" t="n">
        <v>0.6182213533</v>
      </c>
      <c r="H2915" s="0" t="n">
        <v>0.02022585205</v>
      </c>
    </row>
    <row r="2916" customFormat="false" ht="15" hidden="false" customHeight="false" outlineLevel="0" collapsed="false">
      <c r="A2916" s="0" t="s">
        <v>4112</v>
      </c>
      <c r="B2916" s="0" t="s">
        <v>730</v>
      </c>
      <c r="C2916" s="0" t="s">
        <v>663</v>
      </c>
      <c r="D2916" s="0" t="n">
        <v>0</v>
      </c>
      <c r="E2916" s="0" t="n">
        <v>0.2548541162</v>
      </c>
      <c r="F2916" s="0" t="n">
        <v>1.462542244</v>
      </c>
      <c r="G2916" s="0" t="n">
        <v>2.714153453</v>
      </c>
      <c r="H2916" s="0" t="n">
        <v>5.623051512</v>
      </c>
    </row>
    <row r="2917" customFormat="false" ht="15" hidden="false" customHeight="false" outlineLevel="0" collapsed="false">
      <c r="A2917" s="0" t="s">
        <v>4113</v>
      </c>
      <c r="B2917" s="0" t="s">
        <v>762</v>
      </c>
      <c r="C2917" s="0" t="s">
        <v>663</v>
      </c>
      <c r="D2917" s="0" t="n">
        <v>0</v>
      </c>
      <c r="E2917" s="0" t="n">
        <v>0.2607876113</v>
      </c>
      <c r="F2917" s="0" t="n">
        <v>1.571997914</v>
      </c>
      <c r="G2917" s="0" t="n">
        <v>3.805837448</v>
      </c>
      <c r="H2917" s="0" t="n">
        <v>6.495890491</v>
      </c>
    </row>
    <row r="2918" customFormat="false" ht="15" hidden="false" customHeight="false" outlineLevel="0" collapsed="false">
      <c r="A2918" s="0" t="s">
        <v>4114</v>
      </c>
      <c r="B2918" s="0" t="s">
        <v>892</v>
      </c>
      <c r="C2918" s="0" t="s">
        <v>663</v>
      </c>
      <c r="D2918" s="0" t="n">
        <v>0</v>
      </c>
      <c r="E2918" s="0" t="n">
        <v>0.1062602821</v>
      </c>
      <c r="F2918" s="0" t="n">
        <v>0.5322589147</v>
      </c>
      <c r="G2918" s="0" t="n">
        <v>-0.2138648157</v>
      </c>
      <c r="H2918" s="0" t="n">
        <v>-1.266948155</v>
      </c>
    </row>
    <row r="2919" customFormat="false" ht="15" hidden="false" customHeight="false" outlineLevel="0" collapsed="false">
      <c r="A2919" s="0" t="s">
        <v>4115</v>
      </c>
      <c r="B2919" s="0" t="s">
        <v>1064</v>
      </c>
      <c r="C2919" s="0" t="s">
        <v>663</v>
      </c>
      <c r="D2919" s="0" t="n">
        <v>0</v>
      </c>
      <c r="E2919" s="0" t="n">
        <v>0.0006887140706</v>
      </c>
      <c r="F2919" s="0" t="n">
        <v>0.003863145188</v>
      </c>
      <c r="G2919" s="0" t="n">
        <v>0.005045785706</v>
      </c>
      <c r="H2919" s="0" t="n">
        <v>0.00660387865</v>
      </c>
    </row>
    <row r="2920" customFormat="false" ht="15" hidden="false" customHeight="false" outlineLevel="0" collapsed="false">
      <c r="A2920" s="0" t="s">
        <v>4116</v>
      </c>
      <c r="B2920" s="0" t="s">
        <v>796</v>
      </c>
      <c r="C2920" s="0" t="s">
        <v>663</v>
      </c>
      <c r="D2920" s="0" t="n">
        <v>0</v>
      </c>
      <c r="E2920" s="0" t="n">
        <v>0.1452413958</v>
      </c>
      <c r="F2920" s="0" t="n">
        <v>0.8297731884</v>
      </c>
      <c r="G2920" s="0" t="n">
        <v>0.8479313621</v>
      </c>
      <c r="H2920" s="0" t="n">
        <v>1.378048393</v>
      </c>
    </row>
    <row r="2921" customFormat="false" ht="15" hidden="false" customHeight="false" outlineLevel="0" collapsed="false">
      <c r="A2921" s="0" t="s">
        <v>4117</v>
      </c>
      <c r="B2921" s="0" t="s">
        <v>832</v>
      </c>
      <c r="C2921" s="0" t="s">
        <v>663</v>
      </c>
      <c r="D2921" s="0" t="n">
        <v>0</v>
      </c>
      <c r="E2921" s="0" t="n">
        <v>0.3719941576</v>
      </c>
      <c r="F2921" s="0" t="n">
        <v>2.018149034</v>
      </c>
      <c r="G2921" s="0" t="n">
        <v>2.859897499</v>
      </c>
      <c r="H2921" s="0" t="n">
        <v>4.078667731</v>
      </c>
    </row>
    <row r="2922" customFormat="false" ht="15" hidden="false" customHeight="false" outlineLevel="0" collapsed="false">
      <c r="A2922" s="0" t="s">
        <v>4118</v>
      </c>
      <c r="B2922" s="0" t="s">
        <v>772</v>
      </c>
      <c r="C2922" s="0" t="s">
        <v>663</v>
      </c>
      <c r="D2922" s="0" t="n">
        <v>0</v>
      </c>
      <c r="E2922" s="0" t="n">
        <v>0.9928650504</v>
      </c>
      <c r="F2922" s="0" t="n">
        <v>4.931472953</v>
      </c>
      <c r="G2922" s="0" t="n">
        <v>-1.775534147</v>
      </c>
      <c r="H2922" s="0" t="n">
        <v>-10.34748316</v>
      </c>
    </row>
    <row r="2923" customFormat="false" ht="15" hidden="false" customHeight="false" outlineLevel="0" collapsed="false">
      <c r="A2923" s="0" t="s">
        <v>4119</v>
      </c>
      <c r="B2923" s="0" t="s">
        <v>848</v>
      </c>
      <c r="C2923" s="0" t="s">
        <v>663</v>
      </c>
      <c r="D2923" s="0" t="n">
        <v>0</v>
      </c>
      <c r="E2923" s="0" t="n">
        <v>0.03710160055</v>
      </c>
      <c r="F2923" s="0" t="n">
        <v>0.1333791094</v>
      </c>
      <c r="G2923" s="0" t="n">
        <v>-0.8072218081</v>
      </c>
      <c r="H2923" s="0" t="n">
        <v>-1.548764285</v>
      </c>
    </row>
    <row r="2924" customFormat="false" ht="15" hidden="false" customHeight="false" outlineLevel="0" collapsed="false">
      <c r="A2924" s="0" t="s">
        <v>4120</v>
      </c>
      <c r="B2924" s="0" t="s">
        <v>784</v>
      </c>
      <c r="C2924" s="0" t="s">
        <v>663</v>
      </c>
      <c r="D2924" s="0" t="n">
        <v>0</v>
      </c>
      <c r="E2924" s="0" t="n">
        <v>0.5971152008</v>
      </c>
      <c r="F2924" s="0" t="n">
        <v>3.078405367</v>
      </c>
      <c r="G2924" s="0" t="n">
        <v>-3.234167165</v>
      </c>
      <c r="H2924" s="0" t="n">
        <v>-10.66254371</v>
      </c>
    </row>
    <row r="2925" customFormat="false" ht="15" hidden="false" customHeight="false" outlineLevel="0" collapsed="false">
      <c r="A2925" s="0" t="s">
        <v>4121</v>
      </c>
      <c r="B2925" s="0" t="s">
        <v>754</v>
      </c>
      <c r="C2925" s="0" t="s">
        <v>663</v>
      </c>
      <c r="D2925" s="0" t="n">
        <v>0</v>
      </c>
      <c r="E2925" s="0" t="n">
        <v>-0.2698290009</v>
      </c>
      <c r="F2925" s="0" t="n">
        <v>-2.741381126</v>
      </c>
      <c r="G2925" s="0" t="n">
        <v>-17.78508711</v>
      </c>
      <c r="H2925" s="0" t="n">
        <v>-37.28521891</v>
      </c>
    </row>
    <row r="2926" customFormat="false" ht="15" hidden="false" customHeight="false" outlineLevel="0" collapsed="false">
      <c r="A2926" s="0" t="s">
        <v>4122</v>
      </c>
      <c r="B2926" s="0" t="s">
        <v>1062</v>
      </c>
      <c r="C2926" s="0" t="s">
        <v>663</v>
      </c>
      <c r="D2926" s="0" t="n">
        <v>0</v>
      </c>
      <c r="E2926" s="0" t="n">
        <v>0.003921453118</v>
      </c>
      <c r="F2926" s="0" t="n">
        <v>0.02259819962</v>
      </c>
      <c r="G2926" s="0" t="n">
        <v>0.04281597514</v>
      </c>
      <c r="H2926" s="0" t="n">
        <v>0.0646228897</v>
      </c>
    </row>
    <row r="2927" customFormat="false" ht="15" hidden="false" customHeight="false" outlineLevel="0" collapsed="false">
      <c r="A2927" s="0" t="s">
        <v>4123</v>
      </c>
      <c r="B2927" s="0" t="s">
        <v>912</v>
      </c>
      <c r="C2927" s="0" t="s">
        <v>663</v>
      </c>
      <c r="D2927" s="0" t="n">
        <v>0</v>
      </c>
      <c r="E2927" s="0" t="n">
        <v>0.2896681675</v>
      </c>
      <c r="F2927" s="0" t="n">
        <v>1.69483376</v>
      </c>
      <c r="G2927" s="0" t="n">
        <v>1.325401017</v>
      </c>
      <c r="H2927" s="0" t="n">
        <v>0.8082174765</v>
      </c>
    </row>
    <row r="2928" customFormat="false" ht="15" hidden="false" customHeight="false" outlineLevel="0" collapsed="false">
      <c r="A2928" s="0" t="s">
        <v>4124</v>
      </c>
      <c r="B2928" s="0" t="s">
        <v>732</v>
      </c>
      <c r="C2928" s="0" t="s">
        <v>663</v>
      </c>
      <c r="D2928" s="0" t="n">
        <v>0</v>
      </c>
      <c r="E2928" s="0" t="n">
        <v>-0.79141129</v>
      </c>
      <c r="F2928" s="0" t="n">
        <v>-6.644315272</v>
      </c>
      <c r="G2928" s="0" t="n">
        <v>-31.44377447</v>
      </c>
      <c r="H2928" s="0" t="n">
        <v>-51.15048603</v>
      </c>
    </row>
    <row r="2929" customFormat="false" ht="15" hidden="false" customHeight="false" outlineLevel="0" collapsed="false">
      <c r="A2929" s="0" t="s">
        <v>4125</v>
      </c>
      <c r="B2929" s="0" t="s">
        <v>834</v>
      </c>
      <c r="C2929" s="0" t="s">
        <v>663</v>
      </c>
      <c r="D2929" s="0" t="n">
        <v>0</v>
      </c>
      <c r="E2929" s="0" t="n">
        <v>0.04175325045</v>
      </c>
      <c r="F2929" s="0" t="n">
        <v>0.2116103277</v>
      </c>
      <c r="G2929" s="0" t="n">
        <v>0.1015705221</v>
      </c>
      <c r="H2929" s="0" t="n">
        <v>0.2189110872</v>
      </c>
    </row>
    <row r="2930" customFormat="false" ht="15" hidden="false" customHeight="false" outlineLevel="0" collapsed="false">
      <c r="A2930" s="0" t="s">
        <v>4126</v>
      </c>
      <c r="B2930" s="0" t="s">
        <v>786</v>
      </c>
      <c r="C2930" s="0" t="s">
        <v>663</v>
      </c>
      <c r="D2930" s="0" t="n">
        <v>0</v>
      </c>
      <c r="E2930" s="0" t="n">
        <v>0.05595864423</v>
      </c>
      <c r="F2930" s="0" t="n">
        <v>0.1612619779</v>
      </c>
      <c r="G2930" s="0" t="n">
        <v>-0.9426530926</v>
      </c>
      <c r="H2930" s="0" t="n">
        <v>-1.196759</v>
      </c>
    </row>
    <row r="2931" customFormat="false" ht="15" hidden="false" customHeight="false" outlineLevel="0" collapsed="false">
      <c r="A2931" s="0" t="s">
        <v>4127</v>
      </c>
      <c r="B2931" s="0" t="s">
        <v>888</v>
      </c>
      <c r="C2931" s="0" t="s">
        <v>663</v>
      </c>
      <c r="D2931" s="0" t="n">
        <v>0</v>
      </c>
      <c r="E2931" s="0" t="n">
        <v>0.4434791209</v>
      </c>
      <c r="F2931" s="0" t="n">
        <v>2.529955437</v>
      </c>
      <c r="G2931" s="0" t="n">
        <v>1.979147146</v>
      </c>
      <c r="H2931" s="0" t="n">
        <v>1.536275441</v>
      </c>
    </row>
    <row r="2932" customFormat="false" ht="15" hidden="false" customHeight="false" outlineLevel="0" collapsed="false">
      <c r="A2932" s="0" t="s">
        <v>4128</v>
      </c>
      <c r="B2932" s="0" t="s">
        <v>816</v>
      </c>
      <c r="C2932" s="0" t="s">
        <v>663</v>
      </c>
      <c r="D2932" s="0" t="n">
        <v>0</v>
      </c>
      <c r="E2932" s="0" t="n">
        <v>0.7065852236</v>
      </c>
      <c r="F2932" s="0" t="n">
        <v>3.390209762</v>
      </c>
      <c r="G2932" s="0" t="n">
        <v>6.394359547</v>
      </c>
      <c r="H2932" s="0" t="n">
        <v>9.957986029</v>
      </c>
    </row>
    <row r="2933" customFormat="false" ht="15" hidden="false" customHeight="false" outlineLevel="0" collapsed="false">
      <c r="A2933" s="0" t="s">
        <v>4129</v>
      </c>
      <c r="B2933" s="0" t="s">
        <v>776</v>
      </c>
      <c r="C2933" s="0" t="s">
        <v>663</v>
      </c>
      <c r="D2933" s="0" t="n">
        <v>0</v>
      </c>
      <c r="E2933" s="0" t="n">
        <v>0.0917252932</v>
      </c>
      <c r="F2933" s="0" t="n">
        <v>0.1244129769</v>
      </c>
      <c r="G2933" s="0" t="n">
        <v>-3.334040142</v>
      </c>
      <c r="H2933" s="0" t="n">
        <v>-7.016621592</v>
      </c>
    </row>
    <row r="2934" customFormat="false" ht="15" hidden="false" customHeight="false" outlineLevel="0" collapsed="false">
      <c r="A2934" s="0" t="s">
        <v>4130</v>
      </c>
      <c r="B2934" s="0" t="s">
        <v>714</v>
      </c>
      <c r="C2934" s="0" t="s">
        <v>663</v>
      </c>
      <c r="D2934" s="0" t="n">
        <v>0</v>
      </c>
      <c r="E2934" s="0" t="n">
        <v>3.991515754</v>
      </c>
      <c r="F2934" s="0" t="n">
        <v>17.48179124</v>
      </c>
      <c r="G2934" s="0" t="n">
        <v>6.597641264</v>
      </c>
      <c r="H2934" s="0" t="n">
        <v>7.020615759</v>
      </c>
    </row>
    <row r="2935" customFormat="false" ht="15" hidden="false" customHeight="false" outlineLevel="0" collapsed="false">
      <c r="A2935" s="0" t="s">
        <v>4131</v>
      </c>
      <c r="B2935" s="0" t="s">
        <v>958</v>
      </c>
      <c r="C2935" s="0" t="s">
        <v>663</v>
      </c>
      <c r="D2935" s="0" t="n">
        <v>0</v>
      </c>
      <c r="E2935" s="0" t="n">
        <v>0.02797070896</v>
      </c>
      <c r="F2935" s="0" t="n">
        <v>0.1530116302</v>
      </c>
      <c r="G2935" s="0" t="n">
        <v>0.02460329731</v>
      </c>
      <c r="H2935" s="0" t="n">
        <v>-0.1566242729</v>
      </c>
    </row>
    <row r="2936" customFormat="false" ht="15" hidden="false" customHeight="false" outlineLevel="0" collapsed="false">
      <c r="A2936" s="0" t="s">
        <v>4132</v>
      </c>
      <c r="B2936" s="0" t="s">
        <v>728</v>
      </c>
      <c r="C2936" s="0" t="s">
        <v>663</v>
      </c>
      <c r="D2936" s="0" t="n">
        <v>0</v>
      </c>
      <c r="E2936" s="0" t="n">
        <v>-0.09153376772</v>
      </c>
      <c r="F2936" s="0" t="n">
        <v>-4.031370411</v>
      </c>
      <c r="G2936" s="0" t="n">
        <v>-38.90866752</v>
      </c>
      <c r="H2936" s="0" t="n">
        <v>-64.24123804</v>
      </c>
    </row>
    <row r="2937" customFormat="false" ht="15" hidden="false" customHeight="false" outlineLevel="0" collapsed="false">
      <c r="A2937" s="0" t="s">
        <v>4133</v>
      </c>
      <c r="B2937" s="0" t="s">
        <v>932</v>
      </c>
      <c r="C2937" s="0" t="s">
        <v>663</v>
      </c>
      <c r="D2937" s="0" t="n">
        <v>0</v>
      </c>
      <c r="E2937" s="0" t="n">
        <v>0.4767544561</v>
      </c>
      <c r="F2937" s="0" t="n">
        <v>2.693254934</v>
      </c>
      <c r="G2937" s="0" t="n">
        <v>2.271463591</v>
      </c>
      <c r="H2937" s="0" t="n">
        <v>1.709535717</v>
      </c>
    </row>
    <row r="2938" customFormat="false" ht="15" hidden="false" customHeight="false" outlineLevel="0" collapsed="false">
      <c r="A2938" s="0" t="s">
        <v>4134</v>
      </c>
      <c r="B2938" s="0" t="s">
        <v>910</v>
      </c>
      <c r="C2938" s="0" t="s">
        <v>663</v>
      </c>
      <c r="D2938" s="0" t="n">
        <v>0</v>
      </c>
      <c r="E2938" s="0" t="n">
        <v>0.05894039158</v>
      </c>
      <c r="F2938" s="0" t="n">
        <v>0.2608111965</v>
      </c>
      <c r="G2938" s="0" t="n">
        <v>-0.8920310858</v>
      </c>
      <c r="H2938" s="0" t="n">
        <v>-2.431119344</v>
      </c>
    </row>
    <row r="2939" customFormat="false" ht="15" hidden="false" customHeight="false" outlineLevel="0" collapsed="false">
      <c r="A2939" s="0" t="s">
        <v>4135</v>
      </c>
      <c r="B2939" s="0" t="s">
        <v>740</v>
      </c>
      <c r="C2939" s="0" t="s">
        <v>663</v>
      </c>
      <c r="D2939" s="0" t="n">
        <v>0</v>
      </c>
      <c r="E2939" s="0" t="n">
        <v>-0.9019314356</v>
      </c>
      <c r="F2939" s="0" t="n">
        <v>-6.795370992</v>
      </c>
      <c r="G2939" s="0" t="n">
        <v>-15.93386111</v>
      </c>
      <c r="H2939" s="0" t="n">
        <v>-16.55541922</v>
      </c>
    </row>
    <row r="2940" customFormat="false" ht="15" hidden="false" customHeight="false" outlineLevel="0" collapsed="false">
      <c r="A2940" s="0" t="s">
        <v>4136</v>
      </c>
      <c r="B2940" s="0" t="s">
        <v>1042</v>
      </c>
      <c r="C2940" s="0" t="s">
        <v>663</v>
      </c>
      <c r="D2940" s="0" t="n">
        <v>0</v>
      </c>
      <c r="E2940" s="0" t="n">
        <v>0.361235862</v>
      </c>
      <c r="F2940" s="0" t="n">
        <v>2.166513414</v>
      </c>
      <c r="G2940" s="0" t="n">
        <v>2.148510165</v>
      </c>
      <c r="H2940" s="0" t="n">
        <v>2.125204334</v>
      </c>
    </row>
    <row r="2941" customFormat="false" ht="15" hidden="false" customHeight="false" outlineLevel="0" collapsed="false">
      <c r="A2941" s="0" t="s">
        <v>4137</v>
      </c>
      <c r="B2941" s="0" t="s">
        <v>998</v>
      </c>
      <c r="C2941" s="0" t="s">
        <v>663</v>
      </c>
      <c r="D2941" s="0" t="n">
        <v>0</v>
      </c>
      <c r="E2941" s="0" t="n">
        <v>0.03753994508</v>
      </c>
      <c r="F2941" s="0" t="n">
        <v>0.2074664859</v>
      </c>
      <c r="G2941" s="0" t="n">
        <v>0.03721412621</v>
      </c>
      <c r="H2941" s="0" t="n">
        <v>-0.2197677747</v>
      </c>
    </row>
    <row r="2942" customFormat="false" ht="15" hidden="false" customHeight="false" outlineLevel="0" collapsed="false">
      <c r="A2942" s="0" t="s">
        <v>4138</v>
      </c>
      <c r="B2942" s="0" t="s">
        <v>908</v>
      </c>
      <c r="C2942" s="0" t="s">
        <v>663</v>
      </c>
      <c r="D2942" s="0" t="n">
        <v>0</v>
      </c>
      <c r="E2942" s="0" t="n">
        <v>0.006723754584</v>
      </c>
      <c r="F2942" s="0" t="n">
        <v>-0.02304428288</v>
      </c>
      <c r="G2942" s="0" t="n">
        <v>-0.8610327903</v>
      </c>
      <c r="H2942" s="0" t="n">
        <v>-1.904130835</v>
      </c>
    </row>
    <row r="2943" customFormat="false" ht="15" hidden="false" customHeight="false" outlineLevel="0" collapsed="false">
      <c r="A2943" s="0" t="s">
        <v>4139</v>
      </c>
      <c r="B2943" s="0" t="s">
        <v>984</v>
      </c>
      <c r="C2943" s="0" t="s">
        <v>663</v>
      </c>
      <c r="D2943" s="0" t="n">
        <v>0</v>
      </c>
      <c r="E2943" s="0" t="n">
        <v>0.2254012674</v>
      </c>
      <c r="F2943" s="0" t="n">
        <v>1.344643055</v>
      </c>
      <c r="G2943" s="0" t="n">
        <v>1.521811646</v>
      </c>
      <c r="H2943" s="0" t="n">
        <v>1.666517169</v>
      </c>
    </row>
    <row r="2944" customFormat="false" ht="15" hidden="false" customHeight="false" outlineLevel="0" collapsed="false">
      <c r="A2944" s="0" t="s">
        <v>4140</v>
      </c>
      <c r="B2944" s="0" t="s">
        <v>852</v>
      </c>
      <c r="C2944" s="0" t="s">
        <v>663</v>
      </c>
      <c r="D2944" s="0" t="n">
        <v>0</v>
      </c>
      <c r="E2944" s="0" t="n">
        <v>-0.07339996685</v>
      </c>
      <c r="F2944" s="0" t="n">
        <v>-0.5960108565</v>
      </c>
      <c r="G2944" s="0" t="n">
        <v>-2.776260234</v>
      </c>
      <c r="H2944" s="0" t="n">
        <v>-5.128479461</v>
      </c>
    </row>
    <row r="2945" customFormat="false" ht="15" hidden="false" customHeight="false" outlineLevel="0" collapsed="false">
      <c r="A2945" s="0" t="s">
        <v>4141</v>
      </c>
      <c r="B2945" s="0" t="s">
        <v>1056</v>
      </c>
      <c r="C2945" s="0" t="s">
        <v>663</v>
      </c>
      <c r="D2945" s="0" t="n">
        <v>0</v>
      </c>
      <c r="E2945" s="0" t="n">
        <v>0.002607421577</v>
      </c>
      <c r="F2945" s="0" t="n">
        <v>0.01464160513</v>
      </c>
      <c r="G2945" s="0" t="n">
        <v>0.00957452607</v>
      </c>
      <c r="H2945" s="0" t="n">
        <v>0.0007548219567</v>
      </c>
    </row>
    <row r="2946" customFormat="false" ht="15" hidden="false" customHeight="false" outlineLevel="0" collapsed="false">
      <c r="A2946" s="0" t="s">
        <v>4142</v>
      </c>
      <c r="B2946" s="0" t="s">
        <v>1016</v>
      </c>
      <c r="C2946" s="0" t="s">
        <v>663</v>
      </c>
      <c r="D2946" s="0" t="n">
        <v>0</v>
      </c>
      <c r="E2946" s="0" t="n">
        <v>0.0795540509</v>
      </c>
      <c r="F2946" s="0" t="n">
        <v>0.4621040107</v>
      </c>
      <c r="G2946" s="0" t="n">
        <v>0.3490564533</v>
      </c>
      <c r="H2946" s="0" t="n">
        <v>0.2141289301</v>
      </c>
    </row>
    <row r="2947" customFormat="false" ht="15" hidden="false" customHeight="false" outlineLevel="0" collapsed="false">
      <c r="A2947" s="0" t="s">
        <v>4143</v>
      </c>
      <c r="B2947" s="0" t="s">
        <v>822</v>
      </c>
      <c r="C2947" s="0" t="s">
        <v>663</v>
      </c>
      <c r="D2947" s="0" t="n">
        <v>0</v>
      </c>
      <c r="E2947" s="0" t="n">
        <v>-0.05301767017</v>
      </c>
      <c r="F2947" s="0" t="n">
        <v>-0.4280583496</v>
      </c>
      <c r="G2947" s="0" t="n">
        <v>-1.55745882</v>
      </c>
      <c r="H2947" s="0" t="n">
        <v>-1.897115719</v>
      </c>
    </row>
    <row r="2948" customFormat="false" ht="15" hidden="false" customHeight="false" outlineLevel="0" collapsed="false">
      <c r="A2948" s="0" t="s">
        <v>4144</v>
      </c>
      <c r="B2948" s="0" t="s">
        <v>870</v>
      </c>
      <c r="C2948" s="0" t="s">
        <v>663</v>
      </c>
      <c r="D2948" s="0" t="n">
        <v>0</v>
      </c>
      <c r="E2948" s="0" t="n">
        <v>0.01163156993</v>
      </c>
      <c r="F2948" s="0" t="n">
        <v>0.02197829432</v>
      </c>
      <c r="G2948" s="0" t="n">
        <v>-0.332929729</v>
      </c>
      <c r="H2948" s="0" t="n">
        <v>-0.4484812479</v>
      </c>
    </row>
    <row r="2949" customFormat="false" ht="15" hidden="false" customHeight="false" outlineLevel="0" collapsed="false">
      <c r="A2949" s="0" t="s">
        <v>4145</v>
      </c>
      <c r="B2949" s="0" t="s">
        <v>746</v>
      </c>
      <c r="C2949" s="0" t="s">
        <v>663</v>
      </c>
      <c r="D2949" s="0" t="n">
        <v>0</v>
      </c>
      <c r="E2949" s="0" t="n">
        <v>0.09763326864</v>
      </c>
      <c r="F2949" s="0" t="n">
        <v>0.5547752295</v>
      </c>
      <c r="G2949" s="0" t="n">
        <v>0.5287866725</v>
      </c>
      <c r="H2949" s="0" t="n">
        <v>1.104023943</v>
      </c>
    </row>
    <row r="2950" customFormat="false" ht="15" hidden="false" customHeight="false" outlineLevel="0" collapsed="false">
      <c r="A2950" s="0" t="s">
        <v>4146</v>
      </c>
      <c r="B2950" s="0" t="s">
        <v>1010</v>
      </c>
      <c r="C2950" s="0" t="s">
        <v>663</v>
      </c>
      <c r="D2950" s="0" t="n">
        <v>0</v>
      </c>
      <c r="E2950" s="0" t="n">
        <v>0.00520012062</v>
      </c>
      <c r="F2950" s="0" t="n">
        <v>0.02098776273</v>
      </c>
      <c r="G2950" s="0" t="n">
        <v>-0.07696603876</v>
      </c>
      <c r="H2950" s="0" t="n">
        <v>-0.1919350432</v>
      </c>
    </row>
    <row r="2951" customFormat="false" ht="15" hidden="false" customHeight="false" outlineLevel="0" collapsed="false">
      <c r="A2951" s="0" t="s">
        <v>4147</v>
      </c>
      <c r="B2951" s="0" t="s">
        <v>1036</v>
      </c>
      <c r="C2951" s="0" t="s">
        <v>663</v>
      </c>
      <c r="D2951" s="0" t="n">
        <v>0</v>
      </c>
      <c r="E2951" s="0" t="n">
        <v>0.001391667038</v>
      </c>
      <c r="F2951" s="0" t="n">
        <v>0.002958745506</v>
      </c>
      <c r="G2951" s="0" t="n">
        <v>-0.03247558302</v>
      </c>
      <c r="H2951" s="0" t="n">
        <v>-0.06223756549</v>
      </c>
    </row>
    <row r="2952" customFormat="false" ht="15" hidden="false" customHeight="false" outlineLevel="0" collapsed="false">
      <c r="A2952" s="0" t="s">
        <v>4148</v>
      </c>
      <c r="B2952" s="0" t="s">
        <v>858</v>
      </c>
      <c r="C2952" s="0" t="s">
        <v>663</v>
      </c>
      <c r="D2952" s="0" t="n">
        <v>0</v>
      </c>
      <c r="E2952" s="0" t="n">
        <v>0.02607639394</v>
      </c>
      <c r="F2952" s="0" t="n">
        <v>0.06642019083</v>
      </c>
      <c r="G2952" s="0" t="n">
        <v>-1.1243103</v>
      </c>
      <c r="H2952" s="0" t="n">
        <v>-2.43651151</v>
      </c>
    </row>
    <row r="2953" customFormat="false" ht="15" hidden="false" customHeight="false" outlineLevel="0" collapsed="false">
      <c r="A2953" s="0" t="s">
        <v>4149</v>
      </c>
      <c r="B2953" s="0" t="s">
        <v>942</v>
      </c>
      <c r="C2953" s="0" t="s">
        <v>663</v>
      </c>
      <c r="D2953" s="0" t="n">
        <v>0</v>
      </c>
      <c r="E2953" s="0" t="n">
        <v>0.4350661007</v>
      </c>
      <c r="F2953" s="0" t="n">
        <v>2.595830236</v>
      </c>
      <c r="G2953" s="0" t="n">
        <v>3.203076624</v>
      </c>
      <c r="H2953" s="0" t="n">
        <v>3.672480025</v>
      </c>
    </row>
    <row r="2954" customFormat="false" ht="15" hidden="false" customHeight="false" outlineLevel="0" collapsed="false">
      <c r="A2954" s="0" t="s">
        <v>4150</v>
      </c>
      <c r="B2954" s="0" t="s">
        <v>986</v>
      </c>
      <c r="C2954" s="0" t="s">
        <v>663</v>
      </c>
      <c r="D2954" s="0" t="n">
        <v>0</v>
      </c>
      <c r="E2954" s="0" t="n">
        <v>0.02701924331</v>
      </c>
      <c r="F2954" s="0" t="n">
        <v>0.1420410043</v>
      </c>
      <c r="G2954" s="0" t="n">
        <v>-0.06837341495</v>
      </c>
      <c r="H2954" s="0" t="n">
        <v>-0.306741357</v>
      </c>
    </row>
    <row r="2955" customFormat="false" ht="15" hidden="false" customHeight="false" outlineLevel="0" collapsed="false">
      <c r="A2955" s="0" t="s">
        <v>4151</v>
      </c>
      <c r="B2955" s="0" t="s">
        <v>752</v>
      </c>
      <c r="C2955" s="0" t="s">
        <v>663</v>
      </c>
      <c r="D2955" s="0" t="n">
        <v>0</v>
      </c>
      <c r="E2955" s="0" t="n">
        <v>0.1333503875</v>
      </c>
      <c r="F2955" s="0" t="n">
        <v>-0.8953532284</v>
      </c>
      <c r="G2955" s="0" t="n">
        <v>-18.37122471</v>
      </c>
      <c r="H2955" s="0" t="n">
        <v>-37.26304354</v>
      </c>
    </row>
    <row r="2956" customFormat="false" ht="15" hidden="false" customHeight="false" outlineLevel="0" collapsed="false">
      <c r="A2956" s="0" t="s">
        <v>4152</v>
      </c>
      <c r="B2956" s="0" t="s">
        <v>968</v>
      </c>
      <c r="C2956" s="0" t="s">
        <v>663</v>
      </c>
      <c r="D2956" s="0" t="n">
        <v>0</v>
      </c>
      <c r="E2956" s="0" t="n">
        <v>0.06164949058</v>
      </c>
      <c r="F2956" s="0" t="n">
        <v>0.2754689092</v>
      </c>
      <c r="G2956" s="0" t="n">
        <v>0.2903485655</v>
      </c>
      <c r="H2956" s="0" t="n">
        <v>0.2545634762</v>
      </c>
    </row>
    <row r="2957" customFormat="false" ht="15" hidden="false" customHeight="false" outlineLevel="0" collapsed="false">
      <c r="A2957" s="0" t="s">
        <v>4153</v>
      </c>
      <c r="B2957" s="0" t="s">
        <v>872</v>
      </c>
      <c r="C2957" s="0" t="s">
        <v>663</v>
      </c>
      <c r="D2957" s="0" t="n">
        <v>0</v>
      </c>
      <c r="E2957" s="0" t="n">
        <v>0.7320859046</v>
      </c>
      <c r="F2957" s="0" t="n">
        <v>3.903797814</v>
      </c>
      <c r="G2957" s="0" t="n">
        <v>6.124942983</v>
      </c>
      <c r="H2957" s="0" t="n">
        <v>7.502685929</v>
      </c>
    </row>
    <row r="2958" customFormat="false" ht="15" hidden="false" customHeight="false" outlineLevel="0" collapsed="false">
      <c r="A2958" s="0" t="s">
        <v>4154</v>
      </c>
      <c r="B2958" s="0" t="s">
        <v>1040</v>
      </c>
      <c r="C2958" s="0" t="s">
        <v>663</v>
      </c>
      <c r="D2958" s="0" t="n">
        <v>0</v>
      </c>
      <c r="E2958" s="0" t="n">
        <v>0.01038743885</v>
      </c>
      <c r="F2958" s="0" t="n">
        <v>0.05238690805</v>
      </c>
      <c r="G2958" s="0" t="n">
        <v>-0.03672653193</v>
      </c>
      <c r="H2958" s="0" t="n">
        <v>-0.1801198219</v>
      </c>
    </row>
    <row r="2959" customFormat="false" ht="15" hidden="false" customHeight="false" outlineLevel="0" collapsed="false">
      <c r="A2959" s="0" t="s">
        <v>4155</v>
      </c>
      <c r="B2959" s="0" t="s">
        <v>1060</v>
      </c>
      <c r="C2959" s="0" t="s">
        <v>663</v>
      </c>
      <c r="D2959" s="0" t="n">
        <v>0</v>
      </c>
      <c r="E2959" s="0" t="n">
        <v>0.0003253734675</v>
      </c>
      <c r="F2959" s="0" t="n">
        <v>0.001120097673</v>
      </c>
      <c r="G2959" s="0" t="n">
        <v>-0.01339038852</v>
      </c>
      <c r="H2959" s="0" t="n">
        <v>-0.02983439277</v>
      </c>
    </row>
    <row r="2960" customFormat="false" ht="15" hidden="false" customHeight="false" outlineLevel="0" collapsed="false">
      <c r="A2960" s="0" t="s">
        <v>4156</v>
      </c>
      <c r="B2960" s="0" t="s">
        <v>944</v>
      </c>
      <c r="C2960" s="0" t="s">
        <v>663</v>
      </c>
      <c r="D2960" s="0" t="n">
        <v>0</v>
      </c>
      <c r="E2960" s="0" t="n">
        <v>0.1070480009</v>
      </c>
      <c r="F2960" s="0" t="n">
        <v>0.5847169801</v>
      </c>
      <c r="G2960" s="0" t="n">
        <v>0.9374754397</v>
      </c>
      <c r="H2960" s="0" t="n">
        <v>1.373599903</v>
      </c>
    </row>
    <row r="2961" customFormat="false" ht="15" hidden="false" customHeight="false" outlineLevel="0" collapsed="false">
      <c r="A2961" s="0" t="s">
        <v>4157</v>
      </c>
      <c r="B2961" s="0" t="s">
        <v>884</v>
      </c>
      <c r="C2961" s="0" t="s">
        <v>663</v>
      </c>
      <c r="D2961" s="0" t="n">
        <v>0</v>
      </c>
      <c r="E2961" s="0" t="n">
        <v>0.03883587424</v>
      </c>
      <c r="F2961" s="0" t="n">
        <v>0.09510200195</v>
      </c>
      <c r="G2961" s="0" t="n">
        <v>-0.9081844367</v>
      </c>
      <c r="H2961" s="0" t="n">
        <v>-1.981819097</v>
      </c>
    </row>
    <row r="2962" customFormat="false" ht="15" hidden="false" customHeight="false" outlineLevel="0" collapsed="false">
      <c r="A2962" s="0" t="s">
        <v>4158</v>
      </c>
      <c r="B2962" s="0" t="s">
        <v>726</v>
      </c>
      <c r="C2962" s="0" t="s">
        <v>663</v>
      </c>
      <c r="D2962" s="0" t="n">
        <v>0</v>
      </c>
      <c r="E2962" s="0" t="n">
        <v>-1.570677249</v>
      </c>
      <c r="F2962" s="0" t="n">
        <v>-11.90940122</v>
      </c>
      <c r="G2962" s="0" t="n">
        <v>-50.19906079</v>
      </c>
      <c r="H2962" s="0" t="n">
        <v>-91.38727527</v>
      </c>
    </row>
    <row r="2963" customFormat="false" ht="15" hidden="false" customHeight="false" outlineLevel="0" collapsed="false">
      <c r="A2963" s="0" t="s">
        <v>4159</v>
      </c>
      <c r="B2963" s="0" t="s">
        <v>842</v>
      </c>
      <c r="C2963" s="0" t="s">
        <v>663</v>
      </c>
      <c r="D2963" s="0" t="n">
        <v>0</v>
      </c>
      <c r="E2963" s="0" t="n">
        <v>0.7258188277</v>
      </c>
      <c r="F2963" s="0" t="n">
        <v>4.214867058</v>
      </c>
      <c r="G2963" s="0" t="n">
        <v>3.102002513</v>
      </c>
      <c r="H2963" s="0" t="n">
        <v>1.696430543</v>
      </c>
    </row>
    <row r="2964" customFormat="false" ht="15" hidden="false" customHeight="false" outlineLevel="0" collapsed="false">
      <c r="A2964" s="0" t="s">
        <v>4160</v>
      </c>
      <c r="B2964" s="0" t="s">
        <v>866</v>
      </c>
      <c r="C2964" s="0" t="s">
        <v>663</v>
      </c>
      <c r="D2964" s="0" t="n">
        <v>0</v>
      </c>
      <c r="E2964" s="0" t="n">
        <v>0.2435344923</v>
      </c>
      <c r="F2964" s="0" t="n">
        <v>1.418473772</v>
      </c>
      <c r="G2964" s="0" t="n">
        <v>1.186587207</v>
      </c>
      <c r="H2964" s="0" t="n">
        <v>0.8051249311</v>
      </c>
    </row>
    <row r="2965" customFormat="false" ht="15" hidden="false" customHeight="false" outlineLevel="0" collapsed="false">
      <c r="A2965" s="0" t="s">
        <v>4161</v>
      </c>
      <c r="B2965" s="0" t="s">
        <v>804</v>
      </c>
      <c r="C2965" s="0" t="s">
        <v>663</v>
      </c>
      <c r="D2965" s="0" t="n">
        <v>0</v>
      </c>
      <c r="E2965" s="0" t="n">
        <v>0.6556761404</v>
      </c>
      <c r="F2965" s="0" t="n">
        <v>3.649552235</v>
      </c>
      <c r="G2965" s="0" t="n">
        <v>5.885951118</v>
      </c>
      <c r="H2965" s="0" t="n">
        <v>9.323240586</v>
      </c>
    </row>
    <row r="2966" customFormat="false" ht="15" hidden="false" customHeight="false" outlineLevel="0" collapsed="false">
      <c r="A2966" s="0" t="s">
        <v>4162</v>
      </c>
      <c r="B2966" s="0" t="s">
        <v>860</v>
      </c>
      <c r="C2966" s="0" t="s">
        <v>663</v>
      </c>
      <c r="D2966" s="0" t="n">
        <v>0</v>
      </c>
      <c r="E2966" s="0" t="n">
        <v>0.08506419478</v>
      </c>
      <c r="F2966" s="0" t="n">
        <v>0.4659842235</v>
      </c>
      <c r="G2966" s="0" t="n">
        <v>0.2652324702</v>
      </c>
      <c r="H2966" s="0" t="n">
        <v>0.137390138</v>
      </c>
    </row>
    <row r="2967" customFormat="false" ht="15" hidden="false" customHeight="false" outlineLevel="0" collapsed="false">
      <c r="A2967" s="0" t="s">
        <v>4163</v>
      </c>
      <c r="B2967" s="0" t="s">
        <v>693</v>
      </c>
      <c r="C2967" s="0" t="s">
        <v>663</v>
      </c>
      <c r="D2967" s="0" t="n">
        <v>0</v>
      </c>
      <c r="E2967" s="0" t="n">
        <v>10.84116382</v>
      </c>
      <c r="F2967" s="0" t="n">
        <v>70.83568532</v>
      </c>
      <c r="G2967" s="0" t="n">
        <v>107.5438871</v>
      </c>
      <c r="H2967" s="0" t="n">
        <v>164.6058039</v>
      </c>
    </row>
    <row r="2968" customFormat="false" ht="15" hidden="false" customHeight="false" outlineLevel="0" collapsed="false">
      <c r="A2968" s="0" t="s">
        <v>4164</v>
      </c>
      <c r="B2968" s="0" t="s">
        <v>810</v>
      </c>
      <c r="C2968" s="0" t="s">
        <v>663</v>
      </c>
      <c r="D2968" s="0" t="n">
        <v>0</v>
      </c>
      <c r="E2968" s="0" t="n">
        <v>0.3783435088</v>
      </c>
      <c r="F2968" s="0" t="n">
        <v>1.416156674</v>
      </c>
      <c r="G2968" s="0" t="n">
        <v>-4.440986081</v>
      </c>
      <c r="H2968" s="0" t="n">
        <v>-12.24387124</v>
      </c>
    </row>
    <row r="2969" customFormat="false" ht="15" hidden="false" customHeight="false" outlineLevel="0" collapsed="false">
      <c r="A2969" s="0" t="s">
        <v>4165</v>
      </c>
      <c r="B2969" s="0" t="s">
        <v>1052</v>
      </c>
      <c r="C2969" s="0" t="s">
        <v>663</v>
      </c>
      <c r="D2969" s="0" t="n">
        <v>0</v>
      </c>
      <c r="E2969" s="0" t="n">
        <v>8.917004076E-005</v>
      </c>
      <c r="F2969" s="0" t="n">
        <v>-0.001847783583</v>
      </c>
      <c r="G2969" s="0" t="n">
        <v>-0.0296210657</v>
      </c>
      <c r="H2969" s="0" t="n">
        <v>-0.06162968043</v>
      </c>
    </row>
    <row r="2970" customFormat="false" ht="15" hidden="false" customHeight="false" outlineLevel="0" collapsed="false">
      <c r="A2970" s="0" t="s">
        <v>4166</v>
      </c>
      <c r="B2970" s="0" t="s">
        <v>820</v>
      </c>
      <c r="C2970" s="0" t="s">
        <v>663</v>
      </c>
      <c r="D2970" s="0" t="n">
        <v>0</v>
      </c>
      <c r="E2970" s="0" t="n">
        <v>0.8148517055</v>
      </c>
      <c r="F2970" s="0" t="n">
        <v>4.795821965</v>
      </c>
      <c r="G2970" s="0" t="n">
        <v>7.208887892</v>
      </c>
      <c r="H2970" s="0" t="n">
        <v>9.931945748</v>
      </c>
    </row>
    <row r="2971" customFormat="false" ht="15" hidden="false" customHeight="false" outlineLevel="0" collapsed="false">
      <c r="A2971" s="0" t="s">
        <v>4167</v>
      </c>
      <c r="B2971" s="0" t="s">
        <v>744</v>
      </c>
      <c r="C2971" s="0" t="s">
        <v>663</v>
      </c>
      <c r="D2971" s="0" t="n">
        <v>0</v>
      </c>
      <c r="E2971" s="0" t="n">
        <v>0.1302615831</v>
      </c>
      <c r="F2971" s="0" t="n">
        <v>-0.4338116657</v>
      </c>
      <c r="G2971" s="0" t="n">
        <v>-12.32174284</v>
      </c>
      <c r="H2971" s="0" t="n">
        <v>-25.75802712</v>
      </c>
    </row>
    <row r="2972" customFormat="false" ht="15" hidden="false" customHeight="false" outlineLevel="0" collapsed="false">
      <c r="A2972" s="0" t="s">
        <v>4168</v>
      </c>
      <c r="B2972" s="0" t="s">
        <v>1048</v>
      </c>
      <c r="C2972" s="0" t="s">
        <v>663</v>
      </c>
      <c r="D2972" s="0" t="n">
        <v>0</v>
      </c>
      <c r="E2972" s="0" t="n">
        <v>0.001243673021</v>
      </c>
      <c r="F2972" s="0" t="n">
        <v>0.007167750186</v>
      </c>
      <c r="G2972" s="0" t="n">
        <v>-0.01291604137</v>
      </c>
      <c r="H2972" s="0" t="n">
        <v>-0.03850522587</v>
      </c>
    </row>
    <row r="2973" customFormat="false" ht="15" hidden="false" customHeight="false" outlineLevel="0" collapsed="false">
      <c r="A2973" s="0" t="s">
        <v>4169</v>
      </c>
      <c r="B2973" s="0" t="s">
        <v>1050</v>
      </c>
      <c r="C2973" s="0" t="s">
        <v>663</v>
      </c>
      <c r="D2973" s="0" t="n">
        <v>0</v>
      </c>
      <c r="E2973" s="0" t="n">
        <v>0.001509714104</v>
      </c>
      <c r="F2973" s="0" t="n">
        <v>0.007387682246</v>
      </c>
      <c r="G2973" s="0" t="n">
        <v>-0.01683410346</v>
      </c>
      <c r="H2973" s="0" t="n">
        <v>-0.04365970668</v>
      </c>
    </row>
    <row r="2974" customFormat="false" ht="15" hidden="false" customHeight="false" outlineLevel="0" collapsed="false">
      <c r="A2974" s="0" t="s">
        <v>4170</v>
      </c>
      <c r="B2974" s="0" t="s">
        <v>990</v>
      </c>
      <c r="C2974" s="0" t="s">
        <v>663</v>
      </c>
      <c r="D2974" s="0" t="n">
        <v>0</v>
      </c>
      <c r="E2974" s="0" t="n">
        <v>-0.002848070348</v>
      </c>
      <c r="F2974" s="0" t="n">
        <v>-0.03558216156</v>
      </c>
      <c r="G2974" s="0" t="n">
        <v>-0.2405961032</v>
      </c>
      <c r="H2974" s="0" t="n">
        <v>-0.4409620364</v>
      </c>
    </row>
    <row r="2975" customFormat="false" ht="15" hidden="false" customHeight="false" outlineLevel="0" collapsed="false">
      <c r="A2975" s="0" t="s">
        <v>4171</v>
      </c>
      <c r="B2975" s="0" t="s">
        <v>1004</v>
      </c>
      <c r="C2975" s="0" t="s">
        <v>663</v>
      </c>
      <c r="D2975" s="0" t="n">
        <v>0</v>
      </c>
      <c r="E2975" s="0" t="n">
        <v>0.0854883107</v>
      </c>
      <c r="F2975" s="0" t="n">
        <v>0.4181796632</v>
      </c>
      <c r="G2975" s="0" t="n">
        <v>-0.2004085182</v>
      </c>
      <c r="H2975" s="0" t="n">
        <v>-1.393482777</v>
      </c>
    </row>
    <row r="2976" customFormat="false" ht="15" hidden="false" customHeight="false" outlineLevel="0" collapsed="false">
      <c r="A2976" s="0" t="s">
        <v>4172</v>
      </c>
      <c r="B2976" s="0" t="s">
        <v>774</v>
      </c>
      <c r="C2976" s="0" t="s">
        <v>663</v>
      </c>
      <c r="D2976" s="0" t="n">
        <v>0</v>
      </c>
      <c r="E2976" s="0" t="n">
        <v>0.5242086013</v>
      </c>
      <c r="F2976" s="0" t="n">
        <v>2.274014557</v>
      </c>
      <c r="G2976" s="0" t="n">
        <v>-2.50028524</v>
      </c>
      <c r="H2976" s="0" t="n">
        <v>-5.80234796</v>
      </c>
    </row>
    <row r="2977" customFormat="false" ht="15" hidden="false" customHeight="false" outlineLevel="0" collapsed="false">
      <c r="A2977" s="0" t="s">
        <v>4173</v>
      </c>
      <c r="B2977" s="0" t="s">
        <v>930</v>
      </c>
      <c r="C2977" s="0" t="s">
        <v>663</v>
      </c>
      <c r="D2977" s="0" t="n">
        <v>0</v>
      </c>
      <c r="E2977" s="0" t="n">
        <v>0.4701798568</v>
      </c>
      <c r="F2977" s="0" t="n">
        <v>2.79159139</v>
      </c>
      <c r="G2977" s="0" t="n">
        <v>2.730985896</v>
      </c>
      <c r="H2977" s="0" t="n">
        <v>2.661573706</v>
      </c>
    </row>
    <row r="2978" customFormat="false" ht="15" hidden="false" customHeight="false" outlineLevel="0" collapsed="false">
      <c r="A2978" s="0" t="s">
        <v>4174</v>
      </c>
      <c r="B2978" s="0" t="s">
        <v>878</v>
      </c>
      <c r="C2978" s="0" t="s">
        <v>663</v>
      </c>
      <c r="D2978" s="0" t="n">
        <v>0</v>
      </c>
      <c r="E2978" s="0" t="n">
        <v>0.7466591203</v>
      </c>
      <c r="F2978" s="0" t="n">
        <v>4.465563338</v>
      </c>
      <c r="G2978" s="0" t="n">
        <v>4.530342646</v>
      </c>
      <c r="H2978" s="0" t="n">
        <v>4.609194556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2026-10-20T01:39:36Z</dcterms:created>
  <dc:creator>openpyxl</dc:creator>
  <dc:description/>
  <dc:language>en-US</dc:language>
  <cp:lastModifiedBy/>
  <dcterms:modified xsi:type="dcterms:W3CDTF">2026-10-20T01:39:39Z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