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wb547395\Repos\CPAT-ai-local\Egypt Final results\CBAM Guess - Needs Carolyn Input\"/>
    </mc:Choice>
  </mc:AlternateContent>
  <xr:revisionPtr revIDLastSave="0" documentId="13_ncr:1_{F6A71EDE-CA64-4B72-9D31-77AC227E98E8}" xr6:coauthVersionLast="47" xr6:coauthVersionMax="47" xr10:uidLastSave="{00000000-0000-0000-0000-000000000000}"/>
  <bookViews>
    <workbookView xWindow="2573" yWindow="2573" windowWidth="14399" windowHeight="8182" xr2:uid="{00000000-000D-0000-FFFF-FFFF00000000}"/>
  </bookViews>
  <sheets>
    <sheet name="Table2" sheetId="1" r:id="rId1"/>
    <sheet name="CBAM_calc" sheetId="2" r:id="rId2"/>
    <sheet name="Assumptions" sheetId="3" r:id="rId3"/>
    <sheet name="Scenarios" sheetId="4" r:id="rId4"/>
    <sheet name="CBAM_dat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45" i="5" l="1"/>
  <c r="AA45" i="5"/>
  <c r="Y45" i="5"/>
  <c r="S45" i="5"/>
  <c r="L45" i="5"/>
  <c r="M45" i="5" s="1"/>
  <c r="N45" i="5" s="1"/>
  <c r="K45" i="5"/>
  <c r="J45" i="5"/>
  <c r="I45" i="5"/>
  <c r="AC44" i="5"/>
  <c r="AA44" i="5"/>
  <c r="Y44" i="5"/>
  <c r="S44" i="5"/>
  <c r="L44" i="5"/>
  <c r="M44" i="5" s="1"/>
  <c r="N44" i="5" s="1"/>
  <c r="K44" i="5"/>
  <c r="P44" i="5" s="1"/>
  <c r="J44" i="5"/>
  <c r="I44" i="5"/>
  <c r="AC43" i="5"/>
  <c r="AA43" i="5"/>
  <c r="Y43" i="5"/>
  <c r="S43" i="5"/>
  <c r="L43" i="5"/>
  <c r="M43" i="5" s="1"/>
  <c r="N43" i="5" s="1"/>
  <c r="K43" i="5"/>
  <c r="J43" i="5"/>
  <c r="I43" i="5"/>
  <c r="AC42" i="5"/>
  <c r="AA42" i="5"/>
  <c r="Y42" i="5"/>
  <c r="S42" i="5"/>
  <c r="L42" i="5"/>
  <c r="M42" i="5" s="1"/>
  <c r="N42" i="5" s="1"/>
  <c r="K42" i="5"/>
  <c r="J42" i="5"/>
  <c r="I42" i="5"/>
  <c r="AC41" i="5"/>
  <c r="AA41" i="5"/>
  <c r="Y41" i="5"/>
  <c r="S41" i="5"/>
  <c r="P41" i="5"/>
  <c r="L41" i="5"/>
  <c r="M41" i="5" s="1"/>
  <c r="K41" i="5"/>
  <c r="J41" i="5"/>
  <c r="I41" i="5"/>
  <c r="AC40" i="5"/>
  <c r="AA40" i="5"/>
  <c r="Y40" i="5"/>
  <c r="S40" i="5"/>
  <c r="L40" i="5"/>
  <c r="M40" i="5" s="1"/>
  <c r="N40" i="5" s="1"/>
  <c r="K40" i="5"/>
  <c r="J40" i="5"/>
  <c r="I40" i="5"/>
  <c r="AC39" i="5"/>
  <c r="AA39" i="5"/>
  <c r="Y39" i="5"/>
  <c r="S39" i="5"/>
  <c r="L39" i="5"/>
  <c r="M39" i="5" s="1"/>
  <c r="N39" i="5" s="1"/>
  <c r="AD39" i="5" s="1"/>
  <c r="K39" i="5"/>
  <c r="P39" i="5" s="1"/>
  <c r="J39" i="5"/>
  <c r="I39" i="5"/>
  <c r="AC38" i="5"/>
  <c r="AA38" i="5"/>
  <c r="Y38" i="5"/>
  <c r="S38" i="5"/>
  <c r="M38" i="5"/>
  <c r="N38" i="5" s="1"/>
  <c r="L38" i="5"/>
  <c r="K38" i="5"/>
  <c r="P38" i="5" s="1"/>
  <c r="J38" i="5"/>
  <c r="I38" i="5"/>
  <c r="AC37" i="5"/>
  <c r="AA37" i="5"/>
  <c r="Y37" i="5"/>
  <c r="S37" i="5"/>
  <c r="L37" i="5"/>
  <c r="M37" i="5" s="1"/>
  <c r="N37" i="5" s="1"/>
  <c r="K37" i="5"/>
  <c r="P37" i="5" s="1"/>
  <c r="J37" i="5"/>
  <c r="I37" i="5"/>
  <c r="AC36" i="5"/>
  <c r="AA36" i="5"/>
  <c r="Y36" i="5"/>
  <c r="S36" i="5"/>
  <c r="L36" i="5"/>
  <c r="M36" i="5" s="1"/>
  <c r="O36" i="5" s="1"/>
  <c r="K36" i="5"/>
  <c r="J36" i="5"/>
  <c r="I36" i="5"/>
  <c r="AC35" i="5"/>
  <c r="AA35" i="5"/>
  <c r="Y35" i="5"/>
  <c r="S35" i="5"/>
  <c r="L35" i="5"/>
  <c r="M35" i="5" s="1"/>
  <c r="N35" i="5" s="1"/>
  <c r="K35" i="5"/>
  <c r="J35" i="5"/>
  <c r="I35" i="5"/>
  <c r="AC34" i="5"/>
  <c r="AA34" i="5"/>
  <c r="Y34" i="5"/>
  <c r="S34" i="5"/>
  <c r="L34" i="5"/>
  <c r="M34" i="5" s="1"/>
  <c r="K34" i="5"/>
  <c r="P34" i="5" s="1"/>
  <c r="J34" i="5"/>
  <c r="I34" i="5"/>
  <c r="AC33" i="5"/>
  <c r="AA33" i="5"/>
  <c r="Y33" i="5"/>
  <c r="S33" i="5"/>
  <c r="L33" i="5"/>
  <c r="M33" i="5" s="1"/>
  <c r="N33" i="5" s="1"/>
  <c r="K33" i="5"/>
  <c r="J33" i="5"/>
  <c r="I33" i="5"/>
  <c r="AC32" i="5"/>
  <c r="AA32" i="5"/>
  <c r="Y32" i="5"/>
  <c r="S32" i="5"/>
  <c r="L32" i="5"/>
  <c r="M32" i="5" s="1"/>
  <c r="N32" i="5" s="1"/>
  <c r="AD32" i="5" s="1"/>
  <c r="K32" i="5"/>
  <c r="P32" i="5" s="1"/>
  <c r="J32" i="5"/>
  <c r="I32" i="5"/>
  <c r="AC31" i="5"/>
  <c r="AA31" i="5"/>
  <c r="Y31" i="5"/>
  <c r="S31" i="5"/>
  <c r="M31" i="5"/>
  <c r="N31" i="5" s="1"/>
  <c r="L31" i="5"/>
  <c r="K31" i="5"/>
  <c r="J31" i="5"/>
  <c r="I31" i="5"/>
  <c r="O31" i="5" s="1"/>
  <c r="AC30" i="5"/>
  <c r="AA30" i="5"/>
  <c r="Y30" i="5"/>
  <c r="S30" i="5"/>
  <c r="L30" i="5"/>
  <c r="M30" i="5" s="1"/>
  <c r="N30" i="5" s="1"/>
  <c r="K30" i="5"/>
  <c r="P30" i="5" s="1"/>
  <c r="J30" i="5"/>
  <c r="I30" i="5"/>
  <c r="AC29" i="5"/>
  <c r="AA29" i="5"/>
  <c r="Y29" i="5"/>
  <c r="S29" i="5"/>
  <c r="M29" i="5"/>
  <c r="O29" i="5" s="1"/>
  <c r="L29" i="5"/>
  <c r="K29" i="5"/>
  <c r="P29" i="5" s="1"/>
  <c r="J29" i="5"/>
  <c r="I29" i="5"/>
  <c r="AC28" i="5"/>
  <c r="AA28" i="5"/>
  <c r="Y28" i="5"/>
  <c r="S28" i="5"/>
  <c r="L28" i="5"/>
  <c r="M28" i="5" s="1"/>
  <c r="N28" i="5" s="1"/>
  <c r="K28" i="5"/>
  <c r="J28" i="5"/>
  <c r="I28" i="5"/>
  <c r="O28" i="5" s="1"/>
  <c r="AC27" i="5"/>
  <c r="AA27" i="5"/>
  <c r="Y27" i="5"/>
  <c r="S27" i="5"/>
  <c r="L27" i="5"/>
  <c r="M27" i="5" s="1"/>
  <c r="K27" i="5"/>
  <c r="P27" i="5" s="1"/>
  <c r="J27" i="5"/>
  <c r="I27" i="5"/>
  <c r="AC26" i="5"/>
  <c r="AA26" i="5"/>
  <c r="Y26" i="5"/>
  <c r="S26" i="5"/>
  <c r="L26" i="5"/>
  <c r="M26" i="5" s="1"/>
  <c r="N26" i="5" s="1"/>
  <c r="K26" i="5"/>
  <c r="P26" i="5" s="1"/>
  <c r="J26" i="5"/>
  <c r="I26" i="5"/>
  <c r="AC25" i="5"/>
  <c r="AA25" i="5"/>
  <c r="Y25" i="5"/>
  <c r="S25" i="5"/>
  <c r="L25" i="5"/>
  <c r="M25" i="5" s="1"/>
  <c r="N25" i="5" s="1"/>
  <c r="AD25" i="5" s="1"/>
  <c r="K25" i="5"/>
  <c r="J25" i="5"/>
  <c r="I25" i="5"/>
  <c r="AC24" i="5"/>
  <c r="AA24" i="5"/>
  <c r="Y24" i="5"/>
  <c r="S24" i="5"/>
  <c r="L24" i="5"/>
  <c r="M24" i="5" s="1"/>
  <c r="N24" i="5" s="1"/>
  <c r="K24" i="5"/>
  <c r="P24" i="5" s="1"/>
  <c r="J24" i="5"/>
  <c r="I24" i="5"/>
  <c r="O24" i="5" s="1"/>
  <c r="T24" i="5" s="1"/>
  <c r="AC23" i="5"/>
  <c r="AA23" i="5"/>
  <c r="Y23" i="5"/>
  <c r="S23" i="5"/>
  <c r="P23" i="5"/>
  <c r="M23" i="5"/>
  <c r="N23" i="5" s="1"/>
  <c r="L23" i="5"/>
  <c r="K23" i="5"/>
  <c r="J23" i="5"/>
  <c r="I23" i="5"/>
  <c r="AC22" i="5"/>
  <c r="AA22" i="5"/>
  <c r="Y22" i="5"/>
  <c r="S22" i="5"/>
  <c r="M22" i="5"/>
  <c r="L22" i="5"/>
  <c r="K22" i="5"/>
  <c r="J22" i="5"/>
  <c r="I22" i="5"/>
  <c r="AC21" i="5"/>
  <c r="AA21" i="5"/>
  <c r="Y21" i="5"/>
  <c r="S21" i="5"/>
  <c r="L21" i="5"/>
  <c r="M21" i="5" s="1"/>
  <c r="N21" i="5" s="1"/>
  <c r="K21" i="5"/>
  <c r="J21" i="5"/>
  <c r="I21" i="5"/>
  <c r="AC20" i="5"/>
  <c r="AA20" i="5"/>
  <c r="Y20" i="5"/>
  <c r="S20" i="5"/>
  <c r="L20" i="5"/>
  <c r="M20" i="5" s="1"/>
  <c r="K20" i="5"/>
  <c r="P20" i="5" s="1"/>
  <c r="J20" i="5"/>
  <c r="I20" i="5"/>
  <c r="AC19" i="5"/>
  <c r="AA19" i="5"/>
  <c r="Y19" i="5"/>
  <c r="S19" i="5"/>
  <c r="L19" i="5"/>
  <c r="M19" i="5" s="1"/>
  <c r="N19" i="5" s="1"/>
  <c r="K19" i="5"/>
  <c r="J19" i="5"/>
  <c r="I19" i="5"/>
  <c r="AC18" i="5"/>
  <c r="AA18" i="5"/>
  <c r="Y18" i="5"/>
  <c r="S18" i="5"/>
  <c r="L18" i="5"/>
  <c r="M18" i="5" s="1"/>
  <c r="N18" i="5" s="1"/>
  <c r="AD18" i="5" s="1"/>
  <c r="K18" i="5"/>
  <c r="J18" i="5"/>
  <c r="I18" i="5"/>
  <c r="AC17" i="5"/>
  <c r="AA17" i="5"/>
  <c r="Y17" i="5"/>
  <c r="S17" i="5"/>
  <c r="L17" i="5"/>
  <c r="M17" i="5" s="1"/>
  <c r="K17" i="5"/>
  <c r="P17" i="5" s="1"/>
  <c r="J17" i="5"/>
  <c r="I17" i="5"/>
  <c r="AC16" i="5"/>
  <c r="AA16" i="5"/>
  <c r="Y16" i="5"/>
  <c r="S16" i="5"/>
  <c r="M16" i="5"/>
  <c r="N16" i="5" s="1"/>
  <c r="L16" i="5"/>
  <c r="K16" i="5"/>
  <c r="P16" i="5" s="1"/>
  <c r="J16" i="5"/>
  <c r="I16" i="5"/>
  <c r="O16" i="5" s="1"/>
  <c r="AC15" i="5"/>
  <c r="AA15" i="5"/>
  <c r="Y15" i="5"/>
  <c r="S15" i="5"/>
  <c r="L15" i="5"/>
  <c r="M15" i="5" s="1"/>
  <c r="O15" i="5" s="1"/>
  <c r="K15" i="5"/>
  <c r="P15" i="5" s="1"/>
  <c r="J15" i="5"/>
  <c r="I15" i="5"/>
  <c r="AC14" i="5"/>
  <c r="AA14" i="5"/>
  <c r="Y14" i="5"/>
  <c r="S14" i="5"/>
  <c r="L14" i="5"/>
  <c r="M14" i="5" s="1"/>
  <c r="N14" i="5" s="1"/>
  <c r="K14" i="5"/>
  <c r="P14" i="5" s="1"/>
  <c r="J14" i="5"/>
  <c r="I14" i="5"/>
  <c r="AC13" i="5"/>
  <c r="AA13" i="5"/>
  <c r="Y13" i="5"/>
  <c r="S13" i="5"/>
  <c r="L13" i="5"/>
  <c r="M13" i="5" s="1"/>
  <c r="K13" i="5"/>
  <c r="P13" i="5" s="1"/>
  <c r="J13" i="5"/>
  <c r="I13" i="5"/>
  <c r="AC12" i="5"/>
  <c r="AA12" i="5"/>
  <c r="Y12" i="5"/>
  <c r="S12" i="5"/>
  <c r="M12" i="5"/>
  <c r="N12" i="5" s="1"/>
  <c r="L12" i="5"/>
  <c r="K12" i="5"/>
  <c r="J12" i="5"/>
  <c r="I12" i="5"/>
  <c r="AC11" i="5"/>
  <c r="AA11" i="5"/>
  <c r="Y11" i="5"/>
  <c r="S11" i="5"/>
  <c r="L11" i="5"/>
  <c r="M11" i="5" s="1"/>
  <c r="N11" i="5" s="1"/>
  <c r="AD11" i="5" s="1"/>
  <c r="K11" i="5"/>
  <c r="P11" i="5" s="1"/>
  <c r="J11" i="5"/>
  <c r="I11" i="5"/>
  <c r="AC10" i="5"/>
  <c r="AA10" i="5"/>
  <c r="Y10" i="5"/>
  <c r="S10" i="5"/>
  <c r="L10" i="5"/>
  <c r="M10" i="5" s="1"/>
  <c r="N10" i="5" s="1"/>
  <c r="K10" i="5"/>
  <c r="J10" i="5"/>
  <c r="I10" i="5"/>
  <c r="AC9" i="5"/>
  <c r="AA9" i="5"/>
  <c r="Y9" i="5"/>
  <c r="S9" i="5"/>
  <c r="P9" i="5"/>
  <c r="L9" i="5"/>
  <c r="M9" i="5" s="1"/>
  <c r="N9" i="5" s="1"/>
  <c r="K9" i="5"/>
  <c r="J9" i="5"/>
  <c r="I9" i="5"/>
  <c r="AC8" i="5"/>
  <c r="AA8" i="5"/>
  <c r="Y8" i="5"/>
  <c r="S8" i="5"/>
  <c r="L8" i="5"/>
  <c r="M8" i="5" s="1"/>
  <c r="N8" i="5" s="1"/>
  <c r="K8" i="5"/>
  <c r="J8" i="5"/>
  <c r="I8" i="5"/>
  <c r="AC7" i="5"/>
  <c r="AA7" i="5"/>
  <c r="Y7" i="5"/>
  <c r="S7" i="5"/>
  <c r="L7" i="5"/>
  <c r="M7" i="5" s="1"/>
  <c r="N7" i="5" s="1"/>
  <c r="K7" i="5"/>
  <c r="J7" i="5"/>
  <c r="I7" i="5"/>
  <c r="O7" i="5" s="1"/>
  <c r="AC6" i="5"/>
  <c r="AA6" i="5"/>
  <c r="Y6" i="5"/>
  <c r="S6" i="5"/>
  <c r="P6" i="5"/>
  <c r="L6" i="5"/>
  <c r="M6" i="5" s="1"/>
  <c r="K6" i="5"/>
  <c r="J6" i="5"/>
  <c r="I6" i="5"/>
  <c r="AC5" i="5"/>
  <c r="AA5" i="5"/>
  <c r="Y5" i="5"/>
  <c r="S5" i="5"/>
  <c r="M5" i="5"/>
  <c r="N5" i="5" s="1"/>
  <c r="L5" i="5"/>
  <c r="K5" i="5"/>
  <c r="J5" i="5"/>
  <c r="I5" i="5"/>
  <c r="O5" i="5" s="1"/>
  <c r="AC4" i="5"/>
  <c r="AA4" i="5"/>
  <c r="Y4" i="5"/>
  <c r="S4" i="5"/>
  <c r="L4" i="5"/>
  <c r="M4" i="5" s="1"/>
  <c r="N4" i="5" s="1"/>
  <c r="K4" i="5"/>
  <c r="J4" i="5"/>
  <c r="I4" i="5"/>
  <c r="C10" i="3"/>
  <c r="C8" i="3"/>
  <c r="N17" i="5" l="1"/>
  <c r="O17" i="5"/>
  <c r="P8" i="5"/>
  <c r="O11" i="5"/>
  <c r="O14" i="5"/>
  <c r="O26" i="5"/>
  <c r="Q26" i="5" s="1"/>
  <c r="P5" i="5"/>
  <c r="T5" i="5" s="1"/>
  <c r="P35" i="5"/>
  <c r="O40" i="5"/>
  <c r="Q40" i="5" s="1"/>
  <c r="P25" i="5"/>
  <c r="Q25" i="5" s="1"/>
  <c r="P28" i="5"/>
  <c r="P40" i="5"/>
  <c r="T40" i="5" s="1"/>
  <c r="O45" i="5"/>
  <c r="O37" i="5"/>
  <c r="T37" i="5" s="1"/>
  <c r="O19" i="5"/>
  <c r="O30" i="5"/>
  <c r="O39" i="5"/>
  <c r="Q39" i="5" s="1"/>
  <c r="P45" i="5"/>
  <c r="O38" i="5"/>
  <c r="T38" i="5" s="1"/>
  <c r="AB38" i="5" s="1"/>
  <c r="O4" i="5"/>
  <c r="P4" i="5"/>
  <c r="T4" i="5" s="1"/>
  <c r="P7" i="5"/>
  <c r="T7" i="5" s="1"/>
  <c r="AB7" i="5" s="1"/>
  <c r="O18" i="5"/>
  <c r="O21" i="5"/>
  <c r="Q21" i="5" s="1"/>
  <c r="O33" i="5"/>
  <c r="T33" i="5" s="1"/>
  <c r="V33" i="5" s="1"/>
  <c r="X33" i="5" s="1"/>
  <c r="P36" i="5"/>
  <c r="Q36" i="5" s="1"/>
  <c r="P22" i="5"/>
  <c r="O12" i="5"/>
  <c r="Q12" i="5" s="1"/>
  <c r="P42" i="5"/>
  <c r="P10" i="5"/>
  <c r="P19" i="5"/>
  <c r="P18" i="5"/>
  <c r="P21" i="5"/>
  <c r="P33" i="5"/>
  <c r="O44" i="5"/>
  <c r="O8" i="5"/>
  <c r="O25" i="5"/>
  <c r="T25" i="5" s="1"/>
  <c r="P43" i="5"/>
  <c r="T43" i="5" s="1"/>
  <c r="V43" i="5" s="1"/>
  <c r="X43" i="5" s="1"/>
  <c r="P31" i="5"/>
  <c r="Q31" i="5" s="1"/>
  <c r="O22" i="5"/>
  <c r="Q22" i="5" s="1"/>
  <c r="P12" i="5"/>
  <c r="O23" i="5"/>
  <c r="T23" i="5" s="1"/>
  <c r="AB23" i="5" s="1"/>
  <c r="O43" i="5"/>
  <c r="O32" i="5"/>
  <c r="AD44" i="5"/>
  <c r="Q4" i="5"/>
  <c r="AD8" i="5"/>
  <c r="AD43" i="5"/>
  <c r="T45" i="5"/>
  <c r="AB45" i="5" s="1"/>
  <c r="Q45" i="5"/>
  <c r="AD37" i="5"/>
  <c r="AD16" i="5"/>
  <c r="Z16" i="5"/>
  <c r="AD28" i="5"/>
  <c r="T30" i="5"/>
  <c r="AB30" i="5" s="1"/>
  <c r="Q30" i="5"/>
  <c r="AD31" i="5"/>
  <c r="O34" i="5"/>
  <c r="N34" i="5"/>
  <c r="T16" i="5"/>
  <c r="AB16" i="5" s="1"/>
  <c r="Q16" i="5"/>
  <c r="O13" i="5"/>
  <c r="N13" i="5"/>
  <c r="T39" i="5"/>
  <c r="V39" i="5" s="1"/>
  <c r="X39" i="5" s="1"/>
  <c r="AD40" i="5"/>
  <c r="O42" i="5"/>
  <c r="O6" i="5"/>
  <c r="N6" i="5"/>
  <c r="T14" i="5"/>
  <c r="Z14" i="5" s="1"/>
  <c r="Q14" i="5"/>
  <c r="Q8" i="5"/>
  <c r="T8" i="5"/>
  <c r="V8" i="5" s="1"/>
  <c r="X8" i="5" s="1"/>
  <c r="O41" i="5"/>
  <c r="N41" i="5"/>
  <c r="AD17" i="5"/>
  <c r="AD45" i="5"/>
  <c r="AD9" i="5"/>
  <c r="T11" i="5"/>
  <c r="AB11" i="5" s="1"/>
  <c r="Q11" i="5"/>
  <c r="AD12" i="5"/>
  <c r="AD23" i="5"/>
  <c r="T29" i="5"/>
  <c r="Q29" i="5"/>
  <c r="AD35" i="5"/>
  <c r="Z38" i="5"/>
  <c r="AD38" i="5"/>
  <c r="V38" i="5"/>
  <c r="X38" i="5" s="1"/>
  <c r="AD14" i="5"/>
  <c r="O20" i="5"/>
  <c r="N20" i="5"/>
  <c r="T17" i="5"/>
  <c r="V17" i="5" s="1"/>
  <c r="X17" i="5" s="1"/>
  <c r="AD26" i="5"/>
  <c r="T28" i="5"/>
  <c r="AB28" i="5" s="1"/>
  <c r="Q28" i="5"/>
  <c r="AD5" i="5"/>
  <c r="Q19" i="5"/>
  <c r="T19" i="5"/>
  <c r="AD4" i="5"/>
  <c r="AD10" i="5"/>
  <c r="T18" i="5"/>
  <c r="AB18" i="5" s="1"/>
  <c r="Q18" i="5"/>
  <c r="Z19" i="5"/>
  <c r="AB19" i="5"/>
  <c r="AD19" i="5"/>
  <c r="T21" i="5"/>
  <c r="V21" i="5" s="1"/>
  <c r="X21" i="5" s="1"/>
  <c r="AD7" i="5"/>
  <c r="O9" i="5"/>
  <c r="AD30" i="5"/>
  <c r="AD42" i="5"/>
  <c r="T44" i="5"/>
  <c r="AB44" i="5" s="1"/>
  <c r="Q44" i="5"/>
  <c r="Q15" i="5"/>
  <c r="T15" i="5"/>
  <c r="AD21" i="5"/>
  <c r="AB24" i="5"/>
  <c r="Z24" i="5"/>
  <c r="AD24" i="5"/>
  <c r="V24" i="5"/>
  <c r="X24" i="5" s="1"/>
  <c r="O27" i="5"/>
  <c r="N27" i="5"/>
  <c r="T32" i="5"/>
  <c r="AB32" i="5" s="1"/>
  <c r="Q32" i="5"/>
  <c r="AD33" i="5"/>
  <c r="O35" i="5"/>
  <c r="U6" i="5"/>
  <c r="W6" i="5" s="1"/>
  <c r="U13" i="5"/>
  <c r="W13" i="5" s="1"/>
  <c r="Q17" i="5"/>
  <c r="U20" i="5"/>
  <c r="W20" i="5" s="1"/>
  <c r="Q24" i="5"/>
  <c r="U27" i="5"/>
  <c r="W27" i="5" s="1"/>
  <c r="U34" i="5"/>
  <c r="W34" i="5" s="1"/>
  <c r="Q38" i="5"/>
  <c r="U41" i="5"/>
  <c r="W41" i="5" s="1"/>
  <c r="U18" i="5"/>
  <c r="W18" i="5" s="1"/>
  <c r="U39" i="5"/>
  <c r="W39" i="5" s="1"/>
  <c r="U4" i="5"/>
  <c r="W4" i="5" s="1"/>
  <c r="O10" i="5"/>
  <c r="U11" i="5"/>
  <c r="W11" i="5" s="1"/>
  <c r="U32" i="5"/>
  <c r="W32" i="5" s="1"/>
  <c r="U8" i="5"/>
  <c r="W8" i="5" s="1"/>
  <c r="U15" i="5"/>
  <c r="W15" i="5" s="1"/>
  <c r="U22" i="5"/>
  <c r="W22" i="5" s="1"/>
  <c r="U29" i="5"/>
  <c r="W29" i="5" s="1"/>
  <c r="U36" i="5"/>
  <c r="W36" i="5" s="1"/>
  <c r="U43" i="5"/>
  <c r="W43" i="5" s="1"/>
  <c r="Z18" i="5"/>
  <c r="U25" i="5"/>
  <c r="W25" i="5" s="1"/>
  <c r="U10" i="5"/>
  <c r="W10" i="5" s="1"/>
  <c r="U17" i="5"/>
  <c r="W17" i="5" s="1"/>
  <c r="U24" i="5"/>
  <c r="W24" i="5" s="1"/>
  <c r="U31" i="5"/>
  <c r="W31" i="5" s="1"/>
  <c r="U38" i="5"/>
  <c r="W38" i="5" s="1"/>
  <c r="U45" i="5"/>
  <c r="W45" i="5" s="1"/>
  <c r="V45" i="5"/>
  <c r="X45" i="5" s="1"/>
  <c r="U5" i="5"/>
  <c r="W5" i="5" s="1"/>
  <c r="U12" i="5"/>
  <c r="W12" i="5" s="1"/>
  <c r="U19" i="5"/>
  <c r="W19" i="5" s="1"/>
  <c r="U26" i="5"/>
  <c r="W26" i="5" s="1"/>
  <c r="U33" i="5"/>
  <c r="W33" i="5" s="1"/>
  <c r="U40" i="5"/>
  <c r="W40" i="5" s="1"/>
  <c r="V19" i="5"/>
  <c r="X19" i="5" s="1"/>
  <c r="U7" i="5"/>
  <c r="W7" i="5" s="1"/>
  <c r="U14" i="5"/>
  <c r="W14" i="5" s="1"/>
  <c r="U21" i="5"/>
  <c r="W21" i="5" s="1"/>
  <c r="U28" i="5"/>
  <c r="W28" i="5" s="1"/>
  <c r="U35" i="5"/>
  <c r="W35" i="5" s="1"/>
  <c r="U42" i="5"/>
  <c r="W42" i="5" s="1"/>
  <c r="V14" i="5"/>
  <c r="X14" i="5" s="1"/>
  <c r="N15" i="5"/>
  <c r="V15" i="5" s="1"/>
  <c r="X15" i="5" s="1"/>
  <c r="N22" i="5"/>
  <c r="N29" i="5"/>
  <c r="V29" i="5" s="1"/>
  <c r="X29" i="5" s="1"/>
  <c r="N36" i="5"/>
  <c r="U44" i="5"/>
  <c r="W44" i="5" s="1"/>
  <c r="U9" i="5"/>
  <c r="W9" i="5" s="1"/>
  <c r="U16" i="5"/>
  <c r="W16" i="5" s="1"/>
  <c r="U23" i="5"/>
  <c r="W23" i="5" s="1"/>
  <c r="U30" i="5"/>
  <c r="W30" i="5" s="1"/>
  <c r="U37" i="5"/>
  <c r="W37" i="5" s="1"/>
  <c r="V16" i="5"/>
  <c r="X16" i="5" s="1"/>
  <c r="V30" i="5"/>
  <c r="X30" i="5" s="1"/>
  <c r="AB37" i="5" l="1"/>
  <c r="Z37" i="5"/>
  <c r="V37" i="5"/>
  <c r="X37" i="5" s="1"/>
  <c r="AB40" i="5"/>
  <c r="Z40" i="5"/>
  <c r="V40" i="5"/>
  <c r="X40" i="5" s="1"/>
  <c r="AB4" i="5"/>
  <c r="Z4" i="5"/>
  <c r="V4" i="5"/>
  <c r="X4" i="5" s="1"/>
  <c r="V36" i="5"/>
  <c r="X36" i="5" s="1"/>
  <c r="AB25" i="5"/>
  <c r="Z25" i="5"/>
  <c r="V25" i="5"/>
  <c r="X25" i="5" s="1"/>
  <c r="V5" i="5"/>
  <c r="X5" i="5" s="1"/>
  <c r="Z5" i="5"/>
  <c r="AB5" i="5"/>
  <c r="Z17" i="5"/>
  <c r="AB17" i="5"/>
  <c r="T31" i="5"/>
  <c r="Z31" i="5" s="1"/>
  <c r="Z30" i="5"/>
  <c r="Z45" i="5"/>
  <c r="Q43" i="5"/>
  <c r="T36" i="5"/>
  <c r="AB36" i="5" s="1"/>
  <c r="T12" i="5"/>
  <c r="Q7" i="5"/>
  <c r="Q5" i="5"/>
  <c r="R8" i="5" s="1"/>
  <c r="V32" i="5"/>
  <c r="X32" i="5" s="1"/>
  <c r="Q23" i="5"/>
  <c r="Q33" i="5"/>
  <c r="Q37" i="5"/>
  <c r="T26" i="5"/>
  <c r="Z26" i="5" s="1"/>
  <c r="V18" i="5"/>
  <c r="X18" i="5" s="1"/>
  <c r="T22" i="5"/>
  <c r="V22" i="5" s="1"/>
  <c r="X22" i="5" s="1"/>
  <c r="V11" i="5"/>
  <c r="X11" i="5" s="1"/>
  <c r="Z32" i="5"/>
  <c r="Z39" i="5"/>
  <c r="AD34" i="5"/>
  <c r="G5" i="2" s="1"/>
  <c r="H10" i="1" s="1"/>
  <c r="AB34" i="5"/>
  <c r="Z34" i="5"/>
  <c r="Z8" i="5"/>
  <c r="R41" i="5"/>
  <c r="Q34" i="5"/>
  <c r="R33" i="5" s="1"/>
  <c r="T34" i="5"/>
  <c r="AB8" i="5"/>
  <c r="AD41" i="5"/>
  <c r="H5" i="2" s="1"/>
  <c r="I10" i="1" s="1"/>
  <c r="Q41" i="5"/>
  <c r="T41" i="5"/>
  <c r="Z41" i="5" s="1"/>
  <c r="AD29" i="5"/>
  <c r="AB29" i="5"/>
  <c r="Z29" i="5"/>
  <c r="AB33" i="5"/>
  <c r="AB21" i="5"/>
  <c r="AB31" i="5"/>
  <c r="AB26" i="5"/>
  <c r="V28" i="5"/>
  <c r="X28" i="5" s="1"/>
  <c r="T10" i="5"/>
  <c r="Q10" i="5"/>
  <c r="Z21" i="5"/>
  <c r="V44" i="5"/>
  <c r="X44" i="5" s="1"/>
  <c r="Z44" i="5"/>
  <c r="AD36" i="5"/>
  <c r="Z36" i="5"/>
  <c r="Z13" i="5"/>
  <c r="AD13" i="5"/>
  <c r="D5" i="2" s="1"/>
  <c r="E10" i="1" s="1"/>
  <c r="AB13" i="5"/>
  <c r="T35" i="5"/>
  <c r="Q35" i="5"/>
  <c r="V23" i="5"/>
  <c r="X23" i="5" s="1"/>
  <c r="AD22" i="5"/>
  <c r="AB22" i="5"/>
  <c r="Z22" i="5"/>
  <c r="V31" i="5"/>
  <c r="X31" i="5" s="1"/>
  <c r="Z11" i="5"/>
  <c r="Z33" i="5"/>
  <c r="Z28" i="5"/>
  <c r="AB39" i="5"/>
  <c r="R34" i="5"/>
  <c r="R32" i="5"/>
  <c r="R37" i="5"/>
  <c r="AD6" i="5"/>
  <c r="C5" i="2" s="1"/>
  <c r="D10" i="1" s="1"/>
  <c r="Q13" i="5"/>
  <c r="R16" i="5" s="1"/>
  <c r="T13" i="5"/>
  <c r="V13" i="5" s="1"/>
  <c r="X13" i="5" s="1"/>
  <c r="AD15" i="5"/>
  <c r="AB15" i="5"/>
  <c r="Z15" i="5"/>
  <c r="T9" i="5"/>
  <c r="Q9" i="5"/>
  <c r="AD20" i="5"/>
  <c r="E5" i="2" s="1"/>
  <c r="F10" i="1" s="1"/>
  <c r="Z23" i="5"/>
  <c r="Q6" i="5"/>
  <c r="T6" i="5"/>
  <c r="V6" i="5" s="1"/>
  <c r="X6" i="5" s="1"/>
  <c r="T42" i="5"/>
  <c r="Q42" i="5"/>
  <c r="V7" i="5"/>
  <c r="X7" i="5" s="1"/>
  <c r="V41" i="5"/>
  <c r="X41" i="5" s="1"/>
  <c r="Q27" i="5"/>
  <c r="R27" i="5" s="1"/>
  <c r="T27" i="5"/>
  <c r="V27" i="5" s="1"/>
  <c r="X27" i="5" s="1"/>
  <c r="Z7" i="5"/>
  <c r="AB14" i="5"/>
  <c r="AB43" i="5"/>
  <c r="R13" i="5"/>
  <c r="R11" i="5"/>
  <c r="AD27" i="5"/>
  <c r="F5" i="2" s="1"/>
  <c r="G10" i="1" s="1"/>
  <c r="Q20" i="5"/>
  <c r="T20" i="5"/>
  <c r="V20" i="5" s="1"/>
  <c r="X20" i="5" s="1"/>
  <c r="Z43" i="5"/>
  <c r="V34" i="5"/>
  <c r="X34" i="5" s="1"/>
  <c r="R23" i="5" l="1"/>
  <c r="AB27" i="5"/>
  <c r="F7" i="2" s="1"/>
  <c r="R5" i="5"/>
  <c r="R14" i="5"/>
  <c r="R21" i="5"/>
  <c r="R38" i="5"/>
  <c r="R42" i="5"/>
  <c r="R15" i="5"/>
  <c r="R36" i="5"/>
  <c r="V12" i="5"/>
  <c r="X12" i="5" s="1"/>
  <c r="AB12" i="5"/>
  <c r="D7" i="2" s="1"/>
  <c r="Z12" i="5"/>
  <c r="D6" i="2" s="1"/>
  <c r="R17" i="5"/>
  <c r="R30" i="5"/>
  <c r="R35" i="5"/>
  <c r="R12" i="5"/>
  <c r="R9" i="5"/>
  <c r="V26" i="5"/>
  <c r="X26" i="5" s="1"/>
  <c r="Z6" i="5"/>
  <c r="R10" i="5"/>
  <c r="V35" i="5"/>
  <c r="X35" i="5" s="1"/>
  <c r="AB35" i="5"/>
  <c r="G7" i="2" s="1"/>
  <c r="Z35" i="5"/>
  <c r="G6" i="2" s="1"/>
  <c r="R18" i="5"/>
  <c r="R44" i="5"/>
  <c r="AB6" i="5"/>
  <c r="C7" i="2" s="1"/>
  <c r="R7" i="5"/>
  <c r="R20" i="5"/>
  <c r="R39" i="5"/>
  <c r="R4" i="5"/>
  <c r="R6" i="5"/>
  <c r="R28" i="5"/>
  <c r="V9" i="5"/>
  <c r="X9" i="5" s="1"/>
  <c r="Z9" i="5"/>
  <c r="AB9" i="5"/>
  <c r="AB20" i="5"/>
  <c r="E7" i="2" s="1"/>
  <c r="AB41" i="5"/>
  <c r="H7" i="2" s="1"/>
  <c r="Z20" i="5"/>
  <c r="E6" i="2" s="1"/>
  <c r="AB42" i="5"/>
  <c r="V42" i="5"/>
  <c r="X42" i="5" s="1"/>
  <c r="Z42" i="5"/>
  <c r="H6" i="2" s="1"/>
  <c r="R26" i="5"/>
  <c r="R22" i="5"/>
  <c r="R31" i="5"/>
  <c r="R29" i="5"/>
  <c r="R24" i="5"/>
  <c r="R43" i="5"/>
  <c r="AB10" i="5"/>
  <c r="Z10" i="5"/>
  <c r="V10" i="5"/>
  <c r="X10" i="5" s="1"/>
  <c r="R45" i="5"/>
  <c r="R19" i="5"/>
  <c r="R40" i="5"/>
  <c r="R25" i="5"/>
  <c r="Z27" i="5"/>
  <c r="F6" i="2" s="1"/>
  <c r="C6" i="2" l="1"/>
</calcChain>
</file>

<file path=xl/sharedStrings.xml><?xml version="1.0" encoding="utf-8"?>
<sst xmlns="http://schemas.openxmlformats.org/spreadsheetml/2006/main" count="259" uniqueCount="139">
  <si>
    <t>Table 2. Simulated outcomes of carbon policy scenarios for Egypt, 2030 (USD 20/tCO2 in 2030 in all scenarios)</t>
  </si>
  <si>
    <t>All rows are hard-coded from the final CBAM carve-out (EGYPT_CarveOut_Table2_v1.3), except row O, which is computed live on sheet 'CBAM_calc' as the export-weighted change in the embedded emission intensity of CBAM products only. Change the yellow cells on 'Scenarios' and 'CBAM_data' to test alternatives.</t>
  </si>
  <si>
    <t>Code</t>
  </si>
  <si>
    <t>Indicator</t>
  </si>
  <si>
    <t>Unit</t>
  </si>
  <si>
    <t>1A</t>
  </si>
  <si>
    <t>2A</t>
  </si>
  <si>
    <t>2B</t>
  </si>
  <si>
    <t>3A</t>
  </si>
  <si>
    <t>3B</t>
  </si>
  <si>
    <t>3C</t>
  </si>
  <si>
    <t>Source</t>
  </si>
  <si>
    <t>J</t>
  </si>
  <si>
    <t>Coverage of national GHG emissions</t>
  </si>
  <si>
    <t>%</t>
  </si>
  <si>
    <t>Hard-coded: CBAM carve-out v1.3</t>
  </si>
  <si>
    <t>P</t>
  </si>
  <si>
    <t>Carbon revenue</t>
  </si>
  <si>
    <t>USD bn</t>
  </si>
  <si>
    <t>K</t>
  </si>
  <si>
    <t>Emission reduction vs baseline</t>
  </si>
  <si>
    <t>MtCO2e</t>
  </si>
  <si>
    <t>M</t>
  </si>
  <si>
    <t>CBAM coverage (share of CBAM-sector embedded emissions priced)</t>
  </si>
  <si>
    <t>N</t>
  </si>
  <si>
    <t>CBAM-sector emission intensity change</t>
  </si>
  <si>
    <t>O</t>
  </si>
  <si>
    <t>CBAM obligations (change in embedded emissions per tonne exported to the EU)</t>
  </si>
  <si>
    <t>LIVE: CBAM_calc row 5 (CBAM-product intensity only)</t>
  </si>
  <si>
    <t>Q</t>
  </si>
  <si>
    <t>Premature deaths avoided (local air pollution)</t>
  </si>
  <si>
    <t>deaths</t>
  </si>
  <si>
    <t>Memo</t>
  </si>
  <si>
    <t>O-pub</t>
  </si>
  <si>
    <t>CBAM obligations, initial (published) Table 2</t>
  </si>
  <si>
    <t>Scenario definitions</t>
  </si>
  <si>
    <t>Upstream carbon levy on all fossil fuels plus process emissions; revenue to general budget</t>
  </si>
  <si>
    <t>Upstream carbon levy on fossil fuels; revenue to households</t>
  </si>
  <si>
    <t>Upstream carbon levy on fossil fuels; revenue to green investment</t>
  </si>
  <si>
    <t>Downstream carbon price on heavy industry (fuel and process); revenue to households</t>
  </si>
  <si>
    <t>As 3A, with output-based free allocation (rebate) to industry</t>
  </si>
  <si>
    <t>As 3A, with an industrial abatement rebate (fund)</t>
  </si>
  <si>
    <t>CBAM obligations, 2030: % change in embedded emissions per tonne exported to the EU (CBAM products only)</t>
  </si>
  <si>
    <t>O = sum_i X_i x EI_i(policy) / sum_i X_i x EI0_i - 1  (X = 2024 EU exports; EI = direct fuel + process intensity). The EU price and phase-in cancel out. Rows 6-7: memo only, not used in Table 2.</t>
  </si>
  <si>
    <t>Row</t>
  </si>
  <si>
    <t>Convention</t>
  </si>
  <si>
    <t>Embedded-intensity change (CBAM products only) -&gt; Table 2 row O</t>
  </si>
  <si>
    <t>Memo: obligation net of Egyptian carbon-price deduction, full implementation</t>
  </si>
  <si>
    <t>Memo: obligation net of Egyptian carbon-price deduction, 2030 phase-in</t>
  </si>
  <si>
    <t>Assumptions. Table 2 row O uses only F1-F10 below (CBAM-product intensity). Inputs A1-A7 drive the memo rows 6-7 on CBAM_calc only.</t>
  </si>
  <si>
    <t>Orange = key contestable assumption; yellow = other input. All other cells are formulas or fixed data.</t>
  </si>
  <si>
    <t>Ref</t>
  </si>
  <si>
    <t>Assumption</t>
  </si>
  <si>
    <t>Value</t>
  </si>
  <si>
    <t>Basis / comment</t>
  </si>
  <si>
    <t>A1</t>
  </si>
  <si>
    <t>EU allowance (CBAM certificate) price in 2030</t>
  </si>
  <si>
    <t>USD/tCO2</t>
  </si>
  <si>
    <t>Kept from the initial analysis (about EUR 90/t at 1.10 USD/EUR). Treated as a real 2030 price. Please replace with your preferred EU ETS outlook for 2030. A higher price lowers the share of the obligation offset by Egypt's USD 20 price.</t>
  </si>
  <si>
    <t>A2</t>
  </si>
  <si>
    <t>CBAM convention used in Table 2 row O</t>
  </si>
  <si>
    <t>Full implementation</t>
  </si>
  <si>
    <t>'Full implementation': CBF = 1, as in the initial table (structural exposure once EU free allocation has ended, 2034 onwards). '2030 phase-in': CBF = value in A3; the 2030 obligation is then much smaller, so the same domestic payment offsets a larger share of it.</t>
  </si>
  <si>
    <t>A3</t>
  </si>
  <si>
    <t>CBAM factor in 2030 (CBF, 2030 phase-in convention only)</t>
  </si>
  <si>
    <t>share</t>
  </si>
  <si>
    <t>Share of embedded emissions charged in 2030 = 1 - EU ETS free allocation share. Regulation (EU) 2023/956 Art. 31; Directive 2003/87/EC Art. 10a(1a). Schedule below.</t>
  </si>
  <si>
    <t>A4</t>
  </si>
  <si>
    <t>CBAM factor used (CBF)</t>
  </si>
  <si>
    <t>Formula.</t>
  </si>
  <si>
    <t>A5</t>
  </si>
  <si>
    <t>Scale the domestic-price deduction by CBF?</t>
  </si>
  <si>
    <t>No</t>
  </si>
  <si>
    <t>Yes/No</t>
  </si>
  <si>
    <t>'No': the carbon price effectively paid in Egypt is deducted in full (Art. 9). 'Yes': the deduction is reduced in line with the EU free allocation still given to EU producers. The EU implementing rules on this interaction are not final. With 'Yes', the result equals the full-implementation result.</t>
  </si>
  <si>
    <t>A6</t>
  </si>
  <si>
    <t>Deduction scaling used (S)</t>
  </si>
  <si>
    <t>A7</t>
  </si>
  <si>
    <t>Net the 3C industrial abatement rebate off the deductible price?</t>
  </si>
  <si>
    <t>'No' as in the initial table. Art. 9 deducts the price 'effectively paid', taking into account any rebate or compensation. Under 'Yes', the 3C fund (Scenarios!G) is allocated to products in proportion to the carbon payment and subtracted. The 3B output-based rebate is always netted.</t>
  </si>
  <si>
    <t>EU CBAM phase-in (CBF = share of embedded emissions charged)</t>
  </si>
  <si>
    <t>Year</t>
  </si>
  <si>
    <t>CBF</t>
  </si>
  <si>
    <t>Fixed assumptions (built into the product data)</t>
  </si>
  <si>
    <t>F1. Metric (row O): % change in CBAM obligations per tonne exported to the EU in 2030, measured as the change in embedded emissions of CBAM products only, weighted by 2024 EU export volumes (export mix and volumes held fixed).</t>
  </si>
  <si>
    <t>F2. O = sum_i X_i x EI_i / sum_i X_i x EI0_i - 1. Obligation = CBF x P_EU x EI, so the EU price and phase-in cancel. No deduction for the Egyptian carbon price is applied (memo rows 6-7 on CBAM_calc show that variant).</t>
  </si>
  <si>
    <t>F3. EI = direct embedded emissions per tonne (fuel combustion + process). Indirect (electricity) emissions are not included. Urea-bound CO2 is not deducted (CBAM rule). Actual (verified) emissions are assumed, not EU default values.</t>
  </si>
  <si>
    <t>F4. d_i = carbon price effectively paid in Egypt per tonne of product = tau_fuel x fuel intensity + tau_process x process intensity, less output-based rebates (3B) and, if A7 = Yes, the 3C fund. Floored at zero.</t>
  </si>
  <si>
    <t>F5. Domestic price USD 20/tCO2 in 2030 in all scenarios. 2A and 2B price fuel only (upstream levy); process emissions are unpriced there. 1A and 3A-3C price fuel and process emissions.</t>
  </si>
  <si>
    <t>F6. Policy fuel intensity = baseline x (1 + i_f), where i_f is CPAT's fuel-intensity response (one third of CPAT's industry fuel response; 3A-3C use the 1A value as the CBAM sectors are fully priced), plus, in 3C, the kernel's fund-financed fuel abatement.</t>
  </si>
  <si>
    <t>F7. Policy process intensity = industry kernel (CPAT_Industry_Kernel_Egypt_v1.3) process abatement response.</t>
  </si>
  <si>
    <t>F8. Products: DRI-EAF and scrap-EAF steel, grey clinker, ammonia, urea, ammonium nitrate, primary aluminium (BF-BOF steel not produced in Egypt). Baseline intensities: Egypt CBAM EF v0.1 (Methodology App. A).</t>
  </si>
  <si>
    <t>F9. EU export volumes: 2024 (kt): see CBAM_data column C.</t>
  </si>
  <si>
    <t>F10. Row O uses the same CBAM-product intensities as row N; it differs from N only by weighting (EU exports rather than output).</t>
  </si>
  <si>
    <t>Scenario parameters for the CBAM calculation (2030)</t>
  </si>
  <si>
    <t>Scenario</t>
  </si>
  <si>
    <t>Carbon price on fuel CO2 (USD/t)</t>
  </si>
  <si>
    <t>Carbon price on process emissions (USD/t)</t>
  </si>
  <si>
    <t>Output-based rebate rate (USD/t, 3B)</t>
  </si>
  <si>
    <t>Fuel-intensity response i_f (CPAT)</t>
  </si>
  <si>
    <t>3C abatement fund (USD bn)</t>
  </si>
  <si>
    <t>Description</t>
  </si>
  <si>
    <t>CBAM products by scenario, 2030. Columns C-H are data from kernel v1.3 (hard-coded); columns I onwards are formulas.</t>
  </si>
  <si>
    <t>Product</t>
  </si>
  <si>
    <t>EU exports 2024 (kt)</t>
  </si>
  <si>
    <t>Output 2030, policy (kt)</t>
  </si>
  <si>
    <t>Baseline fuel intensity EI0f (tCO2/t)</t>
  </si>
  <si>
    <t>Baseline process intensity EI0p (tCO2e/t)</t>
  </si>
  <si>
    <t>Kernel extra fuel abatement (tCO2/t; 3C fund)</t>
  </si>
  <si>
    <t>Policy process intensity (tCO2e/t; kernel)</t>
  </si>
  <si>
    <t>tau fuel</t>
  </si>
  <si>
    <t>tau process</t>
  </si>
  <si>
    <t>Rebate rate</t>
  </si>
  <si>
    <t>i_f</t>
  </si>
  <si>
    <t>Policy fuel intensity</t>
  </si>
  <si>
    <t>Policy embedded intensity EI</t>
  </si>
  <si>
    <t>Carbon price paid, gross (USD/t product)</t>
  </si>
  <si>
    <t>Output-based rebate (USD/t product)</t>
  </si>
  <si>
    <t>Carbon payment (USD m)</t>
  </si>
  <si>
    <t>3C fund share</t>
  </si>
  <si>
    <t>3C fund netted (USD/t product)</t>
  </si>
  <si>
    <t>Deductible price d (USD/t product)</t>
  </si>
  <si>
    <t>Baseline obligation (USD/t)</t>
  </si>
  <si>
    <t>Policy obligation (USD/t)</t>
  </si>
  <si>
    <t>X x baseline</t>
  </si>
  <si>
    <t>X x policy</t>
  </si>
  <si>
    <t>Full impl.: X x baseline</t>
  </si>
  <si>
    <t>Full impl.: X x policy</t>
  </si>
  <si>
    <t>2030: X x baseline</t>
  </si>
  <si>
    <t>2030: X x policy</t>
  </si>
  <si>
    <t>X x baseline EI (ktCO2e)</t>
  </si>
  <si>
    <t>X x policy EI (ktCO2e)</t>
  </si>
  <si>
    <t>DRI-EAF steel</t>
  </si>
  <si>
    <t>Scrap-EAF steel</t>
  </si>
  <si>
    <t>Grey clinker (dry-process)</t>
  </si>
  <si>
    <t>Ammonia (net)</t>
  </si>
  <si>
    <t>Urea</t>
  </si>
  <si>
    <t>Ammonium nitrate</t>
  </si>
  <si>
    <t>Primary aluminium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</si>
</sst>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0.0000"/>
  </numFmts>
  <fonts count="4" x14ac:knownFonts="1">
    <font>
      <sz val="11"/>
      <color theme="1"/>
      <name val="Calibri"/>
      <family val="2"/>
      <scheme val="minor"/>
    </font>
    <font>
      <b/>
      <sz val="12"/>
      <name val="Calibri"/>
    </font>
    <font>
      <b/>
      <sz val="11"/>
      <name val="Calibri"/>
    </font>
    <font>
      <b/>
      <sz val="11"/>
      <color rgb="FF0000CC"/>
      <name val="Calibri"/>
    </font>
  </fonts>
  <fills count="6">
    <fill>
      <patternFill patternType="none"/>
    </fill>
    <fill>
      <patternFill patternType="gray125"/>
    </fill>
    <fill>
      <patternFill patternType="solid">
        <fgColor rgb="FFD9E1F2"/>
      </patternFill>
    </fill>
    <fill>
      <patternFill patternType="solid">
        <fgColor rgb="FFE2EFDA"/>
      </patternFill>
    </fill>
    <fill>
      <patternFill patternType="solid">
        <fgColor rgb="FFF8CBAD"/>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1" fillId="0" borderId="0" xfId="0" applyFont="1"/>
    <xf numFmtId="0" fontId="0" fillId="0" borderId="0" xfId="0" applyAlignment="1">
      <alignment vertical="top" wrapText="1"/>
    </xf>
    <xf numFmtId="0" fontId="2" fillId="2" borderId="1" xfId="0" applyFont="1" applyFill="1" applyBorder="1" applyAlignment="1">
      <alignment vertical="top" wrapText="1"/>
    </xf>
    <xf numFmtId="0" fontId="2" fillId="0" borderId="0" xfId="0" applyFont="1"/>
    <xf numFmtId="164" fontId="0" fillId="0" borderId="1" xfId="0" applyNumberFormat="1" applyBorder="1"/>
    <xf numFmtId="164" fontId="2" fillId="3" borderId="1" xfId="0" applyNumberFormat="1" applyFont="1" applyFill="1" applyBorder="1"/>
    <xf numFmtId="3" fontId="0" fillId="0" borderId="1" xfId="0" applyNumberFormat="1" applyBorder="1"/>
    <xf numFmtId="164" fontId="0" fillId="3" borderId="1" xfId="0" applyNumberFormat="1" applyFill="1" applyBorder="1"/>
    <xf numFmtId="1" fontId="3" fillId="4" borderId="1" xfId="0" applyNumberFormat="1" applyFont="1" applyFill="1" applyBorder="1"/>
    <xf numFmtId="0" fontId="3" fillId="4" borderId="1" xfId="0" applyFont="1" applyFill="1" applyBorder="1"/>
    <xf numFmtId="165" fontId="3" fillId="5" borderId="1" xfId="0" applyNumberFormat="1" applyFont="1" applyFill="1" applyBorder="1"/>
    <xf numFmtId="165" fontId="0" fillId="3" borderId="1" xfId="0" applyNumberFormat="1" applyFill="1" applyBorder="1"/>
    <xf numFmtId="166" fontId="0" fillId="3" borderId="1" xfId="0" applyNumberFormat="1" applyFill="1" applyBorder="1"/>
    <xf numFmtId="165" fontId="0" fillId="0" borderId="0" xfId="0" applyNumberFormat="1"/>
    <xf numFmtId="164" fontId="3" fillId="5" borderId="1" xfId="0" applyNumberFormat="1" applyFont="1" applyFill="1" applyBorder="1"/>
    <xf numFmtId="10" fontId="3" fillId="5" borderId="1" xfId="0" applyNumberFormat="1" applyFont="1" applyFill="1" applyBorder="1"/>
    <xf numFmtId="166" fontId="3" fillId="5" borderId="1" xfId="0" applyNumberFormat="1" applyFont="1" applyFill="1" applyBorder="1"/>
    <xf numFmtId="3" fontId="0" fillId="0" borderId="0" xfId="0" applyNumberFormat="1"/>
    <xf numFmtId="167" fontId="0" fillId="0" borderId="0" xfId="0" applyNumberFormat="1"/>
    <xf numFmtId="2" fontId="0" fillId="3" borderId="0" xfId="0" applyNumberFormat="1" applyFill="1"/>
    <xf numFmtId="167" fontId="0" fillId="3" borderId="0" xfId="0" applyNumberFormat="1" applyFill="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tabSelected="1" workbookViewId="0">
      <pane xSplit="3" ySplit="4" topLeftCell="D5" activePane="bottomRight" state="frozen"/>
      <selection pane="topRight"/>
      <selection pane="bottomLeft"/>
      <selection pane="bottomRight"/>
    </sheetView>
  </sheetViews>
  <sheetFormatPr defaultRowHeight="14.25" x14ac:dyDescent="0.45"/>
  <cols>
    <col min="1" max="1" width="8" customWidth="1"/>
    <col min="2" max="2" width="62" customWidth="1"/>
    <col min="3" max="9" width="9" customWidth="1"/>
    <col min="10" max="10" width="52" customWidth="1"/>
  </cols>
  <sheetData>
    <row r="1" spans="1:10" ht="15.75" x14ac:dyDescent="0.5">
      <c r="A1" s="1" t="s">
        <v>0</v>
      </c>
    </row>
    <row r="2" spans="1:10" ht="45" customHeight="1" x14ac:dyDescent="0.45">
      <c r="A2" s="22" t="s">
        <v>1</v>
      </c>
      <c r="B2" s="23"/>
      <c r="C2" s="23"/>
      <c r="D2" s="23"/>
      <c r="E2" s="23"/>
      <c r="F2" s="23"/>
      <c r="G2" s="23"/>
      <c r="H2" s="23"/>
      <c r="I2" s="23"/>
    </row>
    <row r="4" spans="1:10" x14ac:dyDescent="0.45">
      <c r="A4" s="3" t="s">
        <v>2</v>
      </c>
      <c r="B4" s="3" t="s">
        <v>3</v>
      </c>
      <c r="C4" s="3" t="s">
        <v>4</v>
      </c>
      <c r="D4" s="3" t="s">
        <v>5</v>
      </c>
      <c r="E4" s="3" t="s">
        <v>6</v>
      </c>
      <c r="F4" s="3" t="s">
        <v>7</v>
      </c>
      <c r="G4" s="3" t="s">
        <v>8</v>
      </c>
      <c r="H4" s="3" t="s">
        <v>9</v>
      </c>
      <c r="I4" s="3" t="s">
        <v>10</v>
      </c>
      <c r="J4" s="3" t="s">
        <v>11</v>
      </c>
    </row>
    <row r="5" spans="1:10" x14ac:dyDescent="0.45">
      <c r="A5" s="4" t="s">
        <v>12</v>
      </c>
      <c r="B5" t="s">
        <v>13</v>
      </c>
      <c r="C5" t="s">
        <v>14</v>
      </c>
      <c r="D5" s="5">
        <v>63.209336136123007</v>
      </c>
      <c r="E5" s="5">
        <v>57.335110644342571</v>
      </c>
      <c r="F5" s="5">
        <v>57.335110644342571</v>
      </c>
      <c r="G5" s="5">
        <v>13.915632294034401</v>
      </c>
      <c r="H5" s="5">
        <v>13.915632294034401</v>
      </c>
      <c r="I5" s="5">
        <v>13.915632294034401</v>
      </c>
      <c r="J5" t="s">
        <v>15</v>
      </c>
    </row>
    <row r="6" spans="1:10" x14ac:dyDescent="0.45">
      <c r="A6" s="4" t="s">
        <v>16</v>
      </c>
      <c r="B6" t="s">
        <v>17</v>
      </c>
      <c r="C6" t="s">
        <v>18</v>
      </c>
      <c r="D6" s="5">
        <v>6.8594937250370798</v>
      </c>
      <c r="E6" s="5">
        <v>6.2668866648981094</v>
      </c>
      <c r="F6" s="5">
        <v>6.2294418069623259</v>
      </c>
      <c r="G6" s="5">
        <v>1.535248861868868</v>
      </c>
      <c r="H6" s="5">
        <v>0.64253706634669661</v>
      </c>
      <c r="I6" s="5">
        <v>0.4060502367633877</v>
      </c>
      <c r="J6" t="s">
        <v>15</v>
      </c>
    </row>
    <row r="7" spans="1:10" x14ac:dyDescent="0.45">
      <c r="A7" s="4" t="s">
        <v>19</v>
      </c>
      <c r="B7" t="s">
        <v>20</v>
      </c>
      <c r="C7" t="s">
        <v>21</v>
      </c>
      <c r="D7" s="5">
        <v>-37.389792301353268</v>
      </c>
      <c r="E7" s="5">
        <v>-33.077154647427108</v>
      </c>
      <c r="F7" s="5">
        <v>-34.827655299254971</v>
      </c>
      <c r="G7" s="5">
        <v>-22.76631822644433</v>
      </c>
      <c r="H7" s="5">
        <v>-19.140348013204179</v>
      </c>
      <c r="I7" s="5">
        <v>-33.039563461624198</v>
      </c>
      <c r="J7" t="s">
        <v>15</v>
      </c>
    </row>
    <row r="8" spans="1:10" x14ac:dyDescent="0.45">
      <c r="A8" s="4" t="s">
        <v>22</v>
      </c>
      <c r="B8" t="s">
        <v>23</v>
      </c>
      <c r="C8" t="s">
        <v>14</v>
      </c>
      <c r="D8" s="5">
        <v>100</v>
      </c>
      <c r="E8" s="5">
        <v>44.212685103625091</v>
      </c>
      <c r="F8" s="5">
        <v>44.212685103625091</v>
      </c>
      <c r="G8" s="5">
        <v>100</v>
      </c>
      <c r="H8" s="5">
        <v>100</v>
      </c>
      <c r="I8" s="5">
        <v>100</v>
      </c>
      <c r="J8" t="s">
        <v>15</v>
      </c>
    </row>
    <row r="9" spans="1:10" x14ac:dyDescent="0.45">
      <c r="A9" s="4" t="s">
        <v>24</v>
      </c>
      <c r="B9" t="s">
        <v>25</v>
      </c>
      <c r="C9" t="s">
        <v>14</v>
      </c>
      <c r="D9" s="5">
        <v>-5.7721191674164682</v>
      </c>
      <c r="E9" s="5">
        <v>-2.1443870416018251</v>
      </c>
      <c r="F9" s="5">
        <v>-2.2593898397569312</v>
      </c>
      <c r="G9" s="5">
        <v>-5.7721191674164682</v>
      </c>
      <c r="H9" s="5">
        <v>-5.7984149124688518</v>
      </c>
      <c r="I9" s="5">
        <v>-23.071731175222151</v>
      </c>
      <c r="J9" t="s">
        <v>15</v>
      </c>
    </row>
    <row r="10" spans="1:10" x14ac:dyDescent="0.45">
      <c r="A10" s="4" t="s">
        <v>26</v>
      </c>
      <c r="B10" t="s">
        <v>27</v>
      </c>
      <c r="C10" t="s">
        <v>14</v>
      </c>
      <c r="D10" s="6">
        <f>CBAM_calc!C5</f>
        <v>-5.4226768436143828</v>
      </c>
      <c r="E10" s="6">
        <f>CBAM_calc!D5</f>
        <v>-2.553018660039541</v>
      </c>
      <c r="F10" s="6">
        <f>CBAM_calc!E5</f>
        <v>-2.689936242523816</v>
      </c>
      <c r="G10" s="6">
        <f>CBAM_calc!F5</f>
        <v>-5.4226768436143828</v>
      </c>
      <c r="H10" s="6">
        <f>CBAM_calc!G5</f>
        <v>-5.4226768436143828</v>
      </c>
      <c r="I10" s="6">
        <f>CBAM_calc!H5</f>
        <v>-20.741843792206804</v>
      </c>
      <c r="J10" t="s">
        <v>28</v>
      </c>
    </row>
    <row r="11" spans="1:10" x14ac:dyDescent="0.45">
      <c r="A11" s="4" t="s">
        <v>29</v>
      </c>
      <c r="B11" t="s">
        <v>30</v>
      </c>
      <c r="C11" t="s">
        <v>31</v>
      </c>
      <c r="D11" s="7">
        <v>1501.1341153516501</v>
      </c>
      <c r="E11" s="7">
        <v>1456.3479307694699</v>
      </c>
      <c r="F11" s="7">
        <v>1517.198720712651</v>
      </c>
      <c r="G11" s="7">
        <v>551.58950848201914</v>
      </c>
      <c r="H11" s="7">
        <v>490.67565048441548</v>
      </c>
      <c r="I11" s="7">
        <v>646.30920346902712</v>
      </c>
      <c r="J11" t="s">
        <v>15</v>
      </c>
    </row>
    <row r="13" spans="1:10" x14ac:dyDescent="0.45">
      <c r="A13" s="4" t="s">
        <v>32</v>
      </c>
    </row>
    <row r="14" spans="1:10" x14ac:dyDescent="0.45">
      <c r="A14" t="s">
        <v>33</v>
      </c>
      <c r="B14" t="s">
        <v>34</v>
      </c>
      <c r="C14" t="s">
        <v>14</v>
      </c>
      <c r="D14" s="5">
        <v>-26.1</v>
      </c>
      <c r="E14" s="5">
        <v>-13.9</v>
      </c>
      <c r="F14" s="5">
        <v>-13.9</v>
      </c>
      <c r="G14" s="5">
        <v>-26.1</v>
      </c>
      <c r="H14" s="5">
        <v>-7.6</v>
      </c>
      <c r="I14" s="5">
        <v>-30.4</v>
      </c>
    </row>
    <row r="18" spans="1:2" x14ac:dyDescent="0.45">
      <c r="A18" s="4" t="s">
        <v>35</v>
      </c>
    </row>
    <row r="19" spans="1:2" x14ac:dyDescent="0.45">
      <c r="A19" t="s">
        <v>5</v>
      </c>
      <c r="B19" t="s">
        <v>36</v>
      </c>
    </row>
    <row r="20" spans="1:2" x14ac:dyDescent="0.45">
      <c r="A20" t="s">
        <v>6</v>
      </c>
      <c r="B20" t="s">
        <v>37</v>
      </c>
    </row>
    <row r="21" spans="1:2" x14ac:dyDescent="0.45">
      <c r="A21" t="s">
        <v>7</v>
      </c>
      <c r="B21" t="s">
        <v>38</v>
      </c>
    </row>
    <row r="22" spans="1:2" x14ac:dyDescent="0.45">
      <c r="A22" t="s">
        <v>8</v>
      </c>
      <c r="B22" t="s">
        <v>39</v>
      </c>
    </row>
    <row r="23" spans="1:2" x14ac:dyDescent="0.45">
      <c r="A23" t="s">
        <v>9</v>
      </c>
      <c r="B23" t="s">
        <v>40</v>
      </c>
    </row>
    <row r="24" spans="1:2" x14ac:dyDescent="0.45">
      <c r="A24" t="s">
        <v>10</v>
      </c>
      <c r="B24" t="s">
        <v>41</v>
      </c>
    </row>
  </sheetData>
  <mergeCells count="1">
    <mergeCell ref="A2:I2"/>
  </mergeCells>
  <pageMargins left="0.75" right="0.75" top="1" bottom="1" header="0.5" footer="0.5"/>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heetViews>
  <sheetFormatPr defaultRowHeight="14.25" x14ac:dyDescent="0.45"/>
  <cols>
    <col min="1" max="1" width="6" customWidth="1"/>
    <col min="2" max="2" width="70" customWidth="1"/>
    <col min="3" max="8" width="10" customWidth="1"/>
  </cols>
  <sheetData>
    <row r="1" spans="1:8" ht="15.75" x14ac:dyDescent="0.5">
      <c r="A1" s="1" t="s">
        <v>42</v>
      </c>
    </row>
    <row r="2" spans="1:8" x14ac:dyDescent="0.45">
      <c r="A2" t="s">
        <v>43</v>
      </c>
    </row>
    <row r="4" spans="1:8" x14ac:dyDescent="0.45">
      <c r="A4" s="3" t="s">
        <v>44</v>
      </c>
      <c r="B4" s="3" t="s">
        <v>45</v>
      </c>
      <c r="C4" s="3" t="s">
        <v>5</v>
      </c>
      <c r="D4" s="3" t="s">
        <v>6</v>
      </c>
      <c r="E4" s="3" t="s">
        <v>7</v>
      </c>
      <c r="F4" s="3" t="s">
        <v>8</v>
      </c>
      <c r="G4" s="3" t="s">
        <v>9</v>
      </c>
      <c r="H4" s="3" t="s">
        <v>10</v>
      </c>
    </row>
    <row r="5" spans="1:8" x14ac:dyDescent="0.45">
      <c r="A5" t="s">
        <v>26</v>
      </c>
      <c r="B5" t="s">
        <v>46</v>
      </c>
      <c r="C5" s="8">
        <f>100*(SUMIF(CBAM_data!$A$4:$A$45,"1A",CBAM_data!$AD$4:$AD$45)/SUMIF(CBAM_data!$A$4:$A$45,"1A",CBAM_data!$AC$4:$AC$45)-1)</f>
        <v>-5.4226768436143828</v>
      </c>
      <c r="D5" s="8">
        <f>100*(SUMIF(CBAM_data!$A$4:$A$45,"2A",CBAM_data!$AD$4:$AD$45)/SUMIF(CBAM_data!$A$4:$A$45,"2A",CBAM_data!$AC$4:$AC$45)-1)</f>
        <v>-2.553018660039541</v>
      </c>
      <c r="E5" s="8">
        <f>100*(SUMIF(CBAM_data!$A$4:$A$45,"2B",CBAM_data!$AD$4:$AD$45)/SUMIF(CBAM_data!$A$4:$A$45,"2B",CBAM_data!$AC$4:$AC$45)-1)</f>
        <v>-2.689936242523816</v>
      </c>
      <c r="F5" s="8">
        <f>100*(SUMIF(CBAM_data!$A$4:$A$45,"3A",CBAM_data!$AD$4:$AD$45)/SUMIF(CBAM_data!$A$4:$A$45,"3A",CBAM_data!$AC$4:$AC$45)-1)</f>
        <v>-5.4226768436143828</v>
      </c>
      <c r="G5" s="8">
        <f>100*(SUMIF(CBAM_data!$A$4:$A$45,"3B",CBAM_data!$AD$4:$AD$45)/SUMIF(CBAM_data!$A$4:$A$45,"3B",CBAM_data!$AC$4:$AC$45)-1)</f>
        <v>-5.4226768436143828</v>
      </c>
      <c r="H5" s="8">
        <f>100*(SUMIF(CBAM_data!$A$4:$A$45,"3C",CBAM_data!$AD$4:$AD$45)/SUMIF(CBAM_data!$A$4:$A$45,"3C",CBAM_data!$AC$4:$AC$45)-1)</f>
        <v>-20.741843792206804</v>
      </c>
    </row>
    <row r="6" spans="1:8" x14ac:dyDescent="0.45">
      <c r="A6" t="s">
        <v>26</v>
      </c>
      <c r="B6" t="s">
        <v>47</v>
      </c>
      <c r="C6" s="8">
        <f>100*(SUMIF(CBAM_data!$A$4:$A$45,"1A",CBAM_data!$Z$4:$Z$45)/SUMIF(CBAM_data!$A$4:$A$45,"1A",CBAM_data!$Y$4:$Y$45)-1)</f>
        <v>-24.338141474891508</v>
      </c>
      <c r="D6" s="8">
        <f>100*(SUMIF(CBAM_data!$A$4:$A$45,"2A",CBAM_data!$Z$4:$Z$45)/SUMIF(CBAM_data!$A$4:$A$45,"2A",CBAM_data!$Y$4:$Y$45)-1)</f>
        <v>-12.52992851542124</v>
      </c>
      <c r="E6" s="8">
        <f>100*(SUMIF(CBAM_data!$A$4:$A$45,"2B",CBAM_data!$Z$4:$Z$45)/SUMIF(CBAM_data!$A$4:$A$45,"2B",CBAM_data!$Y$4:$Y$45)-1)</f>
        <v>-12.639462581408678</v>
      </c>
      <c r="F6" s="8">
        <f>100*(SUMIF(CBAM_data!$A$4:$A$45,"3A",CBAM_data!$Z$4:$Z$45)/SUMIF(CBAM_data!$A$4:$A$45,"3A",CBAM_data!$Y$4:$Y$45)-1)</f>
        <v>-24.338141474891508</v>
      </c>
      <c r="G6" s="8">
        <f>100*(SUMIF(CBAM_data!$A$4:$A$45,"3B",CBAM_data!$Z$4:$Z$45)/SUMIF(CBAM_data!$A$4:$A$45,"3B",CBAM_data!$Y$4:$Y$45)-1)</f>
        <v>-5.4226768436143713</v>
      </c>
      <c r="H6" s="8">
        <f>100*(SUMIF(CBAM_data!$A$4:$A$45,"3C",CBAM_data!$Z$4:$Z$45)/SUMIF(CBAM_data!$A$4:$A$45,"3C",CBAM_data!$Y$4:$Y$45)-1)</f>
        <v>-36.593475033765458</v>
      </c>
    </row>
    <row r="7" spans="1:8" x14ac:dyDescent="0.45">
      <c r="A7" t="s">
        <v>26</v>
      </c>
      <c r="B7" t="s">
        <v>48</v>
      </c>
      <c r="C7" s="8">
        <f>100*(SUMIF(CBAM_data!$A$4:$A$45,"1A",CBAM_data!$AB$4:$AB$45)/SUMIF(CBAM_data!$A$4:$A$45,"1A",CBAM_data!$AA$4:$AA$45)-1)</f>
        <v>-44.42363484624763</v>
      </c>
      <c r="D7" s="8">
        <f>100*(SUMIF(CBAM_data!$A$4:$A$45,"2A",CBAM_data!$AB$4:$AB$45)/SUMIF(CBAM_data!$A$4:$A$45,"2A",CBAM_data!$AA$4:$AA$45)-1)</f>
        <v>-23.123966815465767</v>
      </c>
      <c r="E7" s="8">
        <f>100*(SUMIF(CBAM_data!$A$4:$A$45,"2B",CBAM_data!$AB$4:$AB$45)/SUMIF(CBAM_data!$A$4:$A$45,"2B",CBAM_data!$AA$4:$AA$45)-1)</f>
        <v>-23.204423539193652</v>
      </c>
      <c r="F7" s="8">
        <f>100*(SUMIF(CBAM_data!$A$4:$A$45,"3A",CBAM_data!$AB$4:$AB$45)/SUMIF(CBAM_data!$A$4:$A$45,"3A",CBAM_data!$AA$4:$AA$45)-1)</f>
        <v>-44.42363484624763</v>
      </c>
      <c r="G7" s="8">
        <f>100*(SUMIF(CBAM_data!$A$4:$A$45,"3B",CBAM_data!$AB$4:$AB$45)/SUMIF(CBAM_data!$A$4:$A$45,"3B",CBAM_data!$AA$4:$AA$45)-1)</f>
        <v>-5.4226768436143935</v>
      </c>
      <c r="H7" s="8">
        <f>100*(SUMIF(CBAM_data!$A$4:$A$45,"3C",CBAM_data!$AB$4:$AB$45)/SUMIF(CBAM_data!$A$4:$A$45,"3C",CBAM_data!$AA$4:$AA$45)-1)</f>
        <v>-53.425619547997826</v>
      </c>
    </row>
  </sheetData>
  <pageMargins left="0.75" right="0.75" top="1" bottom="1" header="0.5" footer="0.5"/>
  <headerFooter>
    <oddFooter>&amp;R_x000D_&amp;1#&amp;"Aptos"&amp;10&amp;K000000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8"/>
  <sheetViews>
    <sheetView workbookViewId="0"/>
  </sheetViews>
  <sheetFormatPr defaultRowHeight="14.25" x14ac:dyDescent="0.45"/>
  <cols>
    <col min="1" max="1" width="6" customWidth="1"/>
    <col min="2" max="2" width="46" customWidth="1"/>
    <col min="3" max="3" width="20" customWidth="1"/>
    <col min="4" max="4" width="11" customWidth="1"/>
    <col min="5" max="5" width="90" customWidth="1"/>
    <col min="6" max="11" width="8" customWidth="1"/>
  </cols>
  <sheetData>
    <row r="1" spans="1:11" ht="15.75" x14ac:dyDescent="0.5">
      <c r="A1" s="1" t="s">
        <v>49</v>
      </c>
    </row>
    <row r="2" spans="1:11" x14ac:dyDescent="0.45">
      <c r="A2" t="s">
        <v>50</v>
      </c>
    </row>
    <row r="4" spans="1:11" x14ac:dyDescent="0.45">
      <c r="A4" s="3" t="s">
        <v>51</v>
      </c>
      <c r="B4" s="3" t="s">
        <v>52</v>
      </c>
      <c r="C4" s="3" t="s">
        <v>53</v>
      </c>
      <c r="D4" s="3" t="s">
        <v>4</v>
      </c>
      <c r="E4" s="3" t="s">
        <v>54</v>
      </c>
    </row>
    <row r="5" spans="1:11" ht="62" customHeight="1" x14ac:dyDescent="0.45">
      <c r="A5" t="s">
        <v>55</v>
      </c>
      <c r="B5" s="2" t="s">
        <v>56</v>
      </c>
      <c r="C5" s="9">
        <v>100</v>
      </c>
      <c r="D5" t="s">
        <v>57</v>
      </c>
      <c r="E5" s="2" t="s">
        <v>58</v>
      </c>
    </row>
    <row r="6" spans="1:11" ht="62" customHeight="1" x14ac:dyDescent="0.45">
      <c r="A6" t="s">
        <v>59</v>
      </c>
      <c r="B6" s="2" t="s">
        <v>60</v>
      </c>
      <c r="C6" s="10" t="s">
        <v>61</v>
      </c>
      <c r="E6" s="2" t="s">
        <v>62</v>
      </c>
    </row>
    <row r="7" spans="1:11" ht="62" customHeight="1" x14ac:dyDescent="0.45">
      <c r="A7" t="s">
        <v>63</v>
      </c>
      <c r="B7" s="2" t="s">
        <v>64</v>
      </c>
      <c r="C7" s="11">
        <v>0.48499999999999999</v>
      </c>
      <c r="D7" t="s">
        <v>65</v>
      </c>
      <c r="E7" s="2" t="s">
        <v>66</v>
      </c>
    </row>
    <row r="8" spans="1:11" ht="62" customHeight="1" x14ac:dyDescent="0.45">
      <c r="A8" t="s">
        <v>67</v>
      </c>
      <c r="B8" s="2" t="s">
        <v>68</v>
      </c>
      <c r="C8" s="12">
        <f>IF(C6="Full implementation",1,C7)</f>
        <v>1</v>
      </c>
      <c r="D8" t="s">
        <v>65</v>
      </c>
      <c r="E8" s="2" t="s">
        <v>69</v>
      </c>
    </row>
    <row r="9" spans="1:11" ht="62" customHeight="1" x14ac:dyDescent="0.45">
      <c r="A9" t="s">
        <v>70</v>
      </c>
      <c r="B9" s="2" t="s">
        <v>71</v>
      </c>
      <c r="C9" s="10" t="s">
        <v>72</v>
      </c>
      <c r="D9" t="s">
        <v>73</v>
      </c>
      <c r="E9" s="2" t="s">
        <v>74</v>
      </c>
    </row>
    <row r="10" spans="1:11" ht="62" customHeight="1" x14ac:dyDescent="0.45">
      <c r="A10" t="s">
        <v>75</v>
      </c>
      <c r="B10" s="2" t="s">
        <v>76</v>
      </c>
      <c r="C10" s="13">
        <f>IF(C9="Yes",C8,1)</f>
        <v>1</v>
      </c>
      <c r="D10" t="s">
        <v>65</v>
      </c>
      <c r="E10" s="2" t="s">
        <v>69</v>
      </c>
    </row>
    <row r="11" spans="1:11" ht="62" customHeight="1" x14ac:dyDescent="0.45">
      <c r="A11" t="s">
        <v>77</v>
      </c>
      <c r="B11" s="2" t="s">
        <v>78</v>
      </c>
      <c r="C11" s="10" t="s">
        <v>72</v>
      </c>
      <c r="D11" t="s">
        <v>73</v>
      </c>
      <c r="E11" s="2" t="s">
        <v>79</v>
      </c>
    </row>
    <row r="13" spans="1:11" x14ac:dyDescent="0.45">
      <c r="A13" s="4" t="s">
        <v>80</v>
      </c>
    </row>
    <row r="14" spans="1:11" x14ac:dyDescent="0.45">
      <c r="B14" s="3" t="s">
        <v>81</v>
      </c>
      <c r="C14" s="3">
        <v>2026</v>
      </c>
      <c r="D14" s="3">
        <v>2027</v>
      </c>
      <c r="E14" s="3">
        <v>2028</v>
      </c>
      <c r="F14" s="3">
        <v>2029</v>
      </c>
      <c r="G14" s="3">
        <v>2030</v>
      </c>
      <c r="H14" s="3">
        <v>2031</v>
      </c>
      <c r="I14" s="3">
        <v>2032</v>
      </c>
      <c r="J14" s="3">
        <v>2033</v>
      </c>
      <c r="K14" s="3">
        <v>2034</v>
      </c>
    </row>
    <row r="15" spans="1:11" x14ac:dyDescent="0.45">
      <c r="B15" t="s">
        <v>82</v>
      </c>
      <c r="C15" s="14">
        <v>2.5000000000000001E-2</v>
      </c>
      <c r="D15" s="14">
        <v>0.05</v>
      </c>
      <c r="E15" s="14">
        <v>0.1</v>
      </c>
      <c r="F15" s="14">
        <v>0.22500000000000001</v>
      </c>
      <c r="G15" s="14">
        <v>0.48499999999999999</v>
      </c>
      <c r="H15" s="14">
        <v>0.61</v>
      </c>
      <c r="I15" s="14">
        <v>0.73499999999999999</v>
      </c>
      <c r="J15" s="14">
        <v>0.86</v>
      </c>
      <c r="K15" s="14">
        <v>1</v>
      </c>
    </row>
    <row r="18" spans="1:5" x14ac:dyDescent="0.45">
      <c r="A18" s="4" t="s">
        <v>83</v>
      </c>
    </row>
    <row r="19" spans="1:5" ht="32" customHeight="1" x14ac:dyDescent="0.45">
      <c r="A19" s="22" t="s">
        <v>84</v>
      </c>
      <c r="B19" s="23"/>
      <c r="C19" s="23"/>
      <c r="D19" s="23"/>
      <c r="E19" s="23"/>
    </row>
    <row r="20" spans="1:5" ht="32" customHeight="1" x14ac:dyDescent="0.45">
      <c r="A20" s="22" t="s">
        <v>85</v>
      </c>
      <c r="B20" s="23"/>
      <c r="C20" s="23"/>
      <c r="D20" s="23"/>
      <c r="E20" s="23"/>
    </row>
    <row r="21" spans="1:5" ht="32" customHeight="1" x14ac:dyDescent="0.45">
      <c r="A21" s="22" t="s">
        <v>86</v>
      </c>
      <c r="B21" s="23"/>
      <c r="C21" s="23"/>
      <c r="D21" s="23"/>
      <c r="E21" s="23"/>
    </row>
    <row r="22" spans="1:5" ht="32" customHeight="1" x14ac:dyDescent="0.45">
      <c r="A22" s="22" t="s">
        <v>87</v>
      </c>
      <c r="B22" s="23"/>
      <c r="C22" s="23"/>
      <c r="D22" s="23"/>
      <c r="E22" s="23"/>
    </row>
    <row r="23" spans="1:5" ht="32" customHeight="1" x14ac:dyDescent="0.45">
      <c r="A23" s="22" t="s">
        <v>88</v>
      </c>
      <c r="B23" s="23"/>
      <c r="C23" s="23"/>
      <c r="D23" s="23"/>
      <c r="E23" s="23"/>
    </row>
    <row r="24" spans="1:5" ht="32" customHeight="1" x14ac:dyDescent="0.45">
      <c r="A24" s="22" t="s">
        <v>89</v>
      </c>
      <c r="B24" s="23"/>
      <c r="C24" s="23"/>
      <c r="D24" s="23"/>
      <c r="E24" s="23"/>
    </row>
    <row r="25" spans="1:5" ht="32" customHeight="1" x14ac:dyDescent="0.45">
      <c r="A25" s="22" t="s">
        <v>90</v>
      </c>
      <c r="B25" s="23"/>
      <c r="C25" s="23"/>
      <c r="D25" s="23"/>
      <c r="E25" s="23"/>
    </row>
    <row r="26" spans="1:5" ht="32" customHeight="1" x14ac:dyDescent="0.45">
      <c r="A26" s="22" t="s">
        <v>91</v>
      </c>
      <c r="B26" s="23"/>
      <c r="C26" s="23"/>
      <c r="D26" s="23"/>
      <c r="E26" s="23"/>
    </row>
    <row r="27" spans="1:5" ht="32" customHeight="1" x14ac:dyDescent="0.45">
      <c r="A27" s="22" t="s">
        <v>92</v>
      </c>
      <c r="B27" s="23"/>
      <c r="C27" s="23"/>
      <c r="D27" s="23"/>
      <c r="E27" s="23"/>
    </row>
    <row r="28" spans="1:5" ht="32" customHeight="1" x14ac:dyDescent="0.45">
      <c r="A28" s="22" t="s">
        <v>93</v>
      </c>
      <c r="B28" s="23"/>
      <c r="C28" s="23"/>
      <c r="D28" s="23"/>
      <c r="E28" s="23"/>
    </row>
  </sheetData>
  <mergeCells count="10">
    <mergeCell ref="A28:E28"/>
    <mergeCell ref="A19:E19"/>
    <mergeCell ref="A23:E23"/>
    <mergeCell ref="A22:E22"/>
    <mergeCell ref="A27:E27"/>
    <mergeCell ref="A21:E21"/>
    <mergeCell ref="A20:E20"/>
    <mergeCell ref="A24:E24"/>
    <mergeCell ref="A26:E26"/>
    <mergeCell ref="A25:E25"/>
  </mergeCells>
  <dataValidations count="2">
    <dataValidation type="list" sqref="C6" xr:uid="{00000000-0002-0000-0200-000000000000}">
      <formula1>"Full implementation,2030 phase-in"</formula1>
    </dataValidation>
    <dataValidation type="list" sqref="C9 C11" xr:uid="{00000000-0002-0000-0200-000001000000}">
      <formula1>"Yes,No"</formula1>
    </dataValidation>
  </dataValidations>
  <pageMargins left="0.75" right="0.75" top="1" bottom="1" header="0.5" footer="0.5"/>
  <headerFooter>
    <oddFooter>&amp;R_x000D_&amp;1#&amp;"Aptos"&amp;10&amp;K000000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sheetViews>
  <sheetFormatPr defaultRowHeight="14.25" x14ac:dyDescent="0.45"/>
  <cols>
    <col min="1" max="1" width="10" customWidth="1"/>
    <col min="2" max="6" width="18" customWidth="1"/>
    <col min="7" max="7" width="80" customWidth="1"/>
  </cols>
  <sheetData>
    <row r="1" spans="1:7" ht="15.75" x14ac:dyDescent="0.5">
      <c r="A1" s="1" t="s">
        <v>94</v>
      </c>
    </row>
    <row r="3" spans="1:7" ht="45" customHeight="1" x14ac:dyDescent="0.45">
      <c r="A3" s="3" t="s">
        <v>95</v>
      </c>
      <c r="B3" s="3" t="s">
        <v>96</v>
      </c>
      <c r="C3" s="3" t="s">
        <v>97</v>
      </c>
      <c r="D3" s="3" t="s">
        <v>98</v>
      </c>
      <c r="E3" s="3" t="s">
        <v>99</v>
      </c>
      <c r="F3" s="3" t="s">
        <v>100</v>
      </c>
      <c r="G3" s="3" t="s">
        <v>101</v>
      </c>
    </row>
    <row r="4" spans="1:7" x14ac:dyDescent="0.45">
      <c r="A4" s="4" t="s">
        <v>5</v>
      </c>
      <c r="B4" s="15">
        <v>20</v>
      </c>
      <c r="C4" s="15">
        <v>20</v>
      </c>
      <c r="D4" s="15">
        <v>0</v>
      </c>
      <c r="E4" s="16">
        <v>-4.8686824360529728E-2</v>
      </c>
      <c r="F4" s="17">
        <v>0</v>
      </c>
      <c r="G4" t="s">
        <v>36</v>
      </c>
    </row>
    <row r="5" spans="1:7" x14ac:dyDescent="0.45">
      <c r="A5" s="4" t="s">
        <v>6</v>
      </c>
      <c r="B5" s="15">
        <v>20</v>
      </c>
      <c r="C5" s="15">
        <v>0</v>
      </c>
      <c r="D5" s="15">
        <v>0</v>
      </c>
      <c r="E5" s="16">
        <v>-4.8686824360529728E-2</v>
      </c>
      <c r="F5" s="17">
        <v>0</v>
      </c>
      <c r="G5" t="s">
        <v>37</v>
      </c>
    </row>
    <row r="6" spans="1:7" x14ac:dyDescent="0.45">
      <c r="A6" s="4" t="s">
        <v>7</v>
      </c>
      <c r="B6" s="15">
        <v>20</v>
      </c>
      <c r="C6" s="15">
        <v>0</v>
      </c>
      <c r="D6" s="15">
        <v>0</v>
      </c>
      <c r="E6" s="16">
        <v>-5.1297883337348187E-2</v>
      </c>
      <c r="F6" s="17">
        <v>0</v>
      </c>
      <c r="G6" t="s">
        <v>38</v>
      </c>
    </row>
    <row r="7" spans="1:7" x14ac:dyDescent="0.45">
      <c r="A7" s="4" t="s">
        <v>8</v>
      </c>
      <c r="B7" s="15">
        <v>20</v>
      </c>
      <c r="C7" s="15">
        <v>20</v>
      </c>
      <c r="D7" s="15">
        <v>0</v>
      </c>
      <c r="E7" s="16">
        <v>-4.8686824360529728E-2</v>
      </c>
      <c r="F7" s="17">
        <v>0</v>
      </c>
      <c r="G7" t="s">
        <v>39</v>
      </c>
    </row>
    <row r="8" spans="1:7" x14ac:dyDescent="0.45">
      <c r="A8" s="4" t="s">
        <v>9</v>
      </c>
      <c r="B8" s="15">
        <v>20</v>
      </c>
      <c r="C8" s="15">
        <v>20</v>
      </c>
      <c r="D8" s="15">
        <v>20</v>
      </c>
      <c r="E8" s="16">
        <v>-4.8686824360529728E-2</v>
      </c>
      <c r="F8" s="17">
        <v>0</v>
      </c>
      <c r="G8" t="s">
        <v>40</v>
      </c>
    </row>
    <row r="9" spans="1:7" x14ac:dyDescent="0.45">
      <c r="A9" s="4" t="s">
        <v>10</v>
      </c>
      <c r="B9" s="15">
        <v>20</v>
      </c>
      <c r="C9" s="15">
        <v>20</v>
      </c>
      <c r="D9" s="15">
        <v>0</v>
      </c>
      <c r="E9" s="16">
        <v>-4.8686824360529728E-2</v>
      </c>
      <c r="F9" s="17">
        <v>0.92458405672931165</v>
      </c>
      <c r="G9" t="s">
        <v>41</v>
      </c>
    </row>
  </sheetData>
  <pageMargins left="0.75" right="0.75" top="1" bottom="1" header="0.5" footer="0.5"/>
  <headerFooter>
    <oddFooter>&amp;R_x000D_&amp;1#&amp;"Aptos"&amp;10&amp;K000000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45"/>
  <sheetViews>
    <sheetView workbookViewId="0">
      <pane xSplit="2" ySplit="3" topLeftCell="C4" activePane="bottomRight" state="frozen"/>
      <selection pane="topRight"/>
      <selection pane="bottomLeft"/>
      <selection pane="bottomRight"/>
    </sheetView>
  </sheetViews>
  <sheetFormatPr defaultRowHeight="14.25" x14ac:dyDescent="0.45"/>
  <cols>
    <col min="1" max="1" width="9" customWidth="1"/>
    <col min="2" max="2" width="26" customWidth="1"/>
    <col min="3" max="30" width="13" customWidth="1"/>
  </cols>
  <sheetData>
    <row r="1" spans="1:30" x14ac:dyDescent="0.45">
      <c r="A1" s="4" t="s">
        <v>102</v>
      </c>
    </row>
    <row r="3" spans="1:30" ht="75" customHeight="1" x14ac:dyDescent="0.45">
      <c r="A3" s="3" t="s">
        <v>95</v>
      </c>
      <c r="B3" s="3" t="s">
        <v>103</v>
      </c>
      <c r="C3" s="3" t="s">
        <v>104</v>
      </c>
      <c r="D3" s="3" t="s">
        <v>105</v>
      </c>
      <c r="E3" s="3" t="s">
        <v>106</v>
      </c>
      <c r="F3" s="3" t="s">
        <v>107</v>
      </c>
      <c r="G3" s="3" t="s">
        <v>108</v>
      </c>
      <c r="H3" s="3" t="s">
        <v>109</v>
      </c>
      <c r="I3" s="3" t="s">
        <v>110</v>
      </c>
      <c r="J3" s="3" t="s">
        <v>111</v>
      </c>
      <c r="K3" s="3" t="s">
        <v>112</v>
      </c>
      <c r="L3" s="3" t="s">
        <v>113</v>
      </c>
      <c r="M3" s="3" t="s">
        <v>114</v>
      </c>
      <c r="N3" s="3" t="s">
        <v>115</v>
      </c>
      <c r="O3" s="3" t="s">
        <v>116</v>
      </c>
      <c r="P3" s="3" t="s">
        <v>117</v>
      </c>
      <c r="Q3" s="3" t="s">
        <v>118</v>
      </c>
      <c r="R3" s="3" t="s">
        <v>119</v>
      </c>
      <c r="S3" s="3" t="s">
        <v>120</v>
      </c>
      <c r="T3" s="3" t="s">
        <v>121</v>
      </c>
      <c r="U3" s="3" t="s">
        <v>122</v>
      </c>
      <c r="V3" s="3" t="s">
        <v>123</v>
      </c>
      <c r="W3" s="3" t="s">
        <v>124</v>
      </c>
      <c r="X3" s="3" t="s">
        <v>125</v>
      </c>
      <c r="Y3" s="3" t="s">
        <v>126</v>
      </c>
      <c r="Z3" s="3" t="s">
        <v>127</v>
      </c>
      <c r="AA3" s="3" t="s">
        <v>128</v>
      </c>
      <c r="AB3" s="3" t="s">
        <v>129</v>
      </c>
      <c r="AC3" s="3" t="s">
        <v>130</v>
      </c>
      <c r="AD3" s="3" t="s">
        <v>131</v>
      </c>
    </row>
    <row r="4" spans="1:30" x14ac:dyDescent="0.45">
      <c r="A4" t="s">
        <v>5</v>
      </c>
      <c r="B4" t="s">
        <v>132</v>
      </c>
      <c r="C4" s="18">
        <v>580</v>
      </c>
      <c r="D4" s="18">
        <v>6550.5179664754814</v>
      </c>
      <c r="E4" s="19">
        <v>0.57099076999999998</v>
      </c>
      <c r="F4" s="19">
        <v>3.7901020000000001E-2</v>
      </c>
      <c r="G4" s="19">
        <v>0</v>
      </c>
      <c r="H4" s="19">
        <v>3.5376190552514883E-2</v>
      </c>
      <c r="I4" s="20">
        <f>INDEX(Scenarios!$B$4:$B$9,MATCH($A4,Scenarios!$A$4:$A$9,0))</f>
        <v>20</v>
      </c>
      <c r="J4" s="20">
        <f>INDEX(Scenarios!$C$4:$C$9,MATCH($A4,Scenarios!$A$4:$A$9,0))</f>
        <v>20</v>
      </c>
      <c r="K4" s="20">
        <f>INDEX(Scenarios!$D$4:$D$9,MATCH($A4,Scenarios!$A$4:$A$9,0))</f>
        <v>0</v>
      </c>
      <c r="L4" s="21">
        <f>INDEX(Scenarios!$E$4:$E$9,MATCH($A4,Scenarios!$A$4:$A$9,0))</f>
        <v>-4.8686824360529728E-2</v>
      </c>
      <c r="M4" s="21">
        <f t="shared" ref="M4:M45" si="0">E4*(1+L4)+G4</f>
        <v>0.54319104266952634</v>
      </c>
      <c r="N4" s="21">
        <f t="shared" ref="N4:N45" si="1">M4+H4</f>
        <v>0.57856723322204118</v>
      </c>
      <c r="O4" s="20">
        <f t="shared" ref="O4:O45" si="2">I4*M4+J4*H4</f>
        <v>11.571344664440824</v>
      </c>
      <c r="P4" s="20">
        <f t="shared" ref="P4:P45" si="3">MIN(K4,I4)*E4+MIN(K4,J4)*F4</f>
        <v>0</v>
      </c>
      <c r="Q4" s="20">
        <f t="shared" ref="Q4:Q45" si="4">MAX(0,O4-P4)*D4/1000</f>
        <v>75.798301120699819</v>
      </c>
      <c r="R4" s="21">
        <f t="shared" ref="R4:R10" si="5">IF(SUM($Q$4:$Q$10)=0,0,Q4/SUM($Q$4:$Q$10))</f>
        <v>6.8647677911783639E-2</v>
      </c>
      <c r="S4" s="20">
        <f>IF(Assumptions!$C$11="Yes",INDEX(Scenarios!$F$4:$F$9,MATCH($A4,Scenarios!$A$4:$A$9,0))*1000*R4/D4*1000,0)</f>
        <v>0</v>
      </c>
      <c r="T4" s="20">
        <f t="shared" ref="T4:T45" si="6">MAX(0,O4-P4-S4)</f>
        <v>11.571344664440824</v>
      </c>
      <c r="U4" s="20">
        <f>Assumptions!$C$8*Assumptions!$C$5*(E4+F4)</f>
        <v>60.889178999999992</v>
      </c>
      <c r="V4" s="20">
        <f>MAX(0,Assumptions!$C$8*Assumptions!$C$5*N4-Assumptions!$C$10*T4)</f>
        <v>46.285378657763296</v>
      </c>
      <c r="W4" s="20">
        <f t="shared" ref="W4:W45" si="7">C4*U4</f>
        <v>35315.723819999992</v>
      </c>
      <c r="X4" s="20">
        <f t="shared" ref="X4:X45" si="8">C4*V4</f>
        <v>26845.51962150271</v>
      </c>
      <c r="Y4" s="20">
        <f>C4*Assumptions!$C$5*(E4+F4)</f>
        <v>35315.723819999999</v>
      </c>
      <c r="Z4" s="20">
        <f>C4*MAX(0,Assumptions!$C$5*N4-T4)</f>
        <v>26845.51962150271</v>
      </c>
      <c r="AA4" s="20">
        <f>C4*Assumptions!$C$7*Assumptions!$C$5*(E4+F4)</f>
        <v>17128.126052699998</v>
      </c>
      <c r="AB4" s="20">
        <f>C4*MAX(0,Assumptions!$C$7*Assumptions!$C$5*N4-IF(Assumptions!$C$9="Yes",Assumptions!$C$7,1)*T4)</f>
        <v>9563.7163651603423</v>
      </c>
      <c r="AC4" s="20">
        <f t="shared" ref="AC4:AC45" si="9">C4*(E4+F4)</f>
        <v>353.15723819999994</v>
      </c>
      <c r="AD4" s="20">
        <f t="shared" ref="AD4:AD45" si="10">C4*N4</f>
        <v>335.56899526878391</v>
      </c>
    </row>
    <row r="5" spans="1:30" x14ac:dyDescent="0.45">
      <c r="A5" t="s">
        <v>5</v>
      </c>
      <c r="B5" t="s">
        <v>133</v>
      </c>
      <c r="C5" s="18">
        <v>300</v>
      </c>
      <c r="D5" s="18">
        <v>6206.938491020097</v>
      </c>
      <c r="E5" s="19">
        <v>4.4880000000000003E-2</v>
      </c>
      <c r="F5" s="19">
        <v>4.3981149999999997E-2</v>
      </c>
      <c r="G5" s="19">
        <v>0</v>
      </c>
      <c r="H5" s="19">
        <v>4.2564822542198323E-2</v>
      </c>
      <c r="I5" s="20">
        <f>INDEX(Scenarios!$B$4:$B$9,MATCH($A5,Scenarios!$A$4:$A$9,0))</f>
        <v>20</v>
      </c>
      <c r="J5" s="20">
        <f>INDEX(Scenarios!$C$4:$C$9,MATCH($A5,Scenarios!$A$4:$A$9,0))</f>
        <v>20</v>
      </c>
      <c r="K5" s="20">
        <f>INDEX(Scenarios!$D$4:$D$9,MATCH($A5,Scenarios!$A$4:$A$9,0))</f>
        <v>0</v>
      </c>
      <c r="L5" s="21">
        <f>INDEX(Scenarios!$E$4:$E$9,MATCH($A5,Scenarios!$A$4:$A$9,0))</f>
        <v>-4.8686824360529728E-2</v>
      </c>
      <c r="M5" s="21">
        <f t="shared" si="0"/>
        <v>4.2694935322699426E-2</v>
      </c>
      <c r="N5" s="21">
        <f t="shared" si="1"/>
        <v>8.5259757864897756E-2</v>
      </c>
      <c r="O5" s="20">
        <f t="shared" si="2"/>
        <v>1.7051951572979549</v>
      </c>
      <c r="P5" s="20">
        <f t="shared" si="3"/>
        <v>0</v>
      </c>
      <c r="Q5" s="20">
        <f t="shared" si="4"/>
        <v>10.584041456533745</v>
      </c>
      <c r="R5" s="21">
        <f t="shared" si="5"/>
        <v>9.5855693092133758E-3</v>
      </c>
      <c r="S5" s="20">
        <f>IF(Assumptions!$C$11="Yes",INDEX(Scenarios!$F$4:$F$9,MATCH($A5,Scenarios!$A$4:$A$9,0))*1000*R5/D5*1000,0)</f>
        <v>0</v>
      </c>
      <c r="T5" s="20">
        <f t="shared" si="6"/>
        <v>1.7051951572979549</v>
      </c>
      <c r="U5" s="20">
        <f>Assumptions!$C$8*Assumptions!$C$5*(E5+F5)</f>
        <v>8.8861150000000002</v>
      </c>
      <c r="V5" s="20">
        <f>MAX(0,Assumptions!$C$8*Assumptions!$C$5*N5-Assumptions!$C$10*T5)</f>
        <v>6.8207806291918205</v>
      </c>
      <c r="W5" s="20">
        <f t="shared" si="7"/>
        <v>2665.8344999999999</v>
      </c>
      <c r="X5" s="20">
        <f t="shared" si="8"/>
        <v>2046.2341887575462</v>
      </c>
      <c r="Y5" s="20">
        <f>C5*Assumptions!$C$5*(E5+F5)</f>
        <v>2665.8344999999999</v>
      </c>
      <c r="Z5" s="20">
        <f>C5*MAX(0,Assumptions!$C$5*N5-T5)</f>
        <v>2046.2341887575462</v>
      </c>
      <c r="AA5" s="20">
        <f>C5*Assumptions!$C$7*Assumptions!$C$5*(E5+F5)</f>
        <v>1292.9297325</v>
      </c>
      <c r="AB5" s="20">
        <f>C5*MAX(0,Assumptions!$C$7*Assumptions!$C$5*N5-IF(Assumptions!$C$9="Yes",Assumptions!$C$7,1)*T5)</f>
        <v>728.970929744876</v>
      </c>
      <c r="AC5" s="20">
        <f t="shared" si="9"/>
        <v>26.658345000000001</v>
      </c>
      <c r="AD5" s="20">
        <f t="shared" si="10"/>
        <v>25.577927359469328</v>
      </c>
    </row>
    <row r="6" spans="1:30" x14ac:dyDescent="0.45">
      <c r="A6" t="s">
        <v>5</v>
      </c>
      <c r="B6" t="s">
        <v>134</v>
      </c>
      <c r="C6" s="18">
        <v>800</v>
      </c>
      <c r="D6" s="18">
        <v>56538.734209364447</v>
      </c>
      <c r="E6" s="19">
        <v>0.31356850000000003</v>
      </c>
      <c r="F6" s="19">
        <v>0.53702616000000003</v>
      </c>
      <c r="G6" s="19">
        <v>0</v>
      </c>
      <c r="H6" s="19">
        <v>0.50225977118738452</v>
      </c>
      <c r="I6" s="20">
        <f>INDEX(Scenarios!$B$4:$B$9,MATCH($A6,Scenarios!$A$4:$A$9,0))</f>
        <v>20</v>
      </c>
      <c r="J6" s="20">
        <f>INDEX(Scenarios!$C$4:$C$9,MATCH($A6,Scenarios!$A$4:$A$9,0))</f>
        <v>20</v>
      </c>
      <c r="K6" s="20">
        <f>INDEX(Scenarios!$D$4:$D$9,MATCH($A6,Scenarios!$A$4:$A$9,0))</f>
        <v>0</v>
      </c>
      <c r="L6" s="21">
        <f>INDEX(Scenarios!$E$4:$E$9,MATCH($A6,Scenarios!$A$4:$A$9,0))</f>
        <v>-4.8686824360529728E-2</v>
      </c>
      <c r="M6" s="21">
        <f t="shared" si="0"/>
        <v>0.29830184551550526</v>
      </c>
      <c r="N6" s="21">
        <f t="shared" si="1"/>
        <v>0.80056161670288972</v>
      </c>
      <c r="O6" s="20">
        <f t="shared" si="2"/>
        <v>16.011232334057794</v>
      </c>
      <c r="P6" s="20">
        <f t="shared" si="3"/>
        <v>0</v>
      </c>
      <c r="Q6" s="20">
        <f t="shared" si="4"/>
        <v>905.25480929967568</v>
      </c>
      <c r="R6" s="21">
        <f t="shared" si="5"/>
        <v>0.81985532205980283</v>
      </c>
      <c r="S6" s="20">
        <f>IF(Assumptions!$C$11="Yes",INDEX(Scenarios!$F$4:$F$9,MATCH($A6,Scenarios!$A$4:$A$9,0))*1000*R6/D6*1000,0)</f>
        <v>0</v>
      </c>
      <c r="T6" s="20">
        <f t="shared" si="6"/>
        <v>16.011232334057794</v>
      </c>
      <c r="U6" s="20">
        <f>Assumptions!$C$8*Assumptions!$C$5*(E6+F6)</f>
        <v>85.059466</v>
      </c>
      <c r="V6" s="20">
        <f>MAX(0,Assumptions!$C$8*Assumptions!$C$5*N6-Assumptions!$C$10*T6)</f>
        <v>64.044929336231178</v>
      </c>
      <c r="W6" s="20">
        <f t="shared" si="7"/>
        <v>68047.572799999994</v>
      </c>
      <c r="X6" s="20">
        <f t="shared" si="8"/>
        <v>51235.943468984944</v>
      </c>
      <c r="Y6" s="20">
        <f>C6*Assumptions!$C$5*(E6+F6)</f>
        <v>68047.572800000009</v>
      </c>
      <c r="Z6" s="20">
        <f>C6*MAX(0,Assumptions!$C$5*N6-T6)</f>
        <v>51235.943468984944</v>
      </c>
      <c r="AA6" s="20">
        <f>C6*Assumptions!$C$7*Assumptions!$C$5*(E6+F6)</f>
        <v>33003.072808000004</v>
      </c>
      <c r="AB6" s="20">
        <f>C6*MAX(0,Assumptions!$C$7*Assumptions!$C$5*N6-IF(Assumptions!$C$9="Yes",Assumptions!$C$7,1)*T6)</f>
        <v>18252.804860825887</v>
      </c>
      <c r="AC6" s="20">
        <f t="shared" si="9"/>
        <v>680.475728</v>
      </c>
      <c r="AD6" s="20">
        <f t="shared" si="10"/>
        <v>640.44929336231178</v>
      </c>
    </row>
    <row r="7" spans="1:30" x14ac:dyDescent="0.45">
      <c r="A7" t="s">
        <v>5</v>
      </c>
      <c r="B7" t="s">
        <v>135</v>
      </c>
      <c r="C7" s="18">
        <v>120</v>
      </c>
      <c r="D7" s="18">
        <v>1950.185792950042</v>
      </c>
      <c r="E7" s="19">
        <v>1.97472</v>
      </c>
      <c r="F7" s="19">
        <v>0</v>
      </c>
      <c r="G7" s="19">
        <v>0</v>
      </c>
      <c r="H7" s="19">
        <v>0</v>
      </c>
      <c r="I7" s="20">
        <f>INDEX(Scenarios!$B$4:$B$9,MATCH($A7,Scenarios!$A$4:$A$9,0))</f>
        <v>20</v>
      </c>
      <c r="J7" s="20">
        <f>INDEX(Scenarios!$C$4:$C$9,MATCH($A7,Scenarios!$A$4:$A$9,0))</f>
        <v>20</v>
      </c>
      <c r="K7" s="20">
        <f>INDEX(Scenarios!$D$4:$D$9,MATCH($A7,Scenarios!$A$4:$A$9,0))</f>
        <v>0</v>
      </c>
      <c r="L7" s="21">
        <f>INDEX(Scenarios!$E$4:$E$9,MATCH($A7,Scenarios!$A$4:$A$9,0))</f>
        <v>-4.8686824360529728E-2</v>
      </c>
      <c r="M7" s="21">
        <f t="shared" si="0"/>
        <v>1.8785771541987748</v>
      </c>
      <c r="N7" s="21">
        <f t="shared" si="1"/>
        <v>1.8785771541987748</v>
      </c>
      <c r="O7" s="20">
        <f t="shared" si="2"/>
        <v>37.571543083975499</v>
      </c>
      <c r="P7" s="20">
        <f t="shared" si="3"/>
        <v>0</v>
      </c>
      <c r="Q7" s="20">
        <f t="shared" si="4"/>
        <v>73.271489541579427</v>
      </c>
      <c r="R7" s="21">
        <f t="shared" si="5"/>
        <v>6.6359239452575852E-2</v>
      </c>
      <c r="S7" s="20">
        <f>IF(Assumptions!$C$11="Yes",INDEX(Scenarios!$F$4:$F$9,MATCH($A7,Scenarios!$A$4:$A$9,0))*1000*R7/D7*1000,0)</f>
        <v>0</v>
      </c>
      <c r="T7" s="20">
        <f t="shared" si="6"/>
        <v>37.571543083975499</v>
      </c>
      <c r="U7" s="20">
        <f>Assumptions!$C$8*Assumptions!$C$5*(E7+F7)</f>
        <v>197.47200000000001</v>
      </c>
      <c r="V7" s="20">
        <f>MAX(0,Assumptions!$C$8*Assumptions!$C$5*N7-Assumptions!$C$10*T7)</f>
        <v>150.28617233590199</v>
      </c>
      <c r="W7" s="20">
        <f t="shared" si="7"/>
        <v>23696.639999999999</v>
      </c>
      <c r="X7" s="20">
        <f t="shared" si="8"/>
        <v>18034.34068030824</v>
      </c>
      <c r="Y7" s="20">
        <f>C7*Assumptions!$C$5*(E7+F7)</f>
        <v>23696.639999999999</v>
      </c>
      <c r="Z7" s="20">
        <f>C7*MAX(0,Assumptions!$C$5*N7-T7)</f>
        <v>18034.34068030824</v>
      </c>
      <c r="AA7" s="20">
        <f>C7*Assumptions!$C$7*Assumptions!$C$5*(E7+F7)</f>
        <v>11492.8704</v>
      </c>
      <c r="AB7" s="20">
        <f>C7*MAX(0,Assumptions!$C$7*Assumptions!$C$5*N7-IF(Assumptions!$C$9="Yes",Assumptions!$C$7,1)*T7)</f>
        <v>6424.7338673598106</v>
      </c>
      <c r="AC7" s="20">
        <f t="shared" si="9"/>
        <v>236.96639999999999</v>
      </c>
      <c r="AD7" s="20">
        <f t="shared" si="10"/>
        <v>225.42925850385296</v>
      </c>
    </row>
    <row r="8" spans="1:30" x14ac:dyDescent="0.45">
      <c r="A8" t="s">
        <v>5</v>
      </c>
      <c r="B8" t="s">
        <v>136</v>
      </c>
      <c r="C8" s="18">
        <v>1600</v>
      </c>
      <c r="D8" s="18">
        <v>3181.1552600878722</v>
      </c>
      <c r="E8" s="19">
        <v>0.11219999999999999</v>
      </c>
      <c r="F8" s="19">
        <v>0</v>
      </c>
      <c r="G8" s="19">
        <v>0</v>
      </c>
      <c r="H8" s="19">
        <v>0</v>
      </c>
      <c r="I8" s="20">
        <f>INDEX(Scenarios!$B$4:$B$9,MATCH($A8,Scenarios!$A$4:$A$9,0))</f>
        <v>20</v>
      </c>
      <c r="J8" s="20">
        <f>INDEX(Scenarios!$C$4:$C$9,MATCH($A8,Scenarios!$A$4:$A$9,0))</f>
        <v>20</v>
      </c>
      <c r="K8" s="20">
        <f>INDEX(Scenarios!$D$4:$D$9,MATCH($A8,Scenarios!$A$4:$A$9,0))</f>
        <v>0</v>
      </c>
      <c r="L8" s="21">
        <f>INDEX(Scenarios!$E$4:$E$9,MATCH($A8,Scenarios!$A$4:$A$9,0))</f>
        <v>-4.8686824360529728E-2</v>
      </c>
      <c r="M8" s="21">
        <f t="shared" si="0"/>
        <v>0.10673733830674856</v>
      </c>
      <c r="N8" s="21">
        <f t="shared" si="1"/>
        <v>0.10673733830674856</v>
      </c>
      <c r="O8" s="20">
        <f t="shared" si="2"/>
        <v>2.1347467661349713</v>
      </c>
      <c r="P8" s="20">
        <f t="shared" si="3"/>
        <v>0</v>
      </c>
      <c r="Q8" s="20">
        <f t="shared" si="4"/>
        <v>6.7909609040458392</v>
      </c>
      <c r="R8" s="21">
        <f t="shared" si="5"/>
        <v>6.1503185422337042E-3</v>
      </c>
      <c r="S8" s="20">
        <f>IF(Assumptions!$C$11="Yes",INDEX(Scenarios!$F$4:$F$9,MATCH($A8,Scenarios!$A$4:$A$9,0))*1000*R8/D8*1000,0)</f>
        <v>0</v>
      </c>
      <c r="T8" s="20">
        <f t="shared" si="6"/>
        <v>2.1347467661349713</v>
      </c>
      <c r="U8" s="20">
        <f>Assumptions!$C$8*Assumptions!$C$5*(E8+F8)</f>
        <v>11.219999999999999</v>
      </c>
      <c r="V8" s="20">
        <f>MAX(0,Assumptions!$C$8*Assumptions!$C$5*N8-Assumptions!$C$10*T8)</f>
        <v>8.5389870645398851</v>
      </c>
      <c r="W8" s="20">
        <f t="shared" si="7"/>
        <v>17952</v>
      </c>
      <c r="X8" s="20">
        <f t="shared" si="8"/>
        <v>13662.379303263817</v>
      </c>
      <c r="Y8" s="20">
        <f>C8*Assumptions!$C$5*(E8+F8)</f>
        <v>17952</v>
      </c>
      <c r="Z8" s="20">
        <f>C8*MAX(0,Assumptions!$C$5*N8-T8)</f>
        <v>13662.379303263817</v>
      </c>
      <c r="AA8" s="20">
        <f>C8*Assumptions!$C$7*Assumptions!$C$5*(E8+F8)</f>
        <v>8706.7199999999993</v>
      </c>
      <c r="AB8" s="20">
        <f>C8*MAX(0,Assumptions!$C$7*Assumptions!$C$5*N8-IF(Assumptions!$C$9="Yes",Assumptions!$C$7,1)*T8)</f>
        <v>4867.2226267877331</v>
      </c>
      <c r="AC8" s="20">
        <f t="shared" si="9"/>
        <v>179.51999999999998</v>
      </c>
      <c r="AD8" s="20">
        <f t="shared" si="10"/>
        <v>170.77974129079769</v>
      </c>
    </row>
    <row r="9" spans="1:30" x14ac:dyDescent="0.45">
      <c r="A9" t="s">
        <v>5</v>
      </c>
      <c r="B9" t="s">
        <v>137</v>
      </c>
      <c r="C9" s="18">
        <v>80</v>
      </c>
      <c r="D9" s="18">
        <v>661.20268364732067</v>
      </c>
      <c r="E9" s="19">
        <v>0.11219999999999999</v>
      </c>
      <c r="F9" s="19">
        <v>0.99441250000000003</v>
      </c>
      <c r="G9" s="19">
        <v>0</v>
      </c>
      <c r="H9" s="19">
        <v>0.84931932761439333</v>
      </c>
      <c r="I9" s="20">
        <f>INDEX(Scenarios!$B$4:$B$9,MATCH($A9,Scenarios!$A$4:$A$9,0))</f>
        <v>20</v>
      </c>
      <c r="J9" s="20">
        <f>INDEX(Scenarios!$C$4:$C$9,MATCH($A9,Scenarios!$A$4:$A$9,0))</f>
        <v>20</v>
      </c>
      <c r="K9" s="20">
        <f>INDEX(Scenarios!$D$4:$D$9,MATCH($A9,Scenarios!$A$4:$A$9,0))</f>
        <v>0</v>
      </c>
      <c r="L9" s="21">
        <f>INDEX(Scenarios!$E$4:$E$9,MATCH($A9,Scenarios!$A$4:$A$9,0))</f>
        <v>-4.8686824360529728E-2</v>
      </c>
      <c r="M9" s="21">
        <f t="shared" si="0"/>
        <v>0.10673733830674856</v>
      </c>
      <c r="N9" s="21">
        <f t="shared" si="1"/>
        <v>0.95605666592114191</v>
      </c>
      <c r="O9" s="20">
        <f t="shared" si="2"/>
        <v>19.121133318422839</v>
      </c>
      <c r="P9" s="20">
        <f t="shared" si="3"/>
        <v>0</v>
      </c>
      <c r="Q9" s="20">
        <f t="shared" si="4"/>
        <v>12.642944664519378</v>
      </c>
      <c r="R9" s="21">
        <f t="shared" si="5"/>
        <v>1.1450240709279061E-2</v>
      </c>
      <c r="S9" s="20">
        <f>IF(Assumptions!$C$11="Yes",INDEX(Scenarios!$F$4:$F$9,MATCH($A9,Scenarios!$A$4:$A$9,0))*1000*R9/D9*1000,0)</f>
        <v>0</v>
      </c>
      <c r="T9" s="20">
        <f t="shared" si="6"/>
        <v>19.121133318422839</v>
      </c>
      <c r="U9" s="20">
        <f>Assumptions!$C$8*Assumptions!$C$5*(E9+F9)</f>
        <v>110.66125</v>
      </c>
      <c r="V9" s="20">
        <f>MAX(0,Assumptions!$C$8*Assumptions!$C$5*N9-Assumptions!$C$10*T9)</f>
        <v>76.484533273691355</v>
      </c>
      <c r="W9" s="20">
        <f t="shared" si="7"/>
        <v>8852.9</v>
      </c>
      <c r="X9" s="20">
        <f t="shared" si="8"/>
        <v>6118.7626618953082</v>
      </c>
      <c r="Y9" s="20">
        <f>C9*Assumptions!$C$5*(E9+F9)</f>
        <v>8852.9</v>
      </c>
      <c r="Z9" s="20">
        <f>C9*MAX(0,Assumptions!$C$5*N9-T9)</f>
        <v>6118.7626618953082</v>
      </c>
      <c r="AA9" s="20">
        <f>C9*Assumptions!$C$7*Assumptions!$C$5*(E9+F9)</f>
        <v>4293.6564999999991</v>
      </c>
      <c r="AB9" s="20">
        <f>C9*MAX(0,Assumptions!$C$7*Assumptions!$C$5*N9-IF(Assumptions!$C$9="Yes",Assumptions!$C$7,1)*T9)</f>
        <v>2179.8091983002032</v>
      </c>
      <c r="AC9" s="20">
        <f t="shared" si="9"/>
        <v>88.528999999999996</v>
      </c>
      <c r="AD9" s="20">
        <f t="shared" si="10"/>
        <v>76.484533273691355</v>
      </c>
    </row>
    <row r="10" spans="1:30" x14ac:dyDescent="0.45">
      <c r="A10" t="s">
        <v>5</v>
      </c>
      <c r="B10" t="s">
        <v>138</v>
      </c>
      <c r="C10" s="18">
        <v>167</v>
      </c>
      <c r="D10" s="18">
        <v>409.37519411418629</v>
      </c>
      <c r="E10" s="19">
        <v>0.12342</v>
      </c>
      <c r="F10" s="19">
        <v>2.3974930400000001</v>
      </c>
      <c r="G10" s="19">
        <v>0</v>
      </c>
      <c r="H10" s="19">
        <v>2.303540147388305</v>
      </c>
      <c r="I10" s="20">
        <f>INDEX(Scenarios!$B$4:$B$9,MATCH($A10,Scenarios!$A$4:$A$9,0))</f>
        <v>20</v>
      </c>
      <c r="J10" s="20">
        <f>INDEX(Scenarios!$C$4:$C$9,MATCH($A10,Scenarios!$A$4:$A$9,0))</f>
        <v>20</v>
      </c>
      <c r="K10" s="20">
        <f>INDEX(Scenarios!$D$4:$D$9,MATCH($A10,Scenarios!$A$4:$A$9,0))</f>
        <v>0</v>
      </c>
      <c r="L10" s="21">
        <f>INDEX(Scenarios!$E$4:$E$9,MATCH($A10,Scenarios!$A$4:$A$9,0))</f>
        <v>-4.8686824360529728E-2</v>
      </c>
      <c r="M10" s="21">
        <f t="shared" si="0"/>
        <v>0.11741107213742343</v>
      </c>
      <c r="N10" s="21">
        <f t="shared" si="1"/>
        <v>2.4209512195257283</v>
      </c>
      <c r="O10" s="20">
        <f t="shared" si="2"/>
        <v>48.419024390514565</v>
      </c>
      <c r="P10" s="20">
        <f t="shared" si="3"/>
        <v>0</v>
      </c>
      <c r="Q10" s="20">
        <f t="shared" si="4"/>
        <v>19.821547508686422</v>
      </c>
      <c r="R10" s="21">
        <f t="shared" si="5"/>
        <v>1.7951632015111581E-2</v>
      </c>
      <c r="S10" s="20">
        <f>IF(Assumptions!$C$11="Yes",INDEX(Scenarios!$F$4:$F$9,MATCH($A10,Scenarios!$A$4:$A$9,0))*1000*R10/D10*1000,0)</f>
        <v>0</v>
      </c>
      <c r="T10" s="20">
        <f t="shared" si="6"/>
        <v>48.419024390514565</v>
      </c>
      <c r="U10" s="20">
        <f>Assumptions!$C$8*Assumptions!$C$5*(E10+F10)</f>
        <v>252.09130399999998</v>
      </c>
      <c r="V10" s="20">
        <f>MAX(0,Assumptions!$C$8*Assumptions!$C$5*N10-Assumptions!$C$10*T10)</f>
        <v>193.67609756205826</v>
      </c>
      <c r="W10" s="20">
        <f t="shared" si="7"/>
        <v>42099.247767999994</v>
      </c>
      <c r="X10" s="20">
        <f t="shared" si="8"/>
        <v>32343.908292863729</v>
      </c>
      <c r="Y10" s="20">
        <f>C10*Assumptions!$C$5*(E10+F10)</f>
        <v>42099.247768000001</v>
      </c>
      <c r="Z10" s="20">
        <f>C10*MAX(0,Assumptions!$C$5*N10-T10)</f>
        <v>32343.908292863729</v>
      </c>
      <c r="AA10" s="20">
        <f>C10*Assumptions!$C$7*Assumptions!$C$5*(E10+F10)</f>
        <v>20418.135167479999</v>
      </c>
      <c r="AB10" s="20">
        <f>C10*MAX(0,Assumptions!$C$7*Assumptions!$C$5*N10-IF(Assumptions!$C$9="Yes",Assumptions!$C$7,1)*T10)</f>
        <v>11522.517329332704</v>
      </c>
      <c r="AC10" s="20">
        <f t="shared" si="9"/>
        <v>420.99247767999998</v>
      </c>
      <c r="AD10" s="20">
        <f t="shared" si="10"/>
        <v>404.29885366079662</v>
      </c>
    </row>
    <row r="11" spans="1:30" x14ac:dyDescent="0.45">
      <c r="A11" t="s">
        <v>6</v>
      </c>
      <c r="B11" t="s">
        <v>132</v>
      </c>
      <c r="C11" s="18">
        <v>580</v>
      </c>
      <c r="D11" s="18">
        <v>6553.7777917053236</v>
      </c>
      <c r="E11" s="19">
        <v>0.57099076999999998</v>
      </c>
      <c r="F11" s="19">
        <v>3.7901020000000001E-2</v>
      </c>
      <c r="G11" s="19">
        <v>0</v>
      </c>
      <c r="H11" s="19">
        <v>3.7901020000000001E-2</v>
      </c>
      <c r="I11" s="20">
        <f>INDEX(Scenarios!$B$4:$B$9,MATCH($A11,Scenarios!$A$4:$A$9,0))</f>
        <v>20</v>
      </c>
      <c r="J11" s="20">
        <f>INDEX(Scenarios!$C$4:$C$9,MATCH($A11,Scenarios!$A$4:$A$9,0))</f>
        <v>0</v>
      </c>
      <c r="K11" s="20">
        <f>INDEX(Scenarios!$D$4:$D$9,MATCH($A11,Scenarios!$A$4:$A$9,0))</f>
        <v>0</v>
      </c>
      <c r="L11" s="21">
        <f>INDEX(Scenarios!$E$4:$E$9,MATCH($A11,Scenarios!$A$4:$A$9,0))</f>
        <v>-4.8686824360529728E-2</v>
      </c>
      <c r="M11" s="21">
        <f t="shared" si="0"/>
        <v>0.54319104266952634</v>
      </c>
      <c r="N11" s="21">
        <f t="shared" si="1"/>
        <v>0.58109206266952629</v>
      </c>
      <c r="O11" s="20">
        <f t="shared" si="2"/>
        <v>10.863820853390527</v>
      </c>
      <c r="P11" s="20">
        <f t="shared" si="3"/>
        <v>0</v>
      </c>
      <c r="Q11" s="20">
        <f t="shared" si="4"/>
        <v>71.199067842016007</v>
      </c>
      <c r="R11" s="21">
        <f t="shared" ref="R11:R17" si="11">IF(SUM($Q$11:$Q$17)=0,0,Q11/SUM($Q$11:$Q$17))</f>
        <v>0.13918629046011058</v>
      </c>
      <c r="S11" s="20">
        <f>IF(Assumptions!$C$11="Yes",INDEX(Scenarios!$F$4:$F$9,MATCH($A11,Scenarios!$A$4:$A$9,0))*1000*R11/D11*1000,0)</f>
        <v>0</v>
      </c>
      <c r="T11" s="20">
        <f t="shared" si="6"/>
        <v>10.863820853390527</v>
      </c>
      <c r="U11" s="20">
        <f>Assumptions!$C$8*Assumptions!$C$5*(E11+F11)</f>
        <v>60.889178999999992</v>
      </c>
      <c r="V11" s="20">
        <f>MAX(0,Assumptions!$C$8*Assumptions!$C$5*N11-Assumptions!$C$10*T11)</f>
        <v>47.245385413562097</v>
      </c>
      <c r="W11" s="20">
        <f t="shared" si="7"/>
        <v>35315.723819999992</v>
      </c>
      <c r="X11" s="20">
        <f t="shared" si="8"/>
        <v>27402.323539866018</v>
      </c>
      <c r="Y11" s="20">
        <f>C11*Assumptions!$C$5*(E11+F11)</f>
        <v>35315.723819999999</v>
      </c>
      <c r="Z11" s="20">
        <f>C11*MAX(0,Assumptions!$C$5*N11-T11)</f>
        <v>27402.323539866018</v>
      </c>
      <c r="AA11" s="20">
        <f>C11*Assumptions!$C$7*Assumptions!$C$5*(E11+F11)</f>
        <v>17128.126052699998</v>
      </c>
      <c r="AB11" s="20">
        <f>C11*MAX(0,Assumptions!$C$7*Assumptions!$C$5*N11-IF(Assumptions!$C$9="Yes",Assumptions!$C$7,1)*T11)</f>
        <v>10045.103627927267</v>
      </c>
      <c r="AC11" s="20">
        <f t="shared" si="9"/>
        <v>353.15723819999994</v>
      </c>
      <c r="AD11" s="20">
        <f t="shared" si="10"/>
        <v>337.03339634832525</v>
      </c>
    </row>
    <row r="12" spans="1:30" x14ac:dyDescent="0.45">
      <c r="A12" t="s">
        <v>6</v>
      </c>
      <c r="B12" t="s">
        <v>133</v>
      </c>
      <c r="C12" s="18">
        <v>300</v>
      </c>
      <c r="D12" s="18">
        <v>6210.9464385321871</v>
      </c>
      <c r="E12" s="19">
        <v>4.4880000000000003E-2</v>
      </c>
      <c r="F12" s="19">
        <v>4.3981149999999997E-2</v>
      </c>
      <c r="G12" s="19">
        <v>0</v>
      </c>
      <c r="H12" s="19">
        <v>4.3981149999999997E-2</v>
      </c>
      <c r="I12" s="20">
        <f>INDEX(Scenarios!$B$4:$B$9,MATCH($A12,Scenarios!$A$4:$A$9,0))</f>
        <v>20</v>
      </c>
      <c r="J12" s="20">
        <f>INDEX(Scenarios!$C$4:$C$9,MATCH($A12,Scenarios!$A$4:$A$9,0))</f>
        <v>0</v>
      </c>
      <c r="K12" s="20">
        <f>INDEX(Scenarios!$D$4:$D$9,MATCH($A12,Scenarios!$A$4:$A$9,0))</f>
        <v>0</v>
      </c>
      <c r="L12" s="21">
        <f>INDEX(Scenarios!$E$4:$E$9,MATCH($A12,Scenarios!$A$4:$A$9,0))</f>
        <v>-4.8686824360529728E-2</v>
      </c>
      <c r="M12" s="21">
        <f t="shared" si="0"/>
        <v>4.2694935322699426E-2</v>
      </c>
      <c r="N12" s="21">
        <f t="shared" si="1"/>
        <v>8.6676085322699423E-2</v>
      </c>
      <c r="O12" s="20">
        <f t="shared" si="2"/>
        <v>0.85389870645398847</v>
      </c>
      <c r="P12" s="20">
        <f t="shared" si="3"/>
        <v>0</v>
      </c>
      <c r="Q12" s="20">
        <f t="shared" si="4"/>
        <v>5.3035191297176416</v>
      </c>
      <c r="R12" s="21">
        <f t="shared" si="11"/>
        <v>1.0367792394242827E-2</v>
      </c>
      <c r="S12" s="20">
        <f>IF(Assumptions!$C$11="Yes",INDEX(Scenarios!$F$4:$F$9,MATCH($A12,Scenarios!$A$4:$A$9,0))*1000*R12/D12*1000,0)</f>
        <v>0</v>
      </c>
      <c r="T12" s="20">
        <f t="shared" si="6"/>
        <v>0.85389870645398847</v>
      </c>
      <c r="U12" s="20">
        <f>Assumptions!$C$8*Assumptions!$C$5*(E12+F12)</f>
        <v>8.8861150000000002</v>
      </c>
      <c r="V12" s="20">
        <f>MAX(0,Assumptions!$C$8*Assumptions!$C$5*N12-Assumptions!$C$10*T12)</f>
        <v>7.8137098258159527</v>
      </c>
      <c r="W12" s="20">
        <f t="shared" si="7"/>
        <v>2665.8344999999999</v>
      </c>
      <c r="X12" s="20">
        <f t="shared" si="8"/>
        <v>2344.1129477447857</v>
      </c>
      <c r="Y12" s="20">
        <f>C12*Assumptions!$C$5*(E12+F12)</f>
        <v>2665.8344999999999</v>
      </c>
      <c r="Z12" s="20">
        <f>C12*MAX(0,Assumptions!$C$5*N12-T12)</f>
        <v>2344.1129477447857</v>
      </c>
      <c r="AA12" s="20">
        <f>C12*Assumptions!$C$7*Assumptions!$C$5*(E12+F12)</f>
        <v>1292.9297325</v>
      </c>
      <c r="AB12" s="20">
        <f>C12*MAX(0,Assumptions!$C$7*Assumptions!$C$5*N12-IF(Assumptions!$C$9="Yes",Assumptions!$C$7,1)*T12)</f>
        <v>1004.9674295090801</v>
      </c>
      <c r="AC12" s="20">
        <f t="shared" si="9"/>
        <v>26.658345000000001</v>
      </c>
      <c r="AD12" s="20">
        <f t="shared" si="10"/>
        <v>26.002825596809828</v>
      </c>
    </row>
    <row r="13" spans="1:30" x14ac:dyDescent="0.45">
      <c r="A13" t="s">
        <v>6</v>
      </c>
      <c r="B13" t="s">
        <v>134</v>
      </c>
      <c r="C13" s="18">
        <v>800</v>
      </c>
      <c r="D13" s="18">
        <v>59092.434323359354</v>
      </c>
      <c r="E13" s="19">
        <v>0.31356850000000003</v>
      </c>
      <c r="F13" s="19">
        <v>0.53702616000000003</v>
      </c>
      <c r="G13" s="19">
        <v>0</v>
      </c>
      <c r="H13" s="19">
        <v>0.53702616000000003</v>
      </c>
      <c r="I13" s="20">
        <f>INDEX(Scenarios!$B$4:$B$9,MATCH($A13,Scenarios!$A$4:$A$9,0))</f>
        <v>20</v>
      </c>
      <c r="J13" s="20">
        <f>INDEX(Scenarios!$C$4:$C$9,MATCH($A13,Scenarios!$A$4:$A$9,0))</f>
        <v>0</v>
      </c>
      <c r="K13" s="20">
        <f>INDEX(Scenarios!$D$4:$D$9,MATCH($A13,Scenarios!$A$4:$A$9,0))</f>
        <v>0</v>
      </c>
      <c r="L13" s="21">
        <f>INDEX(Scenarios!$E$4:$E$9,MATCH($A13,Scenarios!$A$4:$A$9,0))</f>
        <v>-4.8686824360529728E-2</v>
      </c>
      <c r="M13" s="21">
        <f t="shared" si="0"/>
        <v>0.29830184551550526</v>
      </c>
      <c r="N13" s="21">
        <f t="shared" si="1"/>
        <v>0.83532800551550523</v>
      </c>
      <c r="O13" s="20">
        <f t="shared" si="2"/>
        <v>5.9660369103101054</v>
      </c>
      <c r="P13" s="20">
        <f t="shared" si="3"/>
        <v>0</v>
      </c>
      <c r="Q13" s="20">
        <f t="shared" si="4"/>
        <v>352.54764429323762</v>
      </c>
      <c r="R13" s="21">
        <f t="shared" si="11"/>
        <v>0.68919159066109625</v>
      </c>
      <c r="S13" s="20">
        <f>IF(Assumptions!$C$11="Yes",INDEX(Scenarios!$F$4:$F$9,MATCH($A13,Scenarios!$A$4:$A$9,0))*1000*R13/D13*1000,0)</f>
        <v>0</v>
      </c>
      <c r="T13" s="20">
        <f t="shared" si="6"/>
        <v>5.9660369103101054</v>
      </c>
      <c r="U13" s="20">
        <f>Assumptions!$C$8*Assumptions!$C$5*(E13+F13)</f>
        <v>85.059466</v>
      </c>
      <c r="V13" s="20">
        <f>MAX(0,Assumptions!$C$8*Assumptions!$C$5*N13-Assumptions!$C$10*T13)</f>
        <v>77.566763641240414</v>
      </c>
      <c r="W13" s="20">
        <f t="shared" si="7"/>
        <v>68047.572799999994</v>
      </c>
      <c r="X13" s="20">
        <f t="shared" si="8"/>
        <v>62053.410912992331</v>
      </c>
      <c r="Y13" s="20">
        <f>C13*Assumptions!$C$5*(E13+F13)</f>
        <v>68047.572800000009</v>
      </c>
      <c r="Z13" s="20">
        <f>C13*MAX(0,Assumptions!$C$5*N13-T13)</f>
        <v>62053.410912992331</v>
      </c>
      <c r="AA13" s="20">
        <f>C13*Assumptions!$C$7*Assumptions!$C$5*(E13+F13)</f>
        <v>33003.072808000004</v>
      </c>
      <c r="AB13" s="20">
        <f>C13*MAX(0,Assumptions!$C$7*Assumptions!$C$5*N13-IF(Assumptions!$C$9="Yes",Assumptions!$C$7,1)*T13)</f>
        <v>27637.897085753513</v>
      </c>
      <c r="AC13" s="20">
        <f t="shared" si="9"/>
        <v>680.475728</v>
      </c>
      <c r="AD13" s="20">
        <f t="shared" si="10"/>
        <v>668.26240441240418</v>
      </c>
    </row>
    <row r="14" spans="1:30" x14ac:dyDescent="0.45">
      <c r="A14" t="s">
        <v>6</v>
      </c>
      <c r="B14" t="s">
        <v>135</v>
      </c>
      <c r="C14" s="18">
        <v>120</v>
      </c>
      <c r="D14" s="18">
        <v>1950.185792950042</v>
      </c>
      <c r="E14" s="19">
        <v>1.97472</v>
      </c>
      <c r="F14" s="19">
        <v>0</v>
      </c>
      <c r="G14" s="19">
        <v>0</v>
      </c>
      <c r="H14" s="19">
        <v>0</v>
      </c>
      <c r="I14" s="20">
        <f>INDEX(Scenarios!$B$4:$B$9,MATCH($A14,Scenarios!$A$4:$A$9,0))</f>
        <v>20</v>
      </c>
      <c r="J14" s="20">
        <f>INDEX(Scenarios!$C$4:$C$9,MATCH($A14,Scenarios!$A$4:$A$9,0))</f>
        <v>0</v>
      </c>
      <c r="K14" s="20">
        <f>INDEX(Scenarios!$D$4:$D$9,MATCH($A14,Scenarios!$A$4:$A$9,0))</f>
        <v>0</v>
      </c>
      <c r="L14" s="21">
        <f>INDEX(Scenarios!$E$4:$E$9,MATCH($A14,Scenarios!$A$4:$A$9,0))</f>
        <v>-4.8686824360529728E-2</v>
      </c>
      <c r="M14" s="21">
        <f t="shared" si="0"/>
        <v>1.8785771541987748</v>
      </c>
      <c r="N14" s="21">
        <f t="shared" si="1"/>
        <v>1.8785771541987748</v>
      </c>
      <c r="O14" s="20">
        <f t="shared" si="2"/>
        <v>37.571543083975499</v>
      </c>
      <c r="P14" s="20">
        <f t="shared" si="3"/>
        <v>0</v>
      </c>
      <c r="Q14" s="20">
        <f t="shared" si="4"/>
        <v>73.271489541579427</v>
      </c>
      <c r="R14" s="21">
        <f t="shared" si="11"/>
        <v>0.14323764530749875</v>
      </c>
      <c r="S14" s="20">
        <f>IF(Assumptions!$C$11="Yes",INDEX(Scenarios!$F$4:$F$9,MATCH($A14,Scenarios!$A$4:$A$9,0))*1000*R14/D14*1000,0)</f>
        <v>0</v>
      </c>
      <c r="T14" s="20">
        <f t="shared" si="6"/>
        <v>37.571543083975499</v>
      </c>
      <c r="U14" s="20">
        <f>Assumptions!$C$8*Assumptions!$C$5*(E14+F14)</f>
        <v>197.47200000000001</v>
      </c>
      <c r="V14" s="20">
        <f>MAX(0,Assumptions!$C$8*Assumptions!$C$5*N14-Assumptions!$C$10*T14)</f>
        <v>150.28617233590199</v>
      </c>
      <c r="W14" s="20">
        <f t="shared" si="7"/>
        <v>23696.639999999999</v>
      </c>
      <c r="X14" s="20">
        <f t="shared" si="8"/>
        <v>18034.34068030824</v>
      </c>
      <c r="Y14" s="20">
        <f>C14*Assumptions!$C$5*(E14+F14)</f>
        <v>23696.639999999999</v>
      </c>
      <c r="Z14" s="20">
        <f>C14*MAX(0,Assumptions!$C$5*N14-T14)</f>
        <v>18034.34068030824</v>
      </c>
      <c r="AA14" s="20">
        <f>C14*Assumptions!$C$7*Assumptions!$C$5*(E14+F14)</f>
        <v>11492.8704</v>
      </c>
      <c r="AB14" s="20">
        <f>C14*MAX(0,Assumptions!$C$7*Assumptions!$C$5*N14-IF(Assumptions!$C$9="Yes",Assumptions!$C$7,1)*T14)</f>
        <v>6424.7338673598106</v>
      </c>
      <c r="AC14" s="20">
        <f t="shared" si="9"/>
        <v>236.96639999999999</v>
      </c>
      <c r="AD14" s="20">
        <f t="shared" si="10"/>
        <v>225.42925850385296</v>
      </c>
    </row>
    <row r="15" spans="1:30" x14ac:dyDescent="0.45">
      <c r="A15" t="s">
        <v>6</v>
      </c>
      <c r="B15" t="s">
        <v>136</v>
      </c>
      <c r="C15" s="18">
        <v>1600</v>
      </c>
      <c r="D15" s="18">
        <v>3181.1552600878722</v>
      </c>
      <c r="E15" s="19">
        <v>0.11219999999999999</v>
      </c>
      <c r="F15" s="19">
        <v>0</v>
      </c>
      <c r="G15" s="19">
        <v>0</v>
      </c>
      <c r="H15" s="19">
        <v>0</v>
      </c>
      <c r="I15" s="20">
        <f>INDEX(Scenarios!$B$4:$B$9,MATCH($A15,Scenarios!$A$4:$A$9,0))</f>
        <v>20</v>
      </c>
      <c r="J15" s="20">
        <f>INDEX(Scenarios!$C$4:$C$9,MATCH($A15,Scenarios!$A$4:$A$9,0))</f>
        <v>0</v>
      </c>
      <c r="K15" s="20">
        <f>INDEX(Scenarios!$D$4:$D$9,MATCH($A15,Scenarios!$A$4:$A$9,0))</f>
        <v>0</v>
      </c>
      <c r="L15" s="21">
        <f>INDEX(Scenarios!$E$4:$E$9,MATCH($A15,Scenarios!$A$4:$A$9,0))</f>
        <v>-4.8686824360529728E-2</v>
      </c>
      <c r="M15" s="21">
        <f t="shared" si="0"/>
        <v>0.10673733830674856</v>
      </c>
      <c r="N15" s="21">
        <f t="shared" si="1"/>
        <v>0.10673733830674856</v>
      </c>
      <c r="O15" s="20">
        <f t="shared" si="2"/>
        <v>2.1347467661349713</v>
      </c>
      <c r="P15" s="20">
        <f t="shared" si="3"/>
        <v>0</v>
      </c>
      <c r="Q15" s="20">
        <f t="shared" si="4"/>
        <v>6.7909609040458392</v>
      </c>
      <c r="R15" s="21">
        <f t="shared" si="11"/>
        <v>1.3275576289722049E-2</v>
      </c>
      <c r="S15" s="20">
        <f>IF(Assumptions!$C$11="Yes",INDEX(Scenarios!$F$4:$F$9,MATCH($A15,Scenarios!$A$4:$A$9,0))*1000*R15/D15*1000,0)</f>
        <v>0</v>
      </c>
      <c r="T15" s="20">
        <f t="shared" si="6"/>
        <v>2.1347467661349713</v>
      </c>
      <c r="U15" s="20">
        <f>Assumptions!$C$8*Assumptions!$C$5*(E15+F15)</f>
        <v>11.219999999999999</v>
      </c>
      <c r="V15" s="20">
        <f>MAX(0,Assumptions!$C$8*Assumptions!$C$5*N15-Assumptions!$C$10*T15)</f>
        <v>8.5389870645398851</v>
      </c>
      <c r="W15" s="20">
        <f t="shared" si="7"/>
        <v>17952</v>
      </c>
      <c r="X15" s="20">
        <f t="shared" si="8"/>
        <v>13662.379303263817</v>
      </c>
      <c r="Y15" s="20">
        <f>C15*Assumptions!$C$5*(E15+F15)</f>
        <v>17952</v>
      </c>
      <c r="Z15" s="20">
        <f>C15*MAX(0,Assumptions!$C$5*N15-T15)</f>
        <v>13662.379303263817</v>
      </c>
      <c r="AA15" s="20">
        <f>C15*Assumptions!$C$7*Assumptions!$C$5*(E15+F15)</f>
        <v>8706.7199999999993</v>
      </c>
      <c r="AB15" s="20">
        <f>C15*MAX(0,Assumptions!$C$7*Assumptions!$C$5*N15-IF(Assumptions!$C$9="Yes",Assumptions!$C$7,1)*T15)</f>
        <v>4867.2226267877331</v>
      </c>
      <c r="AC15" s="20">
        <f t="shared" si="9"/>
        <v>179.51999999999998</v>
      </c>
      <c r="AD15" s="20">
        <f t="shared" si="10"/>
        <v>170.77974129079769</v>
      </c>
    </row>
    <row r="16" spans="1:30" x14ac:dyDescent="0.45">
      <c r="A16" t="s">
        <v>6</v>
      </c>
      <c r="B16" t="s">
        <v>137</v>
      </c>
      <c r="C16" s="18">
        <v>80</v>
      </c>
      <c r="D16" s="18">
        <v>681.3012636367514</v>
      </c>
      <c r="E16" s="19">
        <v>0.11219999999999999</v>
      </c>
      <c r="F16" s="19">
        <v>0.99441250000000003</v>
      </c>
      <c r="G16" s="19">
        <v>0</v>
      </c>
      <c r="H16" s="19">
        <v>0.99441250000000003</v>
      </c>
      <c r="I16" s="20">
        <f>INDEX(Scenarios!$B$4:$B$9,MATCH($A16,Scenarios!$A$4:$A$9,0))</f>
        <v>20</v>
      </c>
      <c r="J16" s="20">
        <f>INDEX(Scenarios!$C$4:$C$9,MATCH($A16,Scenarios!$A$4:$A$9,0))</f>
        <v>0</v>
      </c>
      <c r="K16" s="20">
        <f>INDEX(Scenarios!$D$4:$D$9,MATCH($A16,Scenarios!$A$4:$A$9,0))</f>
        <v>0</v>
      </c>
      <c r="L16" s="21">
        <f>INDEX(Scenarios!$E$4:$E$9,MATCH($A16,Scenarios!$A$4:$A$9,0))</f>
        <v>-4.8686824360529728E-2</v>
      </c>
      <c r="M16" s="21">
        <f t="shared" si="0"/>
        <v>0.10673733830674856</v>
      </c>
      <c r="N16" s="21">
        <f t="shared" si="1"/>
        <v>1.1011498383067486</v>
      </c>
      <c r="O16" s="20">
        <f t="shared" si="2"/>
        <v>2.1347467661349713</v>
      </c>
      <c r="P16" s="20">
        <f t="shared" si="3"/>
        <v>0</v>
      </c>
      <c r="Q16" s="20">
        <f t="shared" si="4"/>
        <v>1.4544056693122245</v>
      </c>
      <c r="R16" s="21">
        <f t="shared" si="11"/>
        <v>2.843201969791279E-3</v>
      </c>
      <c r="S16" s="20">
        <f>IF(Assumptions!$C$11="Yes",INDEX(Scenarios!$F$4:$F$9,MATCH($A16,Scenarios!$A$4:$A$9,0))*1000*R16/D16*1000,0)</f>
        <v>0</v>
      </c>
      <c r="T16" s="20">
        <f t="shared" si="6"/>
        <v>2.1347467661349713</v>
      </c>
      <c r="U16" s="20">
        <f>Assumptions!$C$8*Assumptions!$C$5*(E16+F16)</f>
        <v>110.66125</v>
      </c>
      <c r="V16" s="20">
        <f>MAX(0,Assumptions!$C$8*Assumptions!$C$5*N16-Assumptions!$C$10*T16)</f>
        <v>107.98023706453989</v>
      </c>
      <c r="W16" s="20">
        <f t="shared" si="7"/>
        <v>8852.9</v>
      </c>
      <c r="X16" s="20">
        <f t="shared" si="8"/>
        <v>8638.4189651631914</v>
      </c>
      <c r="Y16" s="20">
        <f>C16*Assumptions!$C$5*(E16+F16)</f>
        <v>8852.9</v>
      </c>
      <c r="Z16" s="20">
        <f>C16*MAX(0,Assumptions!$C$5*N16-T16)</f>
        <v>8638.4189651631914</v>
      </c>
      <c r="AA16" s="20">
        <f>C16*Assumptions!$C$7*Assumptions!$C$5*(E16+F16)</f>
        <v>4293.6564999999991</v>
      </c>
      <c r="AB16" s="20">
        <f>C16*MAX(0,Assumptions!$C$7*Assumptions!$C$5*N16-IF(Assumptions!$C$9="Yes",Assumptions!$C$7,1)*T16)</f>
        <v>4101.6816313393865</v>
      </c>
      <c r="AC16" s="20">
        <f t="shared" si="9"/>
        <v>88.528999999999996</v>
      </c>
      <c r="AD16" s="20">
        <f t="shared" si="10"/>
        <v>88.091987064539893</v>
      </c>
    </row>
    <row r="17" spans="1:30" x14ac:dyDescent="0.45">
      <c r="A17" t="s">
        <v>6</v>
      </c>
      <c r="B17" t="s">
        <v>138</v>
      </c>
      <c r="C17" s="18">
        <v>167</v>
      </c>
      <c r="D17" s="18">
        <v>413.44028500168491</v>
      </c>
      <c r="E17" s="19">
        <v>0.12342</v>
      </c>
      <c r="F17" s="19">
        <v>2.3974930400000001</v>
      </c>
      <c r="G17" s="19">
        <v>0</v>
      </c>
      <c r="H17" s="19">
        <v>2.3974930400000001</v>
      </c>
      <c r="I17" s="20">
        <f>INDEX(Scenarios!$B$4:$B$9,MATCH($A17,Scenarios!$A$4:$A$9,0))</f>
        <v>20</v>
      </c>
      <c r="J17" s="20">
        <f>INDEX(Scenarios!$C$4:$C$9,MATCH($A17,Scenarios!$A$4:$A$9,0))</f>
        <v>0</v>
      </c>
      <c r="K17" s="20">
        <f>INDEX(Scenarios!$D$4:$D$9,MATCH($A17,Scenarios!$A$4:$A$9,0))</f>
        <v>0</v>
      </c>
      <c r="L17" s="21">
        <f>INDEX(Scenarios!$E$4:$E$9,MATCH($A17,Scenarios!$A$4:$A$9,0))</f>
        <v>-4.8686824360529728E-2</v>
      </c>
      <c r="M17" s="21">
        <f t="shared" si="0"/>
        <v>0.11741107213742343</v>
      </c>
      <c r="N17" s="21">
        <f t="shared" si="1"/>
        <v>2.5149041121374234</v>
      </c>
      <c r="O17" s="20">
        <f t="shared" si="2"/>
        <v>2.3482214427484687</v>
      </c>
      <c r="P17" s="20">
        <f t="shared" si="3"/>
        <v>0</v>
      </c>
      <c r="Q17" s="20">
        <f t="shared" si="4"/>
        <v>0.97084934253699462</v>
      </c>
      <c r="R17" s="21">
        <f t="shared" si="11"/>
        <v>1.8979029175381875E-3</v>
      </c>
      <c r="S17" s="20">
        <f>IF(Assumptions!$C$11="Yes",INDEX(Scenarios!$F$4:$F$9,MATCH($A17,Scenarios!$A$4:$A$9,0))*1000*R17/D17*1000,0)</f>
        <v>0</v>
      </c>
      <c r="T17" s="20">
        <f t="shared" si="6"/>
        <v>2.3482214427484687</v>
      </c>
      <c r="U17" s="20">
        <f>Assumptions!$C$8*Assumptions!$C$5*(E17+F17)</f>
        <v>252.09130399999998</v>
      </c>
      <c r="V17" s="20">
        <f>MAX(0,Assumptions!$C$8*Assumptions!$C$5*N17-Assumptions!$C$10*T17)</f>
        <v>249.14218977099387</v>
      </c>
      <c r="W17" s="20">
        <f t="shared" si="7"/>
        <v>42099.247767999994</v>
      </c>
      <c r="X17" s="20">
        <f t="shared" si="8"/>
        <v>41606.745691755976</v>
      </c>
      <c r="Y17" s="20">
        <f>C17*Assumptions!$C$5*(E17+F17)</f>
        <v>42099.247768000001</v>
      </c>
      <c r="Z17" s="20">
        <f>C17*MAX(0,Assumptions!$C$5*N17-T17)</f>
        <v>41606.745691755976</v>
      </c>
      <c r="AA17" s="20">
        <f>C17*Assumptions!$C$7*Assumptions!$C$5*(E17+F17)</f>
        <v>20418.135167479999</v>
      </c>
      <c r="AB17" s="20">
        <f>C17*MAX(0,Assumptions!$C$7*Assumptions!$C$5*N17-IF(Assumptions!$C$9="Yes",Assumptions!$C$7,1)*T17)</f>
        <v>19977.312875318068</v>
      </c>
      <c r="AC17" s="20">
        <f t="shared" si="9"/>
        <v>420.99247767999998</v>
      </c>
      <c r="AD17" s="20">
        <f t="shared" si="10"/>
        <v>419.98898672694969</v>
      </c>
    </row>
    <row r="18" spans="1:30" x14ac:dyDescent="0.45">
      <c r="A18" t="s">
        <v>7</v>
      </c>
      <c r="B18" t="s">
        <v>132</v>
      </c>
      <c r="C18" s="18">
        <v>580</v>
      </c>
      <c r="D18" s="18">
        <v>6553.7777917053236</v>
      </c>
      <c r="E18" s="19">
        <v>0.57099076999999998</v>
      </c>
      <c r="F18" s="19">
        <v>3.7901020000000001E-2</v>
      </c>
      <c r="G18" s="19">
        <v>0</v>
      </c>
      <c r="H18" s="19">
        <v>3.7901020000000001E-2</v>
      </c>
      <c r="I18" s="20">
        <f>INDEX(Scenarios!$B$4:$B$9,MATCH($A18,Scenarios!$A$4:$A$9,0))</f>
        <v>20</v>
      </c>
      <c r="J18" s="20">
        <f>INDEX(Scenarios!$C$4:$C$9,MATCH($A18,Scenarios!$A$4:$A$9,0))</f>
        <v>0</v>
      </c>
      <c r="K18" s="20">
        <f>INDEX(Scenarios!$D$4:$D$9,MATCH($A18,Scenarios!$A$4:$A$9,0))</f>
        <v>0</v>
      </c>
      <c r="L18" s="21">
        <f>INDEX(Scenarios!$E$4:$E$9,MATCH($A18,Scenarios!$A$4:$A$9,0))</f>
        <v>-5.1297883337348187E-2</v>
      </c>
      <c r="M18" s="21">
        <f t="shared" si="0"/>
        <v>0.54170015209383737</v>
      </c>
      <c r="N18" s="21">
        <f t="shared" si="1"/>
        <v>0.57960117209383732</v>
      </c>
      <c r="O18" s="20">
        <f t="shared" si="2"/>
        <v>10.834003041876748</v>
      </c>
      <c r="P18" s="20">
        <f t="shared" si="3"/>
        <v>0</v>
      </c>
      <c r="Q18" s="20">
        <f t="shared" si="4"/>
        <v>71.003648531119765</v>
      </c>
      <c r="R18" s="21">
        <f t="shared" ref="R18:R24" si="12">IF(SUM($Q$18:$Q$24)=0,0,Q18/SUM($Q$18:$Q$24))</f>
        <v>0.13918629046011063</v>
      </c>
      <c r="S18" s="20">
        <f>IF(Assumptions!$C$11="Yes",INDEX(Scenarios!$F$4:$F$9,MATCH($A18,Scenarios!$A$4:$A$9,0))*1000*R18/D18*1000,0)</f>
        <v>0</v>
      </c>
      <c r="T18" s="20">
        <f t="shared" si="6"/>
        <v>10.834003041876748</v>
      </c>
      <c r="U18" s="20">
        <f>Assumptions!$C$8*Assumptions!$C$5*(E18+F18)</f>
        <v>60.889178999999992</v>
      </c>
      <c r="V18" s="20">
        <f>MAX(0,Assumptions!$C$8*Assumptions!$C$5*N18-Assumptions!$C$10*T18)</f>
        <v>47.126114167506984</v>
      </c>
      <c r="W18" s="20">
        <f t="shared" si="7"/>
        <v>35315.723819999992</v>
      </c>
      <c r="X18" s="20">
        <f t="shared" si="8"/>
        <v>27333.146217154052</v>
      </c>
      <c r="Y18" s="20">
        <f>C18*Assumptions!$C$5*(E18+F18)</f>
        <v>35315.723819999999</v>
      </c>
      <c r="Z18" s="20">
        <f>C18*MAX(0,Assumptions!$C$5*N18-T18)</f>
        <v>27333.146217154052</v>
      </c>
      <c r="AA18" s="20">
        <f>C18*Assumptions!$C$7*Assumptions!$C$5*(E18+F18)</f>
        <v>17128.126052699998</v>
      </c>
      <c r="AB18" s="20">
        <f>C18*MAX(0,Assumptions!$C$7*Assumptions!$C$5*N18-IF(Assumptions!$C$9="Yes",Assumptions!$C$7,1)*T18)</f>
        <v>10020.45920671113</v>
      </c>
      <c r="AC18" s="20">
        <f t="shared" si="9"/>
        <v>353.15723819999994</v>
      </c>
      <c r="AD18" s="20">
        <f t="shared" si="10"/>
        <v>336.16867981442567</v>
      </c>
    </row>
    <row r="19" spans="1:30" x14ac:dyDescent="0.45">
      <c r="A19" t="s">
        <v>7</v>
      </c>
      <c r="B19" t="s">
        <v>133</v>
      </c>
      <c r="C19" s="18">
        <v>300</v>
      </c>
      <c r="D19" s="18">
        <v>6210.9464385321871</v>
      </c>
      <c r="E19" s="19">
        <v>4.4880000000000003E-2</v>
      </c>
      <c r="F19" s="19">
        <v>4.3981149999999997E-2</v>
      </c>
      <c r="G19" s="19">
        <v>0</v>
      </c>
      <c r="H19" s="19">
        <v>4.3981149999999997E-2</v>
      </c>
      <c r="I19" s="20">
        <f>INDEX(Scenarios!$B$4:$B$9,MATCH($A19,Scenarios!$A$4:$A$9,0))</f>
        <v>20</v>
      </c>
      <c r="J19" s="20">
        <f>INDEX(Scenarios!$C$4:$C$9,MATCH($A19,Scenarios!$A$4:$A$9,0))</f>
        <v>0</v>
      </c>
      <c r="K19" s="20">
        <f>INDEX(Scenarios!$D$4:$D$9,MATCH($A19,Scenarios!$A$4:$A$9,0))</f>
        <v>0</v>
      </c>
      <c r="L19" s="21">
        <f>INDEX(Scenarios!$E$4:$E$9,MATCH($A19,Scenarios!$A$4:$A$9,0))</f>
        <v>-5.1297883337348187E-2</v>
      </c>
      <c r="M19" s="21">
        <f t="shared" si="0"/>
        <v>4.2577750995819813E-2</v>
      </c>
      <c r="N19" s="21">
        <f t="shared" si="1"/>
        <v>8.655890099581981E-2</v>
      </c>
      <c r="O19" s="20">
        <f t="shared" si="2"/>
        <v>0.85155501991639626</v>
      </c>
      <c r="P19" s="20">
        <f t="shared" si="3"/>
        <v>0</v>
      </c>
      <c r="Q19" s="20">
        <f t="shared" si="4"/>
        <v>5.2889626181639473</v>
      </c>
      <c r="R19" s="21">
        <f t="shared" si="12"/>
        <v>1.0367792394242827E-2</v>
      </c>
      <c r="S19" s="20">
        <f>IF(Assumptions!$C$11="Yes",INDEX(Scenarios!$F$4:$F$9,MATCH($A19,Scenarios!$A$4:$A$9,0))*1000*R19/D19*1000,0)</f>
        <v>0</v>
      </c>
      <c r="T19" s="20">
        <f t="shared" si="6"/>
        <v>0.85155501991639626</v>
      </c>
      <c r="U19" s="20">
        <f>Assumptions!$C$8*Assumptions!$C$5*(E19+F19)</f>
        <v>8.8861150000000002</v>
      </c>
      <c r="V19" s="20">
        <f>MAX(0,Assumptions!$C$8*Assumptions!$C$5*N19-Assumptions!$C$10*T19)</f>
        <v>7.8043350796655853</v>
      </c>
      <c r="W19" s="20">
        <f t="shared" si="7"/>
        <v>2665.8344999999999</v>
      </c>
      <c r="X19" s="20">
        <f t="shared" si="8"/>
        <v>2341.3005238996757</v>
      </c>
      <c r="Y19" s="20">
        <f>C19*Assumptions!$C$5*(E19+F19)</f>
        <v>2665.8344999999999</v>
      </c>
      <c r="Z19" s="20">
        <f>C19*MAX(0,Assumptions!$C$5*N19-T19)</f>
        <v>2341.3005238996757</v>
      </c>
      <c r="AA19" s="20">
        <f>C19*Assumptions!$C$7*Assumptions!$C$5*(E19+F19)</f>
        <v>1292.9297325</v>
      </c>
      <c r="AB19" s="20">
        <f>C19*MAX(0,Assumptions!$C$7*Assumptions!$C$5*N19-IF(Assumptions!$C$9="Yes",Assumptions!$C$7,1)*T19)</f>
        <v>1003.9655035142594</v>
      </c>
      <c r="AC19" s="20">
        <f t="shared" si="9"/>
        <v>26.658345000000001</v>
      </c>
      <c r="AD19" s="20">
        <f t="shared" si="10"/>
        <v>25.967670298745944</v>
      </c>
    </row>
    <row r="20" spans="1:30" x14ac:dyDescent="0.45">
      <c r="A20" t="s">
        <v>7</v>
      </c>
      <c r="B20" t="s">
        <v>134</v>
      </c>
      <c r="C20" s="18">
        <v>800</v>
      </c>
      <c r="D20" s="18">
        <v>59092.434323359354</v>
      </c>
      <c r="E20" s="19">
        <v>0.31356850000000003</v>
      </c>
      <c r="F20" s="19">
        <v>0.53702616000000003</v>
      </c>
      <c r="G20" s="19">
        <v>0</v>
      </c>
      <c r="H20" s="19">
        <v>0.53702616000000003</v>
      </c>
      <c r="I20" s="20">
        <f>INDEX(Scenarios!$B$4:$B$9,MATCH($A20,Scenarios!$A$4:$A$9,0))</f>
        <v>20</v>
      </c>
      <c r="J20" s="20">
        <f>INDEX(Scenarios!$C$4:$C$9,MATCH($A20,Scenarios!$A$4:$A$9,0))</f>
        <v>0</v>
      </c>
      <c r="K20" s="20">
        <f>INDEX(Scenarios!$D$4:$D$9,MATCH($A20,Scenarios!$A$4:$A$9,0))</f>
        <v>0</v>
      </c>
      <c r="L20" s="21">
        <f>INDEX(Scenarios!$E$4:$E$9,MATCH($A20,Scenarios!$A$4:$A$9,0))</f>
        <v>-5.1297883337348187E-2</v>
      </c>
      <c r="M20" s="21">
        <f t="shared" si="0"/>
        <v>0.29748309966873276</v>
      </c>
      <c r="N20" s="21">
        <f t="shared" si="1"/>
        <v>0.83450925966873279</v>
      </c>
      <c r="O20" s="20">
        <f t="shared" si="2"/>
        <v>5.9496619933746553</v>
      </c>
      <c r="P20" s="20">
        <f t="shared" si="3"/>
        <v>0</v>
      </c>
      <c r="Q20" s="20">
        <f t="shared" si="4"/>
        <v>351.58001058967915</v>
      </c>
      <c r="R20" s="21">
        <f t="shared" si="12"/>
        <v>0.68919159066109636</v>
      </c>
      <c r="S20" s="20">
        <f>IF(Assumptions!$C$11="Yes",INDEX(Scenarios!$F$4:$F$9,MATCH($A20,Scenarios!$A$4:$A$9,0))*1000*R20/D20*1000,0)</f>
        <v>0</v>
      </c>
      <c r="T20" s="20">
        <f t="shared" si="6"/>
        <v>5.9496619933746553</v>
      </c>
      <c r="U20" s="20">
        <f>Assumptions!$C$8*Assumptions!$C$5*(E20+F20)</f>
        <v>85.059466</v>
      </c>
      <c r="V20" s="20">
        <f>MAX(0,Assumptions!$C$8*Assumptions!$C$5*N20-Assumptions!$C$10*T20)</f>
        <v>77.501263973498624</v>
      </c>
      <c r="W20" s="20">
        <f t="shared" si="7"/>
        <v>68047.572799999994</v>
      </c>
      <c r="X20" s="20">
        <f t="shared" si="8"/>
        <v>62001.011178798901</v>
      </c>
      <c r="Y20" s="20">
        <f>C20*Assumptions!$C$5*(E20+F20)</f>
        <v>68047.572800000009</v>
      </c>
      <c r="Z20" s="20">
        <f>C20*MAX(0,Assumptions!$C$5*N20-T20)</f>
        <v>62001.011178798901</v>
      </c>
      <c r="AA20" s="20">
        <f>C20*Assumptions!$C$7*Assumptions!$C$5*(E20+F20)</f>
        <v>33003.072808000004</v>
      </c>
      <c r="AB20" s="20">
        <f>C20*MAX(0,Assumptions!$C$7*Assumptions!$C$5*N20-IF(Assumptions!$C$9="Yes",Assumptions!$C$7,1)*T20)</f>
        <v>27619.229680447108</v>
      </c>
      <c r="AC20" s="20">
        <f t="shared" si="9"/>
        <v>680.475728</v>
      </c>
      <c r="AD20" s="20">
        <f t="shared" si="10"/>
        <v>667.60740773498628</v>
      </c>
    </row>
    <row r="21" spans="1:30" x14ac:dyDescent="0.45">
      <c r="A21" t="s">
        <v>7</v>
      </c>
      <c r="B21" t="s">
        <v>135</v>
      </c>
      <c r="C21" s="18">
        <v>120</v>
      </c>
      <c r="D21" s="18">
        <v>1950.185792950042</v>
      </c>
      <c r="E21" s="19">
        <v>1.97472</v>
      </c>
      <c r="F21" s="19">
        <v>0</v>
      </c>
      <c r="G21" s="19">
        <v>0</v>
      </c>
      <c r="H21" s="19">
        <v>0</v>
      </c>
      <c r="I21" s="20">
        <f>INDEX(Scenarios!$B$4:$B$9,MATCH($A21,Scenarios!$A$4:$A$9,0))</f>
        <v>20</v>
      </c>
      <c r="J21" s="20">
        <f>INDEX(Scenarios!$C$4:$C$9,MATCH($A21,Scenarios!$A$4:$A$9,0))</f>
        <v>0</v>
      </c>
      <c r="K21" s="20">
        <f>INDEX(Scenarios!$D$4:$D$9,MATCH($A21,Scenarios!$A$4:$A$9,0))</f>
        <v>0</v>
      </c>
      <c r="L21" s="21">
        <f>INDEX(Scenarios!$E$4:$E$9,MATCH($A21,Scenarios!$A$4:$A$9,0))</f>
        <v>-5.1297883337348187E-2</v>
      </c>
      <c r="M21" s="21">
        <f t="shared" si="0"/>
        <v>1.8734210438160719</v>
      </c>
      <c r="N21" s="21">
        <f t="shared" si="1"/>
        <v>1.8734210438160719</v>
      </c>
      <c r="O21" s="20">
        <f t="shared" si="2"/>
        <v>37.468420876321439</v>
      </c>
      <c r="P21" s="20">
        <f t="shared" si="3"/>
        <v>0</v>
      </c>
      <c r="Q21" s="20">
        <f t="shared" si="4"/>
        <v>73.070382077274829</v>
      </c>
      <c r="R21" s="21">
        <f t="shared" si="12"/>
        <v>0.14323764530749872</v>
      </c>
      <c r="S21" s="20">
        <f>IF(Assumptions!$C$11="Yes",INDEX(Scenarios!$F$4:$F$9,MATCH($A21,Scenarios!$A$4:$A$9,0))*1000*R21/D21*1000,0)</f>
        <v>0</v>
      </c>
      <c r="T21" s="20">
        <f t="shared" si="6"/>
        <v>37.468420876321439</v>
      </c>
      <c r="U21" s="20">
        <f>Assumptions!$C$8*Assumptions!$C$5*(E21+F21)</f>
        <v>197.47200000000001</v>
      </c>
      <c r="V21" s="20">
        <f>MAX(0,Assumptions!$C$8*Assumptions!$C$5*N21-Assumptions!$C$10*T21)</f>
        <v>149.87368350528575</v>
      </c>
      <c r="W21" s="20">
        <f t="shared" si="7"/>
        <v>23696.639999999999</v>
      </c>
      <c r="X21" s="20">
        <f t="shared" si="8"/>
        <v>17984.842020634289</v>
      </c>
      <c r="Y21" s="20">
        <f>C21*Assumptions!$C$5*(E21+F21)</f>
        <v>23696.639999999999</v>
      </c>
      <c r="Z21" s="20">
        <f>C21*MAX(0,Assumptions!$C$5*N21-T21)</f>
        <v>17984.842020634289</v>
      </c>
      <c r="AA21" s="20">
        <f>C21*Assumptions!$C$7*Assumptions!$C$5*(E21+F21)</f>
        <v>11492.8704</v>
      </c>
      <c r="AB21" s="20">
        <f>C21*MAX(0,Assumptions!$C$7*Assumptions!$C$5*N21-IF(Assumptions!$C$9="Yes",Assumptions!$C$7,1)*T21)</f>
        <v>6407.0999698509659</v>
      </c>
      <c r="AC21" s="20">
        <f t="shared" si="9"/>
        <v>236.96639999999999</v>
      </c>
      <c r="AD21" s="20">
        <f t="shared" si="10"/>
        <v>224.81052525792862</v>
      </c>
    </row>
    <row r="22" spans="1:30" x14ac:dyDescent="0.45">
      <c r="A22" t="s">
        <v>7</v>
      </c>
      <c r="B22" t="s">
        <v>136</v>
      </c>
      <c r="C22" s="18">
        <v>1600</v>
      </c>
      <c r="D22" s="18">
        <v>3181.1552600878722</v>
      </c>
      <c r="E22" s="19">
        <v>0.11219999999999999</v>
      </c>
      <c r="F22" s="19">
        <v>0</v>
      </c>
      <c r="G22" s="19">
        <v>0</v>
      </c>
      <c r="H22" s="19">
        <v>0</v>
      </c>
      <c r="I22" s="20">
        <f>INDEX(Scenarios!$B$4:$B$9,MATCH($A22,Scenarios!$A$4:$A$9,0))</f>
        <v>20</v>
      </c>
      <c r="J22" s="20">
        <f>INDEX(Scenarios!$C$4:$C$9,MATCH($A22,Scenarios!$A$4:$A$9,0))</f>
        <v>0</v>
      </c>
      <c r="K22" s="20">
        <f>INDEX(Scenarios!$D$4:$D$9,MATCH($A22,Scenarios!$A$4:$A$9,0))</f>
        <v>0</v>
      </c>
      <c r="L22" s="21">
        <f>INDEX(Scenarios!$E$4:$E$9,MATCH($A22,Scenarios!$A$4:$A$9,0))</f>
        <v>-5.1297883337348187E-2</v>
      </c>
      <c r="M22" s="21">
        <f t="shared" si="0"/>
        <v>0.10644437748954953</v>
      </c>
      <c r="N22" s="21">
        <f t="shared" si="1"/>
        <v>0.10644437748954953</v>
      </c>
      <c r="O22" s="20">
        <f t="shared" si="2"/>
        <v>2.1288875497909907</v>
      </c>
      <c r="P22" s="20">
        <f t="shared" si="3"/>
        <v>0</v>
      </c>
      <c r="Q22" s="20">
        <f t="shared" si="4"/>
        <v>6.772321827153192</v>
      </c>
      <c r="R22" s="21">
        <f t="shared" si="12"/>
        <v>1.3275576289722047E-2</v>
      </c>
      <c r="S22" s="20">
        <f>IF(Assumptions!$C$11="Yes",INDEX(Scenarios!$F$4:$F$9,MATCH($A22,Scenarios!$A$4:$A$9,0))*1000*R22/D22*1000,0)</f>
        <v>0</v>
      </c>
      <c r="T22" s="20">
        <f t="shared" si="6"/>
        <v>2.1288875497909907</v>
      </c>
      <c r="U22" s="20">
        <f>Assumptions!$C$8*Assumptions!$C$5*(E22+F22)</f>
        <v>11.219999999999999</v>
      </c>
      <c r="V22" s="20">
        <f>MAX(0,Assumptions!$C$8*Assumptions!$C$5*N22-Assumptions!$C$10*T22)</f>
        <v>8.5155501991639628</v>
      </c>
      <c r="W22" s="20">
        <f t="shared" si="7"/>
        <v>17952</v>
      </c>
      <c r="X22" s="20">
        <f t="shared" si="8"/>
        <v>13624.880318662341</v>
      </c>
      <c r="Y22" s="20">
        <f>C22*Assumptions!$C$5*(E22+F22)</f>
        <v>17952</v>
      </c>
      <c r="Z22" s="20">
        <f>C22*MAX(0,Assumptions!$C$5*N22-T22)</f>
        <v>13624.880318662341</v>
      </c>
      <c r="AA22" s="20">
        <f>C22*Assumptions!$C$7*Assumptions!$C$5*(E22+F22)</f>
        <v>8706.7199999999993</v>
      </c>
      <c r="AB22" s="20">
        <f>C22*MAX(0,Assumptions!$C$7*Assumptions!$C$5*N22-IF(Assumptions!$C$9="Yes",Assumptions!$C$7,1)*T22)</f>
        <v>4853.8636135234592</v>
      </c>
      <c r="AC22" s="20">
        <f t="shared" si="9"/>
        <v>179.51999999999998</v>
      </c>
      <c r="AD22" s="20">
        <f t="shared" si="10"/>
        <v>170.31100398327925</v>
      </c>
    </row>
    <row r="23" spans="1:30" x14ac:dyDescent="0.45">
      <c r="A23" t="s">
        <v>7</v>
      </c>
      <c r="B23" t="s">
        <v>137</v>
      </c>
      <c r="C23" s="18">
        <v>80</v>
      </c>
      <c r="D23" s="18">
        <v>681.3012636367514</v>
      </c>
      <c r="E23" s="19">
        <v>0.11219999999999999</v>
      </c>
      <c r="F23" s="19">
        <v>0.99441250000000003</v>
      </c>
      <c r="G23" s="19">
        <v>0</v>
      </c>
      <c r="H23" s="19">
        <v>0.99441250000000003</v>
      </c>
      <c r="I23" s="20">
        <f>INDEX(Scenarios!$B$4:$B$9,MATCH($A23,Scenarios!$A$4:$A$9,0))</f>
        <v>20</v>
      </c>
      <c r="J23" s="20">
        <f>INDEX(Scenarios!$C$4:$C$9,MATCH($A23,Scenarios!$A$4:$A$9,0))</f>
        <v>0</v>
      </c>
      <c r="K23" s="20">
        <f>INDEX(Scenarios!$D$4:$D$9,MATCH($A23,Scenarios!$A$4:$A$9,0))</f>
        <v>0</v>
      </c>
      <c r="L23" s="21">
        <f>INDEX(Scenarios!$E$4:$E$9,MATCH($A23,Scenarios!$A$4:$A$9,0))</f>
        <v>-5.1297883337348187E-2</v>
      </c>
      <c r="M23" s="21">
        <f t="shared" si="0"/>
        <v>0.10644437748954953</v>
      </c>
      <c r="N23" s="21">
        <f t="shared" si="1"/>
        <v>1.1008568774895495</v>
      </c>
      <c r="O23" s="20">
        <f t="shared" si="2"/>
        <v>2.1288875497909907</v>
      </c>
      <c r="P23" s="20">
        <f t="shared" si="3"/>
        <v>0</v>
      </c>
      <c r="Q23" s="20">
        <f t="shared" si="4"/>
        <v>1.4504137778131494</v>
      </c>
      <c r="R23" s="21">
        <f t="shared" si="12"/>
        <v>2.843201969791279E-3</v>
      </c>
      <c r="S23" s="20">
        <f>IF(Assumptions!$C$11="Yes",INDEX(Scenarios!$F$4:$F$9,MATCH($A23,Scenarios!$A$4:$A$9,0))*1000*R23/D23*1000,0)</f>
        <v>0</v>
      </c>
      <c r="T23" s="20">
        <f t="shared" si="6"/>
        <v>2.1288875497909907</v>
      </c>
      <c r="U23" s="20">
        <f>Assumptions!$C$8*Assumptions!$C$5*(E23+F23)</f>
        <v>110.66125</v>
      </c>
      <c r="V23" s="20">
        <f>MAX(0,Assumptions!$C$8*Assumptions!$C$5*N23-Assumptions!$C$10*T23)</f>
        <v>107.95680019916396</v>
      </c>
      <c r="W23" s="20">
        <f t="shared" si="7"/>
        <v>8852.9</v>
      </c>
      <c r="X23" s="20">
        <f t="shared" si="8"/>
        <v>8636.5440159331174</v>
      </c>
      <c r="Y23" s="20">
        <f>C23*Assumptions!$C$5*(E23+F23)</f>
        <v>8852.9</v>
      </c>
      <c r="Z23" s="20">
        <f>C23*MAX(0,Assumptions!$C$5*N23-T23)</f>
        <v>8636.5440159331174</v>
      </c>
      <c r="AA23" s="20">
        <f>C23*Assumptions!$C$7*Assumptions!$C$5*(E23+F23)</f>
        <v>4293.6564999999991</v>
      </c>
      <c r="AB23" s="20">
        <f>C23*MAX(0,Assumptions!$C$7*Assumptions!$C$5*N23-IF(Assumptions!$C$9="Yes",Assumptions!$C$7,1)*T23)</f>
        <v>4101.013680676173</v>
      </c>
      <c r="AC23" s="20">
        <f t="shared" si="9"/>
        <v>88.528999999999996</v>
      </c>
      <c r="AD23" s="20">
        <f t="shared" si="10"/>
        <v>88.068550199163965</v>
      </c>
    </row>
    <row r="24" spans="1:30" x14ac:dyDescent="0.45">
      <c r="A24" t="s">
        <v>7</v>
      </c>
      <c r="B24" t="s">
        <v>138</v>
      </c>
      <c r="C24" s="18">
        <v>167</v>
      </c>
      <c r="D24" s="18">
        <v>413.44028500168491</v>
      </c>
      <c r="E24" s="19">
        <v>0.12342</v>
      </c>
      <c r="F24" s="19">
        <v>2.3974930400000001</v>
      </c>
      <c r="G24" s="19">
        <v>0</v>
      </c>
      <c r="H24" s="19">
        <v>2.3974930400000001</v>
      </c>
      <c r="I24" s="20">
        <f>INDEX(Scenarios!$B$4:$B$9,MATCH($A24,Scenarios!$A$4:$A$9,0))</f>
        <v>20</v>
      </c>
      <c r="J24" s="20">
        <f>INDEX(Scenarios!$C$4:$C$9,MATCH($A24,Scenarios!$A$4:$A$9,0))</f>
        <v>0</v>
      </c>
      <c r="K24" s="20">
        <f>INDEX(Scenarios!$D$4:$D$9,MATCH($A24,Scenarios!$A$4:$A$9,0))</f>
        <v>0</v>
      </c>
      <c r="L24" s="21">
        <f>INDEX(Scenarios!$E$4:$E$9,MATCH($A24,Scenarios!$A$4:$A$9,0))</f>
        <v>-5.1297883337348187E-2</v>
      </c>
      <c r="M24" s="21">
        <f t="shared" si="0"/>
        <v>0.11708881523850449</v>
      </c>
      <c r="N24" s="21">
        <f t="shared" si="1"/>
        <v>2.5145818552385046</v>
      </c>
      <c r="O24" s="20">
        <f t="shared" si="2"/>
        <v>2.3417763047700899</v>
      </c>
      <c r="P24" s="20">
        <f t="shared" si="3"/>
        <v>0</v>
      </c>
      <c r="Q24" s="20">
        <f t="shared" si="4"/>
        <v>0.96818466285433846</v>
      </c>
      <c r="R24" s="21">
        <f t="shared" si="12"/>
        <v>1.8979029175381873E-3</v>
      </c>
      <c r="S24" s="20">
        <f>IF(Assumptions!$C$11="Yes",INDEX(Scenarios!$F$4:$F$9,MATCH($A24,Scenarios!$A$4:$A$9,0))*1000*R24/D24*1000,0)</f>
        <v>0</v>
      </c>
      <c r="T24" s="20">
        <f t="shared" si="6"/>
        <v>2.3417763047700899</v>
      </c>
      <c r="U24" s="20">
        <f>Assumptions!$C$8*Assumptions!$C$5*(E24+F24)</f>
        <v>252.09130399999998</v>
      </c>
      <c r="V24" s="20">
        <f>MAX(0,Assumptions!$C$8*Assumptions!$C$5*N24-Assumptions!$C$10*T24)</f>
        <v>249.11640921908037</v>
      </c>
      <c r="W24" s="20">
        <f t="shared" si="7"/>
        <v>42099.247767999994</v>
      </c>
      <c r="X24" s="20">
        <f t="shared" si="8"/>
        <v>41602.440339586421</v>
      </c>
      <c r="Y24" s="20">
        <f>C24*Assumptions!$C$5*(E24+F24)</f>
        <v>42099.247768000001</v>
      </c>
      <c r="Z24" s="20">
        <f>C24*MAX(0,Assumptions!$C$5*N24-T24)</f>
        <v>41602.440339586421</v>
      </c>
      <c r="AA24" s="20">
        <f>C24*Assumptions!$C$7*Assumptions!$C$5*(E24+F24)</f>
        <v>20418.135167479999</v>
      </c>
      <c r="AB24" s="20">
        <f>C24*MAX(0,Assumptions!$C$7*Assumptions!$C$5*N24-IF(Assumptions!$C$9="Yes",Assumptions!$C$7,1)*T24)</f>
        <v>19975.779093607664</v>
      </c>
      <c r="AC24" s="20">
        <f t="shared" si="9"/>
        <v>420.99247767999998</v>
      </c>
      <c r="AD24" s="20">
        <f t="shared" si="10"/>
        <v>419.93516982483027</v>
      </c>
    </row>
    <row r="25" spans="1:30" x14ac:dyDescent="0.45">
      <c r="A25" t="s">
        <v>8</v>
      </c>
      <c r="B25" t="s">
        <v>132</v>
      </c>
      <c r="C25" s="18">
        <v>580</v>
      </c>
      <c r="D25" s="18">
        <v>6550.5179664754814</v>
      </c>
      <c r="E25" s="19">
        <v>0.57099076999999998</v>
      </c>
      <c r="F25" s="19">
        <v>3.7901020000000001E-2</v>
      </c>
      <c r="G25" s="19">
        <v>0</v>
      </c>
      <c r="H25" s="19">
        <v>3.5376190552514883E-2</v>
      </c>
      <c r="I25" s="20">
        <f>INDEX(Scenarios!$B$4:$B$9,MATCH($A25,Scenarios!$A$4:$A$9,0))</f>
        <v>20</v>
      </c>
      <c r="J25" s="20">
        <f>INDEX(Scenarios!$C$4:$C$9,MATCH($A25,Scenarios!$A$4:$A$9,0))</f>
        <v>20</v>
      </c>
      <c r="K25" s="20">
        <f>INDEX(Scenarios!$D$4:$D$9,MATCH($A25,Scenarios!$A$4:$A$9,0))</f>
        <v>0</v>
      </c>
      <c r="L25" s="21">
        <f>INDEX(Scenarios!$E$4:$E$9,MATCH($A25,Scenarios!$A$4:$A$9,0))</f>
        <v>-4.8686824360529728E-2</v>
      </c>
      <c r="M25" s="21">
        <f t="shared" si="0"/>
        <v>0.54319104266952634</v>
      </c>
      <c r="N25" s="21">
        <f t="shared" si="1"/>
        <v>0.57856723322204118</v>
      </c>
      <c r="O25" s="20">
        <f t="shared" si="2"/>
        <v>11.571344664440824</v>
      </c>
      <c r="P25" s="20">
        <f t="shared" si="3"/>
        <v>0</v>
      </c>
      <c r="Q25" s="20">
        <f t="shared" si="4"/>
        <v>75.798301120699819</v>
      </c>
      <c r="R25" s="21">
        <f t="shared" ref="R25:R31" si="13">IF(SUM($Q$25:$Q$31)=0,0,Q25/SUM($Q$25:$Q$31))</f>
        <v>6.8647677911783639E-2</v>
      </c>
      <c r="S25" s="20">
        <f>IF(Assumptions!$C$11="Yes",INDEX(Scenarios!$F$4:$F$9,MATCH($A25,Scenarios!$A$4:$A$9,0))*1000*R25/D25*1000,0)</f>
        <v>0</v>
      </c>
      <c r="T25" s="20">
        <f t="shared" si="6"/>
        <v>11.571344664440824</v>
      </c>
      <c r="U25" s="20">
        <f>Assumptions!$C$8*Assumptions!$C$5*(E25+F25)</f>
        <v>60.889178999999992</v>
      </c>
      <c r="V25" s="20">
        <f>MAX(0,Assumptions!$C$8*Assumptions!$C$5*N25-Assumptions!$C$10*T25)</f>
        <v>46.285378657763296</v>
      </c>
      <c r="W25" s="20">
        <f t="shared" si="7"/>
        <v>35315.723819999992</v>
      </c>
      <c r="X25" s="20">
        <f t="shared" si="8"/>
        <v>26845.51962150271</v>
      </c>
      <c r="Y25" s="20">
        <f>C25*Assumptions!$C$5*(E25+F25)</f>
        <v>35315.723819999999</v>
      </c>
      <c r="Z25" s="20">
        <f>C25*MAX(0,Assumptions!$C$5*N25-T25)</f>
        <v>26845.51962150271</v>
      </c>
      <c r="AA25" s="20">
        <f>C25*Assumptions!$C$7*Assumptions!$C$5*(E25+F25)</f>
        <v>17128.126052699998</v>
      </c>
      <c r="AB25" s="20">
        <f>C25*MAX(0,Assumptions!$C$7*Assumptions!$C$5*N25-IF(Assumptions!$C$9="Yes",Assumptions!$C$7,1)*T25)</f>
        <v>9563.7163651603423</v>
      </c>
      <c r="AC25" s="20">
        <f t="shared" si="9"/>
        <v>353.15723819999994</v>
      </c>
      <c r="AD25" s="20">
        <f t="shared" si="10"/>
        <v>335.56899526878391</v>
      </c>
    </row>
    <row r="26" spans="1:30" x14ac:dyDescent="0.45">
      <c r="A26" t="s">
        <v>8</v>
      </c>
      <c r="B26" t="s">
        <v>133</v>
      </c>
      <c r="C26" s="18">
        <v>300</v>
      </c>
      <c r="D26" s="18">
        <v>6206.938491020097</v>
      </c>
      <c r="E26" s="19">
        <v>4.4880000000000003E-2</v>
      </c>
      <c r="F26" s="19">
        <v>4.3981149999999997E-2</v>
      </c>
      <c r="G26" s="19">
        <v>0</v>
      </c>
      <c r="H26" s="19">
        <v>4.2564822542198323E-2</v>
      </c>
      <c r="I26" s="20">
        <f>INDEX(Scenarios!$B$4:$B$9,MATCH($A26,Scenarios!$A$4:$A$9,0))</f>
        <v>20</v>
      </c>
      <c r="J26" s="20">
        <f>INDEX(Scenarios!$C$4:$C$9,MATCH($A26,Scenarios!$A$4:$A$9,0))</f>
        <v>20</v>
      </c>
      <c r="K26" s="20">
        <f>INDEX(Scenarios!$D$4:$D$9,MATCH($A26,Scenarios!$A$4:$A$9,0))</f>
        <v>0</v>
      </c>
      <c r="L26" s="21">
        <f>INDEX(Scenarios!$E$4:$E$9,MATCH($A26,Scenarios!$A$4:$A$9,0))</f>
        <v>-4.8686824360529728E-2</v>
      </c>
      <c r="M26" s="21">
        <f t="shared" si="0"/>
        <v>4.2694935322699426E-2</v>
      </c>
      <c r="N26" s="21">
        <f t="shared" si="1"/>
        <v>8.5259757864897756E-2</v>
      </c>
      <c r="O26" s="20">
        <f t="shared" si="2"/>
        <v>1.7051951572979549</v>
      </c>
      <c r="P26" s="20">
        <f t="shared" si="3"/>
        <v>0</v>
      </c>
      <c r="Q26" s="20">
        <f t="shared" si="4"/>
        <v>10.584041456533745</v>
      </c>
      <c r="R26" s="21">
        <f t="shared" si="13"/>
        <v>9.5855693092133758E-3</v>
      </c>
      <c r="S26" s="20">
        <f>IF(Assumptions!$C$11="Yes",INDEX(Scenarios!$F$4:$F$9,MATCH($A26,Scenarios!$A$4:$A$9,0))*1000*R26/D26*1000,0)</f>
        <v>0</v>
      </c>
      <c r="T26" s="20">
        <f t="shared" si="6"/>
        <v>1.7051951572979549</v>
      </c>
      <c r="U26" s="20">
        <f>Assumptions!$C$8*Assumptions!$C$5*(E26+F26)</f>
        <v>8.8861150000000002</v>
      </c>
      <c r="V26" s="20">
        <f>MAX(0,Assumptions!$C$8*Assumptions!$C$5*N26-Assumptions!$C$10*T26)</f>
        <v>6.8207806291918205</v>
      </c>
      <c r="W26" s="20">
        <f t="shared" si="7"/>
        <v>2665.8344999999999</v>
      </c>
      <c r="X26" s="20">
        <f t="shared" si="8"/>
        <v>2046.2341887575462</v>
      </c>
      <c r="Y26" s="20">
        <f>C26*Assumptions!$C$5*(E26+F26)</f>
        <v>2665.8344999999999</v>
      </c>
      <c r="Z26" s="20">
        <f>C26*MAX(0,Assumptions!$C$5*N26-T26)</f>
        <v>2046.2341887575462</v>
      </c>
      <c r="AA26" s="20">
        <f>C26*Assumptions!$C$7*Assumptions!$C$5*(E26+F26)</f>
        <v>1292.9297325</v>
      </c>
      <c r="AB26" s="20">
        <f>C26*MAX(0,Assumptions!$C$7*Assumptions!$C$5*N26-IF(Assumptions!$C$9="Yes",Assumptions!$C$7,1)*T26)</f>
        <v>728.970929744876</v>
      </c>
      <c r="AC26" s="20">
        <f t="shared" si="9"/>
        <v>26.658345000000001</v>
      </c>
      <c r="AD26" s="20">
        <f t="shared" si="10"/>
        <v>25.577927359469328</v>
      </c>
    </row>
    <row r="27" spans="1:30" x14ac:dyDescent="0.45">
      <c r="A27" t="s">
        <v>8</v>
      </c>
      <c r="B27" t="s">
        <v>134</v>
      </c>
      <c r="C27" s="18">
        <v>800</v>
      </c>
      <c r="D27" s="18">
        <v>56538.734209364447</v>
      </c>
      <c r="E27" s="19">
        <v>0.31356850000000003</v>
      </c>
      <c r="F27" s="19">
        <v>0.53702616000000003</v>
      </c>
      <c r="G27" s="19">
        <v>0</v>
      </c>
      <c r="H27" s="19">
        <v>0.50225977118738452</v>
      </c>
      <c r="I27" s="20">
        <f>INDEX(Scenarios!$B$4:$B$9,MATCH($A27,Scenarios!$A$4:$A$9,0))</f>
        <v>20</v>
      </c>
      <c r="J27" s="20">
        <f>INDEX(Scenarios!$C$4:$C$9,MATCH($A27,Scenarios!$A$4:$A$9,0))</f>
        <v>20</v>
      </c>
      <c r="K27" s="20">
        <f>INDEX(Scenarios!$D$4:$D$9,MATCH($A27,Scenarios!$A$4:$A$9,0))</f>
        <v>0</v>
      </c>
      <c r="L27" s="21">
        <f>INDEX(Scenarios!$E$4:$E$9,MATCH($A27,Scenarios!$A$4:$A$9,0))</f>
        <v>-4.8686824360529728E-2</v>
      </c>
      <c r="M27" s="21">
        <f t="shared" si="0"/>
        <v>0.29830184551550526</v>
      </c>
      <c r="N27" s="21">
        <f t="shared" si="1"/>
        <v>0.80056161670288972</v>
      </c>
      <c r="O27" s="20">
        <f t="shared" si="2"/>
        <v>16.011232334057794</v>
      </c>
      <c r="P27" s="20">
        <f t="shared" si="3"/>
        <v>0</v>
      </c>
      <c r="Q27" s="20">
        <f t="shared" si="4"/>
        <v>905.25480929967568</v>
      </c>
      <c r="R27" s="21">
        <f t="shared" si="13"/>
        <v>0.81985532205980283</v>
      </c>
      <c r="S27" s="20">
        <f>IF(Assumptions!$C$11="Yes",INDEX(Scenarios!$F$4:$F$9,MATCH($A27,Scenarios!$A$4:$A$9,0))*1000*R27/D27*1000,0)</f>
        <v>0</v>
      </c>
      <c r="T27" s="20">
        <f t="shared" si="6"/>
        <v>16.011232334057794</v>
      </c>
      <c r="U27" s="20">
        <f>Assumptions!$C$8*Assumptions!$C$5*(E27+F27)</f>
        <v>85.059466</v>
      </c>
      <c r="V27" s="20">
        <f>MAX(0,Assumptions!$C$8*Assumptions!$C$5*N27-Assumptions!$C$10*T27)</f>
        <v>64.044929336231178</v>
      </c>
      <c r="W27" s="20">
        <f t="shared" si="7"/>
        <v>68047.572799999994</v>
      </c>
      <c r="X27" s="20">
        <f t="shared" si="8"/>
        <v>51235.943468984944</v>
      </c>
      <c r="Y27" s="20">
        <f>C27*Assumptions!$C$5*(E27+F27)</f>
        <v>68047.572800000009</v>
      </c>
      <c r="Z27" s="20">
        <f>C27*MAX(0,Assumptions!$C$5*N27-T27)</f>
        <v>51235.943468984944</v>
      </c>
      <c r="AA27" s="20">
        <f>C27*Assumptions!$C$7*Assumptions!$C$5*(E27+F27)</f>
        <v>33003.072808000004</v>
      </c>
      <c r="AB27" s="20">
        <f>C27*MAX(0,Assumptions!$C$7*Assumptions!$C$5*N27-IF(Assumptions!$C$9="Yes",Assumptions!$C$7,1)*T27)</f>
        <v>18252.804860825887</v>
      </c>
      <c r="AC27" s="20">
        <f t="shared" si="9"/>
        <v>680.475728</v>
      </c>
      <c r="AD27" s="20">
        <f t="shared" si="10"/>
        <v>640.44929336231178</v>
      </c>
    </row>
    <row r="28" spans="1:30" x14ac:dyDescent="0.45">
      <c r="A28" t="s">
        <v>8</v>
      </c>
      <c r="B28" t="s">
        <v>135</v>
      </c>
      <c r="C28" s="18">
        <v>120</v>
      </c>
      <c r="D28" s="18">
        <v>1950.185792950042</v>
      </c>
      <c r="E28" s="19">
        <v>1.97472</v>
      </c>
      <c r="F28" s="19">
        <v>0</v>
      </c>
      <c r="G28" s="19">
        <v>0</v>
      </c>
      <c r="H28" s="19">
        <v>0</v>
      </c>
      <c r="I28" s="20">
        <f>INDEX(Scenarios!$B$4:$B$9,MATCH($A28,Scenarios!$A$4:$A$9,0))</f>
        <v>20</v>
      </c>
      <c r="J28" s="20">
        <f>INDEX(Scenarios!$C$4:$C$9,MATCH($A28,Scenarios!$A$4:$A$9,0))</f>
        <v>20</v>
      </c>
      <c r="K28" s="20">
        <f>INDEX(Scenarios!$D$4:$D$9,MATCH($A28,Scenarios!$A$4:$A$9,0))</f>
        <v>0</v>
      </c>
      <c r="L28" s="21">
        <f>INDEX(Scenarios!$E$4:$E$9,MATCH($A28,Scenarios!$A$4:$A$9,0))</f>
        <v>-4.8686824360529728E-2</v>
      </c>
      <c r="M28" s="21">
        <f t="shared" si="0"/>
        <v>1.8785771541987748</v>
      </c>
      <c r="N28" s="21">
        <f t="shared" si="1"/>
        <v>1.8785771541987748</v>
      </c>
      <c r="O28" s="20">
        <f t="shared" si="2"/>
        <v>37.571543083975499</v>
      </c>
      <c r="P28" s="20">
        <f t="shared" si="3"/>
        <v>0</v>
      </c>
      <c r="Q28" s="20">
        <f t="shared" si="4"/>
        <v>73.271489541579427</v>
      </c>
      <c r="R28" s="21">
        <f t="shared" si="13"/>
        <v>6.6359239452575852E-2</v>
      </c>
      <c r="S28" s="20">
        <f>IF(Assumptions!$C$11="Yes",INDEX(Scenarios!$F$4:$F$9,MATCH($A28,Scenarios!$A$4:$A$9,0))*1000*R28/D28*1000,0)</f>
        <v>0</v>
      </c>
      <c r="T28" s="20">
        <f t="shared" si="6"/>
        <v>37.571543083975499</v>
      </c>
      <c r="U28" s="20">
        <f>Assumptions!$C$8*Assumptions!$C$5*(E28+F28)</f>
        <v>197.47200000000001</v>
      </c>
      <c r="V28" s="20">
        <f>MAX(0,Assumptions!$C$8*Assumptions!$C$5*N28-Assumptions!$C$10*T28)</f>
        <v>150.28617233590199</v>
      </c>
      <c r="W28" s="20">
        <f t="shared" si="7"/>
        <v>23696.639999999999</v>
      </c>
      <c r="X28" s="20">
        <f t="shared" si="8"/>
        <v>18034.34068030824</v>
      </c>
      <c r="Y28" s="20">
        <f>C28*Assumptions!$C$5*(E28+F28)</f>
        <v>23696.639999999999</v>
      </c>
      <c r="Z28" s="20">
        <f>C28*MAX(0,Assumptions!$C$5*N28-T28)</f>
        <v>18034.34068030824</v>
      </c>
      <c r="AA28" s="20">
        <f>C28*Assumptions!$C$7*Assumptions!$C$5*(E28+F28)</f>
        <v>11492.8704</v>
      </c>
      <c r="AB28" s="20">
        <f>C28*MAX(0,Assumptions!$C$7*Assumptions!$C$5*N28-IF(Assumptions!$C$9="Yes",Assumptions!$C$7,1)*T28)</f>
        <v>6424.7338673598106</v>
      </c>
      <c r="AC28" s="20">
        <f t="shared" si="9"/>
        <v>236.96639999999999</v>
      </c>
      <c r="AD28" s="20">
        <f t="shared" si="10"/>
        <v>225.42925850385296</v>
      </c>
    </row>
    <row r="29" spans="1:30" x14ac:dyDescent="0.45">
      <c r="A29" t="s">
        <v>8</v>
      </c>
      <c r="B29" t="s">
        <v>136</v>
      </c>
      <c r="C29" s="18">
        <v>1600</v>
      </c>
      <c r="D29" s="18">
        <v>3181.1552600878722</v>
      </c>
      <c r="E29" s="19">
        <v>0.11219999999999999</v>
      </c>
      <c r="F29" s="19">
        <v>0</v>
      </c>
      <c r="G29" s="19">
        <v>0</v>
      </c>
      <c r="H29" s="19">
        <v>0</v>
      </c>
      <c r="I29" s="20">
        <f>INDEX(Scenarios!$B$4:$B$9,MATCH($A29,Scenarios!$A$4:$A$9,0))</f>
        <v>20</v>
      </c>
      <c r="J29" s="20">
        <f>INDEX(Scenarios!$C$4:$C$9,MATCH($A29,Scenarios!$A$4:$A$9,0))</f>
        <v>20</v>
      </c>
      <c r="K29" s="20">
        <f>INDEX(Scenarios!$D$4:$D$9,MATCH($A29,Scenarios!$A$4:$A$9,0))</f>
        <v>0</v>
      </c>
      <c r="L29" s="21">
        <f>INDEX(Scenarios!$E$4:$E$9,MATCH($A29,Scenarios!$A$4:$A$9,0))</f>
        <v>-4.8686824360529728E-2</v>
      </c>
      <c r="M29" s="21">
        <f t="shared" si="0"/>
        <v>0.10673733830674856</v>
      </c>
      <c r="N29" s="21">
        <f t="shared" si="1"/>
        <v>0.10673733830674856</v>
      </c>
      <c r="O29" s="20">
        <f t="shared" si="2"/>
        <v>2.1347467661349713</v>
      </c>
      <c r="P29" s="20">
        <f t="shared" si="3"/>
        <v>0</v>
      </c>
      <c r="Q29" s="20">
        <f t="shared" si="4"/>
        <v>6.7909609040458392</v>
      </c>
      <c r="R29" s="21">
        <f t="shared" si="13"/>
        <v>6.1503185422337042E-3</v>
      </c>
      <c r="S29" s="20">
        <f>IF(Assumptions!$C$11="Yes",INDEX(Scenarios!$F$4:$F$9,MATCH($A29,Scenarios!$A$4:$A$9,0))*1000*R29/D29*1000,0)</f>
        <v>0</v>
      </c>
      <c r="T29" s="20">
        <f t="shared" si="6"/>
        <v>2.1347467661349713</v>
      </c>
      <c r="U29" s="20">
        <f>Assumptions!$C$8*Assumptions!$C$5*(E29+F29)</f>
        <v>11.219999999999999</v>
      </c>
      <c r="V29" s="20">
        <f>MAX(0,Assumptions!$C$8*Assumptions!$C$5*N29-Assumptions!$C$10*T29)</f>
        <v>8.5389870645398851</v>
      </c>
      <c r="W29" s="20">
        <f t="shared" si="7"/>
        <v>17952</v>
      </c>
      <c r="X29" s="20">
        <f t="shared" si="8"/>
        <v>13662.379303263817</v>
      </c>
      <c r="Y29" s="20">
        <f>C29*Assumptions!$C$5*(E29+F29)</f>
        <v>17952</v>
      </c>
      <c r="Z29" s="20">
        <f>C29*MAX(0,Assumptions!$C$5*N29-T29)</f>
        <v>13662.379303263817</v>
      </c>
      <c r="AA29" s="20">
        <f>C29*Assumptions!$C$7*Assumptions!$C$5*(E29+F29)</f>
        <v>8706.7199999999993</v>
      </c>
      <c r="AB29" s="20">
        <f>C29*MAX(0,Assumptions!$C$7*Assumptions!$C$5*N29-IF(Assumptions!$C$9="Yes",Assumptions!$C$7,1)*T29)</f>
        <v>4867.2226267877331</v>
      </c>
      <c r="AC29" s="20">
        <f t="shared" si="9"/>
        <v>179.51999999999998</v>
      </c>
      <c r="AD29" s="20">
        <f t="shared" si="10"/>
        <v>170.77974129079769</v>
      </c>
    </row>
    <row r="30" spans="1:30" x14ac:dyDescent="0.45">
      <c r="A30" t="s">
        <v>8</v>
      </c>
      <c r="B30" t="s">
        <v>137</v>
      </c>
      <c r="C30" s="18">
        <v>80</v>
      </c>
      <c r="D30" s="18">
        <v>661.20268364732067</v>
      </c>
      <c r="E30" s="19">
        <v>0.11219999999999999</v>
      </c>
      <c r="F30" s="19">
        <v>0.99441250000000003</v>
      </c>
      <c r="G30" s="19">
        <v>0</v>
      </c>
      <c r="H30" s="19">
        <v>0.84931932761439333</v>
      </c>
      <c r="I30" s="20">
        <f>INDEX(Scenarios!$B$4:$B$9,MATCH($A30,Scenarios!$A$4:$A$9,0))</f>
        <v>20</v>
      </c>
      <c r="J30" s="20">
        <f>INDEX(Scenarios!$C$4:$C$9,MATCH($A30,Scenarios!$A$4:$A$9,0))</f>
        <v>20</v>
      </c>
      <c r="K30" s="20">
        <f>INDEX(Scenarios!$D$4:$D$9,MATCH($A30,Scenarios!$A$4:$A$9,0))</f>
        <v>0</v>
      </c>
      <c r="L30" s="21">
        <f>INDEX(Scenarios!$E$4:$E$9,MATCH($A30,Scenarios!$A$4:$A$9,0))</f>
        <v>-4.8686824360529728E-2</v>
      </c>
      <c r="M30" s="21">
        <f t="shared" si="0"/>
        <v>0.10673733830674856</v>
      </c>
      <c r="N30" s="21">
        <f t="shared" si="1"/>
        <v>0.95605666592114191</v>
      </c>
      <c r="O30" s="20">
        <f t="shared" si="2"/>
        <v>19.121133318422839</v>
      </c>
      <c r="P30" s="20">
        <f t="shared" si="3"/>
        <v>0</v>
      </c>
      <c r="Q30" s="20">
        <f t="shared" si="4"/>
        <v>12.642944664519378</v>
      </c>
      <c r="R30" s="21">
        <f t="shared" si="13"/>
        <v>1.1450240709279061E-2</v>
      </c>
      <c r="S30" s="20">
        <f>IF(Assumptions!$C$11="Yes",INDEX(Scenarios!$F$4:$F$9,MATCH($A30,Scenarios!$A$4:$A$9,0))*1000*R30/D30*1000,0)</f>
        <v>0</v>
      </c>
      <c r="T30" s="20">
        <f t="shared" si="6"/>
        <v>19.121133318422839</v>
      </c>
      <c r="U30" s="20">
        <f>Assumptions!$C$8*Assumptions!$C$5*(E30+F30)</f>
        <v>110.66125</v>
      </c>
      <c r="V30" s="20">
        <f>MAX(0,Assumptions!$C$8*Assumptions!$C$5*N30-Assumptions!$C$10*T30)</f>
        <v>76.484533273691355</v>
      </c>
      <c r="W30" s="20">
        <f t="shared" si="7"/>
        <v>8852.9</v>
      </c>
      <c r="X30" s="20">
        <f t="shared" si="8"/>
        <v>6118.7626618953082</v>
      </c>
      <c r="Y30" s="20">
        <f>C30*Assumptions!$C$5*(E30+F30)</f>
        <v>8852.9</v>
      </c>
      <c r="Z30" s="20">
        <f>C30*MAX(0,Assumptions!$C$5*N30-T30)</f>
        <v>6118.7626618953082</v>
      </c>
      <c r="AA30" s="20">
        <f>C30*Assumptions!$C$7*Assumptions!$C$5*(E30+F30)</f>
        <v>4293.6564999999991</v>
      </c>
      <c r="AB30" s="20">
        <f>C30*MAX(0,Assumptions!$C$7*Assumptions!$C$5*N30-IF(Assumptions!$C$9="Yes",Assumptions!$C$7,1)*T30)</f>
        <v>2179.8091983002032</v>
      </c>
      <c r="AC30" s="20">
        <f t="shared" si="9"/>
        <v>88.528999999999996</v>
      </c>
      <c r="AD30" s="20">
        <f t="shared" si="10"/>
        <v>76.484533273691355</v>
      </c>
    </row>
    <row r="31" spans="1:30" x14ac:dyDescent="0.45">
      <c r="A31" t="s">
        <v>8</v>
      </c>
      <c r="B31" t="s">
        <v>138</v>
      </c>
      <c r="C31" s="18">
        <v>167</v>
      </c>
      <c r="D31" s="18">
        <v>409.37519411418629</v>
      </c>
      <c r="E31" s="19">
        <v>0.12342</v>
      </c>
      <c r="F31" s="19">
        <v>2.3974930400000001</v>
      </c>
      <c r="G31" s="19">
        <v>0</v>
      </c>
      <c r="H31" s="19">
        <v>2.303540147388305</v>
      </c>
      <c r="I31" s="20">
        <f>INDEX(Scenarios!$B$4:$B$9,MATCH($A31,Scenarios!$A$4:$A$9,0))</f>
        <v>20</v>
      </c>
      <c r="J31" s="20">
        <f>INDEX(Scenarios!$C$4:$C$9,MATCH($A31,Scenarios!$A$4:$A$9,0))</f>
        <v>20</v>
      </c>
      <c r="K31" s="20">
        <f>INDEX(Scenarios!$D$4:$D$9,MATCH($A31,Scenarios!$A$4:$A$9,0))</f>
        <v>0</v>
      </c>
      <c r="L31" s="21">
        <f>INDEX(Scenarios!$E$4:$E$9,MATCH($A31,Scenarios!$A$4:$A$9,0))</f>
        <v>-4.8686824360529728E-2</v>
      </c>
      <c r="M31" s="21">
        <f t="shared" si="0"/>
        <v>0.11741107213742343</v>
      </c>
      <c r="N31" s="21">
        <f t="shared" si="1"/>
        <v>2.4209512195257283</v>
      </c>
      <c r="O31" s="20">
        <f t="shared" si="2"/>
        <v>48.419024390514565</v>
      </c>
      <c r="P31" s="20">
        <f t="shared" si="3"/>
        <v>0</v>
      </c>
      <c r="Q31" s="20">
        <f t="shared" si="4"/>
        <v>19.821547508686422</v>
      </c>
      <c r="R31" s="21">
        <f t="shared" si="13"/>
        <v>1.7951632015111581E-2</v>
      </c>
      <c r="S31" s="20">
        <f>IF(Assumptions!$C$11="Yes",INDEX(Scenarios!$F$4:$F$9,MATCH($A31,Scenarios!$A$4:$A$9,0))*1000*R31/D31*1000,0)</f>
        <v>0</v>
      </c>
      <c r="T31" s="20">
        <f t="shared" si="6"/>
        <v>48.419024390514565</v>
      </c>
      <c r="U31" s="20">
        <f>Assumptions!$C$8*Assumptions!$C$5*(E31+F31)</f>
        <v>252.09130399999998</v>
      </c>
      <c r="V31" s="20">
        <f>MAX(0,Assumptions!$C$8*Assumptions!$C$5*N31-Assumptions!$C$10*T31)</f>
        <v>193.67609756205826</v>
      </c>
      <c r="W31" s="20">
        <f t="shared" si="7"/>
        <v>42099.247767999994</v>
      </c>
      <c r="X31" s="20">
        <f t="shared" si="8"/>
        <v>32343.908292863729</v>
      </c>
      <c r="Y31" s="20">
        <f>C31*Assumptions!$C$5*(E31+F31)</f>
        <v>42099.247768000001</v>
      </c>
      <c r="Z31" s="20">
        <f>C31*MAX(0,Assumptions!$C$5*N31-T31)</f>
        <v>32343.908292863729</v>
      </c>
      <c r="AA31" s="20">
        <f>C31*Assumptions!$C$7*Assumptions!$C$5*(E31+F31)</f>
        <v>20418.135167479999</v>
      </c>
      <c r="AB31" s="20">
        <f>C31*MAX(0,Assumptions!$C$7*Assumptions!$C$5*N31-IF(Assumptions!$C$9="Yes",Assumptions!$C$7,1)*T31)</f>
        <v>11522.517329332704</v>
      </c>
      <c r="AC31" s="20">
        <f t="shared" si="9"/>
        <v>420.99247767999998</v>
      </c>
      <c r="AD31" s="20">
        <f t="shared" si="10"/>
        <v>404.29885366079662</v>
      </c>
    </row>
    <row r="32" spans="1:30" x14ac:dyDescent="0.45">
      <c r="A32" t="s">
        <v>9</v>
      </c>
      <c r="B32" t="s">
        <v>132</v>
      </c>
      <c r="C32" s="18">
        <v>580</v>
      </c>
      <c r="D32" s="18">
        <v>6603.4845807876563</v>
      </c>
      <c r="E32" s="19">
        <v>0.57099076999999998</v>
      </c>
      <c r="F32" s="19">
        <v>3.7901020000000001E-2</v>
      </c>
      <c r="G32" s="19">
        <v>0</v>
      </c>
      <c r="H32" s="19">
        <v>3.5376190552514883E-2</v>
      </c>
      <c r="I32" s="20">
        <f>INDEX(Scenarios!$B$4:$B$9,MATCH($A32,Scenarios!$A$4:$A$9,0))</f>
        <v>20</v>
      </c>
      <c r="J32" s="20">
        <f>INDEX(Scenarios!$C$4:$C$9,MATCH($A32,Scenarios!$A$4:$A$9,0))</f>
        <v>20</v>
      </c>
      <c r="K32" s="20">
        <f>INDEX(Scenarios!$D$4:$D$9,MATCH($A32,Scenarios!$A$4:$A$9,0))</f>
        <v>20</v>
      </c>
      <c r="L32" s="21">
        <f>INDEX(Scenarios!$E$4:$E$9,MATCH($A32,Scenarios!$A$4:$A$9,0))</f>
        <v>-4.8686824360529728E-2</v>
      </c>
      <c r="M32" s="21">
        <f t="shared" si="0"/>
        <v>0.54319104266952634</v>
      </c>
      <c r="N32" s="21">
        <f t="shared" si="1"/>
        <v>0.57856723322204118</v>
      </c>
      <c r="O32" s="20">
        <f t="shared" si="2"/>
        <v>11.571344664440824</v>
      </c>
      <c r="P32" s="20">
        <f t="shared" si="3"/>
        <v>12.177835799999999</v>
      </c>
      <c r="Q32" s="20">
        <f t="shared" si="4"/>
        <v>0</v>
      </c>
      <c r="R32" s="21">
        <f t="shared" ref="R32:R38" si="14">IF(SUM($Q$32:$Q$38)=0,0,Q32/SUM($Q$32:$Q$38))</f>
        <v>0</v>
      </c>
      <c r="S32" s="20">
        <f>IF(Assumptions!$C$11="Yes",INDEX(Scenarios!$F$4:$F$9,MATCH($A32,Scenarios!$A$4:$A$9,0))*1000*R32/D32*1000,0)</f>
        <v>0</v>
      </c>
      <c r="T32" s="20">
        <f t="shared" si="6"/>
        <v>0</v>
      </c>
      <c r="U32" s="20">
        <f>Assumptions!$C$8*Assumptions!$C$5*(E32+F32)</f>
        <v>60.889178999999992</v>
      </c>
      <c r="V32" s="20">
        <f>MAX(0,Assumptions!$C$8*Assumptions!$C$5*N32-Assumptions!$C$10*T32)</f>
        <v>57.856723322204118</v>
      </c>
      <c r="W32" s="20">
        <f t="shared" si="7"/>
        <v>35315.723819999992</v>
      </c>
      <c r="X32" s="20">
        <f t="shared" si="8"/>
        <v>33556.899526878391</v>
      </c>
      <c r="Y32" s="20">
        <f>C32*Assumptions!$C$5*(E32+F32)</f>
        <v>35315.723819999999</v>
      </c>
      <c r="Z32" s="20">
        <f>C32*MAX(0,Assumptions!$C$5*N32-T32)</f>
        <v>33556.899526878391</v>
      </c>
      <c r="AA32" s="20">
        <f>C32*Assumptions!$C$7*Assumptions!$C$5*(E32+F32)</f>
        <v>17128.126052699998</v>
      </c>
      <c r="AB32" s="20">
        <f>C32*MAX(0,Assumptions!$C$7*Assumptions!$C$5*N32-IF(Assumptions!$C$9="Yes",Assumptions!$C$7,1)*T32)</f>
        <v>16275.096270536018</v>
      </c>
      <c r="AC32" s="20">
        <f t="shared" si="9"/>
        <v>353.15723819999994</v>
      </c>
      <c r="AD32" s="20">
        <f t="shared" si="10"/>
        <v>335.56899526878391</v>
      </c>
    </row>
    <row r="33" spans="1:30" x14ac:dyDescent="0.45">
      <c r="A33" t="s">
        <v>9</v>
      </c>
      <c r="B33" t="s">
        <v>133</v>
      </c>
      <c r="C33" s="18">
        <v>300</v>
      </c>
      <c r="D33" s="18">
        <v>6215.0443113295587</v>
      </c>
      <c r="E33" s="19">
        <v>4.4880000000000003E-2</v>
      </c>
      <c r="F33" s="19">
        <v>4.3981149999999997E-2</v>
      </c>
      <c r="G33" s="19">
        <v>0</v>
      </c>
      <c r="H33" s="19">
        <v>4.2564822542198323E-2</v>
      </c>
      <c r="I33" s="20">
        <f>INDEX(Scenarios!$B$4:$B$9,MATCH($A33,Scenarios!$A$4:$A$9,0))</f>
        <v>20</v>
      </c>
      <c r="J33" s="20">
        <f>INDEX(Scenarios!$C$4:$C$9,MATCH($A33,Scenarios!$A$4:$A$9,0))</f>
        <v>20</v>
      </c>
      <c r="K33" s="20">
        <f>INDEX(Scenarios!$D$4:$D$9,MATCH($A33,Scenarios!$A$4:$A$9,0))</f>
        <v>20</v>
      </c>
      <c r="L33" s="21">
        <f>INDEX(Scenarios!$E$4:$E$9,MATCH($A33,Scenarios!$A$4:$A$9,0))</f>
        <v>-4.8686824360529728E-2</v>
      </c>
      <c r="M33" s="21">
        <f t="shared" si="0"/>
        <v>4.2694935322699426E-2</v>
      </c>
      <c r="N33" s="21">
        <f t="shared" si="1"/>
        <v>8.5259757864897756E-2</v>
      </c>
      <c r="O33" s="20">
        <f t="shared" si="2"/>
        <v>1.7051951572979549</v>
      </c>
      <c r="P33" s="20">
        <f t="shared" si="3"/>
        <v>1.777223</v>
      </c>
      <c r="Q33" s="20">
        <f t="shared" si="4"/>
        <v>0</v>
      </c>
      <c r="R33" s="21">
        <f t="shared" si="14"/>
        <v>0</v>
      </c>
      <c r="S33" s="20">
        <f>IF(Assumptions!$C$11="Yes",INDEX(Scenarios!$F$4:$F$9,MATCH($A33,Scenarios!$A$4:$A$9,0))*1000*R33/D33*1000,0)</f>
        <v>0</v>
      </c>
      <c r="T33" s="20">
        <f t="shared" si="6"/>
        <v>0</v>
      </c>
      <c r="U33" s="20">
        <f>Assumptions!$C$8*Assumptions!$C$5*(E33+F33)</f>
        <v>8.8861150000000002</v>
      </c>
      <c r="V33" s="20">
        <f>MAX(0,Assumptions!$C$8*Assumptions!$C$5*N33-Assumptions!$C$10*T33)</f>
        <v>8.5259757864897754</v>
      </c>
      <c r="W33" s="20">
        <f t="shared" si="7"/>
        <v>2665.8344999999999</v>
      </c>
      <c r="X33" s="20">
        <f t="shared" si="8"/>
        <v>2557.7927359469327</v>
      </c>
      <c r="Y33" s="20">
        <f>C33*Assumptions!$C$5*(E33+F33)</f>
        <v>2665.8344999999999</v>
      </c>
      <c r="Z33" s="20">
        <f>C33*MAX(0,Assumptions!$C$5*N33-T33)</f>
        <v>2557.7927359469327</v>
      </c>
      <c r="AA33" s="20">
        <f>C33*Assumptions!$C$7*Assumptions!$C$5*(E33+F33)</f>
        <v>1292.9297325</v>
      </c>
      <c r="AB33" s="20">
        <f>C33*MAX(0,Assumptions!$C$7*Assumptions!$C$5*N33-IF(Assumptions!$C$9="Yes",Assumptions!$C$7,1)*T33)</f>
        <v>1240.5294769342624</v>
      </c>
      <c r="AC33" s="20">
        <f t="shared" si="9"/>
        <v>26.658345000000001</v>
      </c>
      <c r="AD33" s="20">
        <f t="shared" si="10"/>
        <v>25.577927359469328</v>
      </c>
    </row>
    <row r="34" spans="1:30" x14ac:dyDescent="0.45">
      <c r="A34" t="s">
        <v>9</v>
      </c>
      <c r="B34" t="s">
        <v>134</v>
      </c>
      <c r="C34" s="18">
        <v>800</v>
      </c>
      <c r="D34" s="18">
        <v>60753.588245941261</v>
      </c>
      <c r="E34" s="19">
        <v>0.31356850000000003</v>
      </c>
      <c r="F34" s="19">
        <v>0.53702616000000003</v>
      </c>
      <c r="G34" s="19">
        <v>0</v>
      </c>
      <c r="H34" s="19">
        <v>0.50225977118738452</v>
      </c>
      <c r="I34" s="20">
        <f>INDEX(Scenarios!$B$4:$B$9,MATCH($A34,Scenarios!$A$4:$A$9,0))</f>
        <v>20</v>
      </c>
      <c r="J34" s="20">
        <f>INDEX(Scenarios!$C$4:$C$9,MATCH($A34,Scenarios!$A$4:$A$9,0))</f>
        <v>20</v>
      </c>
      <c r="K34" s="20">
        <f>INDEX(Scenarios!$D$4:$D$9,MATCH($A34,Scenarios!$A$4:$A$9,0))</f>
        <v>20</v>
      </c>
      <c r="L34" s="21">
        <f>INDEX(Scenarios!$E$4:$E$9,MATCH($A34,Scenarios!$A$4:$A$9,0))</f>
        <v>-4.8686824360529728E-2</v>
      </c>
      <c r="M34" s="21">
        <f t="shared" si="0"/>
        <v>0.29830184551550526</v>
      </c>
      <c r="N34" s="21">
        <f t="shared" si="1"/>
        <v>0.80056161670288972</v>
      </c>
      <c r="O34" s="20">
        <f t="shared" si="2"/>
        <v>16.011232334057794</v>
      </c>
      <c r="P34" s="20">
        <f t="shared" si="3"/>
        <v>17.011893200000003</v>
      </c>
      <c r="Q34" s="20">
        <f t="shared" si="4"/>
        <v>0</v>
      </c>
      <c r="R34" s="21">
        <f t="shared" si="14"/>
        <v>0</v>
      </c>
      <c r="S34" s="20">
        <f>IF(Assumptions!$C$11="Yes",INDEX(Scenarios!$F$4:$F$9,MATCH($A34,Scenarios!$A$4:$A$9,0))*1000*R34/D34*1000,0)</f>
        <v>0</v>
      </c>
      <c r="T34" s="20">
        <f t="shared" si="6"/>
        <v>0</v>
      </c>
      <c r="U34" s="20">
        <f>Assumptions!$C$8*Assumptions!$C$5*(E34+F34)</f>
        <v>85.059466</v>
      </c>
      <c r="V34" s="20">
        <f>MAX(0,Assumptions!$C$8*Assumptions!$C$5*N34-Assumptions!$C$10*T34)</f>
        <v>80.056161670288972</v>
      </c>
      <c r="W34" s="20">
        <f t="shared" si="7"/>
        <v>68047.572799999994</v>
      </c>
      <c r="X34" s="20">
        <f t="shared" si="8"/>
        <v>64044.92933623118</v>
      </c>
      <c r="Y34" s="20">
        <f>C34*Assumptions!$C$5*(E34+F34)</f>
        <v>68047.572800000009</v>
      </c>
      <c r="Z34" s="20">
        <f>C34*MAX(0,Assumptions!$C$5*N34-T34)</f>
        <v>64044.92933623118</v>
      </c>
      <c r="AA34" s="20">
        <f>C34*Assumptions!$C$7*Assumptions!$C$5*(E34+F34)</f>
        <v>33003.072808000004</v>
      </c>
      <c r="AB34" s="20">
        <f>C34*MAX(0,Assumptions!$C$7*Assumptions!$C$5*N34-IF(Assumptions!$C$9="Yes",Assumptions!$C$7,1)*T34)</f>
        <v>31061.790728072123</v>
      </c>
      <c r="AC34" s="20">
        <f t="shared" si="9"/>
        <v>680.475728</v>
      </c>
      <c r="AD34" s="20">
        <f t="shared" si="10"/>
        <v>640.44929336231178</v>
      </c>
    </row>
    <row r="35" spans="1:30" x14ac:dyDescent="0.45">
      <c r="A35" t="s">
        <v>9</v>
      </c>
      <c r="B35" t="s">
        <v>135</v>
      </c>
      <c r="C35" s="18">
        <v>120</v>
      </c>
      <c r="D35" s="18">
        <v>2033.965561202182</v>
      </c>
      <c r="E35" s="19">
        <v>1.97472</v>
      </c>
      <c r="F35" s="19">
        <v>0</v>
      </c>
      <c r="G35" s="19">
        <v>0</v>
      </c>
      <c r="H35" s="19">
        <v>0</v>
      </c>
      <c r="I35" s="20">
        <f>INDEX(Scenarios!$B$4:$B$9,MATCH($A35,Scenarios!$A$4:$A$9,0))</f>
        <v>20</v>
      </c>
      <c r="J35" s="20">
        <f>INDEX(Scenarios!$C$4:$C$9,MATCH($A35,Scenarios!$A$4:$A$9,0))</f>
        <v>20</v>
      </c>
      <c r="K35" s="20">
        <f>INDEX(Scenarios!$D$4:$D$9,MATCH($A35,Scenarios!$A$4:$A$9,0))</f>
        <v>20</v>
      </c>
      <c r="L35" s="21">
        <f>INDEX(Scenarios!$E$4:$E$9,MATCH($A35,Scenarios!$A$4:$A$9,0))</f>
        <v>-4.8686824360529728E-2</v>
      </c>
      <c r="M35" s="21">
        <f t="shared" si="0"/>
        <v>1.8785771541987748</v>
      </c>
      <c r="N35" s="21">
        <f t="shared" si="1"/>
        <v>1.8785771541987748</v>
      </c>
      <c r="O35" s="20">
        <f t="shared" si="2"/>
        <v>37.571543083975499</v>
      </c>
      <c r="P35" s="20">
        <f t="shared" si="3"/>
        <v>39.494399999999999</v>
      </c>
      <c r="Q35" s="20">
        <f t="shared" si="4"/>
        <v>0</v>
      </c>
      <c r="R35" s="21">
        <f t="shared" si="14"/>
        <v>0</v>
      </c>
      <c r="S35" s="20">
        <f>IF(Assumptions!$C$11="Yes",INDEX(Scenarios!$F$4:$F$9,MATCH($A35,Scenarios!$A$4:$A$9,0))*1000*R35/D35*1000,0)</f>
        <v>0</v>
      </c>
      <c r="T35" s="20">
        <f t="shared" si="6"/>
        <v>0</v>
      </c>
      <c r="U35" s="20">
        <f>Assumptions!$C$8*Assumptions!$C$5*(E35+F35)</f>
        <v>197.47200000000001</v>
      </c>
      <c r="V35" s="20">
        <f>MAX(0,Assumptions!$C$8*Assumptions!$C$5*N35-Assumptions!$C$10*T35)</f>
        <v>187.85771541987748</v>
      </c>
      <c r="W35" s="20">
        <f t="shared" si="7"/>
        <v>23696.639999999999</v>
      </c>
      <c r="X35" s="20">
        <f t="shared" si="8"/>
        <v>22542.925850385298</v>
      </c>
      <c r="Y35" s="20">
        <f>C35*Assumptions!$C$5*(E35+F35)</f>
        <v>23696.639999999999</v>
      </c>
      <c r="Z35" s="20">
        <f>C35*MAX(0,Assumptions!$C$5*N35-T35)</f>
        <v>22542.925850385298</v>
      </c>
      <c r="AA35" s="20">
        <f>C35*Assumptions!$C$7*Assumptions!$C$5*(E35+F35)</f>
        <v>11492.8704</v>
      </c>
      <c r="AB35" s="20">
        <f>C35*MAX(0,Assumptions!$C$7*Assumptions!$C$5*N35-IF(Assumptions!$C$9="Yes",Assumptions!$C$7,1)*T35)</f>
        <v>10933.31903743687</v>
      </c>
      <c r="AC35" s="20">
        <f t="shared" si="9"/>
        <v>236.96639999999999</v>
      </c>
      <c r="AD35" s="20">
        <f t="shared" si="10"/>
        <v>225.42925850385296</v>
      </c>
    </row>
    <row r="36" spans="1:30" x14ac:dyDescent="0.45">
      <c r="A36" t="s">
        <v>9</v>
      </c>
      <c r="B36" t="s">
        <v>136</v>
      </c>
      <c r="C36" s="18">
        <v>1600</v>
      </c>
      <c r="D36" s="18">
        <v>3190.534213650481</v>
      </c>
      <c r="E36" s="19">
        <v>0.11219999999999999</v>
      </c>
      <c r="F36" s="19">
        <v>0</v>
      </c>
      <c r="G36" s="19">
        <v>0</v>
      </c>
      <c r="H36" s="19">
        <v>0</v>
      </c>
      <c r="I36" s="20">
        <f>INDEX(Scenarios!$B$4:$B$9,MATCH($A36,Scenarios!$A$4:$A$9,0))</f>
        <v>20</v>
      </c>
      <c r="J36" s="20">
        <f>INDEX(Scenarios!$C$4:$C$9,MATCH($A36,Scenarios!$A$4:$A$9,0))</f>
        <v>20</v>
      </c>
      <c r="K36" s="20">
        <f>INDEX(Scenarios!$D$4:$D$9,MATCH($A36,Scenarios!$A$4:$A$9,0))</f>
        <v>20</v>
      </c>
      <c r="L36" s="21">
        <f>INDEX(Scenarios!$E$4:$E$9,MATCH($A36,Scenarios!$A$4:$A$9,0))</f>
        <v>-4.8686824360529728E-2</v>
      </c>
      <c r="M36" s="21">
        <f t="shared" si="0"/>
        <v>0.10673733830674856</v>
      </c>
      <c r="N36" s="21">
        <f t="shared" si="1"/>
        <v>0.10673733830674856</v>
      </c>
      <c r="O36" s="20">
        <f t="shared" si="2"/>
        <v>2.1347467661349713</v>
      </c>
      <c r="P36" s="20">
        <f t="shared" si="3"/>
        <v>2.2439999999999998</v>
      </c>
      <c r="Q36" s="20">
        <f t="shared" si="4"/>
        <v>0</v>
      </c>
      <c r="R36" s="21">
        <f t="shared" si="14"/>
        <v>0</v>
      </c>
      <c r="S36" s="20">
        <f>IF(Assumptions!$C$11="Yes",INDEX(Scenarios!$F$4:$F$9,MATCH($A36,Scenarios!$A$4:$A$9,0))*1000*R36/D36*1000,0)</f>
        <v>0</v>
      </c>
      <c r="T36" s="20">
        <f t="shared" si="6"/>
        <v>0</v>
      </c>
      <c r="U36" s="20">
        <f>Assumptions!$C$8*Assumptions!$C$5*(E36+F36)</f>
        <v>11.219999999999999</v>
      </c>
      <c r="V36" s="20">
        <f>MAX(0,Assumptions!$C$8*Assumptions!$C$5*N36-Assumptions!$C$10*T36)</f>
        <v>10.673733830674855</v>
      </c>
      <c r="W36" s="20">
        <f t="shared" si="7"/>
        <v>17952</v>
      </c>
      <c r="X36" s="20">
        <f t="shared" si="8"/>
        <v>17077.974129079768</v>
      </c>
      <c r="Y36" s="20">
        <f>C36*Assumptions!$C$5*(E36+F36)</f>
        <v>17952</v>
      </c>
      <c r="Z36" s="20">
        <f>C36*MAX(0,Assumptions!$C$5*N36-T36)</f>
        <v>17077.974129079768</v>
      </c>
      <c r="AA36" s="20">
        <f>C36*Assumptions!$C$7*Assumptions!$C$5*(E36+F36)</f>
        <v>8706.7199999999993</v>
      </c>
      <c r="AB36" s="20">
        <f>C36*MAX(0,Assumptions!$C$7*Assumptions!$C$5*N36-IF(Assumptions!$C$9="Yes",Assumptions!$C$7,1)*T36)</f>
        <v>8282.8174526036873</v>
      </c>
      <c r="AC36" s="20">
        <f t="shared" si="9"/>
        <v>179.51999999999998</v>
      </c>
      <c r="AD36" s="20">
        <f t="shared" si="10"/>
        <v>170.77974129079769</v>
      </c>
    </row>
    <row r="37" spans="1:30" x14ac:dyDescent="0.45">
      <c r="A37" t="s">
        <v>9</v>
      </c>
      <c r="B37" t="s">
        <v>137</v>
      </c>
      <c r="C37" s="18">
        <v>80</v>
      </c>
      <c r="D37" s="18">
        <v>683.68590292510305</v>
      </c>
      <c r="E37" s="19">
        <v>0.11219999999999999</v>
      </c>
      <c r="F37" s="19">
        <v>0.99441250000000003</v>
      </c>
      <c r="G37" s="19">
        <v>0</v>
      </c>
      <c r="H37" s="19">
        <v>0.84931932761439333</v>
      </c>
      <c r="I37" s="20">
        <f>INDEX(Scenarios!$B$4:$B$9,MATCH($A37,Scenarios!$A$4:$A$9,0))</f>
        <v>20</v>
      </c>
      <c r="J37" s="20">
        <f>INDEX(Scenarios!$C$4:$C$9,MATCH($A37,Scenarios!$A$4:$A$9,0))</f>
        <v>20</v>
      </c>
      <c r="K37" s="20">
        <f>INDEX(Scenarios!$D$4:$D$9,MATCH($A37,Scenarios!$A$4:$A$9,0))</f>
        <v>20</v>
      </c>
      <c r="L37" s="21">
        <f>INDEX(Scenarios!$E$4:$E$9,MATCH($A37,Scenarios!$A$4:$A$9,0))</f>
        <v>-4.8686824360529728E-2</v>
      </c>
      <c r="M37" s="21">
        <f t="shared" si="0"/>
        <v>0.10673733830674856</v>
      </c>
      <c r="N37" s="21">
        <f t="shared" si="1"/>
        <v>0.95605666592114191</v>
      </c>
      <c r="O37" s="20">
        <f t="shared" si="2"/>
        <v>19.121133318422839</v>
      </c>
      <c r="P37" s="20">
        <f t="shared" si="3"/>
        <v>22.132249999999999</v>
      </c>
      <c r="Q37" s="20">
        <f t="shared" si="4"/>
        <v>0</v>
      </c>
      <c r="R37" s="21">
        <f t="shared" si="14"/>
        <v>0</v>
      </c>
      <c r="S37" s="20">
        <f>IF(Assumptions!$C$11="Yes",INDEX(Scenarios!$F$4:$F$9,MATCH($A37,Scenarios!$A$4:$A$9,0))*1000*R37/D37*1000,0)</f>
        <v>0</v>
      </c>
      <c r="T37" s="20">
        <f t="shared" si="6"/>
        <v>0</v>
      </c>
      <c r="U37" s="20">
        <f>Assumptions!$C$8*Assumptions!$C$5*(E37+F37)</f>
        <v>110.66125</v>
      </c>
      <c r="V37" s="20">
        <f>MAX(0,Assumptions!$C$8*Assumptions!$C$5*N37-Assumptions!$C$10*T37)</f>
        <v>95.60566659211419</v>
      </c>
      <c r="W37" s="20">
        <f t="shared" si="7"/>
        <v>8852.9</v>
      </c>
      <c r="X37" s="20">
        <f t="shared" si="8"/>
        <v>7648.453327369135</v>
      </c>
      <c r="Y37" s="20">
        <f>C37*Assumptions!$C$5*(E37+F37)</f>
        <v>8852.9</v>
      </c>
      <c r="Z37" s="20">
        <f>C37*MAX(0,Assumptions!$C$5*N37-T37)</f>
        <v>7648.453327369135</v>
      </c>
      <c r="AA37" s="20">
        <f>C37*Assumptions!$C$7*Assumptions!$C$5*(E37+F37)</f>
        <v>4293.6564999999991</v>
      </c>
      <c r="AB37" s="20">
        <f>C37*MAX(0,Assumptions!$C$7*Assumptions!$C$5*N37-IF(Assumptions!$C$9="Yes",Assumptions!$C$7,1)*T37)</f>
        <v>3709.4998637740305</v>
      </c>
      <c r="AC37" s="20">
        <f t="shared" si="9"/>
        <v>88.528999999999996</v>
      </c>
      <c r="AD37" s="20">
        <f t="shared" si="10"/>
        <v>76.484533273691355</v>
      </c>
    </row>
    <row r="38" spans="1:30" x14ac:dyDescent="0.45">
      <c r="A38" t="s">
        <v>9</v>
      </c>
      <c r="B38" t="s">
        <v>138</v>
      </c>
      <c r="C38" s="18">
        <v>167</v>
      </c>
      <c r="D38" s="18">
        <v>413.65284202856708</v>
      </c>
      <c r="E38" s="19">
        <v>0.12342</v>
      </c>
      <c r="F38" s="19">
        <v>2.3974930400000001</v>
      </c>
      <c r="G38" s="19">
        <v>0</v>
      </c>
      <c r="H38" s="19">
        <v>2.3035401473883041</v>
      </c>
      <c r="I38" s="20">
        <f>INDEX(Scenarios!$B$4:$B$9,MATCH($A38,Scenarios!$A$4:$A$9,0))</f>
        <v>20</v>
      </c>
      <c r="J38" s="20">
        <f>INDEX(Scenarios!$C$4:$C$9,MATCH($A38,Scenarios!$A$4:$A$9,0))</f>
        <v>20</v>
      </c>
      <c r="K38" s="20">
        <f>INDEX(Scenarios!$D$4:$D$9,MATCH($A38,Scenarios!$A$4:$A$9,0))</f>
        <v>20</v>
      </c>
      <c r="L38" s="21">
        <f>INDEX(Scenarios!$E$4:$E$9,MATCH($A38,Scenarios!$A$4:$A$9,0))</f>
        <v>-4.8686824360529728E-2</v>
      </c>
      <c r="M38" s="21">
        <f t="shared" si="0"/>
        <v>0.11741107213742343</v>
      </c>
      <c r="N38" s="21">
        <f t="shared" si="1"/>
        <v>2.4209512195257274</v>
      </c>
      <c r="O38" s="20">
        <f t="shared" si="2"/>
        <v>48.419024390514551</v>
      </c>
      <c r="P38" s="20">
        <f t="shared" si="3"/>
        <v>50.418260800000006</v>
      </c>
      <c r="Q38" s="20">
        <f t="shared" si="4"/>
        <v>0</v>
      </c>
      <c r="R38" s="21">
        <f t="shared" si="14"/>
        <v>0</v>
      </c>
      <c r="S38" s="20">
        <f>IF(Assumptions!$C$11="Yes",INDEX(Scenarios!$F$4:$F$9,MATCH($A38,Scenarios!$A$4:$A$9,0))*1000*R38/D38*1000,0)</f>
        <v>0</v>
      </c>
      <c r="T38" s="20">
        <f t="shared" si="6"/>
        <v>0</v>
      </c>
      <c r="U38" s="20">
        <f>Assumptions!$C$8*Assumptions!$C$5*(E38+F38)</f>
        <v>252.09130399999998</v>
      </c>
      <c r="V38" s="20">
        <f>MAX(0,Assumptions!$C$8*Assumptions!$C$5*N38-Assumptions!$C$10*T38)</f>
        <v>242.09512195257275</v>
      </c>
      <c r="W38" s="20">
        <f t="shared" si="7"/>
        <v>42099.247767999994</v>
      </c>
      <c r="X38" s="20">
        <f t="shared" si="8"/>
        <v>40429.885366079652</v>
      </c>
      <c r="Y38" s="20">
        <f>C38*Assumptions!$C$5*(E38+F38)</f>
        <v>42099.247768000001</v>
      </c>
      <c r="Z38" s="20">
        <f>C38*MAX(0,Assumptions!$C$5*N38-T38)</f>
        <v>40429.885366079652</v>
      </c>
      <c r="AA38" s="20">
        <f>C38*Assumptions!$C$7*Assumptions!$C$5*(E38+F38)</f>
        <v>20418.135167479999</v>
      </c>
      <c r="AB38" s="20">
        <f>C38*MAX(0,Assumptions!$C$7*Assumptions!$C$5*N38-IF(Assumptions!$C$9="Yes",Assumptions!$C$7,1)*T38)</f>
        <v>19608.494402548629</v>
      </c>
      <c r="AC38" s="20">
        <f t="shared" si="9"/>
        <v>420.99247767999998</v>
      </c>
      <c r="AD38" s="20">
        <f t="shared" si="10"/>
        <v>404.29885366079651</v>
      </c>
    </row>
    <row r="39" spans="1:30" x14ac:dyDescent="0.45">
      <c r="A39" t="s">
        <v>10</v>
      </c>
      <c r="B39" t="s">
        <v>132</v>
      </c>
      <c r="C39" s="18">
        <v>580</v>
      </c>
      <c r="D39" s="18">
        <v>6550.5179664754814</v>
      </c>
      <c r="E39" s="19">
        <v>0.57099076999999998</v>
      </c>
      <c r="F39" s="19">
        <v>3.7901020000000001E-2</v>
      </c>
      <c r="G39" s="19">
        <v>-5.1773226170530637E-2</v>
      </c>
      <c r="H39" s="19">
        <v>2.5921566220373289E-2</v>
      </c>
      <c r="I39" s="20">
        <f>INDEX(Scenarios!$B$4:$B$9,MATCH($A39,Scenarios!$A$4:$A$9,0))</f>
        <v>20</v>
      </c>
      <c r="J39" s="20">
        <f>INDEX(Scenarios!$C$4:$C$9,MATCH($A39,Scenarios!$A$4:$A$9,0))</f>
        <v>20</v>
      </c>
      <c r="K39" s="20">
        <f>INDEX(Scenarios!$D$4:$D$9,MATCH($A39,Scenarios!$A$4:$A$9,0))</f>
        <v>0</v>
      </c>
      <c r="L39" s="21">
        <f>INDEX(Scenarios!$E$4:$E$9,MATCH($A39,Scenarios!$A$4:$A$9,0))</f>
        <v>-4.8686824360529728E-2</v>
      </c>
      <c r="M39" s="21">
        <f t="shared" si="0"/>
        <v>0.49141781649899569</v>
      </c>
      <c r="N39" s="21">
        <f t="shared" si="1"/>
        <v>0.51733938271936897</v>
      </c>
      <c r="O39" s="20">
        <f t="shared" si="2"/>
        <v>10.346787654387379</v>
      </c>
      <c r="P39" s="20">
        <f t="shared" si="3"/>
        <v>0</v>
      </c>
      <c r="Q39" s="20">
        <f t="shared" si="4"/>
        <v>67.776818425371218</v>
      </c>
      <c r="R39" s="21">
        <f t="shared" ref="R39:R45" si="15">IF(SUM($Q$39:$Q$45)=0,0,Q39/SUM($Q$39:$Q$45))</f>
        <v>7.5375523676963832E-2</v>
      </c>
      <c r="S39" s="20">
        <f>IF(Assumptions!$C$11="Yes",INDEX(Scenarios!$F$4:$F$9,MATCH($A39,Scenarios!$A$4:$A$9,0))*1000*R39/D39*1000,0)</f>
        <v>0</v>
      </c>
      <c r="T39" s="20">
        <f t="shared" si="6"/>
        <v>10.346787654387379</v>
      </c>
      <c r="U39" s="20">
        <f>Assumptions!$C$8*Assumptions!$C$5*(E39+F39)</f>
        <v>60.889178999999992</v>
      </c>
      <c r="V39" s="20">
        <f>MAX(0,Assumptions!$C$8*Assumptions!$C$5*N39-Assumptions!$C$10*T39)</f>
        <v>41.387150617549523</v>
      </c>
      <c r="W39" s="20">
        <f t="shared" si="7"/>
        <v>35315.723819999992</v>
      </c>
      <c r="X39" s="20">
        <f t="shared" si="8"/>
        <v>24004.547358178723</v>
      </c>
      <c r="Y39" s="20">
        <f>C39*Assumptions!$C$5*(E39+F39)</f>
        <v>35315.723819999999</v>
      </c>
      <c r="Z39" s="20">
        <f>C39*MAX(0,Assumptions!$C$5*N39-T39)</f>
        <v>24004.547358178723</v>
      </c>
      <c r="AA39" s="20">
        <f>C39*Assumptions!$C$7*Assumptions!$C$5*(E39+F39)</f>
        <v>17128.126052699998</v>
      </c>
      <c r="AB39" s="20">
        <f>C39*MAX(0,Assumptions!$C$7*Assumptions!$C$5*N39-IF(Assumptions!$C$9="Yes",Assumptions!$C$7,1)*T39)</f>
        <v>8551.6199963511681</v>
      </c>
      <c r="AC39" s="20">
        <f t="shared" si="9"/>
        <v>353.15723819999994</v>
      </c>
      <c r="AD39" s="20">
        <f t="shared" si="10"/>
        <v>300.056841977234</v>
      </c>
    </row>
    <row r="40" spans="1:30" x14ac:dyDescent="0.45">
      <c r="A40" t="s">
        <v>10</v>
      </c>
      <c r="B40" t="s">
        <v>133</v>
      </c>
      <c r="C40" s="18">
        <v>300</v>
      </c>
      <c r="D40" s="18">
        <v>6206.938491020097</v>
      </c>
      <c r="E40" s="19">
        <v>4.4880000000000003E-2</v>
      </c>
      <c r="F40" s="19">
        <v>4.3981149999999997E-2</v>
      </c>
      <c r="G40" s="19">
        <v>-8.1056046189995588E-4</v>
      </c>
      <c r="H40" s="19">
        <v>3.6722118038654043E-2</v>
      </c>
      <c r="I40" s="20">
        <f>INDEX(Scenarios!$B$4:$B$9,MATCH($A40,Scenarios!$A$4:$A$9,0))</f>
        <v>20</v>
      </c>
      <c r="J40" s="20">
        <f>INDEX(Scenarios!$C$4:$C$9,MATCH($A40,Scenarios!$A$4:$A$9,0))</f>
        <v>20</v>
      </c>
      <c r="K40" s="20">
        <f>INDEX(Scenarios!$D$4:$D$9,MATCH($A40,Scenarios!$A$4:$A$9,0))</f>
        <v>0</v>
      </c>
      <c r="L40" s="21">
        <f>INDEX(Scenarios!$E$4:$E$9,MATCH($A40,Scenarios!$A$4:$A$9,0))</f>
        <v>-4.8686824360529728E-2</v>
      </c>
      <c r="M40" s="21">
        <f t="shared" si="0"/>
        <v>4.1884374860799468E-2</v>
      </c>
      <c r="N40" s="21">
        <f t="shared" si="1"/>
        <v>7.8606492899453512E-2</v>
      </c>
      <c r="O40" s="20">
        <f t="shared" si="2"/>
        <v>1.5721298579890703</v>
      </c>
      <c r="P40" s="20">
        <f t="shared" si="3"/>
        <v>0</v>
      </c>
      <c r="Q40" s="20">
        <f t="shared" si="4"/>
        <v>9.7581133284343196</v>
      </c>
      <c r="R40" s="21">
        <f t="shared" si="15"/>
        <v>1.085213085119625E-2</v>
      </c>
      <c r="S40" s="20">
        <f>IF(Assumptions!$C$11="Yes",INDEX(Scenarios!$F$4:$F$9,MATCH($A40,Scenarios!$A$4:$A$9,0))*1000*R40/D40*1000,0)</f>
        <v>0</v>
      </c>
      <c r="T40" s="20">
        <f t="shared" si="6"/>
        <v>1.5721298579890703</v>
      </c>
      <c r="U40" s="20">
        <f>Assumptions!$C$8*Assumptions!$C$5*(E40+F40)</f>
        <v>8.8861150000000002</v>
      </c>
      <c r="V40" s="20">
        <f>MAX(0,Assumptions!$C$8*Assumptions!$C$5*N40-Assumptions!$C$10*T40)</f>
        <v>6.2885194319562805</v>
      </c>
      <c r="W40" s="20">
        <f t="shared" si="7"/>
        <v>2665.8344999999999</v>
      </c>
      <c r="X40" s="20">
        <f t="shared" si="8"/>
        <v>1886.5558295868841</v>
      </c>
      <c r="Y40" s="20">
        <f>C40*Assumptions!$C$5*(E40+F40)</f>
        <v>2665.8344999999999</v>
      </c>
      <c r="Z40" s="20">
        <f>C40*MAX(0,Assumptions!$C$5*N40-T40)</f>
        <v>1886.5558295868841</v>
      </c>
      <c r="AA40" s="20">
        <f>C40*Assumptions!$C$7*Assumptions!$C$5*(E40+F40)</f>
        <v>1292.9297325</v>
      </c>
      <c r="AB40" s="20">
        <f>C40*MAX(0,Assumptions!$C$7*Assumptions!$C$5*N40-IF(Assumptions!$C$9="Yes",Assumptions!$C$7,1)*T40)</f>
        <v>672.08551429032752</v>
      </c>
      <c r="AC40" s="20">
        <f t="shared" si="9"/>
        <v>26.658345000000001</v>
      </c>
      <c r="AD40" s="20">
        <f t="shared" si="10"/>
        <v>23.581947869836053</v>
      </c>
    </row>
    <row r="41" spans="1:30" x14ac:dyDescent="0.45">
      <c r="A41" t="s">
        <v>10</v>
      </c>
      <c r="B41" t="s">
        <v>134</v>
      </c>
      <c r="C41" s="18">
        <v>800</v>
      </c>
      <c r="D41" s="18">
        <v>56538.734209364447</v>
      </c>
      <c r="E41" s="19">
        <v>0.31356850000000003</v>
      </c>
      <c r="F41" s="19">
        <v>0.53702616000000003</v>
      </c>
      <c r="G41" s="19">
        <v>-2.2721943704399429E-2</v>
      </c>
      <c r="H41" s="19">
        <v>0.37137738233088302</v>
      </c>
      <c r="I41" s="20">
        <f>INDEX(Scenarios!$B$4:$B$9,MATCH($A41,Scenarios!$A$4:$A$9,0))</f>
        <v>20</v>
      </c>
      <c r="J41" s="20">
        <f>INDEX(Scenarios!$C$4:$C$9,MATCH($A41,Scenarios!$A$4:$A$9,0))</f>
        <v>20</v>
      </c>
      <c r="K41" s="20">
        <f>INDEX(Scenarios!$D$4:$D$9,MATCH($A41,Scenarios!$A$4:$A$9,0))</f>
        <v>0</v>
      </c>
      <c r="L41" s="21">
        <f>INDEX(Scenarios!$E$4:$E$9,MATCH($A41,Scenarios!$A$4:$A$9,0))</f>
        <v>-4.8686824360529728E-2</v>
      </c>
      <c r="M41" s="21">
        <f t="shared" si="0"/>
        <v>0.27557990181110581</v>
      </c>
      <c r="N41" s="21">
        <f t="shared" si="1"/>
        <v>0.64695728414198883</v>
      </c>
      <c r="O41" s="20">
        <f t="shared" si="2"/>
        <v>12.939145682839776</v>
      </c>
      <c r="P41" s="20">
        <f t="shared" si="3"/>
        <v>0</v>
      </c>
      <c r="Q41" s="20">
        <f t="shared" si="4"/>
        <v>731.56291865832361</v>
      </c>
      <c r="R41" s="21">
        <f t="shared" si="15"/>
        <v>0.81358109420901492</v>
      </c>
      <c r="S41" s="20">
        <f>IF(Assumptions!$C$11="Yes",INDEX(Scenarios!$F$4:$F$9,MATCH($A41,Scenarios!$A$4:$A$9,0))*1000*R41/D41*1000,0)</f>
        <v>0</v>
      </c>
      <c r="T41" s="20">
        <f t="shared" si="6"/>
        <v>12.939145682839776</v>
      </c>
      <c r="U41" s="20">
        <f>Assumptions!$C$8*Assumptions!$C$5*(E41+F41)</f>
        <v>85.059466</v>
      </c>
      <c r="V41" s="20">
        <f>MAX(0,Assumptions!$C$8*Assumptions!$C$5*N41-Assumptions!$C$10*T41)</f>
        <v>51.756582731359103</v>
      </c>
      <c r="W41" s="20">
        <f t="shared" si="7"/>
        <v>68047.572799999994</v>
      </c>
      <c r="X41" s="20">
        <f t="shared" si="8"/>
        <v>41405.266185087283</v>
      </c>
      <c r="Y41" s="20">
        <f>C41*Assumptions!$C$5*(E41+F41)</f>
        <v>68047.572800000009</v>
      </c>
      <c r="Z41" s="20">
        <f>C41*MAX(0,Assumptions!$C$5*N41-T41)</f>
        <v>41405.266185087283</v>
      </c>
      <c r="AA41" s="20">
        <f>C41*Assumptions!$C$7*Assumptions!$C$5*(E41+F41)</f>
        <v>33003.072808000004</v>
      </c>
      <c r="AB41" s="20">
        <f>C41*MAX(0,Assumptions!$C$7*Assumptions!$C$5*N41-IF(Assumptions!$C$9="Yes",Assumptions!$C$7,1)*T41)</f>
        <v>14750.626078437346</v>
      </c>
      <c r="AC41" s="20">
        <f t="shared" si="9"/>
        <v>680.475728</v>
      </c>
      <c r="AD41" s="20">
        <f t="shared" si="10"/>
        <v>517.56582731359106</v>
      </c>
    </row>
    <row r="42" spans="1:30" x14ac:dyDescent="0.45">
      <c r="A42" t="s">
        <v>10</v>
      </c>
      <c r="B42" t="s">
        <v>135</v>
      </c>
      <c r="C42" s="18">
        <v>120</v>
      </c>
      <c r="D42" s="18">
        <v>1950.185792950042</v>
      </c>
      <c r="E42" s="19">
        <v>1.97472</v>
      </c>
      <c r="F42" s="19">
        <v>0</v>
      </c>
      <c r="G42" s="19">
        <v>-0.32369584471608892</v>
      </c>
      <c r="H42" s="19">
        <v>0</v>
      </c>
      <c r="I42" s="20">
        <f>INDEX(Scenarios!$B$4:$B$9,MATCH($A42,Scenarios!$A$4:$A$9,0))</f>
        <v>20</v>
      </c>
      <c r="J42" s="20">
        <f>INDEX(Scenarios!$C$4:$C$9,MATCH($A42,Scenarios!$A$4:$A$9,0))</f>
        <v>20</v>
      </c>
      <c r="K42" s="20">
        <f>INDEX(Scenarios!$D$4:$D$9,MATCH($A42,Scenarios!$A$4:$A$9,0))</f>
        <v>0</v>
      </c>
      <c r="L42" s="21">
        <f>INDEX(Scenarios!$E$4:$E$9,MATCH($A42,Scenarios!$A$4:$A$9,0))</f>
        <v>-4.8686824360529728E-2</v>
      </c>
      <c r="M42" s="21">
        <f t="shared" si="0"/>
        <v>1.5548813094826859</v>
      </c>
      <c r="N42" s="21">
        <f t="shared" si="1"/>
        <v>1.5548813094826859</v>
      </c>
      <c r="O42" s="20">
        <f t="shared" si="2"/>
        <v>31.097626189653717</v>
      </c>
      <c r="P42" s="20">
        <f t="shared" si="3"/>
        <v>0</v>
      </c>
      <c r="Q42" s="20">
        <f t="shared" si="4"/>
        <v>60.646148789533825</v>
      </c>
      <c r="R42" s="21">
        <f t="shared" si="15"/>
        <v>6.7445408772551743E-2</v>
      </c>
      <c r="S42" s="20">
        <f>IF(Assumptions!$C$11="Yes",INDEX(Scenarios!$F$4:$F$9,MATCH($A42,Scenarios!$A$4:$A$9,0))*1000*R42/D42*1000,0)</f>
        <v>0</v>
      </c>
      <c r="T42" s="20">
        <f t="shared" si="6"/>
        <v>31.097626189653717</v>
      </c>
      <c r="U42" s="20">
        <f>Assumptions!$C$8*Assumptions!$C$5*(E42+F42)</f>
        <v>197.47200000000001</v>
      </c>
      <c r="V42" s="20">
        <f>MAX(0,Assumptions!$C$8*Assumptions!$C$5*N42-Assumptions!$C$10*T42)</f>
        <v>124.39050475861487</v>
      </c>
      <c r="W42" s="20">
        <f t="shared" si="7"/>
        <v>23696.639999999999</v>
      </c>
      <c r="X42" s="20">
        <f t="shared" si="8"/>
        <v>14926.860571033783</v>
      </c>
      <c r="Y42" s="20">
        <f>C42*Assumptions!$C$5*(E42+F42)</f>
        <v>23696.639999999999</v>
      </c>
      <c r="Z42" s="20">
        <f>C42*MAX(0,Assumptions!$C$5*N42-T42)</f>
        <v>14926.860571033783</v>
      </c>
      <c r="AA42" s="20">
        <f>C42*Assumptions!$C$7*Assumptions!$C$5*(E42+F42)</f>
        <v>11492.8704</v>
      </c>
      <c r="AB42" s="20">
        <f>C42*MAX(0,Assumptions!$C$7*Assumptions!$C$5*N42-IF(Assumptions!$C$9="Yes",Assumptions!$C$7,1)*T42)</f>
        <v>5317.6940784307862</v>
      </c>
      <c r="AC42" s="20">
        <f t="shared" si="9"/>
        <v>236.96639999999999</v>
      </c>
      <c r="AD42" s="20">
        <f t="shared" si="10"/>
        <v>186.58575713792231</v>
      </c>
    </row>
    <row r="43" spans="1:30" x14ac:dyDescent="0.45">
      <c r="A43" t="s">
        <v>10</v>
      </c>
      <c r="B43" t="s">
        <v>136</v>
      </c>
      <c r="C43" s="18">
        <v>1600</v>
      </c>
      <c r="D43" s="18">
        <v>3181.1552600878722</v>
      </c>
      <c r="E43" s="19">
        <v>0.11219999999999999</v>
      </c>
      <c r="F43" s="19">
        <v>0</v>
      </c>
      <c r="G43" s="19">
        <v>0</v>
      </c>
      <c r="H43" s="19">
        <v>0</v>
      </c>
      <c r="I43" s="20">
        <f>INDEX(Scenarios!$B$4:$B$9,MATCH($A43,Scenarios!$A$4:$A$9,0))</f>
        <v>20</v>
      </c>
      <c r="J43" s="20">
        <f>INDEX(Scenarios!$C$4:$C$9,MATCH($A43,Scenarios!$A$4:$A$9,0))</f>
        <v>20</v>
      </c>
      <c r="K43" s="20">
        <f>INDEX(Scenarios!$D$4:$D$9,MATCH($A43,Scenarios!$A$4:$A$9,0))</f>
        <v>0</v>
      </c>
      <c r="L43" s="21">
        <f>INDEX(Scenarios!$E$4:$E$9,MATCH($A43,Scenarios!$A$4:$A$9,0))</f>
        <v>-4.8686824360529728E-2</v>
      </c>
      <c r="M43" s="21">
        <f t="shared" si="0"/>
        <v>0.10673733830674856</v>
      </c>
      <c r="N43" s="21">
        <f t="shared" si="1"/>
        <v>0.10673733830674856</v>
      </c>
      <c r="O43" s="20">
        <f t="shared" si="2"/>
        <v>2.1347467661349713</v>
      </c>
      <c r="P43" s="20">
        <f t="shared" si="3"/>
        <v>0</v>
      </c>
      <c r="Q43" s="20">
        <f t="shared" si="4"/>
        <v>6.7909609040458392</v>
      </c>
      <c r="R43" s="21">
        <f t="shared" si="15"/>
        <v>7.5523201930150106E-3</v>
      </c>
      <c r="S43" s="20">
        <f>IF(Assumptions!$C$11="Yes",INDEX(Scenarios!$F$4:$F$9,MATCH($A43,Scenarios!$A$4:$A$9,0))*1000*R43/D43*1000,0)</f>
        <v>0</v>
      </c>
      <c r="T43" s="20">
        <f t="shared" si="6"/>
        <v>2.1347467661349713</v>
      </c>
      <c r="U43" s="20">
        <f>Assumptions!$C$8*Assumptions!$C$5*(E43+F43)</f>
        <v>11.219999999999999</v>
      </c>
      <c r="V43" s="20">
        <f>MAX(0,Assumptions!$C$8*Assumptions!$C$5*N43-Assumptions!$C$10*T43)</f>
        <v>8.5389870645398851</v>
      </c>
      <c r="W43" s="20">
        <f t="shared" si="7"/>
        <v>17952</v>
      </c>
      <c r="X43" s="20">
        <f t="shared" si="8"/>
        <v>13662.379303263817</v>
      </c>
      <c r="Y43" s="20">
        <f>C43*Assumptions!$C$5*(E43+F43)</f>
        <v>17952</v>
      </c>
      <c r="Z43" s="20">
        <f>C43*MAX(0,Assumptions!$C$5*N43-T43)</f>
        <v>13662.379303263817</v>
      </c>
      <c r="AA43" s="20">
        <f>C43*Assumptions!$C$7*Assumptions!$C$5*(E43+F43)</f>
        <v>8706.7199999999993</v>
      </c>
      <c r="AB43" s="20">
        <f>C43*MAX(0,Assumptions!$C$7*Assumptions!$C$5*N43-IF(Assumptions!$C$9="Yes",Assumptions!$C$7,1)*T43)</f>
        <v>4867.2226267877331</v>
      </c>
      <c r="AC43" s="20">
        <f t="shared" si="9"/>
        <v>179.51999999999998</v>
      </c>
      <c r="AD43" s="20">
        <f t="shared" si="10"/>
        <v>170.77974129079769</v>
      </c>
    </row>
    <row r="44" spans="1:30" x14ac:dyDescent="0.45">
      <c r="A44" t="s">
        <v>10</v>
      </c>
      <c r="B44" t="s">
        <v>137</v>
      </c>
      <c r="C44" s="18">
        <v>80</v>
      </c>
      <c r="D44" s="18">
        <v>661.20268364732067</v>
      </c>
      <c r="E44" s="19">
        <v>0.11219999999999999</v>
      </c>
      <c r="F44" s="19">
        <v>0.99441250000000003</v>
      </c>
      <c r="G44" s="19">
        <v>-6.8681117535777131E-2</v>
      </c>
      <c r="H44" s="19">
        <v>0.41697262984134742</v>
      </c>
      <c r="I44" s="20">
        <f>INDEX(Scenarios!$B$4:$B$9,MATCH($A44,Scenarios!$A$4:$A$9,0))</f>
        <v>20</v>
      </c>
      <c r="J44" s="20">
        <f>INDEX(Scenarios!$C$4:$C$9,MATCH($A44,Scenarios!$A$4:$A$9,0))</f>
        <v>20</v>
      </c>
      <c r="K44" s="20">
        <f>INDEX(Scenarios!$D$4:$D$9,MATCH($A44,Scenarios!$A$4:$A$9,0))</f>
        <v>0</v>
      </c>
      <c r="L44" s="21">
        <f>INDEX(Scenarios!$E$4:$E$9,MATCH($A44,Scenarios!$A$4:$A$9,0))</f>
        <v>-4.8686824360529728E-2</v>
      </c>
      <c r="M44" s="21">
        <f t="shared" si="0"/>
        <v>3.8056220770971427E-2</v>
      </c>
      <c r="N44" s="21">
        <f t="shared" si="1"/>
        <v>0.45502885061231885</v>
      </c>
      <c r="O44" s="20">
        <f t="shared" si="2"/>
        <v>9.1005770122463776</v>
      </c>
      <c r="P44" s="20">
        <f t="shared" si="3"/>
        <v>0</v>
      </c>
      <c r="Q44" s="20">
        <f t="shared" si="4"/>
        <v>6.0173259432364201</v>
      </c>
      <c r="R44" s="21">
        <f t="shared" si="15"/>
        <v>6.6919502072207418E-3</v>
      </c>
      <c r="S44" s="20">
        <f>IF(Assumptions!$C$11="Yes",INDEX(Scenarios!$F$4:$F$9,MATCH($A44,Scenarios!$A$4:$A$9,0))*1000*R44/D44*1000,0)</f>
        <v>0</v>
      </c>
      <c r="T44" s="20">
        <f t="shared" si="6"/>
        <v>9.1005770122463776</v>
      </c>
      <c r="U44" s="20">
        <f>Assumptions!$C$8*Assumptions!$C$5*(E44+F44)</f>
        <v>110.66125</v>
      </c>
      <c r="V44" s="20">
        <f>MAX(0,Assumptions!$C$8*Assumptions!$C$5*N44-Assumptions!$C$10*T44)</f>
        <v>36.40230804898551</v>
      </c>
      <c r="W44" s="20">
        <f t="shared" si="7"/>
        <v>8852.9</v>
      </c>
      <c r="X44" s="20">
        <f t="shared" si="8"/>
        <v>2912.1846439188407</v>
      </c>
      <c r="Y44" s="20">
        <f>C44*Assumptions!$C$5*(E44+F44)</f>
        <v>8852.9</v>
      </c>
      <c r="Z44" s="20">
        <f>C44*MAX(0,Assumptions!$C$5*N44-T44)</f>
        <v>2912.1846439188407</v>
      </c>
      <c r="AA44" s="20">
        <f>C44*Assumptions!$C$7*Assumptions!$C$5*(E44+F44)</f>
        <v>4293.6564999999991</v>
      </c>
      <c r="AB44" s="20">
        <f>C44*MAX(0,Assumptions!$C$7*Assumptions!$C$5*N44-IF(Assumptions!$C$9="Yes",Assumptions!$C$7,1)*T44)</f>
        <v>1037.4657793960869</v>
      </c>
      <c r="AC44" s="20">
        <f t="shared" si="9"/>
        <v>88.528999999999996</v>
      </c>
      <c r="AD44" s="20">
        <f t="shared" si="10"/>
        <v>36.40230804898551</v>
      </c>
    </row>
    <row r="45" spans="1:30" x14ac:dyDescent="0.45">
      <c r="A45" t="s">
        <v>10</v>
      </c>
      <c r="B45" t="s">
        <v>138</v>
      </c>
      <c r="C45" s="18">
        <v>167</v>
      </c>
      <c r="D45" s="18">
        <v>409.37519411418629</v>
      </c>
      <c r="E45" s="19">
        <v>0.12342</v>
      </c>
      <c r="F45" s="19">
        <v>2.3974930400000001</v>
      </c>
      <c r="G45" s="19">
        <v>-8.9433163471362015E-3</v>
      </c>
      <c r="H45" s="19">
        <v>1.923458533061644</v>
      </c>
      <c r="I45" s="20">
        <f>INDEX(Scenarios!$B$4:$B$9,MATCH($A45,Scenarios!$A$4:$A$9,0))</f>
        <v>20</v>
      </c>
      <c r="J45" s="20">
        <f>INDEX(Scenarios!$C$4:$C$9,MATCH($A45,Scenarios!$A$4:$A$9,0))</f>
        <v>20</v>
      </c>
      <c r="K45" s="20">
        <f>INDEX(Scenarios!$D$4:$D$9,MATCH($A45,Scenarios!$A$4:$A$9,0))</f>
        <v>0</v>
      </c>
      <c r="L45" s="21">
        <f>INDEX(Scenarios!$E$4:$E$9,MATCH($A45,Scenarios!$A$4:$A$9,0))</f>
        <v>-4.8686824360529728E-2</v>
      </c>
      <c r="M45" s="21">
        <f t="shared" si="0"/>
        <v>0.10846775579028722</v>
      </c>
      <c r="N45" s="21">
        <f t="shared" si="1"/>
        <v>2.0319262888519312</v>
      </c>
      <c r="O45" s="20">
        <f t="shared" si="2"/>
        <v>40.638525777038623</v>
      </c>
      <c r="P45" s="20">
        <f t="shared" si="3"/>
        <v>0</v>
      </c>
      <c r="Q45" s="20">
        <f t="shared" si="4"/>
        <v>16.636404378489551</v>
      </c>
      <c r="R45" s="21">
        <f t="shared" si="15"/>
        <v>1.8501572090037447E-2</v>
      </c>
      <c r="S45" s="20">
        <f>IF(Assumptions!$C$11="Yes",INDEX(Scenarios!$F$4:$F$9,MATCH($A45,Scenarios!$A$4:$A$9,0))*1000*R45/D45*1000,0)</f>
        <v>0</v>
      </c>
      <c r="T45" s="20">
        <f t="shared" si="6"/>
        <v>40.638525777038623</v>
      </c>
      <c r="U45" s="20">
        <f>Assumptions!$C$8*Assumptions!$C$5*(E45+F45)</f>
        <v>252.09130399999998</v>
      </c>
      <c r="V45" s="20">
        <f>MAX(0,Assumptions!$C$8*Assumptions!$C$5*N45-Assumptions!$C$10*T45)</f>
        <v>162.55410310815449</v>
      </c>
      <c r="W45" s="20">
        <f t="shared" si="7"/>
        <v>42099.247767999994</v>
      </c>
      <c r="X45" s="20">
        <f t="shared" si="8"/>
        <v>27146.5352190618</v>
      </c>
      <c r="Y45" s="20">
        <f>C45*Assumptions!$C$5*(E45+F45)</f>
        <v>42099.247768000001</v>
      </c>
      <c r="Z45" s="20">
        <f>C45*MAX(0,Assumptions!$C$5*N45-T45)</f>
        <v>27146.5352190618</v>
      </c>
      <c r="AA45" s="20">
        <f>C45*Assumptions!$C$7*Assumptions!$C$5*(E45+F45)</f>
        <v>20418.135167479999</v>
      </c>
      <c r="AB45" s="20">
        <f>C45*MAX(0,Assumptions!$C$7*Assumptions!$C$5*N45-IF(Assumptions!$C$9="Yes",Assumptions!$C$7,1)*T45)</f>
        <v>9670.9531717907666</v>
      </c>
      <c r="AC45" s="20">
        <f t="shared" si="9"/>
        <v>420.99247767999998</v>
      </c>
      <c r="AD45" s="20">
        <f t="shared" si="10"/>
        <v>339.33169023827253</v>
      </c>
    </row>
  </sheetData>
  <pageMargins left="0.75" right="0.75" top="1" bottom="1" header="0.5" footer="0.5"/>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Table2</vt:lpstr>
      <vt:lpstr>CBAM_calc</vt:lpstr>
      <vt:lpstr>Assumptions</vt:lpstr>
      <vt:lpstr>Scenarios</vt:lpstr>
      <vt:lpstr>CBAM_data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Stretton</dc:creator>
  <cp:lastModifiedBy>Stephen John Stretton</cp:lastModifiedBy>
  <dcterms:created xsi:type="dcterms:W3CDTF">2026-10-03T02:35:06Z</dcterms:created>
  <dcterms:modified xsi:type="dcterms:W3CDTF">2026-10-03T02:35:15Z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2026-10-03T02:35:14Z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4ded289a-7617-4050-baf4-be770f183912</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