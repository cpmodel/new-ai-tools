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sstretton_worldbank_org1/Documents/"/>
    </mc:Choice>
  </mc:AlternateContent>
  <xr:revisionPtr revIDLastSave="0" documentId="8_{FC45D53E-93A7-4671-8877-8393BE4E6AA4}" xr6:coauthVersionLast="47" xr6:coauthVersionMax="47" xr10:uidLastSave="{00000000-0000-0000-0000-000000000000}"/>
  <bookViews>
    <workbookView xWindow="-98" yWindow="-98" windowWidth="19396" windowHeight="11475" xr2:uid="{3595F89E-C92C-4949-BA30-E9F99C3FC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2" i="1" l="1"/>
  <c r="G11" i="1"/>
  <c r="E11" i="1"/>
  <c r="F11" i="1"/>
  <c r="F10" i="1"/>
  <c r="E10" i="1"/>
  <c r="E34" i="1"/>
  <c r="F34" i="1"/>
  <c r="E29" i="1"/>
  <c r="E30" i="1"/>
  <c r="E31" i="1"/>
  <c r="E32" i="1"/>
  <c r="E33" i="1"/>
  <c r="E35" i="1"/>
  <c r="E36" i="1"/>
  <c r="F30" i="1"/>
  <c r="F37" i="1" s="1"/>
  <c r="F31" i="1"/>
  <c r="F32" i="1"/>
  <c r="F33" i="1"/>
  <c r="F35" i="1"/>
  <c r="F36" i="1"/>
  <c r="F29" i="1"/>
  <c r="G37" i="1" l="1"/>
  <c r="G10" i="1"/>
  <c r="E37" i="1"/>
  <c r="E39" i="1"/>
  <c r="F39" i="1"/>
</calcChain>
</file>

<file path=xl/sharedStrings.xml><?xml version="1.0" encoding="utf-8"?>
<sst xmlns="http://schemas.openxmlformats.org/spreadsheetml/2006/main" count="120" uniqueCount="18">
  <si>
    <t>Substance</t>
  </si>
  <si>
    <t>Sector</t>
  </si>
  <si>
    <t>EDGAR Country Code</t>
  </si>
  <si>
    <t>Country</t>
  </si>
  <si>
    <t>CO2</t>
  </si>
  <si>
    <t>Agriculture</t>
  </si>
  <si>
    <t>EGY</t>
  </si>
  <si>
    <t>Egypt</t>
  </si>
  <si>
    <t>Buildings</t>
  </si>
  <si>
    <t>Fuel Exploitation</t>
  </si>
  <si>
    <t>Industrial Combustion</t>
  </si>
  <si>
    <t>Power Industry</t>
  </si>
  <si>
    <t>Processes</t>
  </si>
  <si>
    <t>Transport</t>
  </si>
  <si>
    <t>Waste</t>
  </si>
  <si>
    <t>GWP_100_AR5_CH4</t>
  </si>
  <si>
    <t>GWP_100_AR5_F-gases</t>
  </si>
  <si>
    <t>GWP_100_AR5_N2O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</si>
</sst>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49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4E31-E7A8-4C88-B5AC-9BE2FD948821}">
  <dimension ref="A1:G39"/>
  <sheetViews>
    <sheetView tabSelected="1" topLeftCell="A18" workbookViewId="0">
      <selection activeCell="G32" sqref="G32"/>
    </sheetView>
  </sheetViews>
  <sheetFormatPr defaultRowHeight="14.25" x14ac:dyDescent="0.45"/>
  <cols>
    <col min="1" max="1" width="19.1992187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>
        <v>2023</v>
      </c>
      <c r="F1" s="1">
        <v>2024</v>
      </c>
    </row>
    <row r="2" spans="1:7" x14ac:dyDescent="0.45">
      <c r="A2" s="2" t="s">
        <v>4</v>
      </c>
      <c r="B2" s="2" t="s">
        <v>5</v>
      </c>
      <c r="C2" s="2" t="s">
        <v>6</v>
      </c>
      <c r="D2" s="2" t="s">
        <v>7</v>
      </c>
      <c r="E2">
        <v>2.5187636521821002</v>
      </c>
      <c r="F2">
        <v>2.5236195880108001</v>
      </c>
    </row>
    <row r="3" spans="1:7" x14ac:dyDescent="0.45">
      <c r="A3" s="2" t="s">
        <v>4</v>
      </c>
      <c r="B3" s="2" t="s">
        <v>8</v>
      </c>
      <c r="C3" s="2" t="s">
        <v>6</v>
      </c>
      <c r="D3" s="2" t="s">
        <v>7</v>
      </c>
      <c r="E3">
        <v>16.907975271927999</v>
      </c>
      <c r="F3">
        <v>17.670129263366</v>
      </c>
    </row>
    <row r="4" spans="1:7" x14ac:dyDescent="0.45">
      <c r="A4" s="2" t="s">
        <v>4</v>
      </c>
      <c r="B4" s="2" t="s">
        <v>9</v>
      </c>
      <c r="C4" s="2" t="s">
        <v>6</v>
      </c>
      <c r="D4" s="2" t="s">
        <v>7</v>
      </c>
      <c r="E4">
        <v>29.897186679029002</v>
      </c>
      <c r="F4">
        <v>29.023782553061</v>
      </c>
    </row>
    <row r="5" spans="1:7" x14ac:dyDescent="0.45">
      <c r="A5" s="2" t="s">
        <v>4</v>
      </c>
      <c r="B5" s="2" t="s">
        <v>10</v>
      </c>
      <c r="C5" s="2" t="s">
        <v>6</v>
      </c>
      <c r="D5" s="2" t="s">
        <v>7</v>
      </c>
      <c r="E5">
        <v>40.587599209103999</v>
      </c>
      <c r="F5">
        <v>45.657502080729998</v>
      </c>
    </row>
    <row r="6" spans="1:7" x14ac:dyDescent="0.45">
      <c r="A6" s="2" t="s">
        <v>4</v>
      </c>
      <c r="B6" s="2" t="s">
        <v>11</v>
      </c>
      <c r="C6" s="2" t="s">
        <v>6</v>
      </c>
      <c r="D6" s="2" t="s">
        <v>7</v>
      </c>
      <c r="E6">
        <v>89.056858831143998</v>
      </c>
      <c r="F6">
        <v>95.815631062234999</v>
      </c>
    </row>
    <row r="7" spans="1:7" x14ac:dyDescent="0.45">
      <c r="A7" s="2" t="s">
        <v>4</v>
      </c>
      <c r="B7" s="2" t="s">
        <v>12</v>
      </c>
      <c r="C7" s="2" t="s">
        <v>6</v>
      </c>
      <c r="D7" s="2" t="s">
        <v>7</v>
      </c>
      <c r="E7">
        <v>38.259384082918999</v>
      </c>
      <c r="F7">
        <v>38.707892879711999</v>
      </c>
    </row>
    <row r="8" spans="1:7" x14ac:dyDescent="0.45">
      <c r="A8" s="2" t="s">
        <v>4</v>
      </c>
      <c r="B8" s="2" t="s">
        <v>13</v>
      </c>
      <c r="C8" s="2" t="s">
        <v>6</v>
      </c>
      <c r="D8" s="2" t="s">
        <v>7</v>
      </c>
      <c r="E8">
        <v>58.608289885680001</v>
      </c>
      <c r="F8">
        <v>62.239564760077002</v>
      </c>
    </row>
    <row r="9" spans="1:7" x14ac:dyDescent="0.45">
      <c r="A9" s="2" t="s">
        <v>4</v>
      </c>
      <c r="B9" s="2" t="s">
        <v>14</v>
      </c>
      <c r="C9" s="2" t="s">
        <v>6</v>
      </c>
      <c r="D9" s="2" t="s">
        <v>7</v>
      </c>
      <c r="E9">
        <v>4.5266708941170002E-4</v>
      </c>
      <c r="F9">
        <v>4.6056051994370001E-4</v>
      </c>
    </row>
    <row r="10" spans="1:7" x14ac:dyDescent="0.45">
      <c r="A10" s="2"/>
      <c r="B10" s="2"/>
      <c r="C10" s="2"/>
      <c r="D10" s="2"/>
      <c r="E10">
        <f>SUM(E3:E6)+E8</f>
        <v>235.05790987688499</v>
      </c>
      <c r="F10">
        <f>SUM(F3:F6)+F8</f>
        <v>250.406609719469</v>
      </c>
      <c r="G10" s="3">
        <f>F10/F$39</f>
        <v>0.64771794405799976</v>
      </c>
    </row>
    <row r="11" spans="1:7" x14ac:dyDescent="0.45">
      <c r="A11" s="2"/>
      <c r="B11" s="2"/>
      <c r="C11" s="2"/>
      <c r="D11" s="2"/>
      <c r="E11">
        <f>E10+29.76</f>
        <v>264.81790987688498</v>
      </c>
      <c r="F11">
        <f>F10+29.76</f>
        <v>280.16660971946902</v>
      </c>
      <c r="G11" s="3">
        <f>F11/F$39</f>
        <v>0.72469708624901907</v>
      </c>
    </row>
    <row r="12" spans="1:7" x14ac:dyDescent="0.45">
      <c r="A12" s="2" t="s">
        <v>15</v>
      </c>
      <c r="B12" s="2" t="s">
        <v>5</v>
      </c>
      <c r="C12" s="2" t="s">
        <v>6</v>
      </c>
      <c r="D12" s="2" t="s">
        <v>7</v>
      </c>
      <c r="E12">
        <v>13.819135226634</v>
      </c>
      <c r="F12">
        <v>13.395509705359</v>
      </c>
    </row>
    <row r="13" spans="1:7" x14ac:dyDescent="0.45">
      <c r="A13" s="2" t="s">
        <v>15</v>
      </c>
      <c r="B13" s="2" t="s">
        <v>8</v>
      </c>
      <c r="C13" s="2" t="s">
        <v>6</v>
      </c>
      <c r="D13" s="2" t="s">
        <v>7</v>
      </c>
      <c r="E13">
        <v>0.45674077444382999</v>
      </c>
      <c r="F13">
        <v>0.45835428584504001</v>
      </c>
    </row>
    <row r="14" spans="1:7" x14ac:dyDescent="0.45">
      <c r="A14" s="2" t="s">
        <v>15</v>
      </c>
      <c r="B14" s="2" t="s">
        <v>9</v>
      </c>
      <c r="C14" s="2" t="s">
        <v>6</v>
      </c>
      <c r="D14" s="2" t="s">
        <v>7</v>
      </c>
      <c r="E14">
        <v>20.612562419523002</v>
      </c>
      <c r="F14">
        <v>20.660847539060001</v>
      </c>
    </row>
    <row r="15" spans="1:7" x14ac:dyDescent="0.45">
      <c r="A15" s="2" t="s">
        <v>15</v>
      </c>
      <c r="B15" s="2" t="s">
        <v>10</v>
      </c>
      <c r="C15" s="2" t="s">
        <v>6</v>
      </c>
      <c r="D15" s="2" t="s">
        <v>7</v>
      </c>
      <c r="E15">
        <v>5.5937812261183002E-2</v>
      </c>
      <c r="F15">
        <v>6.7430597570077994E-2</v>
      </c>
    </row>
    <row r="16" spans="1:7" x14ac:dyDescent="0.45">
      <c r="A16" s="2" t="s">
        <v>15</v>
      </c>
      <c r="B16" s="2" t="s">
        <v>11</v>
      </c>
      <c r="C16" s="2" t="s">
        <v>6</v>
      </c>
      <c r="D16" s="2" t="s">
        <v>7</v>
      </c>
      <c r="E16">
        <v>0.10881239764365</v>
      </c>
      <c r="F16">
        <v>0.11690241234835</v>
      </c>
    </row>
    <row r="17" spans="1:7" x14ac:dyDescent="0.45">
      <c r="A17" s="2" t="s">
        <v>15</v>
      </c>
      <c r="B17" s="2" t="s">
        <v>12</v>
      </c>
      <c r="C17" s="2" t="s">
        <v>6</v>
      </c>
      <c r="D17" s="2" t="s">
        <v>7</v>
      </c>
      <c r="E17">
        <v>3.8188922394486999E-2</v>
      </c>
      <c r="F17">
        <v>3.8780144412912998E-2</v>
      </c>
    </row>
    <row r="18" spans="1:7" x14ac:dyDescent="0.45">
      <c r="A18" s="2" t="s">
        <v>15</v>
      </c>
      <c r="B18" s="2" t="s">
        <v>13</v>
      </c>
      <c r="C18" s="2" t="s">
        <v>6</v>
      </c>
      <c r="D18" s="2" t="s">
        <v>7</v>
      </c>
      <c r="E18">
        <v>0.51597060321326005</v>
      </c>
      <c r="F18">
        <v>0.53845318418109001</v>
      </c>
    </row>
    <row r="19" spans="1:7" x14ac:dyDescent="0.45">
      <c r="A19" s="2" t="s">
        <v>15</v>
      </c>
      <c r="B19" s="2" t="s">
        <v>14</v>
      </c>
      <c r="C19" s="2" t="s">
        <v>6</v>
      </c>
      <c r="D19" s="2" t="s">
        <v>7</v>
      </c>
      <c r="E19">
        <v>21.854962846296999</v>
      </c>
      <c r="F19">
        <v>22.258457320342998</v>
      </c>
    </row>
    <row r="20" spans="1:7" x14ac:dyDescent="0.45">
      <c r="A20" s="2" t="s">
        <v>17</v>
      </c>
      <c r="B20" s="2" t="s">
        <v>5</v>
      </c>
      <c r="C20" s="2" t="s">
        <v>6</v>
      </c>
      <c r="D20" s="2" t="s">
        <v>7</v>
      </c>
      <c r="E20">
        <v>9.8807869310137999</v>
      </c>
      <c r="F20">
        <v>9.6153830317033009</v>
      </c>
    </row>
    <row r="21" spans="1:7" x14ac:dyDescent="0.45">
      <c r="A21" s="2" t="s">
        <v>17</v>
      </c>
      <c r="B21" s="2" t="s">
        <v>8</v>
      </c>
      <c r="C21" s="2" t="s">
        <v>6</v>
      </c>
      <c r="D21" s="2" t="s">
        <v>7</v>
      </c>
      <c r="E21">
        <v>0.32102259342403999</v>
      </c>
      <c r="F21">
        <v>0.33882213935012001</v>
      </c>
    </row>
    <row r="22" spans="1:7" x14ac:dyDescent="0.45">
      <c r="A22" s="2" t="s">
        <v>17</v>
      </c>
      <c r="B22" s="2" t="s">
        <v>9</v>
      </c>
      <c r="C22" s="2" t="s">
        <v>6</v>
      </c>
      <c r="D22" s="2" t="s">
        <v>7</v>
      </c>
      <c r="E22">
        <v>8.1935256029173995E-2</v>
      </c>
      <c r="F22">
        <v>7.982265702013E-2</v>
      </c>
    </row>
    <row r="23" spans="1:7" x14ac:dyDescent="0.45">
      <c r="A23" s="2" t="s">
        <v>17</v>
      </c>
      <c r="B23" s="2" t="s">
        <v>10</v>
      </c>
      <c r="C23" s="2" t="s">
        <v>6</v>
      </c>
      <c r="D23" s="2" t="s">
        <v>7</v>
      </c>
      <c r="E23">
        <v>0.10050272381054</v>
      </c>
      <c r="F23">
        <v>0.11840085568497</v>
      </c>
    </row>
    <row r="24" spans="1:7" x14ac:dyDescent="0.45">
      <c r="A24" s="2" t="s">
        <v>17</v>
      </c>
      <c r="B24" s="2" t="s">
        <v>11</v>
      </c>
      <c r="C24" s="2" t="s">
        <v>6</v>
      </c>
      <c r="D24" s="2" t="s">
        <v>7</v>
      </c>
      <c r="E24">
        <v>6.7733843181880998E-2</v>
      </c>
      <c r="F24">
        <v>7.2744033276396003E-2</v>
      </c>
    </row>
    <row r="25" spans="1:7" x14ac:dyDescent="0.45">
      <c r="A25" s="2" t="s">
        <v>17</v>
      </c>
      <c r="B25" s="2" t="s">
        <v>12</v>
      </c>
      <c r="C25" s="2" t="s">
        <v>6</v>
      </c>
      <c r="D25" s="2" t="s">
        <v>7</v>
      </c>
      <c r="E25">
        <v>6.2722247601136001</v>
      </c>
      <c r="F25">
        <v>6.3680556739972003</v>
      </c>
    </row>
    <row r="26" spans="1:7" x14ac:dyDescent="0.45">
      <c r="A26" s="2" t="s">
        <v>17</v>
      </c>
      <c r="B26" s="2" t="s">
        <v>13</v>
      </c>
      <c r="C26" s="2" t="s">
        <v>6</v>
      </c>
      <c r="D26" s="2" t="s">
        <v>7</v>
      </c>
      <c r="E26">
        <v>0.84047274449959997</v>
      </c>
      <c r="F26">
        <v>0.87978257369959001</v>
      </c>
    </row>
    <row r="27" spans="1:7" x14ac:dyDescent="0.45">
      <c r="A27" s="2" t="s">
        <v>17</v>
      </c>
      <c r="B27" s="2" t="s">
        <v>14</v>
      </c>
      <c r="C27" s="2" t="s">
        <v>6</v>
      </c>
      <c r="D27" s="2" t="s">
        <v>7</v>
      </c>
      <c r="E27">
        <v>1.8731007957181001</v>
      </c>
      <c r="F27">
        <v>1.9008275910711001</v>
      </c>
    </row>
    <row r="28" spans="1:7" x14ac:dyDescent="0.45">
      <c r="A28" s="2" t="s">
        <v>16</v>
      </c>
      <c r="B28" s="2" t="s">
        <v>12</v>
      </c>
      <c r="C28" s="2" t="s">
        <v>6</v>
      </c>
      <c r="D28" s="2" t="s">
        <v>7</v>
      </c>
      <c r="E28">
        <v>16.989568256169999</v>
      </c>
      <c r="F28">
        <v>18.051071974919999</v>
      </c>
    </row>
    <row r="29" spans="1:7" x14ac:dyDescent="0.45">
      <c r="A29" s="2" t="s">
        <v>5</v>
      </c>
      <c r="B29" s="2" t="s">
        <v>5</v>
      </c>
      <c r="E29">
        <f>E2+E12+E20</f>
        <v>26.2186858098299</v>
      </c>
      <c r="F29">
        <f>F2+F12+F20</f>
        <v>25.534512325073102</v>
      </c>
    </row>
    <row r="30" spans="1:7" x14ac:dyDescent="0.45">
      <c r="A30" s="2" t="s">
        <v>8</v>
      </c>
      <c r="B30" s="2" t="s">
        <v>8</v>
      </c>
      <c r="E30">
        <f>E3+E13+E21</f>
        <v>17.685738639795868</v>
      </c>
      <c r="F30">
        <f>F3+F13+F21</f>
        <v>18.467305688561162</v>
      </c>
    </row>
    <row r="31" spans="1:7" x14ac:dyDescent="0.45">
      <c r="A31" s="2" t="s">
        <v>9</v>
      </c>
      <c r="B31" s="2" t="s">
        <v>9</v>
      </c>
      <c r="E31">
        <f>E4+E14+E22</f>
        <v>50.591684354581183</v>
      </c>
      <c r="F31">
        <f>F4+F14+F22</f>
        <v>49.764452749141128</v>
      </c>
    </row>
    <row r="32" spans="1:7" x14ac:dyDescent="0.45">
      <c r="A32" s="2" t="s">
        <v>10</v>
      </c>
      <c r="B32" s="2" t="s">
        <v>10</v>
      </c>
      <c r="E32">
        <f>E5+E15+E23</f>
        <v>40.744039745175726</v>
      </c>
      <c r="F32">
        <f>F5+F15+F23</f>
        <v>45.843333533985046</v>
      </c>
      <c r="G32" s="3">
        <f>(F32+29.76)/F39</f>
        <v>0.19556047588130682</v>
      </c>
    </row>
    <row r="33" spans="1:7" x14ac:dyDescent="0.45">
      <c r="A33" s="2" t="s">
        <v>11</v>
      </c>
      <c r="B33" s="2" t="s">
        <v>11</v>
      </c>
      <c r="E33">
        <f>E6+E16+E24</f>
        <v>89.233405071969528</v>
      </c>
      <c r="F33">
        <f>F6+F16+F24</f>
        <v>96.005277507859745</v>
      </c>
    </row>
    <row r="34" spans="1:7" x14ac:dyDescent="0.45">
      <c r="A34" s="2" t="s">
        <v>12</v>
      </c>
      <c r="B34" s="2" t="s">
        <v>12</v>
      </c>
      <c r="E34">
        <f>E7+E17+E25+E28</f>
        <v>61.559366021597086</v>
      </c>
      <c r="F34">
        <f>F7+F17+F25+F28</f>
        <v>63.165800673042106</v>
      </c>
    </row>
    <row r="35" spans="1:7" x14ac:dyDescent="0.45">
      <c r="A35" s="2" t="s">
        <v>13</v>
      </c>
      <c r="B35" s="2" t="s">
        <v>13</v>
      </c>
      <c r="E35">
        <f>E8+E18+E26</f>
        <v>59.964733233392863</v>
      </c>
      <c r="F35">
        <f>F8+F18+F26</f>
        <v>63.657800517957682</v>
      </c>
    </row>
    <row r="36" spans="1:7" x14ac:dyDescent="0.45">
      <c r="A36" s="2" t="s">
        <v>14</v>
      </c>
      <c r="B36" s="2" t="s">
        <v>14</v>
      </c>
      <c r="E36">
        <f>E9+E19+E27</f>
        <v>23.72851630910451</v>
      </c>
      <c r="F36">
        <f>F9+F19+F27</f>
        <v>24.159745471934041</v>
      </c>
    </row>
    <row r="37" spans="1:7" x14ac:dyDescent="0.45">
      <c r="E37">
        <f>SUM(E30:E33)+E35</f>
        <v>258.21960104491518</v>
      </c>
      <c r="F37">
        <f>SUM(F30:F33)+F35</f>
        <v>273.73816999750477</v>
      </c>
      <c r="G37" s="3">
        <f>F37/F$39</f>
        <v>0.7080688679888214</v>
      </c>
    </row>
    <row r="39" spans="1:7" x14ac:dyDescent="0.45">
      <c r="E39">
        <f>SUM(E29:E36)</f>
        <v>369.72616918544668</v>
      </c>
      <c r="F39">
        <f>SUM(F29:F36)</f>
        <v>386.59822846755407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John Stretton</dc:creator>
  <cp:lastModifiedBy>Stephen John Stretton</cp:lastModifiedBy>
  <dcterms:created xsi:type="dcterms:W3CDTF">2026-06-09T14:43:45Z</dcterms:created>
  <dcterms:modified xsi:type="dcterms:W3CDTF">2026-06-09T15:06:06Z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2026-06-09T15:05:58Z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49525a4b-bb17-460a-8262-c973239e23f6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