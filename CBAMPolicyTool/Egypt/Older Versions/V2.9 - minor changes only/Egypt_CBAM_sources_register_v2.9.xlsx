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djustment" sheetId="2" state="visible" r:id="rId4"/>
    <sheet name="Sources" sheetId="3" state="visible" r:id="rId5"/>
    <sheet name="Ga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<sst xmlns="http://schemas.openxmlformats.org/spreadsheetml/2006/main" count="817" uniqueCount="426">
  <si>
    <t xml:space="preserve">Egypt CBAM model: register of data and assumptions (v2.9)</t>
  </si>
  <si>
    <t xml:space="preserve">Every input in Egypt_CBAM_results_v2.9.xlsx, with its value, where it sits, what it drives and its source. Status: Sourced = taken from a published source; Derived = calculated from sourced inputs; Policy choice = scenario design; Judgment or Assumption = no direct source, flagged for review. Nothing in the model was changed to build this register.</t>
  </si>
  <si>
    <t xml:space="preserve">#</t>
  </si>
  <si>
    <t xml:space="preserve">Group</t>
  </si>
  <si>
    <t xml:space="preserve">Input</t>
  </si>
  <si>
    <t xml:space="preserve">Value</t>
  </si>
  <si>
    <t xml:space="preserve">Unit</t>
  </si>
  <si>
    <t xml:space="preserve">Model location</t>
  </si>
  <si>
    <t xml:space="preserve">Used for</t>
  </si>
  <si>
    <t xml:space="preserve">Source</t>
  </si>
  <si>
    <t xml:space="preserve">Link</t>
  </si>
  <si>
    <t xml:space="preserve">Status</t>
  </si>
  <si>
    <t xml:space="preserve">Confidence</t>
  </si>
  <si>
    <t xml:space="preserve">Notes and how to improve</t>
  </si>
  <si>
    <t xml:space="preserve">Scenario design</t>
  </si>
  <si>
    <t xml:space="preserve">Carbon price in 2030, τ</t>
  </si>
  <si>
    <t xml:space="preserve">20 (all scenarios)</t>
  </si>
  <si>
    <t xml:space="preserve">US$/t CO2</t>
  </si>
  <si>
    <t xml:space="preserve">Calculations!C73:H73</t>
  </si>
  <si>
    <t xml:space="preserve">All price effects; revenue; credit</t>
  </si>
  <si>
    <t xml:space="preserve">Study design (World Bank team). 1A and 2A described as a flat USD20 from 2028; 3A to 3C as a path from USD5 to USD50 by 2034, USD20 in 2030</t>
  </si>
  <si>
    <t xml:space="preserve">Policy choice</t>
  </si>
  <si>
    <t xml:space="preserve">High</t>
  </si>
  <si>
    <t xml:space="preserve">A choice, not an estimate.</t>
  </si>
  <si>
    <t xml:space="preserve">Process emissions priced, π</t>
  </si>
  <si>
    <t xml:space="preserve">1A, 3A–3C = 1; 2A, 2B = 0</t>
  </si>
  <si>
    <t xml:space="preserve">flag</t>
  </si>
  <si>
    <t xml:space="preserve">Calculations!C69:H69</t>
  </si>
  <si>
    <t xml:space="preserve">Which emissions face the price</t>
  </si>
  <si>
    <t xml:space="preserve">Study design (scenario definitions, methodology section 3)</t>
  </si>
  <si>
    <t xml:space="preserve">Rebate (feebate) share, θ</t>
  </si>
  <si>
    <t xml:space="preserve">3B = 1; others 0</t>
  </si>
  <si>
    <t xml:space="preserve">share</t>
  </si>
  <si>
    <t xml:space="preserve">Calculations!C70:H70</t>
  </si>
  <si>
    <t xml:space="preserve">3B output-based refund</t>
  </si>
  <si>
    <t xml:space="preserve">Study design</t>
  </si>
  <si>
    <t xml:space="preserve">Fund switch, φ</t>
  </si>
  <si>
    <t xml:space="preserve">3C = 1; others 0</t>
  </si>
  <si>
    <t xml:space="preserve">Calculations!C71:H71</t>
  </si>
  <si>
    <t xml:space="preserve">3C abatement fund</t>
  </si>
  <si>
    <t xml:space="preserve">CBAM-sectors-only flag</t>
  </si>
  <si>
    <t xml:space="preserve">3A–3C = 1</t>
  </si>
  <si>
    <t xml:space="preserve">Calculations!C72:H72</t>
  </si>
  <si>
    <t xml:space="preserve">3A–3C base is the CBAM block only</t>
  </si>
  <si>
    <t xml:space="preserve">Study design; CPAT cannot isolate CBAM sectors (methodology Appendix G)</t>
  </si>
  <si>
    <t xml:space="preserve">Fund shadow price, ψ</t>
  </si>
  <si>
    <t xml:space="preserve">20</t>
  </si>
  <si>
    <t xml:space="preserve">US$/t</t>
  </si>
  <si>
    <t xml:space="preserve">Calculations!C79</t>
  </si>
  <si>
    <t xml:space="preserve">3C intensity response</t>
  </si>
  <si>
    <t xml:space="preserve">Study assumption, following CPAT's treatment of funds as a shadow price on efficiency (CPAT Team 2024, section 3.1.8.1)</t>
  </si>
  <si>
    <t xml:space="preserve">https://www.imf.org/en/Topics/climate-change/CPAT</t>
  </si>
  <si>
    <t xml:space="preserve">Assumption</t>
  </si>
  <si>
    <t xml:space="preserve">Low</t>
  </si>
  <si>
    <t xml:space="preserve">Not solved for the fund size; a fully solved fund would give a larger effect. Simplification flagged in methodology section 8.</t>
  </si>
  <si>
    <t xml:space="preserve">Years from 2024 to 2030</t>
  </si>
  <si>
    <t xml:space="preserve">6</t>
  </si>
  <si>
    <t xml:space="preserve">years</t>
  </si>
  <si>
    <t xml:space="preserve">Calculations!C78</t>
  </si>
  <si>
    <t xml:space="preserve">Growing 2024 output to 2030</t>
  </si>
  <si>
    <t xml:space="preserve">Arithmetic</t>
  </si>
  <si>
    <t xml:space="preserve">Derived</t>
  </si>
  <si>
    <t xml:space="preserve">CPAT</t>
  </si>
  <si>
    <t xml:space="preserve">CPAT runs EGY1A to EGY3C (raw results)</t>
  </si>
  <si>
    <t xml:space="preserve">Six runs, 2030 values</t>
  </si>
  <si>
    <t xml:space="preserve">various</t>
  </si>
  <si>
    <t xml:space="preserve">Data sheet; looked up in Calculations rows 90–118</t>
  </si>
  <si>
    <t xml:space="preserve">National cut, receipts, deaths, coverage, industry energy CO2</t>
  </si>
  <si>
    <t xml:space="preserve">IMF–World Bank Climate Policy Assessment Tool, Egypt runs prepared by the study team (raw results dated 6–7 October 2026)</t>
  </si>
  <si>
    <t xml:space="preserve">Model data</t>
  </si>
  <si>
    <t xml:space="preserve">Medium</t>
  </si>
  <si>
    <t xml:space="preserve">CPAT is used for the rest of the economy, the industry fuel response and deaths only. Its sub-industry data for Egypt are empty except iron and steel, so it is not used for the CBAM base (methodology Appendix G).</t>
  </si>
  <si>
    <t xml:space="preserve">CPAT industry fuel response</t>
  </si>
  <si>
    <t xml:space="preserve">−0.0068 (ln(77.2/88.4)/20)</t>
  </si>
  <si>
    <t xml:space="preserve">per US$/t</t>
  </si>
  <si>
    <t xml:space="preserve">Calculations!C75</t>
  </si>
  <si>
    <t xml:space="preserve">Fuel-intensity response β^f (residual)</t>
  </si>
  <si>
    <t xml:space="preserve">CPAT 1A run: industry energy CO2 88.4 → 77.2 Mt</t>
  </si>
  <si>
    <t xml:space="preserve">All industry, not CBAM products only; see Appendix B.4.</t>
  </si>
  <si>
    <t xml:space="preserve">Output part of the fuel response</t>
  </si>
  <si>
    <t xml:space="preserve">−0.0011</t>
  </si>
  <si>
    <t xml:space="preserve">Calculations!C76</t>
  </si>
  <si>
    <t xml:space="preserve">β^f residual</t>
  </si>
  <si>
    <t xml:space="preserve">Block output effect in 2A (fuel cost only), from the price elasticities below</t>
  </si>
  <si>
    <t xml:space="preserve">Fuel-intensity semi-elasticity, β^f</t>
  </si>
  <si>
    <t xml:space="preserve">0.0057</t>
  </si>
  <si>
    <t xml:space="preserve">Calculations!C77 (override C86)</t>
  </si>
  <si>
    <t xml:space="preserve">Fuel emissions per tonne</t>
  </si>
  <si>
    <t xml:space="preserve">Residual of the two lines above. Cross-checked against the literature (consensus about 0.005, range 0.0037–0.0075): Labandeira et al. (2017); Dechezleprêtre et al. (2023); Colmer et al. (2025); methodology Appendix F</t>
  </si>
  <si>
    <t xml:space="preserve">https://cadmus.eui.eu/bitstream/handle/1814/40870/RSCAS_2016_25.pdf</t>
  </si>
  <si>
    <t xml:space="preserve">Override cell C86 lets users apply the literature value.</t>
  </si>
  <si>
    <t xml:space="preserve">Reference run for deaths per Mt</t>
  </si>
  <si>
    <t xml:space="preserve">EGY3A</t>
  </si>
  <si>
    <t xml:space="preserve">run</t>
  </si>
  <si>
    <t xml:space="preserve">Calculations!C83</t>
  </si>
  <si>
    <t xml:space="preserve">Deaths where a run has no energy CO2 change</t>
  </si>
  <si>
    <t xml:space="preserve">Study choice</t>
  </si>
  <si>
    <t xml:space="preserve">National totals</t>
  </si>
  <si>
    <t xml:space="preserve">Energy CO2 share of national GHG, s_en</t>
  </si>
  <si>
    <t xml:space="preserve">0.65</t>
  </si>
  <si>
    <t xml:space="preserve">Calculations!C85</t>
  </si>
  <si>
    <t xml:space="preserve">National GHG in 2030 (435 Mt): coverage and cut shares</t>
  </si>
  <si>
    <t xml:space="preserve">Egypt First Biennial Transparency Report (Dec 2024): 2022 GHG 386 Mt CO2e excl. LULUCF, energy 66%; less non-CO2 energy emissions ≈ 65%</t>
  </si>
  <si>
    <t xml:space="preserve">https://unfccc.int/sites/default/files/resource/Egypt%20BTR1%20Final%20Master%20Report_v3_30DEC24%20AMR.pdf</t>
  </si>
  <si>
    <t xml:space="preserve">Sourced</t>
  </si>
  <si>
    <t xml:space="preserve">The 1-point deduction for non-CO2 energy emissions is a judgment; the BTR tables by gas would confirm it.</t>
  </si>
  <si>
    <t xml:space="preserve">EU CBAM</t>
  </si>
  <si>
    <t xml:space="preserve">EU certificate price in 2030, p^EU</t>
  </si>
  <si>
    <t xml:space="preserve">125 (€109 × 1.15)</t>
  </si>
  <si>
    <t xml:space="preserve">Calculations!C80</t>
  </si>
  <si>
    <t xml:space="preserve">Border charge per tonne</t>
  </si>
  <si>
    <t xml:space="preserve">Reuters poll of nine analysts, July 2026 (average 2030 EU ETS forecast €109/t); US$1.15 per euro</t>
  </si>
  <si>
    <t xml:space="preserve">https://www.reuters.com/business/energy/</t>
  </si>
  <si>
    <t xml:space="preserve">A forecast; the credit share scales inversely with it.</t>
  </si>
  <si>
    <t xml:space="preserve">CBAM phase-in factor 2030, γ</t>
  </si>
  <si>
    <t xml:space="preserve">0.485</t>
  </si>
  <si>
    <t xml:space="preserve">Calculations!C81</t>
  </si>
  <si>
    <t xml:space="preserve">Regulation (EU) 2023/956 (CBAM), Art. 31, with the free-allocation phase-out schedule in Directive (EU) 2023/959 (ETS), Art. 10a(1a): 48.5% in 2030</t>
  </si>
  <si>
    <t xml:space="preserve">https://eur-lex.europa.eu/eli/reg/2023/956/oj</t>
  </si>
  <si>
    <t xml:space="preserve">Fixed by law (subject to later amendment).</t>
  </si>
  <si>
    <t xml:space="preserve">Deduction scaling, κ</t>
  </si>
  <si>
    <t xml:space="preserve">1 (full credit)</t>
  </si>
  <si>
    <t xml:space="preserve">Calculations!C82</t>
  </si>
  <si>
    <t xml:space="preserve">Credit for Egypt's carbon price</t>
  </si>
  <si>
    <t xml:space="preserve">Study assumption, consistent with CBAM Regulation Art. 9 (deduction of carbon price effectively paid in the country of origin)</t>
  </si>
  <si>
    <t xml:space="preserve">Credit rules for rebates and funds are still being finalised; 3B (output-based rebate) is treated as ineligible.</t>
  </si>
  <si>
    <t xml:space="preserve">Verified (MRV) emissions recognised</t>
  </si>
  <si>
    <t xml:space="preserve">Yes</t>
  </si>
  <si>
    <t xml:space="preserve">—</t>
  </si>
  <si>
    <t xml:space="preserve">Methodology footnote 4</t>
  </si>
  <si>
    <t xml:space="preserve">Intensity gains reduce the obligation</t>
  </si>
  <si>
    <t xml:space="preserve">Assumption: exporters report verified actual emissions under CBAM MRV rules rather than EU default values</t>
  </si>
  <si>
    <t xml:space="preserve">https://taxation-customs.ec.europa.eu/carbon-border-adjustment-mechanism_en</t>
  </si>
  <si>
    <t xml:space="preserve">If default values apply, intensity gains would not lower the obligation.</t>
  </si>
  <si>
    <t xml:space="preserve">Product output 2024</t>
  </si>
  <si>
    <t xml:space="preserve">2024 output, DRI-EAF steel</t>
  </si>
  <si>
    <t xml:space="preserve">6,400</t>
  </si>
  <si>
    <t xml:space="preserve">kt</t>
  </si>
  <si>
    <t xml:space="preserve">Product detail!C16:C22</t>
  </si>
  <si>
    <t xml:space="preserve">Block size, emissions, revenue</t>
  </si>
  <si>
    <t xml:space="preserve">Midrex: Egypt DRI production 6.37 Mt (2024), taken as steel tonnes (0.98 t DRI per t steel)</t>
  </si>
  <si>
    <t xml:space="preserve">https://www.midrex.com/world-dri-statistics/world-dri-production-reaches-140-8-mt-in-2024/</t>
  </si>
  <si>
    <t xml:space="preserve">Country figure from Midrex World DRI Statistics; confirm with worldsteel DRI data.</t>
  </si>
  <si>
    <t xml:space="preserve">2024 output, Scrap-EAF steel</t>
  </si>
  <si>
    <t xml:space="preserve">4,300</t>
  </si>
  <si>
    <t xml:space="preserve">worldsteel: Egypt crude steel 10.7 Mt (2024), less DRI-EAF</t>
  </si>
  <si>
    <t xml:space="preserve">https://aisusteel.org/en/archives/31946</t>
  </si>
  <si>
    <t xml:space="preserve">Split between routes is a residual; BF-BOF excluded (no output).</t>
  </si>
  <si>
    <t xml:space="preserve">2024 output, Gray clinker</t>
  </si>
  <si>
    <t xml:space="preserve">40,000</t>
  </si>
  <si>
    <t xml:space="preserve">Cement about 50 Mt (World Cement Association, 2023; USGS) × clinker ratio 0.8 (assumed)</t>
  </si>
  <si>
    <t xml:space="preserve">https://hydrocarbonprocessing.com/news/2025/01/beware-egypts-smokestack-onshoring-as-cement-exports-surge/</t>
  </si>
  <si>
    <t xml:space="preserve">Clinker exports (part of 9.7 Mt cement and clinker exports in 2024) may put clinker 5–10% higher. Cross-check: block cement CO2 34 Mt vs Climate TRACE 32 Mt (2023).</t>
  </si>
  <si>
    <t xml:space="preserve">2024 output, Ammonia</t>
  </si>
  <si>
    <t xml:space="preserve">4,736</t>
  </si>
  <si>
    <t xml:space="preserve">USGS Mineral Commodity Summaries 2026: Egypt 3,900 kt N (2024) × 17/14</t>
  </si>
  <si>
    <t xml:space="preserve">https://pubs.usgs.gov/periodicals/mcs2026/mcs2026-nitrogen.pdf</t>
  </si>
  <si>
    <t xml:space="preserve">Corrected in v2.9 (was 2.1 Mt from an EBRD subset of EU-exporting plants).</t>
  </si>
  <si>
    <t xml:space="preserve">2024 output, Urea</t>
  </si>
  <si>
    <t xml:space="preserve">7,000</t>
  </si>
  <si>
    <t xml:space="preserve">Argus (24 March 2026): capacity 7.2–7.3 Mt a year running at full rates; exports about 4.5 Mt a year (2023–25)</t>
  </si>
  <si>
    <t xml:space="preserve">https://www.argusmedia.com/en/news-and-insights/latest-market-news/2805101-egypt-s-urea-availability-production-solid</t>
  </si>
  <si>
    <t xml:space="preserve">Capacity-based; consistent with the USGS nitrogen balance.</t>
  </si>
  <si>
    <t xml:space="preserve">2024 output, Ammonium nitrate</t>
  </si>
  <si>
    <t xml:space="preserve">1,500</t>
  </si>
  <si>
    <t xml:space="preserve">Nitrogen balance: USGS ammonia N less urea N, less about 100 kt merchant ammonia. Abu Qir alone has about 0.88 Mt capacity</t>
  </si>
  <si>
    <t xml:space="preserve">https://abuqir.net/about/</t>
  </si>
  <si>
    <t xml:space="preserve">No published national AN output found; replace with CAPMAS or company data.</t>
  </si>
  <si>
    <t xml:space="preserve">2024 output, Primary aluminum</t>
  </si>
  <si>
    <t xml:space="preserve">300</t>
  </si>
  <si>
    <t xml:space="preserve">Egyptalum capacity about 310–320 kt; flat to 2030</t>
  </si>
  <si>
    <t xml:space="preserve">https://www.egyptalum.com.eg/</t>
  </si>
  <si>
    <t xml:space="preserve">Use Egyptalum annual report output for 2024.</t>
  </si>
  <si>
    <t xml:space="preserve">Product growth 2024–30</t>
  </si>
  <si>
    <t xml:space="preserve">Output growth, Scrap-EAF steel, clinker</t>
  </si>
  <si>
    <t xml:space="preserve">5%</t>
  </si>
  <si>
    <t xml:space="preserve">% a year</t>
  </si>
  <si>
    <t xml:space="preserve">Product detail!D16:D22</t>
  </si>
  <si>
    <t xml:space="preserve">2030 block size</t>
  </si>
  <si>
    <t xml:space="preserve">IMF World Economic Outlook real GDP forecasts for Egypt (about 5% a year), within capacity (clinker capacity about 60 Mt, USGS)</t>
  </si>
  <si>
    <t xml:space="preserve">https://www.imf.org/en/Publications/WEO</t>
  </si>
  <si>
    <t xml:space="preserve">Output growth, Fertilizers (ammonia, urea, AN)</t>
  </si>
  <si>
    <t xml:space="preserve">2.9%</t>
  </si>
  <si>
    <t xml:space="preserve">2.5 Mt of announced capacity additions by 2030 (Daily News Egypt, Sept 2026) on a 13.2 Mt base</t>
  </si>
  <si>
    <t xml:space="preserve">https://www.dailynewsegypt.com/</t>
  </si>
  <si>
    <t xml:space="preserve">Output growth, DRI-EAF steel</t>
  </si>
  <si>
    <t xml:space="preserve">2%</t>
  </si>
  <si>
    <t xml:space="preserve">DRI plants at rated capacity; assumes half of the idle 1.76 Mt ESISCO plant restarts (Midrex plant list)</t>
  </si>
  <si>
    <t xml:space="preserve">https://www.midrex.com/</t>
  </si>
  <si>
    <t xml:space="preserve">Judgment</t>
  </si>
  <si>
    <t xml:space="preserve">Output growth, Primary aluminum</t>
  </si>
  <si>
    <t xml:space="preserve">0%</t>
  </si>
  <si>
    <t xml:space="preserve">No new potline announced before 2030</t>
  </si>
  <si>
    <t xml:space="preserve">Product prices (2024)</t>
  </si>
  <si>
    <t xml:space="preserve">Price, Steel (both routes)</t>
  </si>
  <si>
    <t xml:space="preserve">530</t>
  </si>
  <si>
    <t xml:space="preserve">Product detail!H16:H22</t>
  </si>
  <si>
    <t xml:space="preserve">Carbon cost as share of price (output effect)</t>
  </si>
  <si>
    <t xml:space="preserve">SteelOrbis: Egyptian billet ex-works $521–533/t (2026)</t>
  </si>
  <si>
    <t xml:space="preserve">https://www.steelorbis.com/prices/</t>
  </si>
  <si>
    <t xml:space="preserve">Held constant in real terms to 2030.</t>
  </si>
  <si>
    <t xml:space="preserve">Price, Clinker</t>
  </si>
  <si>
    <t xml:space="preserve">35</t>
  </si>
  <si>
    <t xml:space="preserve">CW Research: Mediterranean clinker FOB</t>
  </si>
  <si>
    <t xml:space="preserve">https://www.cwgrp.com/</t>
  </si>
  <si>
    <t xml:space="preserve">Price, Ammonia</t>
  </si>
  <si>
    <t xml:space="preserve">400</t>
  </si>
  <si>
    <t xml:space="preserve">Argus / QCIntel: Middle East FOB, 2024 range about $300–450</t>
  </si>
  <si>
    <t xml:space="preserve">https://www.argusmedia.com/</t>
  </si>
  <si>
    <t xml:space="preserve">Price, Urea</t>
  </si>
  <si>
    <t xml:space="preserve">340</t>
  </si>
  <si>
    <t xml:space="preserve">World Bank Commodity Price Data (Pink Sheet), 2024 average $338</t>
  </si>
  <si>
    <t xml:space="preserve">https://www.worldbank.org/en/research/commodity-markets</t>
  </si>
  <si>
    <t xml:space="preserve">Price, Ammonium nitrate</t>
  </si>
  <si>
    <t xml:space="preserve">320</t>
  </si>
  <si>
    <t xml:space="preserve">Urea price × Egypt's domestic AN/urea price ratio (0.93)</t>
  </si>
  <si>
    <t xml:space="preserve">Price, Primary aluminum</t>
  </si>
  <si>
    <t xml:space="preserve">2,600</t>
  </si>
  <si>
    <t xml:space="preserve">Egyptalum export value $452m / 174 kt (FY2023/24); LME 2024 average $2,419</t>
  </si>
  <si>
    <t xml:space="preserve">EU exports</t>
  </si>
  <si>
    <t xml:space="preserve">EU exports, DRI-EAF steel</t>
  </si>
  <si>
    <t xml:space="preserve">610</t>
  </si>
  <si>
    <t xml:space="preserve">Product detail!D24:D30</t>
  </si>
  <si>
    <t xml:space="preserve">Export-weighted intensity and credit (border charge)</t>
  </si>
  <si>
    <t xml:space="preserve">UN Comtrade: EU iron and steel imports from Egypt (about US$0.6bn), split between routes by assumption</t>
  </si>
  <si>
    <t xml:space="preserve">https://comtradeplus.un.org/</t>
  </si>
  <si>
    <t xml:space="preserve">EU exports, Scrap-EAF steel</t>
  </si>
  <si>
    <t xml:space="preserve">As above</t>
  </si>
  <si>
    <t xml:space="preserve">EU exports, Gray clinker</t>
  </si>
  <si>
    <t xml:space="preserve">800</t>
  </si>
  <si>
    <t xml:space="preserve">Study assumption</t>
  </si>
  <si>
    <t xml:space="preserve">Weights only: the border charge is per tonne, so export volumes matter only through the product mix. Replace with Eurostat Comext 2024 CN-level data.</t>
  </si>
  <si>
    <t xml:space="preserve">EU exports, Ammonia</t>
  </si>
  <si>
    <t xml:space="preserve">97</t>
  </si>
  <si>
    <t xml:space="preserve">EBRD: 1.45 Mt fertilizers to the EU, split by product</t>
  </si>
  <si>
    <t xml:space="preserve">https://ebrd.com/content/dam/ebrd_dxp/assets/pdfs/green/knowledge-hub/Implications%20of%20the%20EU%20Carbon%20Border%20Adjustment%20Mechanism%20for%20Egyptian%20fertiliser%20sector.pdf</t>
  </si>
  <si>
    <t xml:space="preserve">EU exports, Urea</t>
  </si>
  <si>
    <t xml:space="preserve">1,289</t>
  </si>
  <si>
    <t xml:space="preserve">EU exports, Ammonium nitrate</t>
  </si>
  <si>
    <t xml:space="preserve">64</t>
  </si>
  <si>
    <t xml:space="preserve">EU exports, Primary aluminum</t>
  </si>
  <si>
    <t xml:space="preserve">167</t>
  </si>
  <si>
    <t xml:space="preserve">Egyptalum exports 174 kt (FY2023/24) × 96% to EU markets</t>
  </si>
  <si>
    <t xml:space="preserve">Responses</t>
  </si>
  <si>
    <t xml:space="preserve">Price elasticity of physical output, Gray clinker</t>
  </si>
  <si>
    <t xml:space="preserve">−0.10</t>
  </si>
  <si>
    <t xml:space="preserve">elasticity</t>
  </si>
  <si>
    <t xml:space="preserve">Product detail!C24:C30</t>
  </si>
  <si>
    <t xml:space="preserve">Output response to the net carbon cost</t>
  </si>
  <si>
    <t xml:space="preserve">Study judgment: market demand, cost pass-through and trade exposure (methodology Appendix C.1). No Egypt-specific estimates found</t>
  </si>
  <si>
    <t xml:space="preserve">Matters mainly for cement (carbon ≈ half the clinker price). Appendix E tests output levels; a test on these elasticities would add value.</t>
  </si>
  <si>
    <t xml:space="preserve">Price elasticity of physical output, Steel (both routes)</t>
  </si>
  <si>
    <t xml:space="preserve">−0.40</t>
  </si>
  <si>
    <t xml:space="preserve">Price elasticity of physical output, Ammonia, urea, AN</t>
  </si>
  <si>
    <t xml:space="preserve">Price elasticity of physical output, Primary aluminum</t>
  </si>
  <si>
    <t xml:space="preserve">−0.50</t>
  </si>
  <si>
    <t xml:space="preserve">Process semi-elasticity, DRI-EAF steel</t>
  </si>
  <si>
    <t xml:space="preserve">0.0034</t>
  </si>
  <si>
    <t xml:space="preserve">Product detail!E24:F30</t>
  </si>
  <si>
    <t xml:space="preserve">Process emissions per tonne</t>
  </si>
  <si>
    <t xml:space="preserve">Fitted to the share of process emissions removable at about $120/t: 34% cut at about $120/t. IPCC AR6 WGIII Tables 11.3 and 12.3; IPCC AR4 WGIII Chapter 7 for N2O and PFCs</t>
  </si>
  <si>
    <t xml:space="preserve">https://www.ipcc.ch/report/ar6/wg3/</t>
  </si>
  <si>
    <t xml:space="preserve">Global cost data, not Egyptian abatement curves.</t>
  </si>
  <si>
    <t xml:space="preserve">Process semi-elasticity, Scrap-EAF steel</t>
  </si>
  <si>
    <t xml:space="preserve">0.0016</t>
  </si>
  <si>
    <t xml:space="preserve">Fitted to the share of process emissions removable at about $120/t: 18%. IPCC AR6 WGIII Tables 11.3 and 12.3; IPCC AR4 WGIII Chapter 7 for N2O and PFCs</t>
  </si>
  <si>
    <t xml:space="preserve">Process semi-elasticity, Gray clinker</t>
  </si>
  <si>
    <t xml:space="preserve">0.0033</t>
  </si>
  <si>
    <t xml:space="preserve">Fitted to the share of process emissions removable at about $120/t: 34% (clinker substitution). IPCC AR6 WGIII Tables 11.3 and 12.3; IPCC AR4 WGIII Chapter 7 for N2O and PFCs</t>
  </si>
  <si>
    <t xml:space="preserve">Process semi-elasticity, Ammonia, urea</t>
  </si>
  <si>
    <t xml:space="preserve">0</t>
  </si>
  <si>
    <t xml:space="preserve">Fitted to the share of process emissions removable at about $120/t: none. IPCC AR6 WGIII Tables 11.3 and 12.3; IPCC AR4 WGIII Chapter 7 for N2O and PFCs</t>
  </si>
  <si>
    <t xml:space="preserve">Process semi-elasticity, Ammonium nitrate (N2O)</t>
  </si>
  <si>
    <t xml:space="preserve">0.0079</t>
  </si>
  <si>
    <t xml:space="preserve">Fitted to the share of process emissions removable at about $120/t: 62% (nitric-acid N2O catalysts). IPCC AR6 WGIII Tables 11.3 and 12.3; IPCC AR4 WGIII Chapter 7 for N2O and PFCs</t>
  </si>
  <si>
    <t xml:space="preserve">Process semi-elasticity, Primary aluminum</t>
  </si>
  <si>
    <t xml:space="preserve">0.0020</t>
  </si>
  <si>
    <t xml:space="preserve">Fitted to the share of process emissions removable at about $120/t: 22% (anode and PFC control). IPCC AR6 WGIII Tables 11.3 and 12.3; IPCC AR4 WGIII Chapter 7 for N2O and PFCs</t>
  </si>
  <si>
    <t xml:space="preserve">Emission factors</t>
  </si>
  <si>
    <t xml:space="preserve">Natural gas carbon content</t>
  </si>
  <si>
    <t xml:space="preserve">0.0561</t>
  </si>
  <si>
    <t xml:space="preserve">t CO2/GJ</t>
  </si>
  <si>
    <t xml:space="preserve">Product detail!E16:G22 (methodology Appendix D)</t>
  </si>
  <si>
    <t xml:space="preserve">Emission factors per tonne</t>
  </si>
  <si>
    <t xml:space="preserve">IPCC 2006 Guidelines Vol. 2, Table 1.4 (56.1 kg/TJ ×10³)</t>
  </si>
  <si>
    <t xml:space="preserve">https://www.ipcc-nggip.iges.or.jp/public/2006gl/vol2.html</t>
  </si>
  <si>
    <t xml:space="preserve">Coal, petroleum coke, heavy fuel oil</t>
  </si>
  <si>
    <t xml:space="preserve">94.6, 97.5, 77.4</t>
  </si>
  <si>
    <t xml:space="preserve">kg CO2/GJ</t>
  </si>
  <si>
    <t xml:space="preserve">IPCC 2006 Guidelines Vol. 2, Table 1.4</t>
  </si>
  <si>
    <t xml:space="preserve">Kiln fuel mix (coal 45%, petcoke 40%, gas 5%, HFO 2%, alternative fuels 8%)</t>
  </si>
  <si>
    <t xml:space="preserve">0.0896</t>
  </si>
  <si>
    <t xml:space="preserve">EBRD Low-Carbon Roadmap for the Egyptian Cement Industry: post-2014 switch to coal and petcoke, alternative fuels under 5% rising to 8–15%; split between coal and petcoke assumed</t>
  </si>
  <si>
    <t xml:space="preserve">https://www.ebrd.com/content/dam/ebrd_dxp/assets/pdfs/green/knowledge-hub/Low-Carbon%20roadmap%20for%20the%20cement%20sector%20in%20Egypt.pdf</t>
  </si>
  <si>
    <t xml:space="preserve">Clinker kiln heat</t>
  </si>
  <si>
    <t xml:space="preserve">3.5</t>
  </si>
  <si>
    <t xml:space="preserve">GJ/t clinker</t>
  </si>
  <si>
    <t xml:space="preserve">Technology default for dry-process kilns (GCCA GNR regional averages about 3.4–3.6); EBRD roadmap</t>
  </si>
  <si>
    <t xml:space="preserve">https://gccassociation.org/sustainability-innovation/gnr-gcca-in-numbers/</t>
  </si>
  <si>
    <t xml:space="preserve">Clinker CaO and MgO; kiln-dust correction</t>
  </si>
  <si>
    <t xml:space="preserve">0.65; 0.015; 1.02</t>
  </si>
  <si>
    <t xml:space="preserve">share; factor</t>
  </si>
  <si>
    <t xml:space="preserve">IPCC 2006 Guidelines Vol. 3, Chapter 2 (0.785 t CO2/t CaO; 1.092/t MgO; CKD 1.02)</t>
  </si>
  <si>
    <t xml:space="preserve">https://www.ipcc-nggip.iges.or.jp/public/2006gl/vol3.html</t>
  </si>
  <si>
    <t xml:space="preserve">DRI gas use; reductant share</t>
  </si>
  <si>
    <t xml:space="preserve">10.5; 75%</t>
  </si>
  <si>
    <t xml:space="preserve">GJ/t DRI; share</t>
  </si>
  <si>
    <t xml:space="preserve">Technology default for MIDREX-type gas-based DRI (about 10–11 GJ/t)</t>
  </si>
  <si>
    <t xml:space="preserve">Ammonia total gas; feedstock gas</t>
  </si>
  <si>
    <t xml:space="preserve">35.2; 22.5</t>
  </si>
  <si>
    <t xml:space="preserve">GJ/t NH3</t>
  </si>
  <si>
    <t xml:space="preserve">Technology default for natural-gas reforming in older plants (IEA Ammonia Technology Roadmap 2021 gives about 28–36 GJ/t); feedstock share by stoichiometry</t>
  </si>
  <si>
    <t xml:space="preserve">https://www.iea.org/reports/ammonia-technology-roadmap</t>
  </si>
  <si>
    <t xml:space="preserve">Urea plant gas</t>
  </si>
  <si>
    <t xml:space="preserve">2</t>
  </si>
  <si>
    <t xml:space="preserve">GJ/t urea</t>
  </si>
  <si>
    <t xml:space="preserve">Technology default</t>
  </si>
  <si>
    <t xml:space="preserve">Nitric acid per tonne of AN</t>
  </si>
  <si>
    <t xml:space="preserve">0.79</t>
  </si>
  <si>
    <t xml:space="preserve">t HNO3/t AN</t>
  </si>
  <si>
    <t xml:space="preserve">Stoichiometry (63/80)</t>
  </si>
  <si>
    <t xml:space="preserve">Nitric acid N2O (abated; unabated); share abated</t>
  </si>
  <si>
    <t xml:space="preserve">2.5; 7.0 kg N2O/t; 50%</t>
  </si>
  <si>
    <t xml:space="preserve">kg/t; share</t>
  </si>
  <si>
    <t xml:space="preserve">IPCC 2006 Guidelines Vol. 3, Chapter 3, Table 3.3 (medium-pressure 7 kg/t; with tail-gas destruction 2.5 kg/t); 50% abated assumed</t>
  </si>
  <si>
    <t xml:space="preserve">Aluminum net anode consumption; ash</t>
  </si>
  <si>
    <t xml:space="preserve">0.44; 2.4%</t>
  </si>
  <si>
    <t xml:space="preserve">t/t Al; share</t>
  </si>
  <si>
    <t xml:space="preserve">IPCC 2006 Vol. 3, Chapter 4 (prebake defaults)</t>
  </si>
  <si>
    <t xml:space="preserve">Aluminum PFC: CF4; C2F6</t>
  </si>
  <si>
    <t xml:space="preserve">0.10; 0.01</t>
  </si>
  <si>
    <t xml:space="preserve">kg/t Al</t>
  </si>
  <si>
    <t xml:space="preserve">Assumption for modern prebake cells (IAI anode-effect surveys); IPCC Tier 1 CWPB default is 0.4 and 0.04 kg/t</t>
  </si>
  <si>
    <t xml:space="preserve">https://international-aluminium.org/</t>
  </si>
  <si>
    <t xml:space="preserve">GWPs: N2O, CF4, C2F6</t>
  </si>
  <si>
    <t xml:space="preserve">265; 6,630; 11,100</t>
  </si>
  <si>
    <t xml:space="preserve">t CO2e/t</t>
  </si>
  <si>
    <t xml:space="preserve">IPCC AR5, as used in CBAM (Implementing Regulation (EU) 2023/1773)</t>
  </si>
  <si>
    <t xml:space="preserve">https://eur-lex.europa.eu/eli/reg_impl/2023/1773/oj</t>
  </si>
  <si>
    <t xml:space="preserve">Carbon to CO2</t>
  </si>
  <si>
    <t xml:space="preserve">3.664</t>
  </si>
  <si>
    <t xml:space="preserve">t CO2/t C</t>
  </si>
  <si>
    <t xml:space="preserve">Molecular weights (44/12)</t>
  </si>
  <si>
    <t xml:space="preserve">Timing</t>
  </si>
  <si>
    <t xml:space="preserve">Share of long-run response by 2030, k</t>
  </si>
  <si>
    <t xml:space="preserve">40% (alternative table only; 70% for a full price from 2027)</t>
  </si>
  <si>
    <t xml:space="preserve">Results!C32</t>
  </si>
  <si>
    <t xml:space="preserve">Appendix H alternative table</t>
  </si>
  <si>
    <t xml:space="preserve">Partial-adjustment model with a = 0.34 (Labandeira et al. 2017: short-run −0.22 against long-run −0.65); UK sub-sector speeds 0.29–1.0 (Agnolucci et al. 2017). See sheet "Adjustment"</t>
  </si>
  <si>
    <t xml:space="preserve">Linear ramp $0 (2026) to $20 (2030) gives 40%; step from 2027 gives 70%.</t>
  </si>
  <si>
    <t xml:space="preserve">Share of the long-run response reached by 2030</t>
  </si>
  <si>
    <t xml:space="preserve">Partial adjustment: each year a share a of the remaining gap to the long-run level closes. Same-year: the year's price affects that year. One-year lag: last year's price (error-correction form). Prices: step = $20 from 2027; ramp = $5, 10, 15, 20 in 2027–2030. Formulas are live: change a in column A.</t>
  </si>
  <si>
    <t xml:space="preserve">Annual share of gap closed, a</t>
  </si>
  <si>
    <t xml:space="preserve">Step change in 2027: same-year response</t>
  </si>
  <si>
    <t xml:space="preserve">Step change: one-year lag</t>
  </si>
  <si>
    <t xml:space="preserve">Linear ramp $0 (2026) to $20 (2030): same-year</t>
  </si>
  <si>
    <t xml:space="preserve">Linear ramp: one-year lag</t>
  </si>
  <si>
    <t xml:space="preserve">Evidence</t>
  </si>
  <si>
    <t xml:space="preserve">Meta-analysis, all energy demand</t>
  </si>
  <si>
    <t xml:space="preserve">0.34 (short run −0.22 ÷ long run −0.65)</t>
  </si>
  <si>
    <t xml:space="preserve">Labandeira, Labeaga and López-Otero (2017), Energy Policy 102</t>
  </si>
  <si>
    <t xml:space="preserve">UK industry by sub-sector (error correction)</t>
  </si>
  <si>
    <t xml:space="preserve">Chemicals about 1.0; non-metallic minerals 0.32; non-ferrous metals 0.39; other industry 0.29</t>
  </si>
  <si>
    <t xml:space="preserve">Agnolucci, De Lipsis and Arvanitopoulos (2017), Energy Economics 67</t>
  </si>
  <si>
    <t xml:space="preserve">Used in the study</t>
  </si>
  <si>
    <t xml:space="preserve">a = 0.34, one-year lag: step from 2027 = 71%; linear ramp 2026–2030 = 40%. CBAM block with sub-sector speeds: 75% and 46%</t>
  </si>
  <si>
    <t xml:space="preserve">Methodology Appendix H</t>
  </si>
  <si>
    <t xml:space="preserve">Bibliography</t>
  </si>
  <si>
    <t xml:space="preserve">Full references for the register. Links checked during the study; some are summaries or secondary reports of the primary source.</t>
  </si>
  <si>
    <t xml:space="preserve">Short reference</t>
  </si>
  <si>
    <t xml:space="preserve">Title</t>
  </si>
  <si>
    <t xml:space="preserve">Agnolucci, De Lipsis and Arvanitopoulos (2017)</t>
  </si>
  <si>
    <t xml:space="preserve">Modelling UK sub-sector industrial energy demand. Energy Economics 67</t>
  </si>
  <si>
    <t xml:space="preserve">https://discovery.ucl.ac.uk/id/eprint/1572973/</t>
  </si>
  <si>
    <t xml:space="preserve">Argus (2026)</t>
  </si>
  <si>
    <t xml:space="preserve">Egypt's urea availability, production solid (24 March 2026)</t>
  </si>
  <si>
    <t xml:space="preserve">Business Today Egypt (2026)</t>
  </si>
  <si>
    <t xml:space="preserve">Egypt raises natural gas prices for energy-intensive industries (effective 1 May 2026)</t>
  </si>
  <si>
    <t xml:space="preserve">https://www.businesstodayegypt.com/amp/1/7402/Egypt-raises-natural-gas-prices-for-energy-intensive-industries</t>
  </si>
  <si>
    <t xml:space="preserve">Climate TRACE via Inzonex</t>
  </si>
  <si>
    <t xml:space="preserve">Egypt cement facility emissions, 2023 (modeled)</t>
  </si>
  <si>
    <t xml:space="preserve">https://inzonex.co.uk/carbon/geo/egypt/cement/</t>
  </si>
  <si>
    <t xml:space="preserve">Colmer, Martin, Muûls and Wagner (2025)</t>
  </si>
  <si>
    <t xml:space="preserve">Does pricing carbon mitigate climate change? Firm-level evidence from the EU ETS. Review of Economic Studies</t>
  </si>
  <si>
    <t xml:space="preserve">https://cep.lse.ac.uk/_NEW/PUBLICATIONS/abstract.asp?index=7591</t>
  </si>
  <si>
    <t xml:space="preserve">CPAT Team (2024)</t>
  </si>
  <si>
    <t xml:space="preserve">IMF–World Bank Climate Policy Assessment Tool documentation</t>
  </si>
  <si>
    <t xml:space="preserve">Dechezleprêtre, Nachtigall and Venmans (2023)</t>
  </si>
  <si>
    <t xml:space="preserve">The joint impact of the EU ETS on carbon emissions and economic performance. JEEM 118</t>
  </si>
  <si>
    <t xml:space="preserve">https://oecdecoscope.blog/2023/05/30/what-are-the-economic-and-environmental-effects-of-the-european-union-emissions-trading-scheme/</t>
  </si>
  <si>
    <t xml:space="preserve">Döbbeling-Hildebrandt et al. (2024)</t>
  </si>
  <si>
    <t xml:space="preserve">Systematic review and meta-analysis of ex-post evaluations of carbon pricing. Nature Communications 15</t>
  </si>
  <si>
    <t xml:space="preserve">https://doaj.org/article/d30983dbffe04d85a7b36904b087b494</t>
  </si>
  <si>
    <t xml:space="preserve">EBRD (2016)</t>
  </si>
  <si>
    <t xml:space="preserve">Low-carbon roadmap for the Egyptian cement industry</t>
  </si>
  <si>
    <t xml:space="preserve">EBRD</t>
  </si>
  <si>
    <t xml:space="preserve">Implications of the EU CBAM for the Egyptian fertiliser sector</t>
  </si>
  <si>
    <t xml:space="preserve">Egypt (2024)</t>
  </si>
  <si>
    <t xml:space="preserve">First Biennial Transparency Report (BTR1)</t>
  </si>
  <si>
    <t xml:space="preserve">European Union</t>
  </si>
  <si>
    <t xml:space="preserve">Regulation (EU) 2023/956 (CBAM); Directive (EU) 2023/959 (ETS); Implementing Regulation (EU) 2023/1773</t>
  </si>
  <si>
    <t xml:space="preserve">IEA (2021)</t>
  </si>
  <si>
    <t xml:space="preserve">Ammonia Technology Roadmap</t>
  </si>
  <si>
    <t xml:space="preserve">IMF</t>
  </si>
  <si>
    <t xml:space="preserve">World Economic Outlook database</t>
  </si>
  <si>
    <t xml:space="preserve">IPCC (2006)</t>
  </si>
  <si>
    <t xml:space="preserve">2006 IPCC Guidelines for National Greenhouse Gas Inventories, Vols. 2 and 3</t>
  </si>
  <si>
    <t xml:space="preserve">https://www.ipcc-nggip.iges.or.jp/public/2006gl/</t>
  </si>
  <si>
    <t xml:space="preserve">IPCC (2022)</t>
  </si>
  <si>
    <t xml:space="preserve">AR6 WGIII, Chapters 11 (industry) and 12</t>
  </si>
  <si>
    <t xml:space="preserve">Labandeira, Labeaga and López-Otero (2017)</t>
  </si>
  <si>
    <t xml:space="preserve">A meta-analysis on the price elasticity of energy demand. Energy Policy 102</t>
  </si>
  <si>
    <t xml:space="preserve">Martin, de Preux and Wagner (2014)</t>
  </si>
  <si>
    <t xml:space="preserve">The impact of a carbon tax on manufacturing: evidence from microdata. JPubE 117</t>
  </si>
  <si>
    <t xml:space="preserve">https://www.nber.org/papers/w17446.pdf</t>
  </si>
  <si>
    <t xml:space="preserve">Midrex (2025)</t>
  </si>
  <si>
    <t xml:space="preserve">World DRI production reaches 140.8 Mt in 2024</t>
  </si>
  <si>
    <t xml:space="preserve">USGS (2026)</t>
  </si>
  <si>
    <t xml:space="preserve">Mineral Commodity Summaries 2026: Nitrogen (fixed)—ammonia</t>
  </si>
  <si>
    <t xml:space="preserve">worldsteel via AISU (2025)</t>
  </si>
  <si>
    <t xml:space="preserve">Egypt crude steel production 2024: 10.7 Mt</t>
  </si>
  <si>
    <t xml:space="preserve">World Bank</t>
  </si>
  <si>
    <t xml:space="preserve">Commodity Markets (Pink Sheet)</t>
  </si>
  <si>
    <t xml:space="preserve">Inputs without a direct source</t>
  </si>
  <si>
    <t xml:space="preserve">Inputs marked Judgment or Assumption in the register, with what would improve them. None changes the main conclusions on its own; the most influential are the clinker price elasticity, ammonium nitrate output and clinker EU exports.</t>
  </si>
  <si>
    <t xml:space="preserve">How to improve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</si>
</sst>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E4A7A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48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40"/>
  </cols>
  <sheetData>
    <row r="1" customFormat="false" ht="16.15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2.8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/>
      <c r="J5" s="5" t="s">
        <v>21</v>
      </c>
      <c r="K5" s="4" t="s">
        <v>22</v>
      </c>
      <c r="L5" s="4" t="s">
        <v>23</v>
      </c>
    </row>
    <row r="6" customFormat="false" ht="22.35" hidden="false" customHeight="false" outlineLevel="0" collapsed="false">
      <c r="A6" s="4" t="n">
        <v>2</v>
      </c>
      <c r="B6" s="4" t="s">
        <v>14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/>
      <c r="J6" s="5" t="s">
        <v>21</v>
      </c>
      <c r="K6" s="4" t="s">
        <v>22</v>
      </c>
      <c r="L6" s="4"/>
    </row>
    <row r="7" customFormat="false" ht="15" hidden="false" customHeight="false" outlineLevel="0" collapsed="false">
      <c r="A7" s="4" t="n">
        <v>3</v>
      </c>
      <c r="B7" s="4" t="s">
        <v>14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4"/>
      <c r="J7" s="5" t="s">
        <v>21</v>
      </c>
      <c r="K7" s="4" t="s">
        <v>22</v>
      </c>
      <c r="L7" s="4"/>
    </row>
    <row r="8" customFormat="false" ht="15" hidden="false" customHeight="false" outlineLevel="0" collapsed="false">
      <c r="A8" s="4" t="n">
        <v>4</v>
      </c>
      <c r="B8" s="4" t="s">
        <v>14</v>
      </c>
      <c r="C8" s="4" t="s">
        <v>36</v>
      </c>
      <c r="D8" s="4" t="s">
        <v>37</v>
      </c>
      <c r="E8" s="4" t="s">
        <v>32</v>
      </c>
      <c r="F8" s="4" t="s">
        <v>38</v>
      </c>
      <c r="G8" s="4" t="s">
        <v>39</v>
      </c>
      <c r="H8" s="4" t="s">
        <v>35</v>
      </c>
      <c r="I8" s="4"/>
      <c r="J8" s="5" t="s">
        <v>21</v>
      </c>
      <c r="K8" s="4" t="s">
        <v>22</v>
      </c>
      <c r="L8" s="4"/>
    </row>
    <row r="9" customFormat="false" ht="22.35" hidden="false" customHeight="false" outlineLevel="0" collapsed="false">
      <c r="A9" s="4" t="n">
        <v>5</v>
      </c>
      <c r="B9" s="4" t="s">
        <v>14</v>
      </c>
      <c r="C9" s="4" t="s">
        <v>40</v>
      </c>
      <c r="D9" s="4" t="s">
        <v>41</v>
      </c>
      <c r="E9" s="4" t="s">
        <v>26</v>
      </c>
      <c r="F9" s="4" t="s">
        <v>42</v>
      </c>
      <c r="G9" s="4" t="s">
        <v>43</v>
      </c>
      <c r="H9" s="4" t="s">
        <v>44</v>
      </c>
      <c r="I9" s="4"/>
      <c r="J9" s="5" t="s">
        <v>21</v>
      </c>
      <c r="K9" s="4" t="s">
        <v>22</v>
      </c>
      <c r="L9" s="4"/>
    </row>
    <row r="10" customFormat="false" ht="32.8" hidden="false" customHeight="false" outlineLevel="0" collapsed="false">
      <c r="A10" s="4" t="n">
        <v>6</v>
      </c>
      <c r="B10" s="4" t="s">
        <v>14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6" t="s">
        <v>52</v>
      </c>
      <c r="K10" s="4" t="s">
        <v>53</v>
      </c>
      <c r="L10" s="4" t="s">
        <v>54</v>
      </c>
    </row>
    <row r="11" customFormat="false" ht="15" hidden="false" customHeight="false" outlineLevel="0" collapsed="false">
      <c r="A11" s="4" t="n">
        <v>7</v>
      </c>
      <c r="B11" s="4" t="s">
        <v>14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  <c r="I11" s="4"/>
      <c r="J11" s="7" t="s">
        <v>61</v>
      </c>
      <c r="K11" s="4" t="s">
        <v>22</v>
      </c>
      <c r="L11" s="4"/>
    </row>
    <row r="12" customFormat="false" ht="53.7" hidden="false" customHeight="false" outlineLevel="0" collapsed="false">
      <c r="A12" s="4" t="n">
        <v>8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68</v>
      </c>
      <c r="I12" s="4" t="s">
        <v>51</v>
      </c>
      <c r="J12" s="5" t="s">
        <v>69</v>
      </c>
      <c r="K12" s="4" t="s">
        <v>70</v>
      </c>
      <c r="L12" s="4" t="s">
        <v>71</v>
      </c>
    </row>
    <row r="13" customFormat="false" ht="22.35" hidden="false" customHeight="false" outlineLevel="0" collapsed="false">
      <c r="A13" s="4" t="n">
        <v>9</v>
      </c>
      <c r="B13" s="4" t="s">
        <v>62</v>
      </c>
      <c r="C13" s="4" t="s">
        <v>72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77</v>
      </c>
      <c r="I13" s="4"/>
      <c r="J13" s="7" t="s">
        <v>61</v>
      </c>
      <c r="K13" s="4" t="s">
        <v>70</v>
      </c>
      <c r="L13" s="4" t="s">
        <v>78</v>
      </c>
    </row>
    <row r="14" customFormat="false" ht="22.35" hidden="false" customHeight="false" outlineLevel="0" collapsed="false">
      <c r="A14" s="4" t="n">
        <v>10</v>
      </c>
      <c r="B14" s="4" t="s">
        <v>62</v>
      </c>
      <c r="C14" s="4" t="s">
        <v>79</v>
      </c>
      <c r="D14" s="4" t="s">
        <v>80</v>
      </c>
      <c r="E14" s="4" t="s">
        <v>74</v>
      </c>
      <c r="F14" s="4" t="s">
        <v>81</v>
      </c>
      <c r="G14" s="4" t="s">
        <v>82</v>
      </c>
      <c r="H14" s="4" t="s">
        <v>83</v>
      </c>
      <c r="I14" s="4"/>
      <c r="J14" s="7" t="s">
        <v>61</v>
      </c>
      <c r="K14" s="4" t="s">
        <v>70</v>
      </c>
      <c r="L14" s="4"/>
    </row>
    <row r="15" customFormat="false" ht="43.25" hidden="false" customHeight="false" outlineLevel="0" collapsed="false">
      <c r="A15" s="4" t="n">
        <v>11</v>
      </c>
      <c r="B15" s="4" t="s">
        <v>62</v>
      </c>
      <c r="C15" s="4" t="s">
        <v>84</v>
      </c>
      <c r="D15" s="4" t="s">
        <v>85</v>
      </c>
      <c r="E15" s="4" t="s">
        <v>74</v>
      </c>
      <c r="F15" s="4" t="s">
        <v>86</v>
      </c>
      <c r="G15" s="4" t="s">
        <v>87</v>
      </c>
      <c r="H15" s="4" t="s">
        <v>88</v>
      </c>
      <c r="I15" s="4" t="s">
        <v>89</v>
      </c>
      <c r="J15" s="7" t="s">
        <v>61</v>
      </c>
      <c r="K15" s="4" t="s">
        <v>70</v>
      </c>
      <c r="L15" s="4" t="s">
        <v>90</v>
      </c>
    </row>
    <row r="16" customFormat="false" ht="22.35" hidden="false" customHeight="false" outlineLevel="0" collapsed="false">
      <c r="A16" s="4" t="n">
        <v>12</v>
      </c>
      <c r="B16" s="4" t="s">
        <v>62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  <c r="H16" s="4" t="s">
        <v>96</v>
      </c>
      <c r="I16" s="4"/>
      <c r="J16" s="6" t="s">
        <v>52</v>
      </c>
      <c r="K16" s="4" t="s">
        <v>70</v>
      </c>
      <c r="L16" s="4"/>
    </row>
    <row r="17" customFormat="false" ht="43.25" hidden="false" customHeight="false" outlineLevel="0" collapsed="false">
      <c r="A17" s="4" t="n">
        <v>13</v>
      </c>
      <c r="B17" s="4" t="s">
        <v>97</v>
      </c>
      <c r="C17" s="4" t="s">
        <v>98</v>
      </c>
      <c r="D17" s="4" t="s">
        <v>99</v>
      </c>
      <c r="E17" s="4" t="s">
        <v>32</v>
      </c>
      <c r="F17" s="4" t="s">
        <v>100</v>
      </c>
      <c r="G17" s="4" t="s">
        <v>101</v>
      </c>
      <c r="H17" s="4" t="s">
        <v>102</v>
      </c>
      <c r="I17" s="4" t="s">
        <v>103</v>
      </c>
      <c r="J17" s="8" t="s">
        <v>104</v>
      </c>
      <c r="K17" s="4" t="s">
        <v>70</v>
      </c>
      <c r="L17" s="4" t="s">
        <v>105</v>
      </c>
    </row>
    <row r="18" customFormat="false" ht="22.35" hidden="false" customHeight="false" outlineLevel="0" collapsed="false">
      <c r="A18" s="4" t="n">
        <v>14</v>
      </c>
      <c r="B18" s="4" t="s">
        <v>106</v>
      </c>
      <c r="C18" s="4" t="s">
        <v>107</v>
      </c>
      <c r="D18" s="4" t="s">
        <v>108</v>
      </c>
      <c r="E18" s="4" t="s">
        <v>47</v>
      </c>
      <c r="F18" s="4" t="s">
        <v>109</v>
      </c>
      <c r="G18" s="4" t="s">
        <v>110</v>
      </c>
      <c r="H18" s="4" t="s">
        <v>111</v>
      </c>
      <c r="I18" s="4" t="s">
        <v>112</v>
      </c>
      <c r="J18" s="8" t="s">
        <v>104</v>
      </c>
      <c r="K18" s="4" t="s">
        <v>70</v>
      </c>
      <c r="L18" s="4" t="s">
        <v>113</v>
      </c>
    </row>
    <row r="19" customFormat="false" ht="32.8" hidden="false" customHeight="false" outlineLevel="0" collapsed="false">
      <c r="A19" s="4" t="n">
        <v>15</v>
      </c>
      <c r="B19" s="4" t="s">
        <v>106</v>
      </c>
      <c r="C19" s="4" t="s">
        <v>114</v>
      </c>
      <c r="D19" s="4" t="s">
        <v>115</v>
      </c>
      <c r="E19" s="4" t="s">
        <v>32</v>
      </c>
      <c r="F19" s="4" t="s">
        <v>116</v>
      </c>
      <c r="G19" s="4" t="s">
        <v>110</v>
      </c>
      <c r="H19" s="4" t="s">
        <v>117</v>
      </c>
      <c r="I19" s="4" t="s">
        <v>118</v>
      </c>
      <c r="J19" s="8" t="s">
        <v>104</v>
      </c>
      <c r="K19" s="4" t="s">
        <v>22</v>
      </c>
      <c r="L19" s="4" t="s">
        <v>119</v>
      </c>
    </row>
    <row r="20" customFormat="false" ht="32.8" hidden="false" customHeight="false" outlineLevel="0" collapsed="false">
      <c r="A20" s="4" t="n">
        <v>16</v>
      </c>
      <c r="B20" s="4" t="s">
        <v>106</v>
      </c>
      <c r="C20" s="4" t="s">
        <v>120</v>
      </c>
      <c r="D20" s="4" t="s">
        <v>121</v>
      </c>
      <c r="E20" s="4" t="s">
        <v>32</v>
      </c>
      <c r="F20" s="4" t="s">
        <v>122</v>
      </c>
      <c r="G20" s="4" t="s">
        <v>123</v>
      </c>
      <c r="H20" s="4" t="s">
        <v>124</v>
      </c>
      <c r="I20" s="4" t="s">
        <v>118</v>
      </c>
      <c r="J20" s="6" t="s">
        <v>52</v>
      </c>
      <c r="K20" s="4" t="s">
        <v>70</v>
      </c>
      <c r="L20" s="4" t="s">
        <v>125</v>
      </c>
    </row>
    <row r="21" customFormat="false" ht="32.8" hidden="false" customHeight="false" outlineLevel="0" collapsed="false">
      <c r="A21" s="4" t="n">
        <v>17</v>
      </c>
      <c r="B21" s="4" t="s">
        <v>106</v>
      </c>
      <c r="C21" s="4" t="s">
        <v>126</v>
      </c>
      <c r="D21" s="4" t="s">
        <v>127</v>
      </c>
      <c r="E21" s="4" t="s">
        <v>128</v>
      </c>
      <c r="F21" s="4" t="s">
        <v>129</v>
      </c>
      <c r="G21" s="4" t="s">
        <v>130</v>
      </c>
      <c r="H21" s="4" t="s">
        <v>131</v>
      </c>
      <c r="I21" s="4" t="s">
        <v>132</v>
      </c>
      <c r="J21" s="6" t="s">
        <v>52</v>
      </c>
      <c r="K21" s="4" t="s">
        <v>70</v>
      </c>
      <c r="L21" s="4" t="s">
        <v>133</v>
      </c>
    </row>
    <row r="22" customFormat="false" ht="32.8" hidden="false" customHeight="false" outlineLevel="0" collapsed="false">
      <c r="A22" s="4" t="n">
        <v>18</v>
      </c>
      <c r="B22" s="4" t="s">
        <v>134</v>
      </c>
      <c r="C22" s="4" t="s">
        <v>135</v>
      </c>
      <c r="D22" s="4" t="s">
        <v>136</v>
      </c>
      <c r="E22" s="4" t="s">
        <v>137</v>
      </c>
      <c r="F22" s="4" t="s">
        <v>138</v>
      </c>
      <c r="G22" s="4" t="s">
        <v>139</v>
      </c>
      <c r="H22" s="4" t="s">
        <v>140</v>
      </c>
      <c r="I22" s="4" t="s">
        <v>141</v>
      </c>
      <c r="J22" s="8" t="s">
        <v>104</v>
      </c>
      <c r="K22" s="4" t="s">
        <v>70</v>
      </c>
      <c r="L22" s="4" t="s">
        <v>142</v>
      </c>
    </row>
    <row r="23" customFormat="false" ht="22.35" hidden="false" customHeight="false" outlineLevel="0" collapsed="false">
      <c r="A23" s="4" t="n">
        <v>19</v>
      </c>
      <c r="B23" s="4" t="s">
        <v>134</v>
      </c>
      <c r="C23" s="4" t="s">
        <v>143</v>
      </c>
      <c r="D23" s="4" t="s">
        <v>144</v>
      </c>
      <c r="E23" s="4" t="s">
        <v>137</v>
      </c>
      <c r="F23" s="4" t="s">
        <v>138</v>
      </c>
      <c r="G23" s="4" t="s">
        <v>139</v>
      </c>
      <c r="H23" s="4" t="s">
        <v>145</v>
      </c>
      <c r="I23" s="4" t="s">
        <v>146</v>
      </c>
      <c r="J23" s="7" t="s">
        <v>61</v>
      </c>
      <c r="K23" s="4" t="s">
        <v>70</v>
      </c>
      <c r="L23" s="4" t="s">
        <v>147</v>
      </c>
    </row>
    <row r="24" customFormat="false" ht="43.25" hidden="false" customHeight="false" outlineLevel="0" collapsed="false">
      <c r="A24" s="4" t="n">
        <v>20</v>
      </c>
      <c r="B24" s="4" t="s">
        <v>134</v>
      </c>
      <c r="C24" s="4" t="s">
        <v>148</v>
      </c>
      <c r="D24" s="4" t="s">
        <v>149</v>
      </c>
      <c r="E24" s="4" t="s">
        <v>137</v>
      </c>
      <c r="F24" s="4" t="s">
        <v>138</v>
      </c>
      <c r="G24" s="4" t="s">
        <v>139</v>
      </c>
      <c r="H24" s="4" t="s">
        <v>150</v>
      </c>
      <c r="I24" s="4" t="s">
        <v>151</v>
      </c>
      <c r="J24" s="7" t="s">
        <v>61</v>
      </c>
      <c r="K24" s="4" t="s">
        <v>70</v>
      </c>
      <c r="L24" s="4" t="s">
        <v>152</v>
      </c>
    </row>
    <row r="25" customFormat="false" ht="22.35" hidden="false" customHeight="false" outlineLevel="0" collapsed="false">
      <c r="A25" s="4" t="n">
        <v>21</v>
      </c>
      <c r="B25" s="4" t="s">
        <v>134</v>
      </c>
      <c r="C25" s="4" t="s">
        <v>153</v>
      </c>
      <c r="D25" s="4" t="s">
        <v>154</v>
      </c>
      <c r="E25" s="4" t="s">
        <v>137</v>
      </c>
      <c r="F25" s="4" t="s">
        <v>138</v>
      </c>
      <c r="G25" s="4" t="s">
        <v>139</v>
      </c>
      <c r="H25" s="4" t="s">
        <v>155</v>
      </c>
      <c r="I25" s="4" t="s">
        <v>156</v>
      </c>
      <c r="J25" s="8" t="s">
        <v>104</v>
      </c>
      <c r="K25" s="4" t="s">
        <v>22</v>
      </c>
      <c r="L25" s="4" t="s">
        <v>157</v>
      </c>
    </row>
    <row r="26" customFormat="false" ht="43.25" hidden="false" customHeight="false" outlineLevel="0" collapsed="false">
      <c r="A26" s="4" t="n">
        <v>22</v>
      </c>
      <c r="B26" s="4" t="s">
        <v>134</v>
      </c>
      <c r="C26" s="4" t="s">
        <v>158</v>
      </c>
      <c r="D26" s="4" t="s">
        <v>159</v>
      </c>
      <c r="E26" s="4" t="s">
        <v>137</v>
      </c>
      <c r="F26" s="4" t="s">
        <v>138</v>
      </c>
      <c r="G26" s="4" t="s">
        <v>139</v>
      </c>
      <c r="H26" s="4" t="s">
        <v>160</v>
      </c>
      <c r="I26" s="4" t="s">
        <v>161</v>
      </c>
      <c r="J26" s="8" t="s">
        <v>104</v>
      </c>
      <c r="K26" s="4" t="s">
        <v>70</v>
      </c>
      <c r="L26" s="4" t="s">
        <v>162</v>
      </c>
    </row>
    <row r="27" customFormat="false" ht="32.8" hidden="false" customHeight="false" outlineLevel="0" collapsed="false">
      <c r="A27" s="4" t="n">
        <v>23</v>
      </c>
      <c r="B27" s="4" t="s">
        <v>134</v>
      </c>
      <c r="C27" s="4" t="s">
        <v>163</v>
      </c>
      <c r="D27" s="4" t="s">
        <v>164</v>
      </c>
      <c r="E27" s="4" t="s">
        <v>137</v>
      </c>
      <c r="F27" s="4" t="s">
        <v>138</v>
      </c>
      <c r="G27" s="4" t="s">
        <v>139</v>
      </c>
      <c r="H27" s="4" t="s">
        <v>165</v>
      </c>
      <c r="I27" s="4" t="s">
        <v>166</v>
      </c>
      <c r="J27" s="7" t="s">
        <v>61</v>
      </c>
      <c r="K27" s="4" t="s">
        <v>53</v>
      </c>
      <c r="L27" s="4" t="s">
        <v>167</v>
      </c>
    </row>
    <row r="28" customFormat="false" ht="15" hidden="false" customHeight="false" outlineLevel="0" collapsed="false">
      <c r="A28" s="4" t="n">
        <v>24</v>
      </c>
      <c r="B28" s="4" t="s">
        <v>134</v>
      </c>
      <c r="C28" s="4" t="s">
        <v>168</v>
      </c>
      <c r="D28" s="4" t="s">
        <v>169</v>
      </c>
      <c r="E28" s="4" t="s">
        <v>137</v>
      </c>
      <c r="F28" s="4" t="s">
        <v>138</v>
      </c>
      <c r="G28" s="4" t="s">
        <v>139</v>
      </c>
      <c r="H28" s="4" t="s">
        <v>170</v>
      </c>
      <c r="I28" s="4" t="s">
        <v>171</v>
      </c>
      <c r="J28" s="8" t="s">
        <v>104</v>
      </c>
      <c r="K28" s="4" t="s">
        <v>70</v>
      </c>
      <c r="L28" s="4" t="s">
        <v>172</v>
      </c>
    </row>
    <row r="29" customFormat="false" ht="32.8" hidden="false" customHeight="false" outlineLevel="0" collapsed="false">
      <c r="A29" s="4" t="n">
        <v>25</v>
      </c>
      <c r="B29" s="4" t="s">
        <v>173</v>
      </c>
      <c r="C29" s="4" t="s">
        <v>174</v>
      </c>
      <c r="D29" s="4" t="s">
        <v>175</v>
      </c>
      <c r="E29" s="4" t="s">
        <v>176</v>
      </c>
      <c r="F29" s="4" t="s">
        <v>177</v>
      </c>
      <c r="G29" s="4" t="s">
        <v>178</v>
      </c>
      <c r="H29" s="4" t="s">
        <v>179</v>
      </c>
      <c r="I29" s="4" t="s">
        <v>180</v>
      </c>
      <c r="J29" s="8" t="s">
        <v>104</v>
      </c>
      <c r="K29" s="4" t="s">
        <v>70</v>
      </c>
      <c r="L29" s="4"/>
    </row>
    <row r="30" customFormat="false" ht="22.35" hidden="false" customHeight="false" outlineLevel="0" collapsed="false">
      <c r="A30" s="4" t="n">
        <v>26</v>
      </c>
      <c r="B30" s="4" t="s">
        <v>173</v>
      </c>
      <c r="C30" s="4" t="s">
        <v>181</v>
      </c>
      <c r="D30" s="4" t="s">
        <v>182</v>
      </c>
      <c r="E30" s="4" t="s">
        <v>176</v>
      </c>
      <c r="F30" s="4" t="s">
        <v>177</v>
      </c>
      <c r="G30" s="4" t="s">
        <v>178</v>
      </c>
      <c r="H30" s="4" t="s">
        <v>183</v>
      </c>
      <c r="I30" s="4" t="s">
        <v>184</v>
      </c>
      <c r="J30" s="7" t="s">
        <v>61</v>
      </c>
      <c r="K30" s="4" t="s">
        <v>70</v>
      </c>
      <c r="L30" s="4"/>
    </row>
    <row r="31" customFormat="false" ht="22.35" hidden="false" customHeight="false" outlineLevel="0" collapsed="false">
      <c r="A31" s="4" t="n">
        <v>27</v>
      </c>
      <c r="B31" s="4" t="s">
        <v>173</v>
      </c>
      <c r="C31" s="4" t="s">
        <v>185</v>
      </c>
      <c r="D31" s="4" t="s">
        <v>186</v>
      </c>
      <c r="E31" s="4" t="s">
        <v>176</v>
      </c>
      <c r="F31" s="4" t="s">
        <v>177</v>
      </c>
      <c r="G31" s="4" t="s">
        <v>178</v>
      </c>
      <c r="H31" s="4" t="s">
        <v>187</v>
      </c>
      <c r="I31" s="4" t="s">
        <v>188</v>
      </c>
      <c r="J31" s="9" t="s">
        <v>189</v>
      </c>
      <c r="K31" s="4" t="s">
        <v>53</v>
      </c>
      <c r="L31" s="4"/>
    </row>
    <row r="32" customFormat="false" ht="22.35" hidden="false" customHeight="false" outlineLevel="0" collapsed="false">
      <c r="A32" s="4" t="n">
        <v>28</v>
      </c>
      <c r="B32" s="4" t="s">
        <v>173</v>
      </c>
      <c r="C32" s="4" t="s">
        <v>190</v>
      </c>
      <c r="D32" s="4" t="s">
        <v>191</v>
      </c>
      <c r="E32" s="4" t="s">
        <v>176</v>
      </c>
      <c r="F32" s="4" t="s">
        <v>177</v>
      </c>
      <c r="G32" s="4" t="s">
        <v>178</v>
      </c>
      <c r="H32" s="4" t="s">
        <v>192</v>
      </c>
      <c r="I32" s="4"/>
      <c r="J32" s="9" t="s">
        <v>189</v>
      </c>
      <c r="K32" s="4" t="s">
        <v>70</v>
      </c>
      <c r="L32" s="4"/>
    </row>
    <row r="33" customFormat="false" ht="22.35" hidden="false" customHeight="false" outlineLevel="0" collapsed="false">
      <c r="A33" s="4" t="n">
        <v>29</v>
      </c>
      <c r="B33" s="4" t="s">
        <v>193</v>
      </c>
      <c r="C33" s="4" t="s">
        <v>194</v>
      </c>
      <c r="D33" s="4" t="s">
        <v>195</v>
      </c>
      <c r="E33" s="4" t="s">
        <v>47</v>
      </c>
      <c r="F33" s="4" t="s">
        <v>196</v>
      </c>
      <c r="G33" s="4" t="s">
        <v>197</v>
      </c>
      <c r="H33" s="4" t="s">
        <v>198</v>
      </c>
      <c r="I33" s="4" t="s">
        <v>199</v>
      </c>
      <c r="J33" s="8" t="s">
        <v>104</v>
      </c>
      <c r="K33" s="4" t="s">
        <v>70</v>
      </c>
      <c r="L33" s="4" t="s">
        <v>200</v>
      </c>
    </row>
    <row r="34" customFormat="false" ht="22.35" hidden="false" customHeight="false" outlineLevel="0" collapsed="false">
      <c r="A34" s="4" t="n">
        <v>30</v>
      </c>
      <c r="B34" s="4" t="s">
        <v>193</v>
      </c>
      <c r="C34" s="4" t="s">
        <v>201</v>
      </c>
      <c r="D34" s="4" t="s">
        <v>202</v>
      </c>
      <c r="E34" s="4" t="s">
        <v>47</v>
      </c>
      <c r="F34" s="4" t="s">
        <v>196</v>
      </c>
      <c r="G34" s="4" t="s">
        <v>197</v>
      </c>
      <c r="H34" s="4" t="s">
        <v>203</v>
      </c>
      <c r="I34" s="4" t="s">
        <v>204</v>
      </c>
      <c r="J34" s="8" t="s">
        <v>104</v>
      </c>
      <c r="K34" s="4" t="s">
        <v>70</v>
      </c>
      <c r="L34" s="4" t="s">
        <v>200</v>
      </c>
    </row>
    <row r="35" customFormat="false" ht="22.35" hidden="false" customHeight="false" outlineLevel="0" collapsed="false">
      <c r="A35" s="4" t="n">
        <v>31</v>
      </c>
      <c r="B35" s="4" t="s">
        <v>193</v>
      </c>
      <c r="C35" s="4" t="s">
        <v>205</v>
      </c>
      <c r="D35" s="4" t="s">
        <v>206</v>
      </c>
      <c r="E35" s="4" t="s">
        <v>47</v>
      </c>
      <c r="F35" s="4" t="s">
        <v>196</v>
      </c>
      <c r="G35" s="4" t="s">
        <v>197</v>
      </c>
      <c r="H35" s="4" t="s">
        <v>207</v>
      </c>
      <c r="I35" s="4" t="s">
        <v>208</v>
      </c>
      <c r="J35" s="8" t="s">
        <v>104</v>
      </c>
      <c r="K35" s="4" t="s">
        <v>70</v>
      </c>
      <c r="L35" s="4" t="s">
        <v>200</v>
      </c>
    </row>
    <row r="36" customFormat="false" ht="22.35" hidden="false" customHeight="false" outlineLevel="0" collapsed="false">
      <c r="A36" s="4" t="n">
        <v>32</v>
      </c>
      <c r="B36" s="4" t="s">
        <v>193</v>
      </c>
      <c r="C36" s="4" t="s">
        <v>209</v>
      </c>
      <c r="D36" s="4" t="s">
        <v>210</v>
      </c>
      <c r="E36" s="4" t="s">
        <v>47</v>
      </c>
      <c r="F36" s="4" t="s">
        <v>196</v>
      </c>
      <c r="G36" s="4" t="s">
        <v>197</v>
      </c>
      <c r="H36" s="4" t="s">
        <v>211</v>
      </c>
      <c r="I36" s="4" t="s">
        <v>212</v>
      </c>
      <c r="J36" s="8" t="s">
        <v>104</v>
      </c>
      <c r="K36" s="4" t="s">
        <v>70</v>
      </c>
      <c r="L36" s="4" t="s">
        <v>200</v>
      </c>
    </row>
    <row r="37" customFormat="false" ht="22.35" hidden="false" customHeight="false" outlineLevel="0" collapsed="false">
      <c r="A37" s="4" t="n">
        <v>33</v>
      </c>
      <c r="B37" s="4" t="s">
        <v>193</v>
      </c>
      <c r="C37" s="4" t="s">
        <v>213</v>
      </c>
      <c r="D37" s="4" t="s">
        <v>214</v>
      </c>
      <c r="E37" s="4" t="s">
        <v>47</v>
      </c>
      <c r="F37" s="4" t="s">
        <v>196</v>
      </c>
      <c r="G37" s="4" t="s">
        <v>197</v>
      </c>
      <c r="H37" s="4" t="s">
        <v>215</v>
      </c>
      <c r="I37" s="4"/>
      <c r="J37" s="7" t="s">
        <v>61</v>
      </c>
      <c r="K37" s="4" t="s">
        <v>70</v>
      </c>
      <c r="L37" s="4" t="s">
        <v>200</v>
      </c>
    </row>
    <row r="38" customFormat="false" ht="22.35" hidden="false" customHeight="false" outlineLevel="0" collapsed="false">
      <c r="A38" s="4" t="n">
        <v>34</v>
      </c>
      <c r="B38" s="4" t="s">
        <v>193</v>
      </c>
      <c r="C38" s="4" t="s">
        <v>216</v>
      </c>
      <c r="D38" s="4" t="s">
        <v>217</v>
      </c>
      <c r="E38" s="4" t="s">
        <v>47</v>
      </c>
      <c r="F38" s="4" t="s">
        <v>196</v>
      </c>
      <c r="G38" s="4" t="s">
        <v>197</v>
      </c>
      <c r="H38" s="4" t="s">
        <v>218</v>
      </c>
      <c r="I38" s="4" t="s">
        <v>171</v>
      </c>
      <c r="J38" s="8" t="s">
        <v>104</v>
      </c>
      <c r="K38" s="4" t="s">
        <v>70</v>
      </c>
      <c r="L38" s="4" t="s">
        <v>200</v>
      </c>
    </row>
    <row r="39" customFormat="false" ht="22.35" hidden="false" customHeight="false" outlineLevel="0" collapsed="false">
      <c r="A39" s="4" t="n">
        <v>35</v>
      </c>
      <c r="B39" s="4" t="s">
        <v>219</v>
      </c>
      <c r="C39" s="4" t="s">
        <v>220</v>
      </c>
      <c r="D39" s="4" t="s">
        <v>221</v>
      </c>
      <c r="E39" s="4" t="s">
        <v>137</v>
      </c>
      <c r="F39" s="4" t="s">
        <v>222</v>
      </c>
      <c r="G39" s="4" t="s">
        <v>223</v>
      </c>
      <c r="H39" s="4" t="s">
        <v>224</v>
      </c>
      <c r="I39" s="4" t="s">
        <v>225</v>
      </c>
      <c r="J39" s="7" t="s">
        <v>61</v>
      </c>
      <c r="K39" s="4" t="s">
        <v>53</v>
      </c>
      <c r="L39" s="4"/>
    </row>
    <row r="40" customFormat="false" ht="22.35" hidden="false" customHeight="false" outlineLevel="0" collapsed="false">
      <c r="A40" s="4" t="n">
        <v>36</v>
      </c>
      <c r="B40" s="4" t="s">
        <v>219</v>
      </c>
      <c r="C40" s="4" t="s">
        <v>226</v>
      </c>
      <c r="D40" s="4" t="s">
        <v>214</v>
      </c>
      <c r="E40" s="4" t="s">
        <v>137</v>
      </c>
      <c r="F40" s="4" t="s">
        <v>222</v>
      </c>
      <c r="G40" s="4" t="s">
        <v>223</v>
      </c>
      <c r="H40" s="4" t="s">
        <v>227</v>
      </c>
      <c r="I40" s="4" t="s">
        <v>225</v>
      </c>
      <c r="J40" s="7" t="s">
        <v>61</v>
      </c>
      <c r="K40" s="4" t="s">
        <v>53</v>
      </c>
      <c r="L40" s="4"/>
    </row>
    <row r="41" customFormat="false" ht="32.8" hidden="false" customHeight="false" outlineLevel="0" collapsed="false">
      <c r="A41" s="4" t="n">
        <v>37</v>
      </c>
      <c r="B41" s="4" t="s">
        <v>219</v>
      </c>
      <c r="C41" s="4" t="s">
        <v>228</v>
      </c>
      <c r="D41" s="4" t="s">
        <v>229</v>
      </c>
      <c r="E41" s="4" t="s">
        <v>137</v>
      </c>
      <c r="F41" s="4" t="s">
        <v>222</v>
      </c>
      <c r="G41" s="4" t="s">
        <v>223</v>
      </c>
      <c r="H41" s="4" t="s">
        <v>230</v>
      </c>
      <c r="I41" s="4"/>
      <c r="J41" s="6" t="s">
        <v>52</v>
      </c>
      <c r="K41" s="4" t="s">
        <v>53</v>
      </c>
      <c r="L41" s="4" t="s">
        <v>231</v>
      </c>
    </row>
    <row r="42" customFormat="false" ht="74.6" hidden="false" customHeight="false" outlineLevel="0" collapsed="false">
      <c r="A42" s="4" t="n">
        <v>38</v>
      </c>
      <c r="B42" s="4" t="s">
        <v>219</v>
      </c>
      <c r="C42" s="4" t="s">
        <v>232</v>
      </c>
      <c r="D42" s="4" t="s">
        <v>233</v>
      </c>
      <c r="E42" s="4" t="s">
        <v>137</v>
      </c>
      <c r="F42" s="4" t="s">
        <v>222</v>
      </c>
      <c r="G42" s="4" t="s">
        <v>223</v>
      </c>
      <c r="H42" s="4" t="s">
        <v>234</v>
      </c>
      <c r="I42" s="4" t="s">
        <v>235</v>
      </c>
      <c r="J42" s="7" t="s">
        <v>61</v>
      </c>
      <c r="K42" s="4" t="s">
        <v>70</v>
      </c>
      <c r="L42" s="4"/>
    </row>
    <row r="43" customFormat="false" ht="22.35" hidden="false" customHeight="false" outlineLevel="0" collapsed="false">
      <c r="A43" s="4" t="n">
        <v>39</v>
      </c>
      <c r="B43" s="4" t="s">
        <v>219</v>
      </c>
      <c r="C43" s="4" t="s">
        <v>236</v>
      </c>
      <c r="D43" s="4" t="s">
        <v>237</v>
      </c>
      <c r="E43" s="4" t="s">
        <v>137</v>
      </c>
      <c r="F43" s="4" t="s">
        <v>222</v>
      </c>
      <c r="G43" s="4" t="s">
        <v>223</v>
      </c>
      <c r="H43" s="4" t="s">
        <v>227</v>
      </c>
      <c r="I43" s="4"/>
      <c r="J43" s="7" t="s">
        <v>61</v>
      </c>
      <c r="K43" s="4" t="s">
        <v>70</v>
      </c>
      <c r="L43" s="4"/>
    </row>
    <row r="44" customFormat="false" ht="22.35" hidden="false" customHeight="false" outlineLevel="0" collapsed="false">
      <c r="A44" s="4" t="n">
        <v>40</v>
      </c>
      <c r="B44" s="4" t="s">
        <v>219</v>
      </c>
      <c r="C44" s="4" t="s">
        <v>238</v>
      </c>
      <c r="D44" s="4" t="s">
        <v>239</v>
      </c>
      <c r="E44" s="4" t="s">
        <v>137</v>
      </c>
      <c r="F44" s="4" t="s">
        <v>222</v>
      </c>
      <c r="G44" s="4" t="s">
        <v>223</v>
      </c>
      <c r="H44" s="4" t="s">
        <v>227</v>
      </c>
      <c r="I44" s="4"/>
      <c r="J44" s="7" t="s">
        <v>61</v>
      </c>
      <c r="K44" s="4" t="s">
        <v>70</v>
      </c>
      <c r="L44" s="4"/>
    </row>
    <row r="45" customFormat="false" ht="22.35" hidden="false" customHeight="false" outlineLevel="0" collapsed="false">
      <c r="A45" s="4" t="n">
        <v>41</v>
      </c>
      <c r="B45" s="4" t="s">
        <v>219</v>
      </c>
      <c r="C45" s="4" t="s">
        <v>240</v>
      </c>
      <c r="D45" s="4" t="s">
        <v>241</v>
      </c>
      <c r="E45" s="4" t="s">
        <v>137</v>
      </c>
      <c r="F45" s="4" t="s">
        <v>222</v>
      </c>
      <c r="G45" s="4" t="s">
        <v>223</v>
      </c>
      <c r="H45" s="4" t="s">
        <v>242</v>
      </c>
      <c r="I45" s="4" t="s">
        <v>171</v>
      </c>
      <c r="J45" s="8" t="s">
        <v>104</v>
      </c>
      <c r="K45" s="4" t="s">
        <v>70</v>
      </c>
      <c r="L45" s="4"/>
    </row>
    <row r="46" customFormat="false" ht="32.8" hidden="false" customHeight="false" outlineLevel="0" collapsed="false">
      <c r="A46" s="4" t="n">
        <v>42</v>
      </c>
      <c r="B46" s="4" t="s">
        <v>243</v>
      </c>
      <c r="C46" s="4" t="s">
        <v>244</v>
      </c>
      <c r="D46" s="4" t="s">
        <v>245</v>
      </c>
      <c r="E46" s="4" t="s">
        <v>246</v>
      </c>
      <c r="F46" s="4" t="s">
        <v>247</v>
      </c>
      <c r="G46" s="4" t="s">
        <v>248</v>
      </c>
      <c r="H46" s="4" t="s">
        <v>249</v>
      </c>
      <c r="I46" s="4"/>
      <c r="J46" s="9" t="s">
        <v>189</v>
      </c>
      <c r="K46" s="4" t="s">
        <v>53</v>
      </c>
      <c r="L46" s="4" t="s">
        <v>250</v>
      </c>
    </row>
    <row r="47" customFormat="false" ht="32.8" hidden="false" customHeight="false" outlineLevel="0" collapsed="false">
      <c r="A47" s="4" t="n">
        <v>43</v>
      </c>
      <c r="B47" s="4" t="s">
        <v>243</v>
      </c>
      <c r="C47" s="4" t="s">
        <v>251</v>
      </c>
      <c r="D47" s="4" t="s">
        <v>252</v>
      </c>
      <c r="E47" s="4" t="s">
        <v>246</v>
      </c>
      <c r="F47" s="4" t="s">
        <v>247</v>
      </c>
      <c r="G47" s="4" t="s">
        <v>248</v>
      </c>
      <c r="H47" s="4" t="s">
        <v>249</v>
      </c>
      <c r="I47" s="4"/>
      <c r="J47" s="9" t="s">
        <v>189</v>
      </c>
      <c r="K47" s="4" t="s">
        <v>53</v>
      </c>
      <c r="L47" s="4" t="s">
        <v>250</v>
      </c>
    </row>
    <row r="48" customFormat="false" ht="32.8" hidden="false" customHeight="false" outlineLevel="0" collapsed="false">
      <c r="A48" s="4" t="n">
        <v>44</v>
      </c>
      <c r="B48" s="4" t="s">
        <v>243</v>
      </c>
      <c r="C48" s="4" t="s">
        <v>253</v>
      </c>
      <c r="D48" s="4" t="s">
        <v>252</v>
      </c>
      <c r="E48" s="4" t="s">
        <v>246</v>
      </c>
      <c r="F48" s="4" t="s">
        <v>247</v>
      </c>
      <c r="G48" s="4" t="s">
        <v>248</v>
      </c>
      <c r="H48" s="4" t="s">
        <v>249</v>
      </c>
      <c r="I48" s="4"/>
      <c r="J48" s="9" t="s">
        <v>189</v>
      </c>
      <c r="K48" s="4" t="s">
        <v>53</v>
      </c>
      <c r="L48" s="4" t="s">
        <v>250</v>
      </c>
    </row>
    <row r="49" customFormat="false" ht="32.8" hidden="false" customHeight="false" outlineLevel="0" collapsed="false">
      <c r="A49" s="4" t="n">
        <v>45</v>
      </c>
      <c r="B49" s="4" t="s">
        <v>243</v>
      </c>
      <c r="C49" s="4" t="s">
        <v>254</v>
      </c>
      <c r="D49" s="4" t="s">
        <v>255</v>
      </c>
      <c r="E49" s="4" t="s">
        <v>246</v>
      </c>
      <c r="F49" s="4" t="s">
        <v>247</v>
      </c>
      <c r="G49" s="4" t="s">
        <v>248</v>
      </c>
      <c r="H49" s="4" t="s">
        <v>249</v>
      </c>
      <c r="I49" s="4"/>
      <c r="J49" s="9" t="s">
        <v>189</v>
      </c>
      <c r="K49" s="4" t="s">
        <v>53</v>
      </c>
      <c r="L49" s="4" t="s">
        <v>250</v>
      </c>
    </row>
    <row r="50" customFormat="false" ht="32.8" hidden="false" customHeight="false" outlineLevel="0" collapsed="false">
      <c r="A50" s="4" t="n">
        <v>46</v>
      </c>
      <c r="B50" s="4" t="s">
        <v>243</v>
      </c>
      <c r="C50" s="4" t="s">
        <v>256</v>
      </c>
      <c r="D50" s="4" t="s">
        <v>257</v>
      </c>
      <c r="E50" s="4" t="s">
        <v>74</v>
      </c>
      <c r="F50" s="4" t="s">
        <v>258</v>
      </c>
      <c r="G50" s="4" t="s">
        <v>259</v>
      </c>
      <c r="H50" s="4" t="s">
        <v>260</v>
      </c>
      <c r="I50" s="4" t="s">
        <v>261</v>
      </c>
      <c r="J50" s="7" t="s">
        <v>61</v>
      </c>
      <c r="K50" s="4" t="s">
        <v>53</v>
      </c>
      <c r="L50" s="4" t="s">
        <v>262</v>
      </c>
    </row>
    <row r="51" customFormat="false" ht="32.8" hidden="false" customHeight="false" outlineLevel="0" collapsed="false">
      <c r="A51" s="4" t="n">
        <v>47</v>
      </c>
      <c r="B51" s="4" t="s">
        <v>243</v>
      </c>
      <c r="C51" s="4" t="s">
        <v>263</v>
      </c>
      <c r="D51" s="4" t="s">
        <v>264</v>
      </c>
      <c r="E51" s="4" t="s">
        <v>74</v>
      </c>
      <c r="F51" s="4" t="s">
        <v>258</v>
      </c>
      <c r="G51" s="4" t="s">
        <v>259</v>
      </c>
      <c r="H51" s="4" t="s">
        <v>265</v>
      </c>
      <c r="I51" s="4" t="s">
        <v>261</v>
      </c>
      <c r="J51" s="7" t="s">
        <v>61</v>
      </c>
      <c r="K51" s="4" t="s">
        <v>53</v>
      </c>
      <c r="L51" s="4" t="s">
        <v>262</v>
      </c>
    </row>
    <row r="52" customFormat="false" ht="32.8" hidden="false" customHeight="false" outlineLevel="0" collapsed="false">
      <c r="A52" s="4" t="n">
        <v>48</v>
      </c>
      <c r="B52" s="4" t="s">
        <v>243</v>
      </c>
      <c r="C52" s="4" t="s">
        <v>266</v>
      </c>
      <c r="D52" s="4" t="s">
        <v>267</v>
      </c>
      <c r="E52" s="4" t="s">
        <v>74</v>
      </c>
      <c r="F52" s="4" t="s">
        <v>258</v>
      </c>
      <c r="G52" s="4" t="s">
        <v>259</v>
      </c>
      <c r="H52" s="4" t="s">
        <v>268</v>
      </c>
      <c r="I52" s="4" t="s">
        <v>261</v>
      </c>
      <c r="J52" s="7" t="s">
        <v>61</v>
      </c>
      <c r="K52" s="4" t="s">
        <v>53</v>
      </c>
      <c r="L52" s="4" t="s">
        <v>262</v>
      </c>
    </row>
    <row r="53" customFormat="false" ht="32.8" hidden="false" customHeight="false" outlineLevel="0" collapsed="false">
      <c r="A53" s="4" t="n">
        <v>49</v>
      </c>
      <c r="B53" s="4" t="s">
        <v>243</v>
      </c>
      <c r="C53" s="4" t="s">
        <v>269</v>
      </c>
      <c r="D53" s="4" t="s">
        <v>270</v>
      </c>
      <c r="E53" s="4" t="s">
        <v>74</v>
      </c>
      <c r="F53" s="4" t="s">
        <v>258</v>
      </c>
      <c r="G53" s="4" t="s">
        <v>259</v>
      </c>
      <c r="H53" s="4" t="s">
        <v>271</v>
      </c>
      <c r="I53" s="4" t="s">
        <v>261</v>
      </c>
      <c r="J53" s="7" t="s">
        <v>61</v>
      </c>
      <c r="K53" s="4" t="s">
        <v>53</v>
      </c>
      <c r="L53" s="4" t="s">
        <v>262</v>
      </c>
    </row>
    <row r="54" customFormat="false" ht="32.8" hidden="false" customHeight="false" outlineLevel="0" collapsed="false">
      <c r="A54" s="4" t="n">
        <v>50</v>
      </c>
      <c r="B54" s="4" t="s">
        <v>243</v>
      </c>
      <c r="C54" s="4" t="s">
        <v>272</v>
      </c>
      <c r="D54" s="4" t="s">
        <v>273</v>
      </c>
      <c r="E54" s="4" t="s">
        <v>74</v>
      </c>
      <c r="F54" s="4" t="s">
        <v>258</v>
      </c>
      <c r="G54" s="4" t="s">
        <v>259</v>
      </c>
      <c r="H54" s="4" t="s">
        <v>274</v>
      </c>
      <c r="I54" s="4" t="s">
        <v>261</v>
      </c>
      <c r="J54" s="7" t="s">
        <v>61</v>
      </c>
      <c r="K54" s="4" t="s">
        <v>53</v>
      </c>
      <c r="L54" s="4" t="s">
        <v>262</v>
      </c>
    </row>
    <row r="55" customFormat="false" ht="32.8" hidden="false" customHeight="false" outlineLevel="0" collapsed="false">
      <c r="A55" s="4" t="n">
        <v>51</v>
      </c>
      <c r="B55" s="4" t="s">
        <v>243</v>
      </c>
      <c r="C55" s="4" t="s">
        <v>275</v>
      </c>
      <c r="D55" s="4" t="s">
        <v>276</v>
      </c>
      <c r="E55" s="4" t="s">
        <v>74</v>
      </c>
      <c r="F55" s="4" t="s">
        <v>258</v>
      </c>
      <c r="G55" s="4" t="s">
        <v>259</v>
      </c>
      <c r="H55" s="4" t="s">
        <v>277</v>
      </c>
      <c r="I55" s="4" t="s">
        <v>261</v>
      </c>
      <c r="J55" s="7" t="s">
        <v>61</v>
      </c>
      <c r="K55" s="4" t="s">
        <v>53</v>
      </c>
      <c r="L55" s="4" t="s">
        <v>262</v>
      </c>
    </row>
    <row r="56" customFormat="false" ht="32.8" hidden="false" customHeight="false" outlineLevel="0" collapsed="false">
      <c r="A56" s="4" t="n">
        <v>52</v>
      </c>
      <c r="B56" s="4" t="s">
        <v>278</v>
      </c>
      <c r="C56" s="4" t="s">
        <v>279</v>
      </c>
      <c r="D56" s="4" t="s">
        <v>280</v>
      </c>
      <c r="E56" s="4" t="s">
        <v>281</v>
      </c>
      <c r="F56" s="4" t="s">
        <v>282</v>
      </c>
      <c r="G56" s="4" t="s">
        <v>283</v>
      </c>
      <c r="H56" s="4" t="s">
        <v>284</v>
      </c>
      <c r="I56" s="4" t="s">
        <v>285</v>
      </c>
      <c r="J56" s="8" t="s">
        <v>104</v>
      </c>
      <c r="K56" s="4" t="s">
        <v>22</v>
      </c>
      <c r="L56" s="4"/>
    </row>
    <row r="57" customFormat="false" ht="32.8" hidden="false" customHeight="false" outlineLevel="0" collapsed="false">
      <c r="A57" s="4" t="n">
        <v>53</v>
      </c>
      <c r="B57" s="4" t="s">
        <v>278</v>
      </c>
      <c r="C57" s="4" t="s">
        <v>286</v>
      </c>
      <c r="D57" s="4" t="s">
        <v>287</v>
      </c>
      <c r="E57" s="4" t="s">
        <v>288</v>
      </c>
      <c r="F57" s="4" t="s">
        <v>282</v>
      </c>
      <c r="G57" s="4" t="s">
        <v>283</v>
      </c>
      <c r="H57" s="4" t="s">
        <v>289</v>
      </c>
      <c r="I57" s="4" t="s">
        <v>285</v>
      </c>
      <c r="J57" s="8" t="s">
        <v>104</v>
      </c>
      <c r="K57" s="4" t="s">
        <v>22</v>
      </c>
      <c r="L57" s="4"/>
    </row>
    <row r="58" customFormat="false" ht="64.15" hidden="false" customHeight="false" outlineLevel="0" collapsed="false">
      <c r="A58" s="4" t="n">
        <v>54</v>
      </c>
      <c r="B58" s="4" t="s">
        <v>278</v>
      </c>
      <c r="C58" s="4" t="s">
        <v>290</v>
      </c>
      <c r="D58" s="4" t="s">
        <v>291</v>
      </c>
      <c r="E58" s="4" t="s">
        <v>281</v>
      </c>
      <c r="F58" s="4" t="s">
        <v>282</v>
      </c>
      <c r="G58" s="4" t="s">
        <v>283</v>
      </c>
      <c r="H58" s="4" t="s">
        <v>292</v>
      </c>
      <c r="I58" s="4" t="s">
        <v>293</v>
      </c>
      <c r="J58" s="7" t="s">
        <v>61</v>
      </c>
      <c r="K58" s="4" t="s">
        <v>70</v>
      </c>
      <c r="L58" s="4"/>
    </row>
    <row r="59" customFormat="false" ht="32.8" hidden="false" customHeight="false" outlineLevel="0" collapsed="false">
      <c r="A59" s="4" t="n">
        <v>55</v>
      </c>
      <c r="B59" s="4" t="s">
        <v>278</v>
      </c>
      <c r="C59" s="4" t="s">
        <v>294</v>
      </c>
      <c r="D59" s="4" t="s">
        <v>295</v>
      </c>
      <c r="E59" s="4" t="s">
        <v>296</v>
      </c>
      <c r="F59" s="4" t="s">
        <v>282</v>
      </c>
      <c r="G59" s="4" t="s">
        <v>283</v>
      </c>
      <c r="H59" s="4" t="s">
        <v>297</v>
      </c>
      <c r="I59" s="4" t="s">
        <v>298</v>
      </c>
      <c r="J59" s="7" t="s">
        <v>61</v>
      </c>
      <c r="K59" s="4" t="s">
        <v>70</v>
      </c>
      <c r="L59" s="4"/>
    </row>
    <row r="60" customFormat="false" ht="32.8" hidden="false" customHeight="false" outlineLevel="0" collapsed="false">
      <c r="A60" s="4" t="n">
        <v>56</v>
      </c>
      <c r="B60" s="4" t="s">
        <v>278</v>
      </c>
      <c r="C60" s="4" t="s">
        <v>299</v>
      </c>
      <c r="D60" s="4" t="s">
        <v>300</v>
      </c>
      <c r="E60" s="4" t="s">
        <v>301</v>
      </c>
      <c r="F60" s="4" t="s">
        <v>282</v>
      </c>
      <c r="G60" s="4" t="s">
        <v>283</v>
      </c>
      <c r="H60" s="4" t="s">
        <v>302</v>
      </c>
      <c r="I60" s="4" t="s">
        <v>303</v>
      </c>
      <c r="J60" s="8" t="s">
        <v>104</v>
      </c>
      <c r="K60" s="4" t="s">
        <v>22</v>
      </c>
      <c r="L60" s="4"/>
    </row>
    <row r="61" customFormat="false" ht="32.8" hidden="false" customHeight="false" outlineLevel="0" collapsed="false">
      <c r="A61" s="4" t="n">
        <v>57</v>
      </c>
      <c r="B61" s="4" t="s">
        <v>278</v>
      </c>
      <c r="C61" s="4" t="s">
        <v>304</v>
      </c>
      <c r="D61" s="4" t="s">
        <v>305</v>
      </c>
      <c r="E61" s="4" t="s">
        <v>306</v>
      </c>
      <c r="F61" s="4" t="s">
        <v>282</v>
      </c>
      <c r="G61" s="4" t="s">
        <v>283</v>
      </c>
      <c r="H61" s="4" t="s">
        <v>307</v>
      </c>
      <c r="I61" s="4" t="s">
        <v>188</v>
      </c>
      <c r="J61" s="7" t="s">
        <v>61</v>
      </c>
      <c r="K61" s="4" t="s">
        <v>70</v>
      </c>
      <c r="L61" s="4"/>
    </row>
    <row r="62" customFormat="false" ht="32.8" hidden="false" customHeight="false" outlineLevel="0" collapsed="false">
      <c r="A62" s="4" t="n">
        <v>58</v>
      </c>
      <c r="B62" s="4" t="s">
        <v>278</v>
      </c>
      <c r="C62" s="4" t="s">
        <v>308</v>
      </c>
      <c r="D62" s="4" t="s">
        <v>309</v>
      </c>
      <c r="E62" s="4" t="s">
        <v>310</v>
      </c>
      <c r="F62" s="4" t="s">
        <v>282</v>
      </c>
      <c r="G62" s="4" t="s">
        <v>283</v>
      </c>
      <c r="H62" s="4" t="s">
        <v>311</v>
      </c>
      <c r="I62" s="4" t="s">
        <v>312</v>
      </c>
      <c r="J62" s="7" t="s">
        <v>61</v>
      </c>
      <c r="K62" s="4" t="s">
        <v>70</v>
      </c>
      <c r="L62" s="4"/>
    </row>
    <row r="63" customFormat="false" ht="32.8" hidden="false" customHeight="false" outlineLevel="0" collapsed="false">
      <c r="A63" s="4" t="n">
        <v>59</v>
      </c>
      <c r="B63" s="4" t="s">
        <v>278</v>
      </c>
      <c r="C63" s="4" t="s">
        <v>313</v>
      </c>
      <c r="D63" s="4" t="s">
        <v>314</v>
      </c>
      <c r="E63" s="4" t="s">
        <v>315</v>
      </c>
      <c r="F63" s="4" t="s">
        <v>282</v>
      </c>
      <c r="G63" s="4" t="s">
        <v>283</v>
      </c>
      <c r="H63" s="4" t="s">
        <v>316</v>
      </c>
      <c r="I63" s="4"/>
      <c r="J63" s="9" t="s">
        <v>189</v>
      </c>
      <c r="K63" s="4" t="s">
        <v>53</v>
      </c>
      <c r="L63" s="4"/>
    </row>
    <row r="64" customFormat="false" ht="32.8" hidden="false" customHeight="false" outlineLevel="0" collapsed="false">
      <c r="A64" s="4" t="n">
        <v>60</v>
      </c>
      <c r="B64" s="4" t="s">
        <v>278</v>
      </c>
      <c r="C64" s="4" t="s">
        <v>317</v>
      </c>
      <c r="D64" s="4" t="s">
        <v>318</v>
      </c>
      <c r="E64" s="4" t="s">
        <v>319</v>
      </c>
      <c r="F64" s="4" t="s">
        <v>282</v>
      </c>
      <c r="G64" s="4" t="s">
        <v>283</v>
      </c>
      <c r="H64" s="4" t="s">
        <v>320</v>
      </c>
      <c r="I64" s="4"/>
      <c r="J64" s="7" t="s">
        <v>61</v>
      </c>
      <c r="K64" s="4" t="s">
        <v>22</v>
      </c>
      <c r="L64" s="4"/>
    </row>
    <row r="65" customFormat="false" ht="32.8" hidden="false" customHeight="false" outlineLevel="0" collapsed="false">
      <c r="A65" s="4" t="n">
        <v>61</v>
      </c>
      <c r="B65" s="4" t="s">
        <v>278</v>
      </c>
      <c r="C65" s="4" t="s">
        <v>321</v>
      </c>
      <c r="D65" s="4" t="s">
        <v>322</v>
      </c>
      <c r="E65" s="4" t="s">
        <v>323</v>
      </c>
      <c r="F65" s="4" t="s">
        <v>282</v>
      </c>
      <c r="G65" s="4" t="s">
        <v>283</v>
      </c>
      <c r="H65" s="4" t="s">
        <v>324</v>
      </c>
      <c r="I65" s="4" t="s">
        <v>303</v>
      </c>
      <c r="J65" s="7" t="s">
        <v>61</v>
      </c>
      <c r="K65" s="4" t="s">
        <v>53</v>
      </c>
      <c r="L65" s="4"/>
    </row>
    <row r="66" customFormat="false" ht="32.8" hidden="false" customHeight="false" outlineLevel="0" collapsed="false">
      <c r="A66" s="4" t="n">
        <v>62</v>
      </c>
      <c r="B66" s="4" t="s">
        <v>278</v>
      </c>
      <c r="C66" s="4" t="s">
        <v>325</v>
      </c>
      <c r="D66" s="4" t="s">
        <v>326</v>
      </c>
      <c r="E66" s="4" t="s">
        <v>327</v>
      </c>
      <c r="F66" s="4" t="s">
        <v>282</v>
      </c>
      <c r="G66" s="4" t="s">
        <v>283</v>
      </c>
      <c r="H66" s="4" t="s">
        <v>328</v>
      </c>
      <c r="I66" s="4" t="s">
        <v>303</v>
      </c>
      <c r="J66" s="8" t="s">
        <v>104</v>
      </c>
      <c r="K66" s="4" t="s">
        <v>70</v>
      </c>
      <c r="L66" s="4"/>
    </row>
    <row r="67" customFormat="false" ht="32.8" hidden="false" customHeight="false" outlineLevel="0" collapsed="false">
      <c r="A67" s="4" t="n">
        <v>63</v>
      </c>
      <c r="B67" s="4" t="s">
        <v>278</v>
      </c>
      <c r="C67" s="4" t="s">
        <v>329</v>
      </c>
      <c r="D67" s="4" t="s">
        <v>330</v>
      </c>
      <c r="E67" s="4" t="s">
        <v>331</v>
      </c>
      <c r="F67" s="4" t="s">
        <v>282</v>
      </c>
      <c r="G67" s="4" t="s">
        <v>283</v>
      </c>
      <c r="H67" s="4" t="s">
        <v>332</v>
      </c>
      <c r="I67" s="4" t="s">
        <v>333</v>
      </c>
      <c r="J67" s="6" t="s">
        <v>52</v>
      </c>
      <c r="K67" s="4" t="s">
        <v>53</v>
      </c>
      <c r="L67" s="4"/>
    </row>
    <row r="68" customFormat="false" ht="32.8" hidden="false" customHeight="false" outlineLevel="0" collapsed="false">
      <c r="A68" s="4" t="n">
        <v>64</v>
      </c>
      <c r="B68" s="4" t="s">
        <v>278</v>
      </c>
      <c r="C68" s="4" t="s">
        <v>334</v>
      </c>
      <c r="D68" s="4" t="s">
        <v>335</v>
      </c>
      <c r="E68" s="4" t="s">
        <v>336</v>
      </c>
      <c r="F68" s="4" t="s">
        <v>282</v>
      </c>
      <c r="G68" s="4" t="s">
        <v>283</v>
      </c>
      <c r="H68" s="4" t="s">
        <v>337</v>
      </c>
      <c r="I68" s="4" t="s">
        <v>338</v>
      </c>
      <c r="J68" s="8" t="s">
        <v>104</v>
      </c>
      <c r="K68" s="4" t="s">
        <v>22</v>
      </c>
      <c r="L68" s="4"/>
    </row>
    <row r="69" customFormat="false" ht="32.8" hidden="false" customHeight="false" outlineLevel="0" collapsed="false">
      <c r="A69" s="4" t="n">
        <v>65</v>
      </c>
      <c r="B69" s="4" t="s">
        <v>278</v>
      </c>
      <c r="C69" s="4" t="s">
        <v>339</v>
      </c>
      <c r="D69" s="4" t="s">
        <v>340</v>
      </c>
      <c r="E69" s="4" t="s">
        <v>341</v>
      </c>
      <c r="F69" s="4" t="s">
        <v>282</v>
      </c>
      <c r="G69" s="4" t="s">
        <v>283</v>
      </c>
      <c r="H69" s="4" t="s">
        <v>342</v>
      </c>
      <c r="I69" s="4"/>
      <c r="J69" s="8" t="s">
        <v>104</v>
      </c>
      <c r="K69" s="4" t="s">
        <v>22</v>
      </c>
      <c r="L69" s="4"/>
    </row>
    <row r="70" customFormat="false" ht="43.25" hidden="false" customHeight="false" outlineLevel="0" collapsed="false">
      <c r="A70" s="4" t="n">
        <v>66</v>
      </c>
      <c r="B70" s="4" t="s">
        <v>343</v>
      </c>
      <c r="C70" s="4" t="s">
        <v>344</v>
      </c>
      <c r="D70" s="4" t="s">
        <v>345</v>
      </c>
      <c r="E70" s="4" t="s">
        <v>32</v>
      </c>
      <c r="F70" s="4" t="s">
        <v>346</v>
      </c>
      <c r="G70" s="4" t="s">
        <v>347</v>
      </c>
      <c r="H70" s="4" t="s">
        <v>348</v>
      </c>
      <c r="I70" s="4" t="s">
        <v>89</v>
      </c>
      <c r="J70" s="7" t="s">
        <v>61</v>
      </c>
      <c r="K70" s="4" t="s">
        <v>70</v>
      </c>
      <c r="L70" s="4" t="s">
        <v>349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" t="s">
        <v>350</v>
      </c>
    </row>
    <row r="2" customFormat="false" ht="48" hidden="false" customHeight="true" outlineLevel="0" collapsed="false">
      <c r="A2" s="2" t="s">
        <v>351</v>
      </c>
      <c r="B2" s="2"/>
      <c r="C2" s="2"/>
      <c r="D2" s="2"/>
      <c r="E2" s="2"/>
    </row>
    <row r="4" customFormat="false" ht="22.35" hidden="false" customHeight="false" outlineLevel="0" collapsed="false">
      <c r="A4" s="3" t="s">
        <v>352</v>
      </c>
      <c r="B4" s="3" t="s">
        <v>353</v>
      </c>
      <c r="C4" s="3" t="s">
        <v>354</v>
      </c>
      <c r="D4" s="3" t="s">
        <v>355</v>
      </c>
      <c r="E4" s="3" t="s">
        <v>356</v>
      </c>
    </row>
    <row r="5" customFormat="false" ht="15" hidden="false" customHeight="false" outlineLevel="0" collapsed="false">
      <c r="A5" s="4" t="n">
        <v>0.1</v>
      </c>
      <c r="B5" s="10" t="n">
        <f aca="false">1-(1-$A5)^4</f>
        <v>0.3439</v>
      </c>
      <c r="C5" s="10" t="n">
        <f aca="false">1-(1-$A5)^3</f>
        <v>0.271</v>
      </c>
      <c r="D5" s="10" t="n">
        <f aca="false">(((($A5*5)+$A5*(10-($A5*5)))+$A5*(15-(($A5*5)+$A5*(10-($A5*5)))))+$A5*(20-((($A5*5)+$A5*(10-($A5*5)))+$A5*(15-(($A5*5)+$A5*(10-($A5*5)))))))/20</f>
        <v>0.226225</v>
      </c>
      <c r="E5" s="10" t="n">
        <f aca="false">((($A5*5)+$A5*(10-($A5*5)))+$A5*(15-(($A5*5)+$A5*(10-($A5*5)))))/20</f>
        <v>0.14025</v>
      </c>
    </row>
    <row r="6" customFormat="false" ht="15" hidden="false" customHeight="false" outlineLevel="0" collapsed="false">
      <c r="A6" s="4" t="n">
        <v>0.15</v>
      </c>
      <c r="B6" s="10" t="n">
        <f aca="false">1-(1-$A6)^4</f>
        <v>0.47799375</v>
      </c>
      <c r="C6" s="10" t="n">
        <f aca="false">1-(1-$A6)^3</f>
        <v>0.385875</v>
      </c>
      <c r="D6" s="10" t="n">
        <f aca="false">(((($A6*5)+$A6*(10-($A6*5)))+$A6*(15-(($A6*5)+$A6*(10-($A6*5)))))+$A6*(20-((($A6*5)+$A6*(10-($A6*5)))+$A6*(15-(($A6*5)+$A6*(10-($A6*5)))))))/20</f>
        <v>0.3228421875</v>
      </c>
      <c r="E6" s="10" t="n">
        <f aca="false">((($A6*5)+$A6*(10-($A6*5)))+$A6*(15-(($A6*5)+$A6*(10-($A6*5)))))/20</f>
        <v>0.20334375</v>
      </c>
    </row>
    <row r="7" customFormat="false" ht="15" hidden="false" customHeight="false" outlineLevel="0" collapsed="false">
      <c r="A7" s="4" t="n">
        <v>0.2</v>
      </c>
      <c r="B7" s="10" t="n">
        <f aca="false">1-(1-$A7)^4</f>
        <v>0.5904</v>
      </c>
      <c r="C7" s="10" t="n">
        <f aca="false">1-(1-$A7)^3</f>
        <v>0.488</v>
      </c>
      <c r="D7" s="10" t="n">
        <f aca="false">(((($A7*5)+$A7*(10-($A7*5)))+$A7*(15-(($A7*5)+$A7*(10-($A7*5)))))+$A7*(20-((($A7*5)+$A7*(10-($A7*5)))+$A7*(15-(($A7*5)+$A7*(10-($A7*5)))))))/20</f>
        <v>0.4096</v>
      </c>
      <c r="E7" s="10" t="n">
        <f aca="false">((($A7*5)+$A7*(10-($A7*5)))+$A7*(15-(($A7*5)+$A7*(10-($A7*5)))))/20</f>
        <v>0.262</v>
      </c>
    </row>
    <row r="8" customFormat="false" ht="15" hidden="false" customHeight="false" outlineLevel="0" collapsed="false">
      <c r="A8" s="4" t="n">
        <v>0.25</v>
      </c>
      <c r="B8" s="10" t="n">
        <f aca="false">1-(1-$A8)^4</f>
        <v>0.68359375</v>
      </c>
      <c r="C8" s="10" t="n">
        <f aca="false">1-(1-$A8)^3</f>
        <v>0.578125</v>
      </c>
      <c r="D8" s="10" t="n">
        <f aca="false">(((($A8*5)+$A8*(10-($A8*5)))+$A8*(15-(($A8*5)+$A8*(10-($A8*5)))))+$A8*(20-((($A8*5)+$A8*(10-($A8*5)))+$A8*(15-(($A8*5)+$A8*(10-($A8*5)))))))/20</f>
        <v>0.4873046875</v>
      </c>
      <c r="E8" s="10" t="n">
        <f aca="false">((($A8*5)+$A8*(10-($A8*5)))+$A8*(15-(($A8*5)+$A8*(10-($A8*5)))))/20</f>
        <v>0.31640625</v>
      </c>
    </row>
    <row r="9" customFormat="false" ht="15" hidden="false" customHeight="false" outlineLevel="0" collapsed="false">
      <c r="A9" s="4" t="n">
        <v>0.3</v>
      </c>
      <c r="B9" s="10" t="n">
        <f aca="false">1-(1-$A9)^4</f>
        <v>0.7599</v>
      </c>
      <c r="C9" s="10" t="n">
        <f aca="false">1-(1-$A9)^3</f>
        <v>0.657</v>
      </c>
      <c r="D9" s="10" t="n">
        <f aca="false">(((($A9*5)+$A9*(10-($A9*5)))+$A9*(15-(($A9*5)+$A9*(10-($A9*5)))))+$A9*(20-((($A9*5)+$A9*(10-($A9*5)))+$A9*(15-(($A9*5)+$A9*(10-($A9*5)))))))/20</f>
        <v>0.556725</v>
      </c>
      <c r="E9" s="10" t="n">
        <f aca="false">((($A9*5)+$A9*(10-($A9*5)))+$A9*(15-(($A9*5)+$A9*(10-($A9*5)))))/20</f>
        <v>0.36675</v>
      </c>
    </row>
    <row r="10" customFormat="false" ht="15" hidden="false" customHeight="false" outlineLevel="0" collapsed="false">
      <c r="A10" s="4" t="n">
        <v>0.34</v>
      </c>
      <c r="B10" s="10" t="n">
        <f aca="false">1-(1-$A10)^4</f>
        <v>0.81025264</v>
      </c>
      <c r="C10" s="10" t="n">
        <f aca="false">1-(1-$A10)^3</f>
        <v>0.712504</v>
      </c>
      <c r="D10" s="10" t="n">
        <f aca="false">(((($A10*5)+$A10*(10-($A10*5)))+$A10*(15-(($A10*5)+$A10*(10-($A10*5)))))+$A10*(20-((($A10*5)+$A10*(10-($A10*5)))+$A10*(15-(($A10*5)+$A10*(10-($A10*5)))))))/20</f>
        <v>0.60678916</v>
      </c>
      <c r="E10" s="10" t="n">
        <f aca="false">((($A10*5)+$A10*(10-($A10*5)))+$A10*(15-(($A10*5)+$A10*(10-($A10*5)))))/20</f>
        <v>0.404226</v>
      </c>
    </row>
    <row r="11" customFormat="false" ht="15" hidden="false" customHeight="false" outlineLevel="0" collapsed="false">
      <c r="A11" s="4" t="n">
        <v>0.4</v>
      </c>
      <c r="B11" s="10" t="n">
        <f aca="false">1-(1-$A11)^4</f>
        <v>0.8704</v>
      </c>
      <c r="C11" s="10" t="n">
        <f aca="false">1-(1-$A11)^3</f>
        <v>0.784</v>
      </c>
      <c r="D11" s="10" t="n">
        <f aca="false">(((($A11*5)+$A11*(10-($A11*5)))+$A11*(15-(($A11*5)+$A11*(10-($A11*5)))))+$A11*(20-((($A11*5)+$A11*(10-($A11*5)))+$A11*(15-(($A11*5)+$A11*(10-($A11*5)))))))/20</f>
        <v>0.6736</v>
      </c>
      <c r="E11" s="10" t="n">
        <f aca="false">((($A11*5)+$A11*(10-($A11*5)))+$A11*(15-(($A11*5)+$A11*(10-($A11*5)))))/20</f>
        <v>0.456</v>
      </c>
    </row>
    <row r="13" customFormat="false" ht="15" hidden="false" customHeight="false" outlineLevel="0" collapsed="false">
      <c r="A13" s="3" t="s">
        <v>357</v>
      </c>
      <c r="B13" s="3" t="s">
        <v>352</v>
      </c>
      <c r="C13" s="3" t="s">
        <v>9</v>
      </c>
    </row>
    <row r="14" customFormat="false" ht="22.35" hidden="false" customHeight="false" outlineLevel="0" collapsed="false">
      <c r="A14" s="4" t="s">
        <v>358</v>
      </c>
      <c r="B14" s="4" t="s">
        <v>359</v>
      </c>
      <c r="C14" s="4" t="s">
        <v>360</v>
      </c>
    </row>
    <row r="15" customFormat="false" ht="22.35" hidden="false" customHeight="false" outlineLevel="0" collapsed="false">
      <c r="A15" s="4" t="s">
        <v>361</v>
      </c>
      <c r="B15" s="4" t="s">
        <v>362</v>
      </c>
      <c r="C15" s="4" t="s">
        <v>363</v>
      </c>
    </row>
    <row r="16" customFormat="false" ht="32.8" hidden="false" customHeight="false" outlineLevel="0" collapsed="false">
      <c r="A16" s="4" t="s">
        <v>364</v>
      </c>
      <c r="B16" s="4" t="s">
        <v>365</v>
      </c>
      <c r="C16" s="4" t="s">
        <v>366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70"/>
  </cols>
  <sheetData>
    <row r="1" customFormat="false" ht="16.15" hidden="false" customHeight="false" outlineLevel="0" collapsed="false">
      <c r="A1" s="1" t="s">
        <v>367</v>
      </c>
    </row>
    <row r="2" customFormat="false" ht="48" hidden="false" customHeight="true" outlineLevel="0" collapsed="false">
      <c r="A2" s="2" t="s">
        <v>368</v>
      </c>
      <c r="B2" s="2"/>
      <c r="C2" s="2"/>
    </row>
    <row r="4" customFormat="false" ht="15" hidden="false" customHeight="false" outlineLevel="0" collapsed="false">
      <c r="A4" s="3" t="s">
        <v>369</v>
      </c>
      <c r="B4" s="3" t="s">
        <v>370</v>
      </c>
      <c r="C4" s="3" t="s">
        <v>10</v>
      </c>
    </row>
    <row r="5" customFormat="false" ht="15" hidden="false" customHeight="false" outlineLevel="0" collapsed="false">
      <c r="A5" s="4" t="s">
        <v>371</v>
      </c>
      <c r="B5" s="4" t="s">
        <v>372</v>
      </c>
      <c r="C5" s="4" t="s">
        <v>373</v>
      </c>
    </row>
    <row r="6" customFormat="false" ht="22.35" hidden="false" customHeight="false" outlineLevel="0" collapsed="false">
      <c r="A6" s="4" t="s">
        <v>374</v>
      </c>
      <c r="B6" s="4" t="s">
        <v>375</v>
      </c>
      <c r="C6" s="4" t="s">
        <v>161</v>
      </c>
    </row>
    <row r="7" customFormat="false" ht="22.35" hidden="false" customHeight="false" outlineLevel="0" collapsed="false">
      <c r="A7" s="4" t="s">
        <v>376</v>
      </c>
      <c r="B7" s="4" t="s">
        <v>377</v>
      </c>
      <c r="C7" s="4" t="s">
        <v>378</v>
      </c>
    </row>
    <row r="8" customFormat="false" ht="15" hidden="false" customHeight="false" outlineLevel="0" collapsed="false">
      <c r="A8" s="4" t="s">
        <v>379</v>
      </c>
      <c r="B8" s="4" t="s">
        <v>380</v>
      </c>
      <c r="C8" s="4" t="s">
        <v>381</v>
      </c>
    </row>
    <row r="9" customFormat="false" ht="22.35" hidden="false" customHeight="false" outlineLevel="0" collapsed="false">
      <c r="A9" s="4" t="s">
        <v>382</v>
      </c>
      <c r="B9" s="4" t="s">
        <v>383</v>
      </c>
      <c r="C9" s="4" t="s">
        <v>384</v>
      </c>
    </row>
    <row r="10" customFormat="false" ht="15" hidden="false" customHeight="false" outlineLevel="0" collapsed="false">
      <c r="A10" s="4" t="s">
        <v>385</v>
      </c>
      <c r="B10" s="4" t="s">
        <v>386</v>
      </c>
      <c r="C10" s="4" t="s">
        <v>51</v>
      </c>
    </row>
    <row r="11" customFormat="false" ht="22.35" hidden="false" customHeight="false" outlineLevel="0" collapsed="false">
      <c r="A11" s="4" t="s">
        <v>387</v>
      </c>
      <c r="B11" s="4" t="s">
        <v>388</v>
      </c>
      <c r="C11" s="4" t="s">
        <v>389</v>
      </c>
    </row>
    <row r="12" customFormat="false" ht="22.35" hidden="false" customHeight="false" outlineLevel="0" collapsed="false">
      <c r="A12" s="4" t="s">
        <v>390</v>
      </c>
      <c r="B12" s="4" t="s">
        <v>391</v>
      </c>
      <c r="C12" s="4" t="s">
        <v>392</v>
      </c>
    </row>
    <row r="13" customFormat="false" ht="22.35" hidden="false" customHeight="false" outlineLevel="0" collapsed="false">
      <c r="A13" s="4" t="s">
        <v>393</v>
      </c>
      <c r="B13" s="4" t="s">
        <v>394</v>
      </c>
      <c r="C13" s="4" t="s">
        <v>293</v>
      </c>
    </row>
    <row r="14" customFormat="false" ht="32.8" hidden="false" customHeight="false" outlineLevel="0" collapsed="false">
      <c r="A14" s="4" t="s">
        <v>395</v>
      </c>
      <c r="B14" s="4" t="s">
        <v>396</v>
      </c>
      <c r="C14" s="4" t="s">
        <v>235</v>
      </c>
    </row>
    <row r="15" customFormat="false" ht="22.35" hidden="false" customHeight="false" outlineLevel="0" collapsed="false">
      <c r="A15" s="4" t="s">
        <v>397</v>
      </c>
      <c r="B15" s="4" t="s">
        <v>398</v>
      </c>
      <c r="C15" s="4" t="s">
        <v>103</v>
      </c>
    </row>
    <row r="16" customFormat="false" ht="22.35" hidden="false" customHeight="false" outlineLevel="0" collapsed="false">
      <c r="A16" s="4" t="s">
        <v>399</v>
      </c>
      <c r="B16" s="4" t="s">
        <v>400</v>
      </c>
      <c r="C16" s="4" t="s">
        <v>118</v>
      </c>
    </row>
    <row r="17" customFormat="false" ht="15" hidden="false" customHeight="false" outlineLevel="0" collapsed="false">
      <c r="A17" s="4" t="s">
        <v>401</v>
      </c>
      <c r="B17" s="4" t="s">
        <v>402</v>
      </c>
      <c r="C17" s="4" t="s">
        <v>312</v>
      </c>
    </row>
    <row r="18" customFormat="false" ht="15" hidden="false" customHeight="false" outlineLevel="0" collapsed="false">
      <c r="A18" s="4" t="s">
        <v>403</v>
      </c>
      <c r="B18" s="4" t="s">
        <v>404</v>
      </c>
      <c r="C18" s="4" t="s">
        <v>180</v>
      </c>
    </row>
    <row r="19" customFormat="false" ht="15" hidden="false" customHeight="false" outlineLevel="0" collapsed="false">
      <c r="A19" s="4" t="s">
        <v>405</v>
      </c>
      <c r="B19" s="4" t="s">
        <v>406</v>
      </c>
      <c r="C19" s="4" t="s">
        <v>407</v>
      </c>
    </row>
    <row r="20" customFormat="false" ht="15" hidden="false" customHeight="false" outlineLevel="0" collapsed="false">
      <c r="A20" s="4" t="s">
        <v>408</v>
      </c>
      <c r="B20" s="4" t="s">
        <v>409</v>
      </c>
      <c r="C20" s="4" t="s">
        <v>261</v>
      </c>
    </row>
    <row r="21" customFormat="false" ht="15" hidden="false" customHeight="false" outlineLevel="0" collapsed="false">
      <c r="A21" s="4" t="s">
        <v>410</v>
      </c>
      <c r="B21" s="4" t="s">
        <v>411</v>
      </c>
      <c r="C21" s="4" t="s">
        <v>89</v>
      </c>
    </row>
    <row r="22" customFormat="false" ht="15" hidden="false" customHeight="false" outlineLevel="0" collapsed="false">
      <c r="A22" s="4" t="s">
        <v>412</v>
      </c>
      <c r="B22" s="4" t="s">
        <v>413</v>
      </c>
      <c r="C22" s="4" t="s">
        <v>414</v>
      </c>
    </row>
    <row r="23" customFormat="false" ht="15" hidden="false" customHeight="false" outlineLevel="0" collapsed="false">
      <c r="A23" s="4" t="s">
        <v>415</v>
      </c>
      <c r="B23" s="4" t="s">
        <v>416</v>
      </c>
      <c r="C23" s="4" t="s">
        <v>141</v>
      </c>
    </row>
    <row r="24" customFormat="false" ht="15" hidden="false" customHeight="false" outlineLevel="0" collapsed="false">
      <c r="A24" s="4" t="s">
        <v>417</v>
      </c>
      <c r="B24" s="4" t="s">
        <v>418</v>
      </c>
      <c r="C24" s="4" t="s">
        <v>156</v>
      </c>
    </row>
    <row r="25" customFormat="false" ht="15" hidden="false" customHeight="false" outlineLevel="0" collapsed="false">
      <c r="A25" s="4" t="s">
        <v>419</v>
      </c>
      <c r="B25" s="4" t="s">
        <v>420</v>
      </c>
      <c r="C25" s="4" t="s">
        <v>146</v>
      </c>
    </row>
    <row r="26" customFormat="false" ht="15" hidden="false" customHeight="false" outlineLevel="0" collapsed="false">
      <c r="A26" s="4" t="s">
        <v>421</v>
      </c>
      <c r="B26" s="4" t="s">
        <v>422</v>
      </c>
      <c r="C26" s="4" t="s">
        <v>212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423</v>
      </c>
    </row>
    <row r="2" customFormat="false" ht="48" hidden="false" customHeight="true" outlineLevel="0" collapsed="false">
      <c r="A2" s="2" t="s">
        <v>424</v>
      </c>
      <c r="B2" s="2"/>
      <c r="C2" s="2"/>
    </row>
    <row r="4" customFormat="false" ht="15" hidden="false" customHeight="false" outlineLevel="0" collapsed="false">
      <c r="A4" s="3" t="s">
        <v>4</v>
      </c>
      <c r="B4" s="3" t="s">
        <v>11</v>
      </c>
      <c r="C4" s="3" t="s">
        <v>425</v>
      </c>
    </row>
    <row r="5" customFormat="false" ht="22.35" hidden="false" customHeight="false" outlineLevel="0" collapsed="false">
      <c r="A5" s="4" t="s">
        <v>45</v>
      </c>
      <c r="B5" s="6" t="s">
        <v>52</v>
      </c>
      <c r="C5" s="4" t="s">
        <v>54</v>
      </c>
    </row>
    <row r="6" customFormat="false" ht="15" hidden="false" customHeight="false" outlineLevel="0" collapsed="false">
      <c r="A6" s="4" t="s">
        <v>91</v>
      </c>
      <c r="B6" s="6" t="s">
        <v>52</v>
      </c>
      <c r="C6" s="4"/>
    </row>
    <row r="7" customFormat="false" ht="15" hidden="false" customHeight="false" outlineLevel="0" collapsed="false">
      <c r="A7" s="4" t="s">
        <v>120</v>
      </c>
      <c r="B7" s="6" t="s">
        <v>52</v>
      </c>
      <c r="C7" s="4" t="s">
        <v>125</v>
      </c>
    </row>
    <row r="8" customFormat="false" ht="15" hidden="false" customHeight="false" outlineLevel="0" collapsed="false">
      <c r="A8" s="4" t="s">
        <v>126</v>
      </c>
      <c r="B8" s="6" t="s">
        <v>52</v>
      </c>
      <c r="C8" s="4" t="s">
        <v>133</v>
      </c>
    </row>
    <row r="9" customFormat="false" ht="15" hidden="false" customHeight="false" outlineLevel="0" collapsed="false">
      <c r="A9" s="4" t="s">
        <v>185</v>
      </c>
      <c r="B9" s="9" t="s">
        <v>189</v>
      </c>
      <c r="C9" s="4"/>
    </row>
    <row r="10" customFormat="false" ht="15" hidden="false" customHeight="false" outlineLevel="0" collapsed="false">
      <c r="A10" s="4" t="s">
        <v>190</v>
      </c>
      <c r="B10" s="9" t="s">
        <v>189</v>
      </c>
      <c r="C10" s="4"/>
    </row>
    <row r="11" customFormat="false" ht="22.35" hidden="false" customHeight="false" outlineLevel="0" collapsed="false">
      <c r="A11" s="4" t="s">
        <v>228</v>
      </c>
      <c r="B11" s="6" t="s">
        <v>52</v>
      </c>
      <c r="C11" s="4" t="s">
        <v>231</v>
      </c>
    </row>
    <row r="12" customFormat="false" ht="22.35" hidden="false" customHeight="false" outlineLevel="0" collapsed="false">
      <c r="A12" s="4" t="s">
        <v>244</v>
      </c>
      <c r="B12" s="9" t="s">
        <v>189</v>
      </c>
      <c r="C12" s="4" t="s">
        <v>250</v>
      </c>
    </row>
    <row r="13" customFormat="false" ht="22.35" hidden="false" customHeight="false" outlineLevel="0" collapsed="false">
      <c r="A13" s="4" t="s">
        <v>251</v>
      </c>
      <c r="B13" s="9" t="s">
        <v>189</v>
      </c>
      <c r="C13" s="4" t="s">
        <v>250</v>
      </c>
    </row>
    <row r="14" customFormat="false" ht="22.35" hidden="false" customHeight="false" outlineLevel="0" collapsed="false">
      <c r="A14" s="4" t="s">
        <v>253</v>
      </c>
      <c r="B14" s="9" t="s">
        <v>189</v>
      </c>
      <c r="C14" s="4" t="s">
        <v>250</v>
      </c>
    </row>
    <row r="15" customFormat="false" ht="22.35" hidden="false" customHeight="false" outlineLevel="0" collapsed="false">
      <c r="A15" s="4" t="s">
        <v>254</v>
      </c>
      <c r="B15" s="9" t="s">
        <v>189</v>
      </c>
      <c r="C15" s="4" t="s">
        <v>250</v>
      </c>
    </row>
    <row r="16" customFormat="false" ht="15" hidden="false" customHeight="false" outlineLevel="0" collapsed="false">
      <c r="A16" s="4" t="s">
        <v>313</v>
      </c>
      <c r="B16" s="9" t="s">
        <v>189</v>
      </c>
      <c r="C16" s="4"/>
    </row>
    <row r="17" customFormat="false" ht="15" hidden="false" customHeight="false" outlineLevel="0" collapsed="false">
      <c r="A17" s="4" t="s">
        <v>329</v>
      </c>
      <c r="B17" s="6" t="s">
        <v>52</v>
      </c>
      <c r="C17" s="4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2026-10-08T14:32:56Z</dcterms:created>
  <dc:creator>openpyxl</dc:creator>
  <dc:description/>
  <dc:language>en-US</dc:language>
  <cp:lastModifiedBy/>
  <dcterms:modified xsi:type="dcterms:W3CDTF">2026-10-08T14:32:56Z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