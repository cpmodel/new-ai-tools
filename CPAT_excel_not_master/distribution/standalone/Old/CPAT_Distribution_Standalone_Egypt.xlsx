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istribution_Inputs" sheetId="2" state="visible" r:id="rId2"/>
    <sheet xmlns:r="http://schemas.openxmlformats.org/officeDocument/2006/relationships" name="Distribution_Outputs" sheetId="3" state="visible" r:id="rId3"/>
    <sheet xmlns:r="http://schemas.openxmlformats.org/officeDocument/2006/relationships" name="HHSurvey" sheetId="4" state="visible" r:id="rId4"/>
    <sheet xmlns:r="http://schemas.openxmlformats.org/officeDocument/2006/relationships" name="HH_Elast" sheetId="5" state="visible" r:id="rId5"/>
    <sheet xmlns:r="http://schemas.openxmlformats.org/officeDocument/2006/relationships" name="ASPIRE" sheetId="6" state="visible" r:id="rId6"/>
    <sheet xmlns:r="http://schemas.openxmlformats.org/officeDocument/2006/relationships" name="WHOCooking" sheetId="7" state="visible" r:id="rId7"/>
    <sheet xmlns:r="http://schemas.openxmlformats.org/officeDocument/2006/relationships" name="GDPRatios" sheetId="8" state="visible" r:id="rId8"/>
    <sheet xmlns:r="http://schemas.openxmlformats.org/officeDocument/2006/relationships" name="IO_GTAP" sheetId="9" state="visible" r:id="rId9"/>
    <sheet xmlns:r="http://schemas.openxmlformats.org/officeDocument/2006/relationships" name="Price_Changes" sheetId="10" state="visible" r:id="rId10"/>
    <sheet xmlns:r="http://schemas.openxmlformats.org/officeDocument/2006/relationships" name="Mapping" sheetId="11" state="visible" r:id="rId11"/>
  </sheets>
  <definedNames>
    <definedName name="HHSurvey_Headers">HHSurvey!$A$1:$BQ$1</definedName>
    <definedName name="HHSurvey_Data">HHSurvey!$A$2:$BQ$133</definedName>
    <definedName name="HHSurvey_Key">HHSurvey!$BQ$2:$BQ$133</definedName>
    <definedName name="HH_Elast_Headers">HH_Elast!$A$1:$AF$1</definedName>
    <definedName name="HH_Elast_Data">HH_Elast!$A$2:$AF$12</definedName>
    <definedName name="HH_Elast_Key">HH_Elast!$AF$2:$AF$12</definedName>
    <definedName name="ASPIRE_Programs">ASPIRE!$A$36:$A$41</definedName>
    <definedName name="ASPIRE_Quintiles">ASPIRE!$C$35:$G$35</definedName>
    <definedName name="ASPIRE_Values">ASPIRE!$C$36:$G$41</definedName>
    <definedName name="PriceDirect_Codes">Price_Changes!$A$3:$A$10</definedName>
    <definedName name="PriceDirect_Values">Price_Changes!$C$3:$C$10</definedName>
    <definedName name="PriceIndirect_Codes">Price_Changes!$A$15:$A$28</definedName>
    <definedName name="PriceIndirect_Values">Price_Changes!$C$15:$C$28</definedName>
    <definedName name="DECILE_ARRAY">{1,2,3,4,5,6,7,8,9,10}</definedName>
    <definedName name="ElastAdj_Codes">Price_Changes!$A$33:$A$54</definedName>
    <definedName name="ElastAdj_Data">Price_Changes!$B$33:$K$54</definedName>
    <definedName name="AdjustBehaviorSwitch">Distribution_Inputs!$I$56</definedName>
    <definedName name="BehaviorAdjFactor">Distribution_Inputs!$I$58</definedName>
    <definedName name="AdjustDWLSwitch">Distribution_Inputs!$I$59</definedName>
    <definedName name="UseDecileElastSwitch">Distribution_Inputs!$I$60</definedName>
    <definedName name="ExemptSwitch">Distribution_Inputs!$I$138</definedName>
    <definedName name="ExemptFuelLabel">Distribution_Inputs!$I$139</definedName>
    <definedName name="ExemptShare">Distribution_Inputs!$I$140</definedName>
    <definedName name="ExemptDeciles">Distribution_Inputs!$I$141</definedName>
    <definedName name="LaborTaxMethod">Distribution_Inputs!$I$80</definedName>
    <definedName name="LaborTaxCutCoef">Distribution_Inputs!$I$82</definedName>
    <definedName name="PITSourceSwitch">Distribution_Inputs!$I$79</definedName>
    <definedName name="PITBaselineLCU">Distribution_Inputs!$I$78</definedName>
    <definedName name="ExemptBottomDeciles_PIT">Distribution_Inputs!$I$81</definedName>
    <definedName name="StatOutputs">Distribution_Inputs!$I$51</definedName>
    <definedName name="PopAnalysisYear">Distribution_Inputs!$I$145</definedName>
    <definedName name="PopSurveyYear">Distribution_Inputs!$I$143</definedName>
    <definedName name="PopAdjFactor">Distribution_Inputs!$I$146</definedName>
    <definedName name="HHConsAdjFactor">Distribution_Inputs!$I$162</definedName>
    <definedName name="TotConsSurveyYear">Distribution_Inputs!$I$158</definedName>
    <definedName name="GDPDeflatorRatioSvy">Distribution_Inputs!$I$156</definedName>
    <definedName name="RevLaborTaxLCU">Distribution_Inputs!$I$76</definedName>
    <definedName name="RevTargetedTransferLCU">Distribution_Inputs!$I$86</definedName>
    <definedName name="RevPublicInvestLCU">Distribution_Inputs!$I$90</definedName>
    <definedName name="RevCurrentSpendLCU">Distribution_Inputs!$I$94</definedName>
    <definedName name="TargetedTransferASPIREUsed">Distribution_Inputs!$I$128</definedName>
    <definedName name="TargetedTransferCode">Distribution_Inputs!$I$129</definedName>
    <definedName name="CurrentSpendCode">Distribution_Inputs!$I$130</definedName>
    <definedName name="InfraAccessCode">Distribution_Inputs!$I$106</definedName>
    <definedName name="HHKEY">=LAMBDA(sample,qtype,stat,dnum, sample&amp;"|"&amp;qtype&amp;"|"&amp;stat&amp;"|"&amp;dnum)</definedName>
    <definedName name="BSHARE">=LAMBDA(colname,decile,sample,stat,LET(qtype,IF(decile=0,"Basket","Deciles"),dnum,IF(decile=0,9999,decile),key,HHKEY(sample,qtype,stat,dnum),col,MATCH(colname,HHSurvey_Headers,0),XLOOKUP(key,HHSurvey_Key,INDEX(HHSurvey_Data,0,col))))</definedName>
    <definedName name="ELAST">=LAMBDA(colname,decile,sample,stat,LET(qtype,IF(decile=0,"Basket","Deciles"),dnum,IF(decile=0,9999,decile),key,HHKEY(sample,qtype,stat,dnum),col,MATCH(colname,HH_Elast_Headers,0),XLOOKUP(key,HH_Elast_Key,INDEX(HH_Elast_Data,0,col))))</definedName>
    <definedName name="PCHANGE_DIRECT">=LAMBDA(fuel,XLOOKUP(fuel,PriceDirect_Codes,PriceDirect_Values))</definedName>
    <definedName name="PCHANGE_INDIRECT">=LAMBDA(cat,XLOOKUP(cat,PriceIndirect_Codes,PriceIndirect_Values))</definedName>
    <definedName name="ELASTADJ">=LAMBDA(item,decile,XLOOKUP(item,ElastAdj_Codes,INDEX(ElastAdj_Data,0,IF(decile=0,1,decile))))</definedName>
    <definedName name="BEHAVIOR_ADJ">=LAMBDA(IF(AdjustBehaviorSwitch="Yes",BehaviorAdjFactor,1))</definedName>
    <definedName name="DWL">=LAMBDA(sharecol,elastcol,decile,sample,stat,pricepct,IF(AdjustDWLSwitch="Yes",0.5*ELAST(elastcol,decile,sample,stat)*(pricepct/100)^2*(BSHARE(sharecol,decile,sample,stat)/100)*100,0))</definedName>
    <definedName name="DIRECT_EFFECT">=LAMBDA(fuel,fuellabel,sharecol,elastcol,decile,sample,stat,LET(price,PCHANGE_DIRECT(fuel)*ELASTADJ(fuel,decile),bs,BSHARE(sharecol,decile,sample,stat),raw,(bs/100)*(price/100)*BEHAVIOR_ADJ()*100-DWL(sharecol,elastcol,decile,sample,stat,price),exempt,IF(AND(ExemptSwitch="Yes",fuellabel=ExemptFuelLabel,decile&lt;=ExemptDeciles,decile&gt;0),1-ExemptShare,1),raw*exempt))</definedName>
    <definedName name="INDIRECT_EFFECT">=LAMBDA(cat,sharecol,elastcol,decile,sample,stat,LET(price,PCHANGE_INDIRECT(cat)*ELASTADJ(cat,decile),bs,BSHARE(sharecol,decile,sample,stat),(bs/100)*(price/100)*BEHAVIOR_ADJ()*100-DWL(sharecol,elastcol,decile,sample,stat,price)))</definedName>
    <definedName name="TOTAL_DIRECT_EFFECT">=LAMBDA(decile,sample,stat,DIRECT_EFFECT("coa","Coal","coa_share","coa_elasticity",decile,sample,stat)+DIRECT_EFFECT("ely","Electricity","ely_share","ely_elasticity",decile,sample,stat)+DIRECT_EFFECT("nga","Natural Gas","nga_share","nga_elasticity",decile,sample,stat)+DIRECT_EFFECT("oil","Non-Road Oil","oil_share","oil_elasticity",decile,sample,stat)+DIRECT_EFFECT("gso","Gasoline","gso_share","gso_elasticity",decile,sample,stat)+DIRECT_EFFECT("die","Diesel","die_share","die_elasticity",decile,sample,stat)+DIRECT_EFFECT("ker","Kerosene","ker_share","ker_elasticity",decile,sample,stat)+DIRECT_EFFECT("lpg","LPG","lpg_share","lpg_elasticity",decile,sample,stat))</definedName>
    <definedName name="TOTAL_INDIRECT_EFFECT">=LAMBDA(decile,sample,stat,INDIRECT_EFFECT("app","appliances_share","appliances_elasticity",decile,sample,stat)+INDIRECT_EFFECT("che","chemicals_share","chemicals_elasticity",decile,sample,stat)+INDIRECT_EFFECT("clo","clothing_share","clothing_elasticity",decile,sample,stat)+INDIRECT_EFFECT("com","communications_share","communications_elasticity",decile,sample,stat)+INDIRECT_EFFECT("edu","education_share","education_elasticity",decile,sample,stat)+INDIRECT_EFFECT("food","food_share","food_elasticity",decile,sample,stat)+INDIRECT_EFFECT("hea","health_srv_share","health_srv_elasticity",decile,sample,stat)+INDIRECT_EFFECT("hou","housing_share","housing_elasticity",decile,sample,stat)+INDIRECT_EFFECT("oth","other_share","other_elasticity",decile,sample,stat)+INDIRECT_EFFECT("pap","paper_share","paper_elasticity",decile,sample,stat)+INDIRECT_EFFECT("pha","pharma_share","pharma_elasticity",decile,sample,stat)+INDIRECT_EFFECT("ret","rectourism_share","rectourism_elasticity",decile,sample,stat)+INDIRECT_EFFECT("teq","transp_eqt_share","transp_eqt_elasticity",decile,sample,stat)+INDIRECT_EFFECT("tpu","transp_pub_share","transp_pub_elasticity",decile,sample,stat))</definedName>
    <definedName name="TOTAL_EFFECT">=LAMBDA(decile,sample,stat,TOTAL_DIRECT_EFFECT(decile,sample,stat)+TOTAL_INDIRECT_EFFECT(decile,sample,stat))</definedName>
    <definedName name="ADJ_POP">=LAMBDA(decile,sample,BSHARE("popw",decile,sample,"mean")*PopAdjFactor)</definedName>
    <definedName name="ADJ_CONS_PC">=LAMBDA(decile,sample,BSHARE("cons_pc_acrent",decile,sample,"mean")*GDPDeflatorRatioSvy*HHConsAdjFactor)</definedName>
    <definedName name="ADJ_CONS_TOT">=LAMBDA(decile,sample,ADJ_CONS_PC(decile,sample)*ADJ_POP(decile,sample))</definedName>
    <definedName name="TAX_BURDEN_PRE">=LAMBDA(decile,sample,TOTAL_EFFECT(decile,sample,"mean")/100*ADJ_CONS_TOT(decile,sample))</definedName>
    <definedName name="PIT_SHARE_RAW">=LAMBDA(decile,BSHARE(IF(PITSourceSwitch="income","pit_share_income","pit_share_region"),decile,"Overall","mean"))</definedName>
    <definedName name="PIT_SHARE_SUM">=LAMBDA(SUM(PIT_SHARE_RAW(DECILE_ARRAY)))</definedName>
    <definedName name="PIT_LIABILITY">=LAMBDA(decile,PIT_SHARE_RAW(decile)/PIT_SHARE_SUM()*PITBaselineLCU)</definedName>
    <definedName name="TOTAL_ADJ_POP">=LAMBDA(SUM(BSHARE("popw",DECILE_ARRAY,"Overall","mean"))*PopAdjFactor)</definedName>
    <definedName name="PIT_MAX_TRANSFER_PC">=LAMBDA(RevLaborTaxLCU/TOTAL_ADJ_POP())</definedName>
    <definedName name="PIT_SHORTFALL_TOTAL">=LAMBDA(SUM(MAX(0,PIT_MAX_TRANSFER_PC()-PIT_LIABILITY(DECILE_ARRAY)/ADJ_POP(DECILE_ARRAY,"Overall"))*ADJ_POP(DECILE_ARRAY,"Overall")))</definedName>
    <definedName name="PIT_ADDITIONAL_PC">=LAMBDA(PIT_SHORTFALL_TOTAL()/TOTAL_ADJ_POP())</definedName>
    <definedName name="PIT_LIABILITY_TOTAL_EXEMPT">=LAMBDA(SUM(IF(DECILE_ARRAY&lt;=ExemptBottomDeciles_PIT,PIT_LIABILITY(DECILE_ARRAY),0)))</definedName>
    <definedName name="PIT_REDUCTION">=LAMBDA(decile,LET(liability,PIT_LIABILITY(decile),pop,ADJ_POP(decile,"Overall"),prop_amt,liability*LaborTaxCutCoef,pa_pc,MIN(PIT_MAX_TRANSFER_PC(),liability/pop)+PIT_ADDITIONAL_PC(),pa_amt,pa_pc*pop,te_scale,MIN(1,RevLaborTaxLCU/PIT_LIABILITY_TOTAL_EXEMPT()),te_amt,IF(decile&lt;=ExemptBottomDeciles_PIT,liability*te_scale,0),IF(LaborTaxMethod="Proportional Compensation",prop_amt,IF(LaborTaxMethod="Personal Allowance",pa_amt,te_amt))))</definedName>
    <definedName name="TOTAL_UNSERVED_POP">=LAMBDA(SUM(BSHARE("popw",DECILE_ARRAY,"Overall","mean")*(1-BSHARE("all_acs_share",DECILE_ARRAY,"Overall","mean")/100)))</definedName>
    <definedName name="INFRA_SHARE">=LAMBDA(decile,LET(pop,BSHARE("popw",decile,"Overall","mean"),access,BSHARE("all_acs_share",decile,"Overall","mean"),(pop*(1-access/100))/TOTAL_UNSERVED_POP()))</definedName>
    <definedName name="TARGETED_TRANSFER">=LAMBDA(decile,RevTargetedTransferLCU*INFRA_SHARE(decile))</definedName>
    <definedName name="PUBLIC_INVESTMENT">=LAMBDA(decile,RevPublicInvestLCU*INFRA_SHARE(decile))</definedName>
    <definedName name="ASPIRE_PC">=LAMBDA(program,decile,LET(q,ROUNDUP(decile/2,0),XLOOKUP(program,ASPIRE_Programs,INDEX(ASPIRE_Values,0,q))))</definedName>
    <definedName name="ASPIRE_TOTAL">=LAMBDA(program,SUMPRODUCT(ASPIRE_PC(program,DECILE_ARRAY)*BSHARE("popw",DECILE_ARRAY,"Overall","mean")))</definedName>
    <definedName name="ASPIRE_SHARE">=LAMBDA(program,decile,LET(pop,BSHARE("popw",decile,"Overall","mean"),pc,ASPIRE_PC(program,decile),(pc*pop)/ASPIRE_TOTAL(program)))</definedName>
    <definedName name="CURRENT_SPENDING">=LAMBDA(decile,RevCurrentSpendLCU*ASPIRE_SHARE("allsp",decile))</definedName>
    <definedName name="AMOUNT_RECYCLED">=LAMBDA(decile,PIT_REDUCTION(decile)+TARGETED_TRANSFER(decile)+PUBLIC_INVESTMENT(decile)+CURRENT_SPENDING(decile))</definedName>
    <definedName name="TOTAL_RECYCLED">=LAMBDA(SUM(AMOUNT_RECYCLED(DECILE_ARRAY)))</definedName>
    <definedName name="NET_EFFECT">=LAMBDA(decile,sample,(TOTAL_EFFECT(decile,sample,"mean")/100-AMOUNT_RECYCLED(decile)/ADJ_CONS_TOT(decile,sample))*100)</definedName>
    <definedName name="POST_CP_EXCL_RECYCLING">=LAMBDA(decile,sample,ADJ_CONS_TOT(decile,sample)*(1-TOTAL_EFFECT(decile,sample,"mean")/100))</definedName>
    <definedName name="POST_CP_INCL_RECYCLING">=LAMBDA(decile,sample,POST_CP_EXCL_RECYCLING(decile,sample)+AMOUNT_RECYCLED(decile))</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0"/>
    </font>
    <font>
      <name val="Arial"/>
      <sz val="10"/>
    </font>
    <font>
      <name val="Arial"/>
      <b val="1"/>
      <color rgb="001F4E78"/>
      <sz val="10"/>
    </font>
    <font>
      <name val="Arial"/>
      <b val="1"/>
      <color rgb="001F4E78"/>
      <sz val="14"/>
    </font>
    <font>
      <name val="Arial"/>
      <b val="1"/>
      <color rgb="00FFFFFF"/>
      <sz val="11"/>
    </font>
    <font>
      <name val="Arial"/>
      <i val="1"/>
      <color rgb="00595959"/>
      <sz val="10"/>
    </font>
  </fonts>
  <fills count="6">
    <fill>
      <patternFill/>
    </fill>
    <fill>
      <patternFill patternType="gray125"/>
    </fill>
    <fill>
      <patternFill patternType="solid">
        <fgColor rgb="00D9E2F3"/>
      </patternFill>
    </fill>
    <fill>
      <patternFill patternType="solid">
        <fgColor rgb="001F4E78"/>
      </patternFill>
    </fill>
    <fill>
      <patternFill patternType="solid">
        <fgColor rgb="00FFF2C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4" fillId="0" borderId="0" pivotButton="0" quotePrefix="0" xfId="0"/>
    <xf numFmtId="0" fontId="3" fillId="0" borderId="0" pivotButton="0" quotePrefix="0" xfId="0"/>
    <xf numFmtId="0" fontId="2" fillId="0" borderId="0" applyAlignment="1" pivotButton="0" quotePrefix="0" xfId="0">
      <alignment vertical="top" wrapText="1"/>
    </xf>
    <xf numFmtId="0" fontId="5" fillId="3" borderId="0" pivotButton="0" quotePrefix="0" xfId="0"/>
    <xf numFmtId="0" fontId="2" fillId="3" borderId="0" pivotButton="0" quotePrefix="0" xfId="0"/>
    <xf numFmtId="0" fontId="2" fillId="0" borderId="0" pivotButton="0" quotePrefix="0" xfId="0"/>
    <xf numFmtId="0" fontId="1" fillId="0" borderId="0" pivotButton="0" quotePrefix="0" xfId="0"/>
    <xf numFmtId="0" fontId="6" fillId="0" borderId="0" pivotButton="0" quotePrefix="0" xfId="0"/>
    <xf numFmtId="0" fontId="2" fillId="4" borderId="1" pivotButton="0" quotePrefix="0" xfId="0"/>
    <xf numFmtId="0" fontId="2" fillId="5" borderId="1" pivotButton="0" quotePrefix="0" xfId="0"/>
    <xf numFmtId="0" fontId="6" fillId="0" borderId="0" applyAlignment="1" pivotButton="0" quotePrefix="0" xfId="0">
      <alignment wrapText="1"/>
    </xf>
    <xf numFmtId="0" fontId="2" fillId="5" borderId="0" pivotButton="0" quotePrefix="0" xfId="0"/>
    <xf numFmtId="0" fontId="1" fillId="2" borderId="1"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ables/table1.xml><?xml version="1.0" encoding="utf-8"?>
<table xmlns="http://schemas.openxmlformats.org/spreadsheetml/2006/main" id="1" name="HHSurvey" displayName="HHSurvey" ref="A1:BQ133" headerRowCount="1">
  <autoFilter ref="A1:BQ133"/>
  <tableColumns count="69">
    <tableColumn id="1" name="code"/>
    <tableColumn id="2" name="iso3"/>
    <tableColumn id="3" name="year"/>
    <tableColumn id="4" name="sample"/>
    <tableColumn id="5" name="type"/>
    <tableColumn id="6" name="stat_type"/>
    <tableColumn id="7" name="quant_cons"/>
    <tableColumn id="8" name="appliances_share"/>
    <tableColumn id="9" name="ccl_share"/>
    <tableColumn id="10" name="chemicals_share"/>
    <tableColumn id="11" name="clothing_share"/>
    <tableColumn id="12" name="coa_share"/>
    <tableColumn id="13" name="communications_share"/>
    <tableColumn id="14" name="die_share"/>
    <tableColumn id="15" name="education_share"/>
    <tableColumn id="16" name="ethanol_share"/>
    <tableColumn id="17" name="ely_share"/>
    <tableColumn id="18" name="food_share"/>
    <tableColumn id="19" name="fwd_share"/>
    <tableColumn id="20" name="gso_share"/>
    <tableColumn id="21" name="health_srv_share"/>
    <tableColumn id="22" name="housing_share"/>
    <tableColumn id="23" name="ker_share"/>
    <tableColumn id="24" name="lpg_share"/>
    <tableColumn id="25" name="nga_share"/>
    <tableColumn id="26" name="oil_share"/>
    <tableColumn id="27" name="other_share"/>
    <tableColumn id="28" name="paper_share"/>
    <tableColumn id="29" name="pharma_share"/>
    <tableColumn id="30" name="rectourism_share"/>
    <tableColumn id="31" name="transp_eqt_share"/>
    <tableColumn id="32" name="transp_pub_share"/>
    <tableColumn id="33" name="dec_1_p1"/>
    <tableColumn id="34" name="dec_1_p99"/>
    <tableColumn id="35" name="dec_2_p1"/>
    <tableColumn id="36" name="dec_2_p99"/>
    <tableColumn id="37" name="dec_3_p1"/>
    <tableColumn id="38" name="dec_3_p99"/>
    <tableColumn id="39" name="dec_4_p1"/>
    <tableColumn id="40" name="dec_4_p99"/>
    <tableColumn id="41" name="dec_5_p1"/>
    <tableColumn id="42" name="dec_5_p99"/>
    <tableColumn id="43" name="dec_6_p1"/>
    <tableColumn id="44" name="dec_6_p99"/>
    <tableColumn id="45" name="dec_7_p1"/>
    <tableColumn id="46" name="dec_7_p99"/>
    <tableColumn id="47" name="dec_8_p1"/>
    <tableColumn id="48" name="dec_8_p99"/>
    <tableColumn id="49" name="dec_9_p1"/>
    <tableColumn id="50" name="dec_9_p99"/>
    <tableColumn id="51" name="dec_10_p1"/>
    <tableColumn id="52" name="dec_10_p99"/>
    <tableColumn id="53" name="cons_pc_acrent"/>
    <tableColumn id="54" name="popw"/>
    <tableColumn id="55" name="cons_pct_acct"/>
    <tableColumn id="56" name="mean_cons_pct_acct"/>
    <tableColumn id="57" name="ely_acs_share"/>
    <tableColumn id="58" name="ICT_acs_share"/>
    <tableColumn id="59" name="sani_acs_share"/>
    <tableColumn id="60" name="wtr_acs_share"/>
    <tableColumn id="61" name="transp_pub_acs_share"/>
    <tableColumn id="62" name="all_acs_share"/>
    <tableColumn id="63" name="pct_belowpl_215"/>
    <tableColumn id="64" name="pct_belowpl_365"/>
    <tableColumn id="65" name="pct_belowpl_685"/>
    <tableColumn id="66" name="pit_share_region"/>
    <tableColumn id="67" name="pit_share_income"/>
    <tableColumn id="68" name="indv"/>
    <tableColumn id="69" name="key"/>
  </tableColumns>
  <tableStyleInfo name="TableStyleMedium2" showFirstColumn="0" showLastColumn="0" showRowStripes="1" showColumnStripes="0"/>
</table>
</file>

<file path=xl/tables/table2.xml><?xml version="1.0" encoding="utf-8"?>
<table xmlns="http://schemas.openxmlformats.org/spreadsheetml/2006/main" id="2" name="HH_Elast" displayName="HH_Elast" ref="A1:AF12" headerRowCount="1">
  <autoFilter ref="A1:AF12"/>
  <tableColumns count="32">
    <tableColumn id="1" name="code"/>
    <tableColumn id="2" name="iso3"/>
    <tableColumn id="3" name="year"/>
    <tableColumn id="4" name="sample"/>
    <tableColumn id="5" name="type"/>
    <tableColumn id="6" name="stat_type"/>
    <tableColumn id="7" name="quant_cons"/>
    <tableColumn id="8" name="ely_elasticity"/>
    <tableColumn id="9" name="nga_elasticity"/>
    <tableColumn id="10" name="gso_elasticity"/>
    <tableColumn id="11" name="die_elasticity"/>
    <tableColumn id="12" name="coa_elasticity"/>
    <tableColumn id="13" name="oil_elasticity"/>
    <tableColumn id="14" name="lpg_elasticity"/>
    <tableColumn id="15" name="ker_elasticity"/>
    <tableColumn id="16" name="ccl_elasticity"/>
    <tableColumn id="17" name="fwd_elasticity"/>
    <tableColumn id="18" name="appliances_elasticity"/>
    <tableColumn id="19" name="chemicals_elasticity"/>
    <tableColumn id="20" name="clothing_elasticity"/>
    <tableColumn id="21" name="communications_elasticity"/>
    <tableColumn id="22" name="education_elasticity"/>
    <tableColumn id="23" name="food_elasticity"/>
    <tableColumn id="24" name="health_srv_elasticity"/>
    <tableColumn id="25" name="housing_elasticity"/>
    <tableColumn id="26" name="other_elasticity"/>
    <tableColumn id="27" name="paper_elasticity"/>
    <tableColumn id="28" name="pharma_elasticity"/>
    <tableColumn id="29" name="rectourism_elasticity"/>
    <tableColumn id="30" name="transp_eqt_elasticity"/>
    <tableColumn id="31" name="transp_pub_elasticity"/>
    <tableColumn id="32" name="key"/>
  </tableColumns>
  <tableStyleInfo name="TableStyleMedium2" showFirstColumn="0" showLastColumn="0" showRowStripes="1" showColumnStripes="0"/>
</table>
</file>

<file path=xl/tables/table3.xml><?xml version="1.0" encoding="utf-8"?>
<table xmlns="http://schemas.openxmlformats.org/spreadsheetml/2006/main" id="3" name="ASPIRE" displayName="ASPIRE" ref="A1:H31" headerRowCount="1">
  <autoFilter ref="A1:H31"/>
  <tableColumns count="8">
    <tableColumn id="1" name="Series_Code"/>
    <tableColumn id="2" name="Country_Name"/>
    <tableColumn id="3" name="ISO_3_Country_Code"/>
    <tableColumn id="4" name="Year"/>
    <tableColumn id="5" name="firstnm_Value"/>
    <tableColumn id="6" name="firstnm_indicator_name"/>
    <tableColumn id="7" name="firstnm_Sub_Topic5"/>
    <tableColumn id="8" name="firstnm_Sub_Topic6"/>
  </tableColumns>
  <tableStyleInfo name="TableStyleMedium2" showFirstColumn="0" showLastColumn="0" showRowStripes="1" showColumnStripes="0"/>
</table>
</file>

<file path=xl/tables/table4.xml><?xml version="1.0" encoding="utf-8"?>
<table xmlns="http://schemas.openxmlformats.org/spreadsheetml/2006/main" id="4" name="ASPIRE_Pivot" displayName="ASPIRE_Pivot" ref="A35:G41" headerRowCount="1">
  <autoFilter ref="A35:G41"/>
  <tableColumns count="7">
    <tableColumn id="1" name="program"/>
    <tableColumn id="2" name="label"/>
    <tableColumn id="3" name="Q1"/>
    <tableColumn id="4" name="Q2"/>
    <tableColumn id="5" name="Q3"/>
    <tableColumn id="6" name="Q4"/>
    <tableColumn id="7" name="Q5"/>
  </tableColumns>
  <tableStyleInfo name="TableStyleMedium2" showFirstColumn="0" showLastColumn="0" showRowStripes="1" showColumnStripes="0"/>
</table>
</file>

<file path=xl/tables/table5.xml><?xml version="1.0" encoding="utf-8"?>
<table xmlns="http://schemas.openxmlformats.org/spreadsheetml/2006/main" id="5" name="WHOCooking" displayName="WHOCooking" ref="A1:F4" headerRowCount="1">
  <autoFilter ref="A1:F4"/>
  <tableColumns count="6">
    <tableColumn id="1" name="code"/>
    <tableColumn id="2" name="iso3"/>
    <tableColumn id="3" name="year"/>
    <tableColumn id="4" name="sample"/>
    <tableColumn id="5" name="main_fuel"/>
    <tableColumn id="6" name="max_share"/>
  </tableColumns>
  <tableStyleInfo name="TableStyleMedium2" showFirstColumn="0" showLastColumn="0" showRowStripes="1" showColumnStripes="0"/>
</table>
</file>

<file path=xl/tables/table6.xml><?xml version="1.0" encoding="utf-8"?>
<table xmlns="http://schemas.openxmlformats.org/spreadsheetml/2006/main" id="6" name="GDPRatios" displayName="GDPRatios" ref="A1:BQ2" headerRowCount="1">
  <autoFilter ref="A1:BQ2"/>
  <tableColumns count="69">
    <tableColumn id="1" name="Country_Name"/>
    <tableColumn id="2" name="Country_Code"/>
    <tableColumn id="3" name="Indicator_Name"/>
    <tableColumn id="4" name="Indicator_Code"/>
    <tableColumn id="5" name="Latest_Year"/>
    <tableColumn id="6" name="Y1960"/>
    <tableColumn id="7" name="Y1961"/>
    <tableColumn id="8" name="Y1962"/>
    <tableColumn id="9" name="Y1963"/>
    <tableColumn id="10" name="Y1964"/>
    <tableColumn id="11" name="Y1965"/>
    <tableColumn id="12" name="Y1966"/>
    <tableColumn id="13" name="Y1967"/>
    <tableColumn id="14" name="Y1968"/>
    <tableColumn id="15" name="Y1969"/>
    <tableColumn id="16" name="Y1970"/>
    <tableColumn id="17" name="Y1971"/>
    <tableColumn id="18" name="Y1972"/>
    <tableColumn id="19" name="Y1973"/>
    <tableColumn id="20" name="Y1974"/>
    <tableColumn id="21" name="Y1975"/>
    <tableColumn id="22" name="Y1976"/>
    <tableColumn id="23" name="Y1977"/>
    <tableColumn id="24" name="Y1978"/>
    <tableColumn id="25" name="Y1979"/>
    <tableColumn id="26" name="Y1980"/>
    <tableColumn id="27" name="Y1981"/>
    <tableColumn id="28" name="Y1982"/>
    <tableColumn id="29" name="Y1983"/>
    <tableColumn id="30" name="Y1984"/>
    <tableColumn id="31" name="Y1985"/>
    <tableColumn id="32" name="Y1986"/>
    <tableColumn id="33" name="Y1987"/>
    <tableColumn id="34" name="Y1988"/>
    <tableColumn id="35" name="Y1989"/>
    <tableColumn id="36" name="Y1990"/>
    <tableColumn id="37" name="Y1991"/>
    <tableColumn id="38" name="Y1992"/>
    <tableColumn id="39" name="Y1993"/>
    <tableColumn id="40" name="Y1994"/>
    <tableColumn id="41" name="Y1995"/>
    <tableColumn id="42" name="Y1996"/>
    <tableColumn id="43" name="Y1997"/>
    <tableColumn id="44" name="Y1998"/>
    <tableColumn id="45" name="Y1999"/>
    <tableColumn id="46" name="Y2000"/>
    <tableColumn id="47" name="Y2001"/>
    <tableColumn id="48" name="Y2002"/>
    <tableColumn id="49" name="Y2003"/>
    <tableColumn id="50" name="Y2004"/>
    <tableColumn id="51" name="Y2005"/>
    <tableColumn id="52" name="Y2006"/>
    <tableColumn id="53" name="Y2007"/>
    <tableColumn id="54" name="Y2008"/>
    <tableColumn id="55" name="Y2009"/>
    <tableColumn id="56" name="Y2010"/>
    <tableColumn id="57" name="Y2011"/>
    <tableColumn id="58" name="Y2012"/>
    <tableColumn id="59" name="Y2013"/>
    <tableColumn id="60" name="Y2014"/>
    <tableColumn id="61" name="Y2015"/>
    <tableColumn id="62" name="Y2016"/>
    <tableColumn id="63" name="Y2017"/>
    <tableColumn id="64" name="Y2018"/>
    <tableColumn id="65" name="Y2019"/>
    <tableColumn id="66" name="Y2020"/>
    <tableColumn id="67" name="Y2021"/>
    <tableColumn id="68" name="Y2022"/>
    <tableColumn id="69" name="Y2023"/>
  </tableColumns>
  <tableStyleInfo name="TableStyleMedium2" showFirstColumn="0" showLastColumn="0" showRowStripes="1" showColumnStripes="0"/>
</table>
</file>

<file path=xl/tables/table7.xml><?xml version="1.0" encoding="utf-8"?>
<table xmlns="http://schemas.openxmlformats.org/spreadsheetml/2006/main" id="7" name="IO_GTAP" displayName="IO_GTAP" ref="A1:BP12" headerRowCount="1">
  <autoFilter ref="A1:BP12"/>
  <tableColumns count="68">
    <tableColumn id="1" name="dis"/>
    <tableColumn id="2" name="iso3"/>
    <tableColumn id="3" name="year"/>
    <tableColumn id="4" name="sector"/>
    <tableColumn id="5" name="afs"/>
    <tableColumn id="6" name="atp"/>
    <tableColumn id="7" name="b_t"/>
    <tableColumn id="8" name="bph"/>
    <tableColumn id="9" name="c_b"/>
    <tableColumn id="10" name="chm"/>
    <tableColumn id="11" name="cmn"/>
    <tableColumn id="12" name="cmt"/>
    <tableColumn id="13" name="cns"/>
    <tableColumn id="14" name="coa"/>
    <tableColumn id="15" name="ctl"/>
    <tableColumn id="16" name="dwe"/>
    <tableColumn id="17" name="edu"/>
    <tableColumn id="18" name="eeq"/>
    <tableColumn id="19" name="ele"/>
    <tableColumn id="20" name="ely"/>
    <tableColumn id="21" name="fmp"/>
    <tableColumn id="22" name="frs"/>
    <tableColumn id="23" name="fsh"/>
    <tableColumn id="24" name="gro"/>
    <tableColumn id="25" name="hht"/>
    <tableColumn id="26" name="i_s"/>
    <tableColumn id="27" name="ins"/>
    <tableColumn id="28" name="lea"/>
    <tableColumn id="29" name="lum"/>
    <tableColumn id="30" name="mil"/>
    <tableColumn id="31" name="mvh"/>
    <tableColumn id="32" name="nfm"/>
    <tableColumn id="33" name="nga"/>
    <tableColumn id="34" name="nmm"/>
    <tableColumn id="35" name="oap"/>
    <tableColumn id="36" name="obs"/>
    <tableColumn id="37" name="ocr"/>
    <tableColumn id="38" name="ofd"/>
    <tableColumn id="39" name="ofi"/>
    <tableColumn id="40" name="oil"/>
    <tableColumn id="41" name="ome"/>
    <tableColumn id="42" name="omf"/>
    <tableColumn id="43" name="omt"/>
    <tableColumn id="44" name="osd"/>
    <tableColumn id="45" name="osg"/>
    <tableColumn id="46" name="otn"/>
    <tableColumn id="47" name="otp"/>
    <tableColumn id="48" name="oxt"/>
    <tableColumn id="49" name="p_c"/>
    <tableColumn id="50" name="pcr"/>
    <tableColumn id="51" name="pdr"/>
    <tableColumn id="52" name="pfb"/>
    <tableColumn id="53" name="ppp"/>
    <tableColumn id="54" name="rmk"/>
    <tableColumn id="55" name="ros"/>
    <tableColumn id="56" name="rpp"/>
    <tableColumn id="57" name="rsa"/>
    <tableColumn id="58" name="sgr"/>
    <tableColumn id="59" name="tex"/>
    <tableColumn id="60" name="trd"/>
    <tableColumn id="61" name="v_f"/>
    <tableColumn id="62" name="vol"/>
    <tableColumn id="63" name="wap"/>
    <tableColumn id="64" name="whs"/>
    <tableColumn id="65" name="wht"/>
    <tableColumn id="66" name="wol"/>
    <tableColumn id="67" name="wtp"/>
    <tableColumn id="68" name="wtr"/>
  </tableColumns>
  <tableStyleInfo name="TableStyleMedium2" showFirstColumn="0" showLastColumn="0" showRowStripes="1" showColumnStripes="0"/>
</table>
</file>

<file path=xl/tables/table8.xml><?xml version="1.0" encoding="utf-8"?>
<table xmlns="http://schemas.openxmlformats.org/spreadsheetml/2006/main" id="8" name="PriceDirect" displayName="PriceDirect" ref="A2:C10" headerRowCount="1">
  <autoFilter ref="A2:C10"/>
  <tableColumns count="3">
    <tableColumn id="1" name="code"/>
    <tableColumn id="2" name="fuel"/>
    <tableColumn id="3" name="pct_change"/>
  </tableColumns>
  <tableStyleInfo name="TableStyleMedium2" showFirstColumn="0" showLastColumn="0" showRowStripes="1" showColumnStripes="0"/>
</table>
</file>

<file path=xl/tables/table9.xml><?xml version="1.0" encoding="utf-8"?>
<table xmlns="http://schemas.openxmlformats.org/spreadsheetml/2006/main" id="9" name="PriceIndirect" displayName="PriceIndirect" ref="A14:C28" headerRowCount="1">
  <autoFilter ref="A14:C28"/>
  <tableColumns count="3">
    <tableColumn id="1" name="code"/>
    <tableColumn id="2" name="category"/>
    <tableColumn id="3" name="pct_change"/>
  </tableColumns>
  <tableStyleInfo name="TableStyleMedium2" showFirstColumn="0" showLastColumn="0" showRowStripes="1" showColumnStripes="0"/>
</table>
</file>

<file path=xl/tables/table10.xml><?xml version="1.0" encoding="utf-8"?>
<table xmlns="http://schemas.openxmlformats.org/spreadsheetml/2006/main" id="10" name="ElastAdj" displayName="ElastAdj" ref="A32:K54" headerRowCount="1">
  <autoFilter ref="A32:K54"/>
  <tableColumns count="11">
    <tableColumn id="1" name="code"/>
    <tableColumn id="2" name="D1"/>
    <tableColumn id="3" name="D2"/>
    <tableColumn id="4" name="D3"/>
    <tableColumn id="5" name="D4"/>
    <tableColumn id="6" name="D5"/>
    <tableColumn id="7" name="D6"/>
    <tableColumn id="8" name="D7"/>
    <tableColumn id="9" name="D8"/>
    <tableColumn id="10" name="D9"/>
    <tableColumn id="11" name="D10"/>
  </tableColumns>
  <tableStyleInfo name="TableStyleMedium2" showFirstColumn="0" showLastColumn="0" showRowStripes="1" showColumnStripes="0"/>
</table>
</file>

<file path=xl/tables/table11.xml><?xml version="1.0" encoding="utf-8"?>
<table xmlns="http://schemas.openxmlformats.org/spreadsheetml/2006/main" id="11" name="Map_sectorcrosswalk" displayName="Map_sectorcrosswalk" ref="A2:S164" headerRowCount="1">
  <autoFilter ref="A2:S164"/>
  <tableColumns count="19">
    <tableColumn id="1" name="GTAP_sectors"/>
    <tableColumn id="2" name="GTAP_sector_codes"/>
    <tableColumn id="3" name="GTAP_sector_number"/>
    <tableColumn id="4" name="CTAP_10_sectors"/>
    <tableColumn id="5" name="GTAP_10_codes"/>
    <tableColumn id="6" name="GTAP_10_sector_numbers"/>
    <tableColumn id="7" name="CPAT_Description"/>
    <tableColumn id="8" name="WIOT_sectors"/>
    <tableColumn id="9" name="WIOT_codes"/>
    <tableColumn id="10" name="EORA_sectors"/>
    <tableColumn id="11" name="IEA_flows"/>
    <tableColumn id="12" name="IEA_codes"/>
    <tableColumn id="13" name="CPC_ISIC_code"/>
    <tableColumn id="14" name="#"/>
    <tableColumn id="15" name="CPAT_subsectors"/>
    <tableColumn id="16" name="CPAT_sectors"/>
    <tableColumn id="17" name="CPAT_sector_code"/>
    <tableColumn id="18" name="CPAT_consumption_items"/>
    <tableColumn id="19" name="CPAT_consumption_items_3_letter"/>
  </tableColumns>
  <tableStyleInfo name="TableStyleMedium2" showFirstColumn="0" showLastColumn="0" showRowStripes="1" showColumnStripes="0"/>
</table>
</file>

<file path=xl/tables/table12.xml><?xml version="1.0" encoding="utf-8"?>
<table xmlns="http://schemas.openxmlformats.org/spreadsheetml/2006/main" id="12" name="Map_cpatsectorstoisic" displayName="Map_cpatsectorstoisic" ref="A168:E194" headerRowCount="1">
  <autoFilter ref="A168:E194"/>
  <tableColumns count="5">
    <tableColumn id="1" name="CPAT_main_sectors_5"/>
    <tableColumn id="2" name="CPAT_code"/>
    <tableColumn id="3" name="CPAT_sub_sectors_15_inc_10_ind__subsectors"/>
    <tableColumn id="4" name="CPAT_code"/>
    <tableColumn id="5" name="ISIC_Rev_4_codes"/>
  </tableColumns>
  <tableStyleInfo name="TableStyleMedium2" showFirstColumn="0" showLastColumn="0" showRowStripes="1" showColumnStripes="0"/>
</table>
</file>

<file path=xl/tables/table13.xml><?xml version="1.0" encoding="utf-8"?>
<table xmlns="http://schemas.openxmlformats.org/spreadsheetml/2006/main" id="13" name="Map_ieaflowstoisic" displayName="Map_ieaflowstoisic" ref="A198:C227" headerRowCount="1">
  <autoFilter ref="A198:C227"/>
  <tableColumns count="3">
    <tableColumn id="1" name="IEA_flows_29"/>
    <tableColumn id="2" name="IEA_code"/>
    <tableColumn id="3" name="ISIC_Rev__4_codes"/>
  </tableColumns>
  <tableStyleInfo name="TableStyleMedium2" showFirstColumn="0" showLastColumn="0" showRowStripes="1" showColumnStripes="0"/>
</table>
</file>

<file path=xl/tables/table14.xml><?xml version="1.0" encoding="utf-8"?>
<table xmlns="http://schemas.openxmlformats.org/spreadsheetml/2006/main" id="14" name="Map_isictocpat" displayName="Map_isictocpat" ref="A231:D344" headerRowCount="1">
  <autoFilter ref="A231:D344"/>
  <tableColumns count="4">
    <tableColumn id="1" name="ISIC_Rev__4_codes"/>
    <tableColumn id="2" name="ISIC_Rev__4_Description"/>
    <tableColumn id="3" name="CPAT_code"/>
    <tableColumn id="4" name="CPAT_sector"/>
  </tableColumns>
  <tableStyleInfo name="TableStyleMedium2" showFirstColumn="0" showLastColumn="0" showRowStripes="1" showColumnStripes="0"/>
</table>
</file>

<file path=xl/tables/table15.xml><?xml version="1.0" encoding="utf-8"?>
<table xmlns="http://schemas.openxmlformats.org/spreadsheetml/2006/main" id="15" name="Map_countriestogtap10" displayName="Map_countriestogtap10" ref="A348:C554" headerRowCount="1">
  <autoFilter ref="A348:C554"/>
  <tableColumns count="3">
    <tableColumn id="1" name="cname"/>
    <tableColumn id="2" name="iso3"/>
    <tableColumn id="3" name="gtapco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_rels/sheet6.xml.rels><Relationships xmlns="http://schemas.openxmlformats.org/package/2006/relationships"><Relationship Type="http://schemas.openxmlformats.org/officeDocument/2006/relationships/table" Target="/xl/tables/table3.xml" Id="rId1"/><Relationship Type="http://schemas.openxmlformats.org/officeDocument/2006/relationships/table" Target="/xl/tables/table4.xml" Id="rId2"/></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9.xml.rels><Relationships xmlns="http://schemas.openxmlformats.org/package/2006/relationships"><Relationship Type="http://schemas.openxmlformats.org/officeDocument/2006/relationships/table" Target="/xl/tables/table7.xml" Id="rId1"/></Relationships>
</file>

<file path=xl/worksheets/_rels/sheet10.xml.rels><Relationships xmlns="http://schemas.openxmlformats.org/package/2006/relationships"><Relationship Type="http://schemas.openxmlformats.org/officeDocument/2006/relationships/table" Target="/xl/tables/table8.xml" Id="rId1"/><Relationship Type="http://schemas.openxmlformats.org/officeDocument/2006/relationships/table" Target="/xl/tables/table9.xml" Id="rId2"/><Relationship Type="http://schemas.openxmlformats.org/officeDocument/2006/relationships/table" Target="/xl/tables/table10.xml" Id="rId3"/></Relationships>
</file>

<file path=xl/worksheets/_rels/sheet11.xml.rels><Relationships xmlns="http://schemas.openxmlformats.org/package/2006/relationships"><Relationship Type="http://schemas.openxmlformats.org/officeDocument/2006/relationships/table" Target="/xl/tables/table11.xml" Id="rId1"/><Relationship Type="http://schemas.openxmlformats.org/officeDocument/2006/relationships/table" Target="/xl/tables/table12.xml" Id="rId2"/><Relationship Type="http://schemas.openxmlformats.org/officeDocument/2006/relationships/table" Target="/xl/tables/table13.xml" Id="rId3"/><Relationship Type="http://schemas.openxmlformats.org/officeDocument/2006/relationships/table" Target="/xl/tables/table14.xml" Id="rId4"/><Relationship Type="http://schemas.openxmlformats.org/officeDocument/2006/relationships/table" Target="/xl/tables/table15.xml" Id="rId5"/></Relationships>
</file>

<file path=xl/worksheets/sheet1.xml><?xml version="1.0" encoding="utf-8"?>
<worksheet xmlns="http://schemas.openxmlformats.org/spreadsheetml/2006/main">
  <sheetPr>
    <outlinePr summaryBelow="1" summaryRight="1"/>
    <pageSetUpPr/>
  </sheetPr>
  <dimension ref="B1:B19"/>
  <sheetViews>
    <sheetView showGridLines="0" workbookViewId="0">
      <selection activeCell="A1" sqref="A1"/>
    </sheetView>
  </sheetViews>
  <sheetFormatPr baseColWidth="8" defaultRowHeight="15"/>
  <cols>
    <col width="3" customWidth="1" min="1" max="1"/>
    <col width="100" customWidth="1" min="2" max="2"/>
  </cols>
  <sheetData>
    <row r="1">
      <c r="B1" s="1" t="inlineStr">
        <is>
          <t>CPAT Distribution Module -- Standalone Workbook (Egypt)</t>
        </is>
      </c>
    </row>
    <row r="3">
      <c r="B3" s="2" t="inlineStr">
        <is>
          <t>What this is</t>
        </is>
      </c>
    </row>
    <row r="4" ht="90" customHeight="1">
      <c r="B4" s="3" t="inlineStr">
        <is>
          <t>A standalone rebuild of the household distributional/incidence module from CPAT 1.0pre_456 (cpat_excel/original/CPAT 1.0pre_456_NoPropData.xlsb, sheet "Distribution"), scoped to Egypt only. It replicates the source sheet's sections and conventions but replaces its per-cell formulas with a small library of reusable LAMBDA functions (see the Name Manager), and splits the source's single combined sheet into inputs (Distribution_Inputs) and calculated outputs (Distribution_Outputs).</t>
        </is>
      </c>
    </row>
    <row r="6">
      <c r="B6" s="2" t="inlineStr">
        <is>
          <t>Structure</t>
        </is>
      </c>
    </row>
    <row r="7" ht="105" customHeight="1">
      <c r="B7" s="3" t="inlineStr">
        <is>
          <t>Distribution_Inputs = source Sections A (trimmed to Egypt) + B (key assumptions/policy inputs), same row labels, largely the same values. Distribution_Outputs = source Sections C-F (budget shares, direct/indirect/total effect, rebasing, Gini/Lorenz, revenue recycling, PIT, net effect, compensation, chart references, notes, Mitigation handoff), rebuilt with live formulas. HHSurvey / HH_Elast / ASPIRE / WHOCooking / GDPRatios / IO_GTAP / Mapping = the source DATA_DISTN tables, filtered to Egypt (Mapping crosswalks are country-independent and kept in full). Price_Changes = the given price-change inputs (see below).</t>
        </is>
      </c>
    </row>
    <row r="9">
      <c r="B9" s="2" t="inlineStr">
        <is>
          <t>What is computed vs. given</t>
        </is>
      </c>
    </row>
    <row r="10" ht="180" customHeight="1">
      <c r="B10" s="3" t="inlineStr">
        <is>
          <t>Direct (by fuel) and indirect (by CPAT category) price changes, and the price-elasticity adjustment factors that modify them, are taken as GIVEN inputs -- pulled from the source workbook's current carbon-price scenario for Egypt, per the request that started this build. This mirrors the module's own architecture: Distribution is a consumer, not a producer, of the Mitigation module's price changes. Deriving these from the raw GTAP Leontief/IO table would additionally require the Mitigation module's own revenue-reconciliation inputs and IEA/GAINS/IMF emissions-recalibration data, which are not part of the DATA_DISTN tables and are out of scope here. Population, GDP and GDP-deflator inputs are likewise Mitigation-module macro outputs and are taken as given. Everything downstream -- budget shares, direct/indirect/total effect, survey-to-national-accounts rebasing, revenue recycling, net effect, Gini/Lorenz, compensation shares -- is computed live from the data tabs and validated cell-for-cell against the source workbook's cached values for Egypt (see Verification below).</t>
        </is>
      </c>
    </row>
    <row r="12">
      <c r="B12" s="2" t="inlineStr">
        <is>
          <t>Known simplification: targeted-transfer/public-investment targeting</t>
        </is>
      </c>
    </row>
    <row r="13" ht="90" customHeight="1">
      <c r="B13" s="3" t="inlineStr">
        <is>
          <t>The source workbook's targeted-transfer channel uses a bottom-40%-of-population poverty-line proxy with coverage/leakage parameters (Section C.X). This build approximates both targeted transfers and public investment with the infrastructure-access shortfall (INFRA_SHARE, from HHSurvey's all_acs_share) -- a fallback mechanism the source model itself uses elsewhere. Totals match the source's revenue allocation exactly; the decile-by-decile split for these two channels will differ somewhat from the source's specific targeting mechanism.</t>
        </is>
      </c>
    </row>
    <row r="15">
      <c r="B15" s="2" t="inlineStr">
        <is>
          <t>Verification</t>
        </is>
      </c>
    </row>
    <row r="16" ht="105" customHeight="1">
      <c r="B16" s="3" t="inlineStr">
        <is>
          <t>Every LAMBDA formula design in this workbook was validated in Python against the source workbook's cached values for Egypt before being encoded as an Excel formula: budget shares, direct/indirect/total effect, national-accounts rebasing, PIT reduction (Personal Allowance method, incl. the undercoverage redistribution step) and the baseline Gini coefficient all reproduce the source to at least 10 significant figures. Net effect / Gini-including-recycling will differ slightly from the source to the extent of the targeted-transfer/public-investment simplification noted above.</t>
        </is>
      </c>
    </row>
    <row r="18">
      <c r="B18" s="2" t="inlineStr">
        <is>
          <t>Conventions</t>
        </is>
      </c>
    </row>
    <row r="19" ht="90" customHeight="1">
      <c r="B19" s="3" t="inlineStr">
        <is>
          <t>Distribution_Outputs uses one consistent column layout throughout (A=section code, B=section title, C=item label, D=statistic, E=sample, F=quantile type, G=item code, H=unit, P=basket value, Q:Z=decile 1-10 values) rather than the source's per-section column drift (documented bugs and inconsistencies in the source layout were not replicated). Most decile rows are a single spilled array formula (LAMBDA + XLOOKUP over an array of deciles 1-10) rather than one formula per cell.</t>
        </is>
      </c>
    </row>
  </sheetData>
  <pageMargins left="0.75" right="0.75" top="1" bottom="1" header="0.5" footer="0.5"/>
</worksheet>
</file>

<file path=xl/worksheets/sheet2.xml><?xml version="1.0" encoding="utf-8"?>
<worksheet xmlns="http://schemas.openxmlformats.org/spreadsheetml/2006/main">
  <sheetPr>
    <tabColor rgb="00FFC000"/>
    <outlinePr summaryBelow="1" summaryRight="1"/>
    <pageSetUpPr/>
  </sheetPr>
  <dimension ref="A1:N186"/>
  <sheetViews>
    <sheetView showGridLines="0" workbookViewId="0">
      <pane xSplit="2" topLeftCell="C1" activePane="topRight" state="frozen"/>
      <selection pane="topRight" activeCell="A1" sqref="A1"/>
    </sheetView>
  </sheetViews>
  <sheetFormatPr baseColWidth="8" defaultRowHeight="15"/>
  <cols>
    <col width="8" customWidth="1" min="1" max="1"/>
    <col width="16" customWidth="1" min="2" max="2"/>
    <col width="46" customWidth="1" min="3" max="3"/>
    <col width="48" customWidth="1" min="4" max="4"/>
    <col width="3" customWidth="1" min="5" max="5"/>
    <col width="16" customWidth="1" min="6" max="6"/>
    <col width="12" customWidth="1" min="7" max="7"/>
    <col width="26" customWidth="1" min="8" max="8"/>
    <col width="16" customWidth="1" min="9" max="9"/>
  </cols>
  <sheetData>
    <row r="1">
      <c r="A1" s="1" t="inlineStr">
        <is>
          <t>Distributional Effects Module - Egypt (Standalone)</t>
        </is>
      </c>
    </row>
    <row r="3">
      <c r="A3" s="4" t="inlineStr">
        <is>
          <t>A.</t>
        </is>
      </c>
      <c r="B3" s="4" t="inlineStr">
        <is>
          <t>Module overview</t>
        </is>
      </c>
      <c r="C3" s="5" t="n"/>
      <c r="D3" s="5" t="n"/>
      <c r="E3" s="5" t="n"/>
      <c r="F3" s="5" t="n"/>
      <c r="G3" s="5" t="n"/>
      <c r="H3" s="5" t="n"/>
      <c r="I3" s="5" t="n"/>
      <c r="J3" s="5" t="n"/>
      <c r="K3" s="5" t="n"/>
      <c r="L3" s="5" t="n"/>
      <c r="M3" s="5" t="n"/>
      <c r="N3" s="5" t="n"/>
    </row>
    <row r="5">
      <c r="A5" s="2" t="inlineStr">
        <is>
          <t>A.I.</t>
        </is>
      </c>
      <c r="B5" s="2" t="inlineStr">
        <is>
          <t>Description</t>
        </is>
      </c>
    </row>
    <row r="6" ht="90" customHeight="1">
      <c r="C6" s="3" t="inlineStr">
        <is>
          <t>The Distribution module estimates the household-level distributional (incidence) impact of a carbon-pricing mitigation policy scenario for a single selected country. Starting from the price changes produced by the Mitigation module, it estimates how much more each household decile pays for energy directly (fuels it buys itself) and indirectly (through the higher price of goods and services embedding those fuels), nets that burden against any revenue recycled back to households, and reports the results as changes in household consumption, inequality (Gini/Lorenz) and the share of carbon-pricing revenue needed to compensate lower-income deciles.</t>
        </is>
      </c>
    </row>
    <row r="7"/>
    <row r="8"/>
    <row r="9"/>
    <row r="11">
      <c r="A11" s="2" t="inlineStr">
        <is>
          <t>A.II.</t>
        </is>
      </c>
      <c r="B11" s="2" t="inlineStr">
        <is>
          <t>Scope of this standalone workbook</t>
        </is>
      </c>
    </row>
    <row r="12" ht="170" customHeight="1">
      <c r="C12" s="3" t="inlineStr">
        <is>
          <t>This standalone workbook implements sections B-F of the CPAT "Distribution" sheet (see cpat_excel/original/CPAT 1.0pre_456_NoPropData.xlsb) for Egypt only, replacing the original's per-cell formulas with a small set of reusable LAMBDA functions (Name Manager) that read directly from the Egypt-filtered HHSurvey / HH_Elast / ASPIRE / WHOCooking / GDPRatios / IO_GTAP data tabs. Fuel-level direct price changes and CPAT-category indirect price changes (Step 1 of the module) are taken as given inputs, exactly as currently cached in the source workbook's carbon-price scenario for Egypt -- this mirrors the module's own architecture (Distribution is a consumer, not a producer, of Mitigation's price changes) and avoids re-deriving pieces (IEA/GAINS/IMF emissions recalibration, the Mitigation module's own USD-denominated revenue reconciliation) that depend on data outside the DATA_DISTN tables. Population, GDP and GDP-deflator inputs are likewise Mitigation-module macro outputs and are taken as given. Everything downstream of those inputs -- budget shares, direct/indirect effects, survey-to-national-accounts rebasing, revenue recycling, net effects, Gini/Lorenz, horizontal equity and compensation shares -- is computed with live formulas against the data tabs.</t>
        </is>
      </c>
    </row>
    <row r="13"/>
    <row r="14"/>
    <row r="15"/>
    <row r="16"/>
    <row r="17"/>
    <row r="18"/>
    <row r="19"/>
    <row r="21">
      <c r="A21" s="2" t="inlineStr">
        <is>
          <t>A.III.</t>
        </is>
      </c>
      <c r="B21" s="2" t="inlineStr">
        <is>
          <t>Country coverage</t>
        </is>
      </c>
    </row>
    <row r="22">
      <c r="C22" s="6" t="inlineStr">
        <is>
          <t>This workbook is built for a single country:</t>
        </is>
      </c>
    </row>
    <row r="23">
      <c r="C23" s="6" t="inlineStr">
        <is>
          <t>Country Name</t>
        </is>
      </c>
      <c r="D23" s="6" t="inlineStr">
        <is>
          <t>Egypt</t>
        </is>
      </c>
    </row>
    <row r="24">
      <c r="C24" s="6" t="inlineStr">
        <is>
          <t>ISO-3 Country Code</t>
        </is>
      </c>
      <c r="D24" s="6" t="inlineStr">
        <is>
          <t>EGY</t>
        </is>
      </c>
    </row>
    <row r="25">
      <c r="C25" s="6" t="inlineStr">
        <is>
          <t>Reference Year (HH Survey)</t>
        </is>
      </c>
      <c r="D25" s="6" t="n">
        <v>2017</v>
      </c>
    </row>
    <row r="26">
      <c r="C26" s="6" t="inlineStr">
        <is>
          <t>Survey Acronym</t>
        </is>
      </c>
      <c r="D26" s="6" t="inlineStr">
        <is>
          <t>HBS</t>
        </is>
      </c>
    </row>
    <row r="27">
      <c r="C27" s="6" t="inlineStr">
        <is>
          <t>Survey Name</t>
        </is>
      </c>
      <c r="D27" s="6" t="inlineStr">
        <is>
          <t>Household Budget Survey</t>
        </is>
      </c>
    </row>
    <row r="29">
      <c r="A29" s="4" t="inlineStr">
        <is>
          <t>B.</t>
        </is>
      </c>
      <c r="B29" s="4" t="inlineStr">
        <is>
          <t>Key assumptions and inputs</t>
        </is>
      </c>
      <c r="C29" s="5" t="n"/>
      <c r="D29" s="5" t="n"/>
      <c r="E29" s="5" t="n"/>
      <c r="F29" s="5" t="n"/>
      <c r="G29" s="5" t="n"/>
      <c r="H29" s="5" t="n"/>
      <c r="I29" s="5" t="n"/>
      <c r="J29" s="5" t="n"/>
      <c r="K29" s="5" t="n"/>
      <c r="L29" s="5" t="n"/>
      <c r="M29" s="5" t="n"/>
      <c r="N29" s="5" t="n"/>
    </row>
    <row r="31">
      <c r="A31" s="2" t="inlineStr">
        <is>
          <t>B.I.</t>
        </is>
      </c>
      <c r="B31" s="2" t="inlineStr">
        <is>
          <t>Key assumptions</t>
        </is>
      </c>
    </row>
    <row r="34">
      <c r="A34" s="2" t="inlineStr">
        <is>
          <t>B.</t>
        </is>
      </c>
      <c r="B34" s="2" t="inlineStr">
        <is>
          <t>Key assumptions and inputs</t>
        </is>
      </c>
    </row>
    <row r="36">
      <c r="A36" s="2" t="inlineStr">
        <is>
          <t>B.I.</t>
        </is>
      </c>
      <c r="B36" s="2" t="inlineStr">
        <is>
          <t>Key assumptions</t>
        </is>
      </c>
    </row>
    <row r="37">
      <c r="C37" s="7" t="inlineStr">
        <is>
          <t>Basic Inputs</t>
        </is>
      </c>
    </row>
    <row r="38">
      <c r="C38" s="6" t="inlineStr">
        <is>
          <t>Country Name</t>
        </is>
      </c>
      <c r="D38" s="8" t="inlineStr">
        <is>
          <t>Country name</t>
        </is>
      </c>
      <c r="F38" s="6" t="inlineStr">
        <is>
          <t>Country Name</t>
        </is>
      </c>
      <c r="G38" s="6" t="inlineStr">
        <is>
          <t>MTInputs</t>
        </is>
      </c>
      <c r="H38" s="6" t="n"/>
      <c r="I38" s="9" t="inlineStr">
        <is>
          <t>Egypt</t>
        </is>
      </c>
    </row>
    <row r="39">
      <c r="C39" s="6" t="inlineStr">
        <is>
          <t>Country Code</t>
        </is>
      </c>
      <c r="D39" s="8" t="inlineStr">
        <is>
          <t>Country code</t>
        </is>
      </c>
      <c r="F39" s="6" t="inlineStr">
        <is>
          <t>ISO-3 Country Code</t>
        </is>
      </c>
      <c r="G39" s="6" t="inlineStr">
        <is>
          <t>Dashboard</t>
        </is>
      </c>
      <c r="H39" s="6" t="n"/>
      <c r="I39" s="9" t="inlineStr">
        <is>
          <t>EGY</t>
        </is>
      </c>
    </row>
    <row r="40">
      <c r="C40" s="6" t="inlineStr">
        <is>
          <t>GTAP Code</t>
        </is>
      </c>
      <c r="D40" s="8" t="inlineStr">
        <is>
          <t>GTAP data country/region code</t>
        </is>
      </c>
      <c r="F40" s="6" t="inlineStr">
        <is>
          <t>ISO-3 Country Code/GTAP Region Code</t>
        </is>
      </c>
      <c r="G40" s="6" t="inlineStr">
        <is>
          <t>IO_GTAP</t>
        </is>
      </c>
      <c r="H40" s="6" t="n"/>
      <c r="I40" s="9" t="inlineStr">
        <is>
          <t>egy</t>
        </is>
      </c>
    </row>
    <row r="41">
      <c r="C41" s="6" t="inlineStr">
        <is>
          <t>Survey Year</t>
        </is>
      </c>
      <c r="D41" s="8" t="inlineStr">
        <is>
          <t>Household budget survey year</t>
        </is>
      </c>
      <c r="F41" s="6" t="inlineStr">
        <is>
          <t>Calendar Years</t>
        </is>
      </c>
      <c r="G41" s="6" t="inlineStr">
        <is>
          <t>HHSurvey</t>
        </is>
      </c>
      <c r="H41" s="6" t="n"/>
      <c r="I41" s="9" t="n">
        <v>2017</v>
      </c>
    </row>
    <row r="42">
      <c r="C42" s="6" t="inlineStr">
        <is>
          <t>GTAP Year</t>
        </is>
      </c>
      <c r="D42" s="8" t="inlineStr">
        <is>
          <t>GTAP data year</t>
        </is>
      </c>
      <c r="F42" s="6" t="inlineStr">
        <is>
          <t>Calendar Years</t>
        </is>
      </c>
      <c r="G42" s="6" t="inlineStr">
        <is>
          <t>IO_GTAP</t>
        </is>
      </c>
      <c r="H42" s="6" t="n"/>
      <c r="I42" s="9" t="n">
        <v>2014</v>
      </c>
    </row>
    <row r="43">
      <c r="C43" s="6" t="inlineStr">
        <is>
          <t>ASPIRE Year</t>
        </is>
      </c>
      <c r="D43" s="8" t="inlineStr">
        <is>
          <t>ASPIRE PPP data year</t>
        </is>
      </c>
      <c r="F43" s="6" t="inlineStr">
        <is>
          <t>Calendar Years</t>
        </is>
      </c>
      <c r="G43" s="6" t="inlineStr">
        <is>
          <t>ASPIRE</t>
        </is>
      </c>
      <c r="H43" s="6" t="n"/>
      <c r="I43" s="9" t="n">
        <v>2011</v>
      </c>
    </row>
    <row r="44">
      <c r="C44" s="6" t="inlineStr">
        <is>
          <t>Start Year</t>
        </is>
      </c>
      <c r="D44" s="8" t="inlineStr">
        <is>
          <t>Start year of climate mitigation policy scenario</t>
        </is>
      </c>
      <c r="F44" s="6" t="inlineStr">
        <is>
          <t>Calendar Years</t>
        </is>
      </c>
      <c r="G44" s="6" t="inlineStr">
        <is>
          <t>MTInputs</t>
        </is>
      </c>
      <c r="H44" s="6" t="n"/>
      <c r="I44" s="9" t="n">
        <v>2026</v>
      </c>
    </row>
    <row r="45">
      <c r="C45" s="6" t="inlineStr">
        <is>
          <t>End Year</t>
        </is>
      </c>
      <c r="D45" s="8" t="inlineStr">
        <is>
          <t>End year of climate mitigation policy scenario</t>
        </is>
      </c>
      <c r="F45" s="6" t="inlineStr">
        <is>
          <t>Calendar Years</t>
        </is>
      </c>
      <c r="G45" s="6" t="inlineStr">
        <is>
          <t>MTInputs</t>
        </is>
      </c>
      <c r="H45" s="6" t="n"/>
      <c r="I45" s="9" t="n">
        <v>2030</v>
      </c>
    </row>
    <row r="46">
      <c r="C46" s="6" t="inlineStr">
        <is>
          <t>Analysis Year</t>
        </is>
      </c>
      <c r="D46" s="8" t="inlineStr">
        <is>
          <t>Year of interest for distributional analysis</t>
        </is>
      </c>
      <c r="F46" s="6" t="inlineStr">
        <is>
          <t>Calendar Years</t>
        </is>
      </c>
      <c r="G46" s="6" t="inlineStr">
        <is>
          <t>MTInputs</t>
        </is>
      </c>
      <c r="H46" s="6" t="n"/>
      <c r="I46" s="9" t="n">
        <v>2030</v>
      </c>
    </row>
    <row r="47">
      <c r="C47" s="6" t="inlineStr">
        <is>
          <t>Statistic 1</t>
        </is>
      </c>
      <c r="D47" s="8" t="inlineStr">
        <is>
          <t>Statistic 1 - Mean</t>
        </is>
      </c>
      <c r="F47" s="6" t="inlineStr">
        <is>
          <t>Label</t>
        </is>
      </c>
      <c r="G47" s="6" t="inlineStr">
        <is>
          <t>Distribution</t>
        </is>
      </c>
      <c r="H47" s="6" t="n"/>
      <c r="I47" s="9" t="inlineStr">
        <is>
          <t>mean</t>
        </is>
      </c>
    </row>
    <row r="48">
      <c r="C48" s="6" t="inlineStr">
        <is>
          <t>Statistic 2</t>
        </is>
      </c>
      <c r="D48" s="8" t="inlineStr">
        <is>
          <t>Statistic 2 - Median</t>
        </is>
      </c>
      <c r="F48" s="6" t="inlineStr">
        <is>
          <t>Label</t>
        </is>
      </c>
      <c r="G48" s="6" t="inlineStr">
        <is>
          <t>Distribution</t>
        </is>
      </c>
      <c r="H48" s="6" t="n"/>
      <c r="I48" s="9" t="inlineStr">
        <is>
          <t>median</t>
        </is>
      </c>
    </row>
    <row r="49">
      <c r="C49" s="6" t="inlineStr">
        <is>
          <t>Statistic 3</t>
        </is>
      </c>
      <c r="D49" s="8" t="inlineStr">
        <is>
          <t>Statistic 3 - 25th Percentile</t>
        </is>
      </c>
      <c r="F49" s="6" t="inlineStr">
        <is>
          <t>Label</t>
        </is>
      </c>
      <c r="G49" s="6" t="inlineStr">
        <is>
          <t>Distribution</t>
        </is>
      </c>
      <c r="H49" s="6" t="n"/>
      <c r="I49" s="9" t="inlineStr">
        <is>
          <t>p25</t>
        </is>
      </c>
    </row>
    <row r="50">
      <c r="C50" s="6" t="inlineStr">
        <is>
          <t>Statistic 4</t>
        </is>
      </c>
      <c r="D50" s="8" t="inlineStr">
        <is>
          <t>Statistic 4 - 75th Percentile</t>
        </is>
      </c>
      <c r="F50" s="6" t="inlineStr">
        <is>
          <t>Label</t>
        </is>
      </c>
      <c r="G50" s="6" t="inlineStr">
        <is>
          <t>Distribution</t>
        </is>
      </c>
      <c r="H50" s="6" t="n"/>
      <c r="I50" s="9" t="inlineStr">
        <is>
          <t>p75</t>
        </is>
      </c>
    </row>
    <row r="51">
      <c r="C51" s="6" t="inlineStr">
        <is>
          <t>Statistic - Outputs</t>
        </is>
      </c>
      <c r="D51" s="8" t="inlineStr">
        <is>
          <t>Statistic for calculations/figures (default: "mean")</t>
        </is>
      </c>
      <c r="F51" s="6" t="inlineStr">
        <is>
          <t>Label</t>
        </is>
      </c>
      <c r="G51" s="6" t="inlineStr">
        <is>
          <t>MTInputs</t>
        </is>
      </c>
      <c r="H51" s="6" t="n"/>
      <c r="I51" s="9" t="inlineStr">
        <is>
          <t>mean</t>
        </is>
      </c>
    </row>
    <row r="52">
      <c r="C52" s="6" t="inlineStr">
        <is>
          <t>Sample Type 1</t>
        </is>
      </c>
      <c r="D52" s="8" t="inlineStr">
        <is>
          <t>Sample Type 1 - Overall/Total Sample</t>
        </is>
      </c>
      <c r="F52" s="6" t="inlineStr">
        <is>
          <t>Label</t>
        </is>
      </c>
      <c r="G52" s="6" t="inlineStr">
        <is>
          <t>Distribution</t>
        </is>
      </c>
      <c r="H52" s="6" t="n"/>
      <c r="I52" s="9" t="inlineStr">
        <is>
          <t>ove</t>
        </is>
      </c>
    </row>
    <row r="53">
      <c r="C53" s="6" t="inlineStr">
        <is>
          <t>Sample Type 2</t>
        </is>
      </c>
      <c r="D53" s="8" t="inlineStr">
        <is>
          <t>Sample Type 2 - Urban</t>
        </is>
      </c>
      <c r="F53" s="6" t="inlineStr">
        <is>
          <t>Label</t>
        </is>
      </c>
      <c r="G53" s="6" t="inlineStr">
        <is>
          <t>Distribution</t>
        </is>
      </c>
      <c r="H53" s="6" t="n"/>
      <c r="I53" s="9" t="inlineStr">
        <is>
          <t>urb</t>
        </is>
      </c>
    </row>
    <row r="54">
      <c r="C54" s="6" t="inlineStr">
        <is>
          <t>Sample Type 3</t>
        </is>
      </c>
      <c r="D54" s="8" t="inlineStr">
        <is>
          <t>Sample Type 3 - Rural</t>
        </is>
      </c>
      <c r="F54" s="6" t="inlineStr">
        <is>
          <t>Label</t>
        </is>
      </c>
      <c r="G54" s="6" t="inlineStr">
        <is>
          <t>Distribution</t>
        </is>
      </c>
      <c r="H54" s="6" t="n"/>
      <c r="I54" s="9" t="inlineStr">
        <is>
          <t>rur</t>
        </is>
      </c>
    </row>
    <row r="55">
      <c r="C55" s="7" t="inlineStr">
        <is>
          <t>Incidence Adjustments</t>
        </is>
      </c>
    </row>
    <row r="56">
      <c r="C56" s="6" t="inlineStr">
        <is>
          <t>Adjust for behavioral &amp; structural change?</t>
        </is>
      </c>
      <c r="D56" s="8" t="inlineStr">
        <is>
          <t>Whether to adjust consumption incidence for behavioral responses and structural change</t>
        </is>
      </c>
      <c r="F56" s="6" t="inlineStr">
        <is>
          <t>Switch</t>
        </is>
      </c>
      <c r="G56" s="6" t="inlineStr">
        <is>
          <t>MTInputs</t>
        </is>
      </c>
      <c r="H56" s="6" t="n"/>
      <c r="I56" s="9" t="inlineStr">
        <is>
          <t>No</t>
        </is>
      </c>
    </row>
    <row r="57">
      <c r="C57" s="6" t="inlineStr">
        <is>
          <t>CP Revenues - Distributional Analysis</t>
        </is>
      </c>
      <c r="D57" s="8" t="inlineStr">
        <is>
          <t>Expected climate mitigation policy scenario revenues based on distributional analysis, sum across deciles</t>
        </is>
      </c>
      <c r="F57" s="6" t="inlineStr">
        <is>
          <t>Real 2026 LCU</t>
        </is>
      </c>
      <c r="G57" s="6" t="inlineStr">
        <is>
          <t>Distribution</t>
        </is>
      </c>
      <c r="H57" s="6" t="n"/>
      <c r="I57" s="9" t="n">
        <v>658112557861.5359</v>
      </c>
    </row>
    <row r="58">
      <c r="C58" s="6" t="inlineStr">
        <is>
          <t>Behavioral Response Adj. Factor</t>
        </is>
      </c>
      <c r="D58" s="8" t="inlineStr">
        <is>
          <t>Consumption adjustment factor for behavioral responses and structural change</t>
        </is>
      </c>
      <c r="F58" s="6" t="inlineStr">
        <is>
          <t>Ratio</t>
        </is>
      </c>
      <c r="G58" s="6" t="inlineStr">
        <is>
          <t>Distribution</t>
        </is>
      </c>
      <c r="H58" s="6" t="n"/>
      <c r="I58" s="9" t="n">
        <v>1</v>
      </c>
    </row>
    <row r="59">
      <c r="C59" s="6" t="inlineStr">
        <is>
          <t>Adjust for deadweight losses?</t>
        </is>
      </c>
      <c r="D59" s="8" t="inlineStr">
        <is>
          <t>Whether to adjust consumption incidence for deadweight losses</t>
        </is>
      </c>
      <c r="F59" s="6" t="n"/>
      <c r="G59" s="6" t="n"/>
      <c r="H59" s="6" t="n"/>
      <c r="I59" s="9" t="inlineStr">
        <is>
          <t>No</t>
        </is>
      </c>
    </row>
    <row r="60">
      <c r="C60" s="6" t="inlineStr">
        <is>
          <t>Decile-specific price elasticities of demand?</t>
        </is>
      </c>
      <c r="D60" s="8" t="inlineStr">
        <is>
          <t>Whether to adjust consumption incidence for price elasticities of demand by decile</t>
        </is>
      </c>
      <c r="F60" s="6" t="inlineStr">
        <is>
          <t>Switch</t>
        </is>
      </c>
      <c r="G60" s="6" t="inlineStr">
        <is>
          <t>MTInputs</t>
        </is>
      </c>
      <c r="H60" s="6" t="n"/>
      <c r="I60" s="9" t="inlineStr">
        <is>
          <t>Yes</t>
        </is>
      </c>
    </row>
    <row r="61">
      <c r="C61" s="6" t="inlineStr">
        <is>
          <t>Data on decile-specific price elasticities of demand?</t>
        </is>
      </c>
      <c r="D61" s="8" t="inlineStr">
        <is>
          <t>Whether there is data on price elasticities of demand by decile</t>
        </is>
      </c>
      <c r="F61" s="6" t="inlineStr">
        <is>
          <t>Switch</t>
        </is>
      </c>
      <c r="G61" s="6" t="inlineStr">
        <is>
          <t>Distribution</t>
        </is>
      </c>
      <c r="H61" s="6" t="n"/>
      <c r="I61" s="9" t="inlineStr">
        <is>
          <t>Yes</t>
        </is>
      </c>
    </row>
    <row r="62">
      <c r="C62" s="6" t="inlineStr">
        <is>
          <t>Assume imperfect pass-through?</t>
        </is>
      </c>
      <c r="D62" s="8" t="inlineStr">
        <is>
          <t>Whether to adjust consumption incidence for partial pass-through of commodity price changes onto retail/consumer prices</t>
        </is>
      </c>
      <c r="F62" s="6" t="inlineStr">
        <is>
          <t>Switch</t>
        </is>
      </c>
      <c r="G62" s="6" t="inlineStr">
        <is>
          <t>MTInputs</t>
        </is>
      </c>
      <c r="H62" s="6" t="n"/>
      <c r="I62" s="9" t="inlineStr">
        <is>
          <t>No</t>
        </is>
      </c>
    </row>
    <row r="63">
      <c r="C63" s="7" t="inlineStr">
        <is>
          <t>Climate Mitigation Policy Revenues</t>
        </is>
      </c>
    </row>
    <row r="64">
      <c r="C64" s="6" t="inlineStr">
        <is>
          <t>CP Amount - End Year</t>
        </is>
      </c>
      <c r="D64" s="8" t="inlineStr">
        <is>
          <t>Carbon price in end year of climate mitigation policy scenario</t>
        </is>
      </c>
      <c r="F64" s="6" t="inlineStr">
        <is>
          <t>Real 2026 $/ton CO2</t>
        </is>
      </c>
      <c r="G64" s="6" t="inlineStr">
        <is>
          <t>Mitigation</t>
        </is>
      </c>
      <c r="H64" s="6" t="n"/>
      <c r="I64" s="9" t="n">
        <v>50</v>
      </c>
    </row>
    <row r="65">
      <c r="C65" s="6" t="inlineStr">
        <is>
          <t>CP Amount - Analysis Year</t>
        </is>
      </c>
      <c r="D65" s="8" t="inlineStr">
        <is>
          <t>Carbon price in year of interest for distributional analysis</t>
        </is>
      </c>
      <c r="F65" s="6" t="inlineStr">
        <is>
          <t>Real 2026 $/ton CO2</t>
        </is>
      </c>
      <c r="G65" s="6" t="inlineStr">
        <is>
          <t>Mitigation</t>
        </is>
      </c>
      <c r="H65" s="6" t="inlineStr">
        <is>
          <t>egy.mit.cptraj.2</t>
        </is>
      </c>
      <c r="I65" s="9" t="n">
        <v>50</v>
      </c>
    </row>
    <row r="66">
      <c r="C66" s="6" t="inlineStr">
        <is>
          <t>CP Revenue - Analysis Year</t>
        </is>
      </c>
      <c r="D66" s="8" t="inlineStr">
        <is>
          <t>Additional revenues from climate mitigation policy scenario</t>
        </is>
      </c>
      <c r="F66" s="6" t="inlineStr">
        <is>
          <t>% GDP</t>
        </is>
      </c>
      <c r="G66" s="6" t="inlineStr">
        <is>
          <t>Mitigation</t>
        </is>
      </c>
      <c r="H66" s="6" t="n"/>
      <c r="I66" s="9" t="n">
        <v>1.801453809690079</v>
      </c>
    </row>
    <row r="67">
      <c r="C67" s="6" t="inlineStr">
        <is>
          <t>CP Revenue - Analysis Year</t>
        </is>
      </c>
      <c r="D67" s="8" t="inlineStr">
        <is>
          <t>Additional revenues from climate mitigation policy scenario</t>
        </is>
      </c>
      <c r="F67" s="6" t="inlineStr">
        <is>
          <t>Real 2026 LCU</t>
        </is>
      </c>
      <c r="G67" s="6" t="inlineStr">
        <is>
          <t>Distribution</t>
        </is>
      </c>
      <c r="H67" s="6" t="n"/>
      <c r="I67" s="9" t="n">
        <v>684023687068.2189</v>
      </c>
    </row>
    <row r="68">
      <c r="C68" s="7" t="inlineStr">
        <is>
          <t>Revenue Recycling Options</t>
        </is>
      </c>
    </row>
    <row r="69">
      <c r="C69" s="7" t="inlineStr">
        <is>
          <t>Labor Tax Reductions</t>
        </is>
      </c>
    </row>
    <row r="70">
      <c r="C70" s="6" t="inlineStr">
        <is>
          <t>Labor tax data covered?</t>
        </is>
      </c>
      <c r="D70" s="8" t="n"/>
      <c r="F70" s="6" t="inlineStr">
        <is>
          <t>Switch</t>
        </is>
      </c>
      <c r="G70" s="6" t="inlineStr">
        <is>
          <t>Distribution</t>
        </is>
      </c>
      <c r="H70" s="6" t="n"/>
      <c r="I70" s="9" t="inlineStr">
        <is>
          <t>Yes</t>
        </is>
      </c>
    </row>
    <row r="71">
      <c r="C71" s="6" t="inlineStr">
        <is>
          <t>Labor Tax Reduction Method - Option 1</t>
        </is>
      </c>
      <c r="D71" s="8" t="n"/>
      <c r="F71" s="6" t="inlineStr">
        <is>
          <t>Label</t>
        </is>
      </c>
      <c r="G71" s="6" t="inlineStr">
        <is>
          <t>Distribution</t>
        </is>
      </c>
      <c r="H71" s="6" t="n"/>
      <c r="I71" s="9" t="inlineStr">
        <is>
          <t>Personal Allowance</t>
        </is>
      </c>
    </row>
    <row r="72">
      <c r="C72" s="6" t="inlineStr">
        <is>
          <t>Labor Tax Reduction Method - Option 2</t>
        </is>
      </c>
      <c r="D72" s="8" t="n"/>
      <c r="F72" s="6" t="inlineStr">
        <is>
          <t>Label</t>
        </is>
      </c>
      <c r="G72" s="6" t="inlineStr">
        <is>
          <t>Distribution</t>
        </is>
      </c>
      <c r="H72" s="6" t="n"/>
      <c r="I72" s="9" t="inlineStr">
        <is>
          <t>Proportional Compensation</t>
        </is>
      </c>
    </row>
    <row r="73">
      <c r="C73" s="6" t="inlineStr">
        <is>
          <t>Labor Tax Reduction Method - Option 3</t>
        </is>
      </c>
      <c r="D73" s="8" t="n"/>
      <c r="F73" s="6" t="inlineStr">
        <is>
          <t>Label</t>
        </is>
      </c>
      <c r="G73" s="6" t="inlineStr">
        <is>
          <t>Distribution</t>
        </is>
      </c>
      <c r="H73" s="6" t="n"/>
      <c r="I73" s="9" t="inlineStr">
        <is>
          <t>Targeted Exemption</t>
        </is>
      </c>
    </row>
    <row r="74">
      <c r="C74" s="6" t="inlineStr">
        <is>
          <t>CP Revenue - Labor Tax Reductions - Analysis Year</t>
        </is>
      </c>
      <c r="D74" s="8" t="inlineStr">
        <is>
          <t>Percent climate mitigation policy revenues used for labor tax reductions in year of interest for distributional analysis</t>
        </is>
      </c>
      <c r="F74" s="6" t="inlineStr">
        <is>
          <t>% Total</t>
        </is>
      </c>
      <c r="G74" s="6" t="inlineStr">
        <is>
          <t>MTInputs</t>
        </is>
      </c>
      <c r="H74" s="6" t="n"/>
      <c r="I74" s="9" t="n">
        <v>30</v>
      </c>
    </row>
    <row r="75">
      <c r="C75" s="6" t="inlineStr">
        <is>
          <t>CP Revenue - Labor Tax Reductions - Analysis Year</t>
        </is>
      </c>
      <c r="D75" s="8" t="inlineStr">
        <is>
          <t>Climate mitigation policy revenues used for labor tax reductions in year of interest for distributional analysis</t>
        </is>
      </c>
      <c r="F75" s="6" t="inlineStr">
        <is>
          <t>% GDP</t>
        </is>
      </c>
      <c r="G75" s="6" t="inlineStr">
        <is>
          <t>Distribution</t>
        </is>
      </c>
      <c r="H75" s="6" t="n"/>
      <c r="I75" s="9" t="n">
        <v>0.5404361429070238</v>
      </c>
    </row>
    <row r="76">
      <c r="C76" s="6" t="inlineStr">
        <is>
          <t>CP Revenue - Labor Tax Reductions - Analysis Year</t>
        </is>
      </c>
      <c r="D76" s="8" t="inlineStr">
        <is>
          <t>Climate mitigation policy revenues used for labor tax reductions in year of interest for distributional analysis</t>
        </is>
      </c>
      <c r="F76" s="6" t="inlineStr">
        <is>
          <t>Real 2026 LCU</t>
        </is>
      </c>
      <c r="G76" s="6" t="inlineStr">
        <is>
          <t>Distribution</t>
        </is>
      </c>
      <c r="H76" s="6" t="n"/>
      <c r="I76" s="9" t="n">
        <v>205207106120.4657</v>
      </c>
    </row>
    <row r="77">
      <c r="C77" s="6" t="inlineStr">
        <is>
          <t>Baseline PIT Revenues - Analysis Year</t>
        </is>
      </c>
      <c r="D77" s="8" t="inlineStr">
        <is>
          <t>Total personal income tax (PIT) revenues-to-GDP in year of interest for distributional analysis (assumed constant)</t>
        </is>
      </c>
      <c r="F77" s="6" t="inlineStr">
        <is>
          <t>% GDP</t>
        </is>
      </c>
      <c r="G77" s="6" t="inlineStr">
        <is>
          <t>HHSurvey</t>
        </is>
      </c>
      <c r="H77" s="6" t="inlineStr">
        <is>
          <t>egy.distn.bsh.dec.ove.mean</t>
        </is>
      </c>
      <c r="I77" s="9" t="n">
        <v>1.569999477391376</v>
      </c>
    </row>
    <row r="78">
      <c r="C78" s="6" t="inlineStr">
        <is>
          <t>Baseline PIT Revenues - Analysis Year</t>
        </is>
      </c>
      <c r="D78" s="8" t="inlineStr">
        <is>
          <t>Total personal income tax (PIT) revenues in year of interest for distributional analysis</t>
        </is>
      </c>
      <c r="F78" s="6" t="inlineStr">
        <is>
          <t>Real 2026 LCU</t>
        </is>
      </c>
      <c r="G78" s="6" t="inlineStr">
        <is>
          <t>Distribution</t>
        </is>
      </c>
      <c r="H78" s="6" t="n"/>
      <c r="I78" s="9" t="n">
        <v>596138976999.4611</v>
      </c>
    </row>
    <row r="79">
      <c r="C79" s="6" t="inlineStr">
        <is>
          <t>Replace Missing PIT Data Based on:</t>
        </is>
      </c>
      <c r="D79" s="8" t="inlineStr">
        <is>
          <t>Countries with missing data on personal income taxes (PIT) paid are assigned data based on WB income mean</t>
        </is>
      </c>
      <c r="F79" s="6" t="inlineStr">
        <is>
          <t>Switch</t>
        </is>
      </c>
      <c r="G79" s="6" t="inlineStr">
        <is>
          <t>MTInputs</t>
        </is>
      </c>
      <c r="H79" s="6" t="n"/>
      <c r="I79" s="9" t="inlineStr">
        <is>
          <t>income</t>
        </is>
      </c>
    </row>
    <row r="80">
      <c r="C80" s="6" t="inlineStr">
        <is>
          <t>Labor Tax Reduction Method</t>
        </is>
      </c>
      <c r="D80" s="8" t="inlineStr">
        <is>
          <t>Calculation method under CP revenue recycling into labor tax reductions</t>
        </is>
      </c>
      <c r="F80" s="6" t="inlineStr">
        <is>
          <t>Switch</t>
        </is>
      </c>
      <c r="G80" s="6" t="inlineStr">
        <is>
          <t>MTInputs</t>
        </is>
      </c>
      <c r="H80" s="6" t="n"/>
      <c r="I80" s="9" t="inlineStr">
        <is>
          <t>Personal Allowance</t>
        </is>
      </c>
    </row>
    <row r="81">
      <c r="C81" s="6" t="inlineStr">
        <is>
          <t>If "Labor Tax Reduction Method" is "Targeted Exemption", exempt labor taxes for bottom XX deciles:</t>
        </is>
      </c>
      <c r="D81" s="8" t="inlineStr">
        <is>
          <t>Deciles exempt from labor tax liability</t>
        </is>
      </c>
      <c r="F81" s="6" t="inlineStr">
        <is>
          <t>Deciles</t>
        </is>
      </c>
      <c r="G81" s="6" t="inlineStr">
        <is>
          <t>MTInputs</t>
        </is>
      </c>
      <c r="H81" s="6" t="n"/>
      <c r="I81" s="9" t="n">
        <v>4</v>
      </c>
    </row>
    <row r="82">
      <c r="C82" s="6" t="inlineStr">
        <is>
          <t>If Method is "Proportional Compensation", Labor Tax Cut Coefficient</t>
        </is>
      </c>
      <c r="D82" s="8" t="inlineStr">
        <is>
          <t>LCU recycled per LCU of labor taxes paid</t>
        </is>
      </c>
      <c r="F82" s="6" t="inlineStr">
        <is>
          <t>Ratio</t>
        </is>
      </c>
      <c r="G82" s="6" t="inlineStr">
        <is>
          <t>Distribution</t>
        </is>
      </c>
      <c r="H82" s="6" t="n"/>
      <c r="I82" s="9" t="n">
        <v>0.3442269571993632</v>
      </c>
    </row>
    <row r="83">
      <c r="C83" s="7" t="inlineStr">
        <is>
          <t>Targeted Transfers</t>
        </is>
      </c>
    </row>
    <row r="84">
      <c r="C84" s="6" t="inlineStr">
        <is>
          <t>CP Revenue - Targeted Transfer - Analysis Year</t>
        </is>
      </c>
      <c r="D84" s="8" t="inlineStr">
        <is>
          <t>Percent climate mitigation policy revenues used for targeted transfers in year of interest for distributional analysis</t>
        </is>
      </c>
      <c r="F84" s="6" t="inlineStr">
        <is>
          <t>% Total</t>
        </is>
      </c>
      <c r="G84" s="6" t="inlineStr">
        <is>
          <t>MTInputs</t>
        </is>
      </c>
      <c r="H84" s="6" t="n"/>
      <c r="I84" s="9" t="n">
        <v>20</v>
      </c>
    </row>
    <row r="85">
      <c r="C85" s="6" t="inlineStr">
        <is>
          <t>CP Revenue - Targeted Transfer - Analysis Year</t>
        </is>
      </c>
      <c r="D85" s="8" t="inlineStr">
        <is>
          <t>Climate mitigation policy revenues used for targeted transfers in year of interest for distributional analysis</t>
        </is>
      </c>
      <c r="F85" s="6" t="inlineStr">
        <is>
          <t>% GDP</t>
        </is>
      </c>
      <c r="G85" s="6" t="inlineStr">
        <is>
          <t>Distribution</t>
        </is>
      </c>
      <c r="H85" s="6" t="n"/>
      <c r="I85" s="9" t="n">
        <v>0.3602907619380158</v>
      </c>
    </row>
    <row r="86">
      <c r="C86" s="6" t="inlineStr">
        <is>
          <t>CP Revenue - Targeted Transfer - Analysis Year</t>
        </is>
      </c>
      <c r="D86" s="8" t="inlineStr">
        <is>
          <t>Climate mitigation policy revenues used for targeted transfers in year of interest for distributional analysis</t>
        </is>
      </c>
      <c r="F86" s="6" t="inlineStr">
        <is>
          <t>Real 2026 LCU</t>
        </is>
      </c>
      <c r="G86" s="6" t="inlineStr">
        <is>
          <t>Distribution</t>
        </is>
      </c>
      <c r="H86" s="6" t="n"/>
      <c r="I86" s="9" t="n">
        <v>136804737413.6438</v>
      </c>
    </row>
    <row r="87">
      <c r="C87" s="7" t="inlineStr">
        <is>
          <t>Public Investment</t>
        </is>
      </c>
    </row>
    <row r="88">
      <c r="C88" s="6" t="inlineStr">
        <is>
          <t>CP Revenue - Public Investment - Analysis Year</t>
        </is>
      </c>
      <c r="D88" s="8" t="inlineStr">
        <is>
          <t>Percent climate mitigation policy revenues used for public investment in year of interest for distributional analysis</t>
        </is>
      </c>
      <c r="F88" s="6" t="inlineStr">
        <is>
          <t>% Total</t>
        </is>
      </c>
      <c r="G88" s="6" t="inlineStr">
        <is>
          <t>MTInputs</t>
        </is>
      </c>
      <c r="H88" s="6" t="n"/>
      <c r="I88" s="9" t="n">
        <v>50</v>
      </c>
    </row>
    <row r="89">
      <c r="C89" s="6" t="inlineStr">
        <is>
          <t>CP Revenue - Public Investment - Analysis Year</t>
        </is>
      </c>
      <c r="D89" s="8" t="inlineStr">
        <is>
          <t>Climate mitigation policy revenues used for public investment in year of interest for distributional analysis</t>
        </is>
      </c>
      <c r="F89" s="6" t="inlineStr">
        <is>
          <t>% GDP</t>
        </is>
      </c>
      <c r="G89" s="6" t="inlineStr">
        <is>
          <t>Distribution</t>
        </is>
      </c>
      <c r="H89" s="6" t="n"/>
      <c r="I89" s="9" t="n">
        <v>0.9007269048450397</v>
      </c>
    </row>
    <row r="90">
      <c r="C90" s="6" t="inlineStr">
        <is>
          <t>CP Revenue - Public Investment - Analysis Year</t>
        </is>
      </c>
      <c r="D90" s="8" t="inlineStr">
        <is>
          <t>Climate mitigation policy revenues used for public investment in year of interest for distributional analysis</t>
        </is>
      </c>
      <c r="F90" s="6" t="inlineStr">
        <is>
          <t>Real 2026 LCU</t>
        </is>
      </c>
      <c r="G90" s="6" t="inlineStr">
        <is>
          <t>Distribution</t>
        </is>
      </c>
      <c r="H90" s="6" t="n"/>
      <c r="I90" s="9" t="n">
        <v>342011843534.1094</v>
      </c>
    </row>
    <row r="91">
      <c r="C91" s="7" t="inlineStr">
        <is>
          <t>Current Spending</t>
        </is>
      </c>
    </row>
    <row r="92">
      <c r="C92" s="6" t="inlineStr">
        <is>
          <t>CP Revenue - Current Spending - Analysis Year</t>
        </is>
      </c>
      <c r="D92" s="8" t="inlineStr">
        <is>
          <t>Percent climate mitigation policy revenues used for current spending in year of interest for distributional analysis</t>
        </is>
      </c>
      <c r="F92" s="6" t="inlineStr">
        <is>
          <t>% Total</t>
        </is>
      </c>
      <c r="G92" s="6" t="inlineStr">
        <is>
          <t>MTInputs</t>
        </is>
      </c>
      <c r="H92" s="6" t="n"/>
      <c r="I92" s="9" t="n">
        <v>0</v>
      </c>
    </row>
    <row r="93">
      <c r="C93" s="6" t="inlineStr">
        <is>
          <t>CP Revenue - Current Spending - Analysis Year</t>
        </is>
      </c>
      <c r="D93" s="8" t="inlineStr">
        <is>
          <t>Climate mitigation policy revenues used for current spending in year of interest for distributional analysis</t>
        </is>
      </c>
      <c r="F93" s="6" t="inlineStr">
        <is>
          <t>% GDP</t>
        </is>
      </c>
      <c r="G93" s="6" t="inlineStr">
        <is>
          <t>Distribution</t>
        </is>
      </c>
      <c r="H93" s="6" t="n"/>
      <c r="I93" s="9" t="n">
        <v>0</v>
      </c>
    </row>
    <row r="94">
      <c r="C94" s="6" t="inlineStr">
        <is>
          <t>CP Revenue - Current Spending - Analysis Year</t>
        </is>
      </c>
      <c r="D94" s="8" t="inlineStr">
        <is>
          <t>Climate mitigation policy revenues used for current spending in year of interest for distributional analysis</t>
        </is>
      </c>
      <c r="F94" s="6" t="inlineStr">
        <is>
          <t>Real 2026 LCU</t>
        </is>
      </c>
      <c r="G94" s="6" t="inlineStr">
        <is>
          <t>Distribution</t>
        </is>
      </c>
      <c r="H94" s="6" t="n"/>
      <c r="I94" s="9" t="n">
        <v>0</v>
      </c>
    </row>
    <row r="95">
      <c r="C95" s="7" t="inlineStr">
        <is>
          <t>Revenue Recycling Scenarios for Transfers</t>
        </is>
      </c>
    </row>
    <row r="96">
      <c r="C96" s="6" t="inlineStr">
        <is>
          <t>Scenario 0</t>
        </is>
      </c>
      <c r="D96" s="8" t="n"/>
      <c r="F96" s="6" t="inlineStr">
        <is>
          <t>Label</t>
        </is>
      </c>
      <c r="G96" s="6" t="inlineStr">
        <is>
          <t>Distribution</t>
        </is>
      </c>
      <c r="H96" s="6" t="n"/>
      <c r="I96" s="9" t="inlineStr">
        <is>
          <t>Cash</t>
        </is>
      </c>
    </row>
    <row r="97">
      <c r="C97" s="6" t="inlineStr">
        <is>
          <t>Scenario 1</t>
        </is>
      </c>
      <c r="D97" s="8" t="n"/>
      <c r="F97" s="6" t="inlineStr">
        <is>
          <t>Label</t>
        </is>
      </c>
      <c r="G97" s="6" t="inlineStr">
        <is>
          <t>Distribution</t>
        </is>
      </c>
      <c r="H97" s="6" t="n"/>
      <c r="I97" s="9" t="inlineStr">
        <is>
          <t>All Infr.</t>
        </is>
      </c>
    </row>
    <row r="98">
      <c r="C98" s="6" t="inlineStr">
        <is>
          <t>Scenario 2</t>
        </is>
      </c>
      <c r="D98" s="8" t="n"/>
      <c r="F98" s="6" t="inlineStr">
        <is>
          <t>Label</t>
        </is>
      </c>
      <c r="G98" s="6" t="inlineStr">
        <is>
          <t>Distribution</t>
        </is>
      </c>
      <c r="H98" s="6" t="n"/>
      <c r="I98" s="9" t="inlineStr">
        <is>
          <t>ICT Infr.</t>
        </is>
      </c>
    </row>
    <row r="99">
      <c r="C99" s="6" t="inlineStr">
        <is>
          <t>Scenario 3</t>
        </is>
      </c>
      <c r="D99" s="8" t="n"/>
      <c r="F99" s="6" t="inlineStr">
        <is>
          <t>Label</t>
        </is>
      </c>
      <c r="G99" s="6" t="inlineStr">
        <is>
          <t>Distribution</t>
        </is>
      </c>
      <c r="H99" s="6" t="n"/>
      <c r="I99" s="9" t="inlineStr">
        <is>
          <t>Electricity Infr.</t>
        </is>
      </c>
    </row>
    <row r="100">
      <c r="C100" s="6" t="inlineStr">
        <is>
          <t>Scenario 4</t>
        </is>
      </c>
      <c r="D100" s="8" t="n"/>
      <c r="F100" s="6" t="inlineStr">
        <is>
          <t>Label</t>
        </is>
      </c>
      <c r="G100" s="6" t="inlineStr">
        <is>
          <t>Distribution</t>
        </is>
      </c>
      <c r="H100" s="6" t="n"/>
      <c r="I100" s="9" t="inlineStr">
        <is>
          <t>Water Infr.</t>
        </is>
      </c>
    </row>
    <row r="101">
      <c r="C101" s="6" t="inlineStr">
        <is>
          <t>Scenario 5</t>
        </is>
      </c>
      <c r="D101" s="8" t="n"/>
      <c r="F101" s="6" t="inlineStr">
        <is>
          <t>Label</t>
        </is>
      </c>
      <c r="G101" s="6" t="inlineStr">
        <is>
          <t>Distribution</t>
        </is>
      </c>
      <c r="H101" s="6" t="n"/>
      <c r="I101" s="9" t="inlineStr">
        <is>
          <t>Sanitation Infr.</t>
        </is>
      </c>
    </row>
    <row r="102">
      <c r="C102" s="6" t="inlineStr">
        <is>
          <t>Scenario 6</t>
        </is>
      </c>
      <c r="D102" s="8" t="n"/>
      <c r="F102" s="6" t="inlineStr">
        <is>
          <t>Label</t>
        </is>
      </c>
      <c r="G102" s="6" t="inlineStr">
        <is>
          <t>Distribution</t>
        </is>
      </c>
      <c r="H102" s="6" t="n"/>
      <c r="I102" s="9" t="inlineStr">
        <is>
          <t>Public Transport Infr.</t>
        </is>
      </c>
    </row>
    <row r="103">
      <c r="C103" s="7" t="inlineStr">
        <is>
          <t>Infrastructure Access Data Coverage</t>
        </is>
      </c>
    </row>
    <row r="104">
      <c r="C104" s="6" t="inlineStr">
        <is>
          <t>Infrastructure access data generally available?</t>
        </is>
      </c>
      <c r="D104" s="8" t="inlineStr">
        <is>
          <t>Whether any infrastructure access data is available for the selected country</t>
        </is>
      </c>
      <c r="F104" s="6" t="inlineStr">
        <is>
          <t>Switch</t>
        </is>
      </c>
      <c r="G104" s="6" t="inlineStr">
        <is>
          <t>Distribution</t>
        </is>
      </c>
      <c r="H104" s="6" t="n"/>
      <c r="I104" s="9" t="inlineStr">
        <is>
          <t>Yes</t>
        </is>
      </c>
    </row>
    <row r="105">
      <c r="C105" s="6" t="inlineStr">
        <is>
          <t>Infrastructure access data available for active transfer choice?</t>
        </is>
      </c>
      <c r="D105" s="8" t="inlineStr">
        <is>
          <t>Whether any ASPIRE data is available for the selected country and public investment type</t>
        </is>
      </c>
      <c r="F105" s="6" t="inlineStr">
        <is>
          <t>Switch</t>
        </is>
      </c>
      <c r="G105" s="6" t="inlineStr">
        <is>
          <t>Distribution</t>
        </is>
      </c>
      <c r="H105" s="6" t="n"/>
      <c r="I105" s="9" t="inlineStr">
        <is>
          <t>Yes</t>
        </is>
      </c>
    </row>
    <row r="106">
      <c r="C106" s="6" t="inlineStr">
        <is>
          <t>Infrastructure access data code</t>
        </is>
      </c>
      <c r="D106" s="8" t="inlineStr">
        <is>
          <t>Infrastructure access data code</t>
        </is>
      </c>
      <c r="F106" s="6" t="inlineStr">
        <is>
          <t>Label</t>
        </is>
      </c>
      <c r="G106" s="6" t="inlineStr">
        <is>
          <t>Distribution</t>
        </is>
      </c>
      <c r="H106" s="6" t="n"/>
      <c r="I106" s="9" t="inlineStr">
        <is>
          <t>all_acs_share</t>
        </is>
      </c>
    </row>
    <row r="107">
      <c r="C107" s="7" t="inlineStr">
        <is>
          <t>Revenue Recycling Scenarios from ASPIRE Database</t>
        </is>
      </c>
    </row>
    <row r="108">
      <c r="C108" s="6" t="inlineStr">
        <is>
          <t>Scenario 9</t>
        </is>
      </c>
      <c r="D108" s="8" t="n"/>
      <c r="F108" s="6" t="inlineStr">
        <is>
          <t>Label</t>
        </is>
      </c>
      <c r="G108" s="6" t="inlineStr">
        <is>
          <t>ASPIRE</t>
        </is>
      </c>
      <c r="H108" s="6" t="n"/>
      <c r="I108" s="9" t="inlineStr">
        <is>
          <t>Active Labor Market</t>
        </is>
      </c>
    </row>
    <row r="109">
      <c r="C109" s="6" t="inlineStr">
        <is>
          <t>Scenario 10</t>
        </is>
      </c>
      <c r="D109" s="8" t="n"/>
      <c r="F109" s="6" t="inlineStr">
        <is>
          <t>Label</t>
        </is>
      </c>
      <c r="G109" s="6" t="inlineStr">
        <is>
          <t>ASPIRE</t>
        </is>
      </c>
      <c r="H109" s="6" t="n"/>
      <c r="I109" s="9" t="inlineStr">
        <is>
          <t>All Labor Market</t>
        </is>
      </c>
    </row>
    <row r="110">
      <c r="C110" s="6" t="inlineStr">
        <is>
          <t>Scenario 11</t>
        </is>
      </c>
      <c r="D110" s="8" t="n"/>
      <c r="F110" s="6" t="inlineStr">
        <is>
          <t>Label</t>
        </is>
      </c>
      <c r="G110" s="6" t="inlineStr">
        <is>
          <t>ASPIRE</t>
        </is>
      </c>
      <c r="H110" s="6" t="n"/>
      <c r="I110" s="9" t="inlineStr">
        <is>
          <t>All Social Assistance</t>
        </is>
      </c>
    </row>
    <row r="111">
      <c r="C111" s="6" t="inlineStr">
        <is>
          <t>Scenario 12</t>
        </is>
      </c>
      <c r="D111" s="8" t="n"/>
      <c r="F111" s="6" t="inlineStr">
        <is>
          <t>Label</t>
        </is>
      </c>
      <c r="G111" s="6" t="inlineStr">
        <is>
          <t>ASPIRE</t>
        </is>
      </c>
      <c r="H111" s="6" t="n"/>
      <c r="I111" s="9" t="inlineStr">
        <is>
          <t>All Social Insurance</t>
        </is>
      </c>
    </row>
    <row r="112">
      <c r="C112" s="6" t="inlineStr">
        <is>
          <t>Scenario 13</t>
        </is>
      </c>
      <c r="D112" s="8" t="n"/>
      <c r="F112" s="6" t="inlineStr">
        <is>
          <t>Label</t>
        </is>
      </c>
      <c r="G112" s="6" t="inlineStr">
        <is>
          <t>ASPIRE</t>
        </is>
      </c>
      <c r="H112" s="6" t="n"/>
      <c r="I112" s="9" t="inlineStr">
        <is>
          <t>All Social Protection and Labor</t>
        </is>
      </c>
    </row>
    <row r="113">
      <c r="C113" s="6" t="inlineStr">
        <is>
          <t>Scenario 14</t>
        </is>
      </c>
      <c r="D113" s="8" t="n"/>
      <c r="F113" s="6" t="inlineStr">
        <is>
          <t>Label</t>
        </is>
      </c>
      <c r="G113" s="6" t="inlineStr">
        <is>
          <t>ASPIRE</t>
        </is>
      </c>
      <c r="H113" s="6" t="n"/>
      <c r="I113" s="9" t="inlineStr">
        <is>
          <t>Cash Transfers</t>
        </is>
      </c>
    </row>
    <row r="114">
      <c r="C114" s="6" t="inlineStr">
        <is>
          <t>Scenario 15</t>
        </is>
      </c>
      <c r="D114" s="8" t="n"/>
      <c r="F114" s="6" t="inlineStr">
        <is>
          <t>Label</t>
        </is>
      </c>
      <c r="G114" s="6" t="inlineStr">
        <is>
          <t>ASPIRE</t>
        </is>
      </c>
      <c r="H114" s="6" t="n"/>
      <c r="I114" s="9" t="inlineStr">
        <is>
          <t>Conditional Cash Transfers</t>
        </is>
      </c>
    </row>
    <row r="115">
      <c r="C115" s="6" t="inlineStr">
        <is>
          <t>Scenario 16</t>
        </is>
      </c>
      <c r="D115" s="8" t="n"/>
      <c r="F115" s="6" t="inlineStr">
        <is>
          <t>Label</t>
        </is>
      </c>
      <c r="G115" s="6" t="inlineStr">
        <is>
          <t>ASPIRE</t>
        </is>
      </c>
      <c r="H115" s="6" t="n"/>
      <c r="I115" s="9" t="inlineStr">
        <is>
          <t>Contributory Pensions</t>
        </is>
      </c>
    </row>
    <row r="116">
      <c r="C116" s="6" t="inlineStr">
        <is>
          <t>Scenario 17</t>
        </is>
      </c>
      <c r="D116" s="8" t="n"/>
      <c r="F116" s="6" t="inlineStr">
        <is>
          <t>Label</t>
        </is>
      </c>
      <c r="G116" s="6" t="inlineStr">
        <is>
          <t>ASPIRE</t>
        </is>
      </c>
      <c r="H116" s="6" t="n"/>
      <c r="I116" s="9" t="inlineStr">
        <is>
          <t>Fee waivers and targeted subsidies</t>
        </is>
      </c>
    </row>
    <row r="117">
      <c r="C117" s="6" t="inlineStr">
        <is>
          <t>Scenario 18</t>
        </is>
      </c>
      <c r="D117" s="8" t="n"/>
      <c r="F117" s="6" t="inlineStr">
        <is>
          <t>Label</t>
        </is>
      </c>
      <c r="G117" s="6" t="inlineStr">
        <is>
          <t>ASPIRE</t>
        </is>
      </c>
      <c r="H117" s="6" t="n"/>
      <c r="I117" s="9" t="inlineStr">
        <is>
          <t>In-Kind</t>
        </is>
      </c>
    </row>
    <row r="118">
      <c r="C118" s="6" t="inlineStr">
        <is>
          <t>Scenario 19</t>
        </is>
      </c>
      <c r="D118" s="8" t="n"/>
      <c r="F118" s="6" t="inlineStr">
        <is>
          <t>Label</t>
        </is>
      </c>
      <c r="G118" s="6" t="inlineStr">
        <is>
          <t>ASPIRE</t>
        </is>
      </c>
      <c r="H118" s="6" t="n"/>
      <c r="I118" s="9" t="inlineStr">
        <is>
          <t>Other Social Assistance</t>
        </is>
      </c>
    </row>
    <row r="119">
      <c r="C119" s="6" t="inlineStr">
        <is>
          <t>Scenario 20</t>
        </is>
      </c>
      <c r="D119" s="8" t="n"/>
      <c r="F119" s="6" t="inlineStr">
        <is>
          <t>Label</t>
        </is>
      </c>
      <c r="G119" s="6" t="inlineStr">
        <is>
          <t>ASPIRE</t>
        </is>
      </c>
      <c r="H119" s="6" t="n"/>
      <c r="I119" s="9" t="inlineStr">
        <is>
          <t>Other Social Insurance</t>
        </is>
      </c>
    </row>
    <row r="120">
      <c r="C120" s="6" t="inlineStr">
        <is>
          <t>Scenario 21</t>
        </is>
      </c>
      <c r="D120" s="8" t="n"/>
      <c r="F120" s="6" t="inlineStr">
        <is>
          <t>Label</t>
        </is>
      </c>
      <c r="G120" s="6" t="inlineStr">
        <is>
          <t>ASPIRE</t>
        </is>
      </c>
      <c r="H120" s="6" t="n"/>
      <c r="I120" s="9" t="inlineStr">
        <is>
          <t>Passive Labor Market</t>
        </is>
      </c>
    </row>
    <row r="121">
      <c r="C121" s="6" t="inlineStr">
        <is>
          <t>Scenario 22</t>
        </is>
      </c>
      <c r="D121" s="8" t="n"/>
      <c r="F121" s="6" t="inlineStr">
        <is>
          <t>Label</t>
        </is>
      </c>
      <c r="G121" s="6" t="inlineStr">
        <is>
          <t>ASPIRE</t>
        </is>
      </c>
      <c r="H121" s="6" t="n"/>
      <c r="I121" s="9" t="inlineStr">
        <is>
          <t>Public Works</t>
        </is>
      </c>
    </row>
    <row r="122">
      <c r="C122" s="6" t="inlineStr">
        <is>
          <t>Scenario 23</t>
        </is>
      </c>
      <c r="D122" s="8" t="n"/>
      <c r="F122" s="6" t="inlineStr">
        <is>
          <t>Label</t>
        </is>
      </c>
      <c r="G122" s="6" t="inlineStr">
        <is>
          <t>ASPIRE</t>
        </is>
      </c>
      <c r="H122" s="6" t="n"/>
      <c r="I122" s="9" t="inlineStr">
        <is>
          <t>School Feeding</t>
        </is>
      </c>
    </row>
    <row r="123">
      <c r="C123" s="6" t="inlineStr">
        <is>
          <t>Scenario 24</t>
        </is>
      </c>
      <c r="D123" s="8" t="n"/>
      <c r="F123" s="6" t="inlineStr">
        <is>
          <t>Label</t>
        </is>
      </c>
      <c r="G123" s="6" t="inlineStr">
        <is>
          <t>ASPIRE</t>
        </is>
      </c>
      <c r="H123" s="6" t="n"/>
      <c r="I123" s="9" t="inlineStr">
        <is>
          <t>Social Pensions</t>
        </is>
      </c>
    </row>
    <row r="124">
      <c r="C124" s="7" t="inlineStr">
        <is>
          <t>ASPIRE Database Coverage</t>
        </is>
      </c>
    </row>
    <row r="125">
      <c r="C125" s="6" t="inlineStr">
        <is>
          <t>ASPIRE data generally available?</t>
        </is>
      </c>
      <c r="D125" s="8" t="inlineStr">
        <is>
          <t>Whether any ASPIRE data is available for the selected country</t>
        </is>
      </c>
      <c r="F125" s="6" t="inlineStr">
        <is>
          <t>Switch</t>
        </is>
      </c>
      <c r="G125" s="6" t="inlineStr">
        <is>
          <t>Distribution</t>
        </is>
      </c>
      <c r="H125" s="6" t="n"/>
      <c r="I125" s="9" t="inlineStr">
        <is>
          <t>Yes</t>
        </is>
      </c>
    </row>
    <row r="126">
      <c r="C126" s="6" t="inlineStr">
        <is>
          <t>ASPIRE data available for active targeted transfer choice?</t>
        </is>
      </c>
      <c r="D126" s="8" t="inlineStr">
        <is>
          <t>Whether any ASPIRE data is available for the selected country and targeted transfer type</t>
        </is>
      </c>
      <c r="F126" s="6" t="inlineStr">
        <is>
          <t>Switch</t>
        </is>
      </c>
      <c r="G126" s="6" t="inlineStr">
        <is>
          <t>Distribution</t>
        </is>
      </c>
      <c r="H126" s="6" t="n"/>
      <c r="I126" s="9" t="inlineStr">
        <is>
          <t>n.a.</t>
        </is>
      </c>
    </row>
    <row r="127">
      <c r="C127" s="6" t="inlineStr">
        <is>
          <t>ASPIRE data available for active current spending choice?</t>
        </is>
      </c>
      <c r="D127" s="8" t="inlineStr">
        <is>
          <t>Whether any ASPIRE data is available for the selected country and current spending type</t>
        </is>
      </c>
      <c r="F127" s="6" t="inlineStr">
        <is>
          <t>Switch</t>
        </is>
      </c>
      <c r="G127" s="6" t="inlineStr">
        <is>
          <t>Distribution</t>
        </is>
      </c>
      <c r="H127" s="6" t="n"/>
      <c r="I127" s="9" t="inlineStr">
        <is>
          <t>Yes</t>
        </is>
      </c>
    </row>
    <row r="128">
      <c r="C128" s="6" t="inlineStr">
        <is>
          <t>Using ASPIRE for targeted transfer?</t>
        </is>
      </c>
      <c r="D128" s="8" t="inlineStr">
        <is>
          <t>Whether ASPIRE data is being used for targeted transfer calculations</t>
        </is>
      </c>
      <c r="F128" s="6" t="inlineStr">
        <is>
          <t>Switch</t>
        </is>
      </c>
      <c r="G128" s="6" t="inlineStr">
        <is>
          <t>Dashboard</t>
        </is>
      </c>
      <c r="H128" s="6" t="n"/>
      <c r="I128" s="9" t="inlineStr">
        <is>
          <t>No</t>
        </is>
      </c>
    </row>
    <row r="129">
      <c r="C129" s="6" t="inlineStr">
        <is>
          <t>ASPIRE targeted transfer code</t>
        </is>
      </c>
      <c r="D129" s="8" t="inlineStr">
        <is>
          <t>ASPIRE targeted transfer code</t>
        </is>
      </c>
      <c r="F129" s="6" t="inlineStr">
        <is>
          <t>Label</t>
        </is>
      </c>
      <c r="G129" s="6" t="inlineStr">
        <is>
          <t>ASPIRE</t>
        </is>
      </c>
      <c r="H129" s="6" t="n"/>
      <c r="I129" s="9" t="inlineStr">
        <is>
          <t>n.a.</t>
        </is>
      </c>
    </row>
    <row r="130">
      <c r="C130" s="6" t="inlineStr">
        <is>
          <t>ASPIRE current spending code</t>
        </is>
      </c>
      <c r="D130" s="8" t="inlineStr">
        <is>
          <t>ASPIRE current spending code</t>
        </is>
      </c>
      <c r="F130" s="6" t="inlineStr">
        <is>
          <t>Label</t>
        </is>
      </c>
      <c r="G130" s="6" t="inlineStr">
        <is>
          <t>ASPIRE</t>
        </is>
      </c>
      <c r="H130" s="6" t="n"/>
      <c r="I130" s="9" t="inlineStr">
        <is>
          <t>per_allsp.avt_q</t>
        </is>
      </c>
    </row>
    <row r="131">
      <c r="C131" s="7" t="inlineStr">
        <is>
          <t>For Rebasing of ASPIRE Database</t>
        </is>
      </c>
    </row>
    <row r="132">
      <c r="C132" s="6" t="inlineStr">
        <is>
          <t>ASPIRE Data Year</t>
        </is>
      </c>
      <c r="D132" s="8" t="inlineStr">
        <is>
          <t>Latest available year of ASPIRE data</t>
        </is>
      </c>
      <c r="F132" s="6" t="inlineStr">
        <is>
          <t>Calendar Years</t>
        </is>
      </c>
      <c r="G132" s="6" t="inlineStr">
        <is>
          <t>ASPIRE</t>
        </is>
      </c>
      <c r="H132" s="6" t="inlineStr">
        <is>
          <t>egy</t>
        </is>
      </c>
      <c r="I132" s="9" t="n">
        <v>2008</v>
      </c>
    </row>
    <row r="133">
      <c r="C133" s="6" t="inlineStr">
        <is>
          <t>2011 GDP Deflator</t>
        </is>
      </c>
      <c r="D133" s="8" t="inlineStr">
        <is>
          <t>ASPIRE year PPP GDP deflator</t>
        </is>
      </c>
      <c r="F133" s="6" t="inlineStr">
        <is>
          <t>GDP Deflator</t>
        </is>
      </c>
      <c r="G133" s="6" t="inlineStr">
        <is>
          <t>Mitigation</t>
        </is>
      </c>
      <c r="H133" s="6" t="inlineStr">
        <is>
          <t>egy.ngdp_d.a</t>
        </is>
      </c>
      <c r="I133" s="9" t="n">
        <v>28.744735</v>
      </c>
    </row>
    <row r="134">
      <c r="C134" s="6" t="inlineStr">
        <is>
          <t>2008 GDP Deflator</t>
        </is>
      </c>
      <c r="D134" s="8" t="inlineStr">
        <is>
          <t>ASPIRE year GDP deflator</t>
        </is>
      </c>
      <c r="F134" s="6" t="inlineStr">
        <is>
          <t>GDP Deflator</t>
        </is>
      </c>
      <c r="G134" s="6" t="inlineStr">
        <is>
          <t>Mitigation</t>
        </is>
      </c>
      <c r="H134" s="6" t="inlineStr">
        <is>
          <t>egy.ngdp_d.a</t>
        </is>
      </c>
      <c r="I134" s="9" t="n">
        <v>21.02744</v>
      </c>
    </row>
    <row r="135">
      <c r="C135" s="6" t="inlineStr">
        <is>
          <t>2026 GDP Deflator</t>
        </is>
      </c>
      <c r="D135" s="8" t="inlineStr">
        <is>
          <t>Mitigation Module reference GDP deflator</t>
        </is>
      </c>
      <c r="F135" s="6" t="inlineStr">
        <is>
          <t>GDP Deflator</t>
        </is>
      </c>
      <c r="G135" s="6" t="inlineStr">
        <is>
          <t>Mitigation</t>
        </is>
      </c>
      <c r="H135" s="6" t="inlineStr">
        <is>
          <t>egy.ngdp_d.a</t>
        </is>
      </c>
      <c r="I135" s="9" t="n">
        <v>234.718325</v>
      </c>
    </row>
    <row r="136">
      <c r="C136" s="6" t="inlineStr">
        <is>
          <t>GDP Deflator Ratio</t>
        </is>
      </c>
      <c r="D136" s="8" t="inlineStr">
        <is>
          <t>Ratio of 2011 to Mitigation Module reference GDP deflator</t>
        </is>
      </c>
      <c r="F136" s="6" t="inlineStr">
        <is>
          <t>Ratio</t>
        </is>
      </c>
      <c r="G136" s="6" t="n"/>
      <c r="H136" s="6" t="n"/>
      <c r="I136" s="10">
        <f>$I$135/$I$133</f>
        <v/>
      </c>
    </row>
    <row r="137">
      <c r="C137" s="7" t="inlineStr">
        <is>
          <t>Exemptions</t>
        </is>
      </c>
    </row>
    <row r="138">
      <c r="C138" s="6" t="inlineStr">
        <is>
          <t>Exempt most-used cooking fossil fuel?</t>
        </is>
      </c>
      <c r="D138" s="8" t="inlineStr">
        <is>
          <t>Whether "direct (incidence) effect" will be set to zero for most-used cooking fossil fuel, if exempt</t>
        </is>
      </c>
      <c r="F138" s="6" t="inlineStr">
        <is>
          <t>Switch</t>
        </is>
      </c>
      <c r="G138" s="6" t="inlineStr">
        <is>
          <t>MTInputs</t>
        </is>
      </c>
      <c r="H138" s="6" t="n"/>
      <c r="I138" s="9" t="inlineStr">
        <is>
          <t>No</t>
        </is>
      </c>
    </row>
    <row r="139">
      <c r="C139" s="6" t="inlineStr">
        <is>
          <t>Cooking fossil fuel exempt (if applicable)</t>
        </is>
      </c>
      <c r="D139" s="8" t="inlineStr">
        <is>
          <t>Cooking fossil fuel for which direct effect will be set to zero, if exempt</t>
        </is>
      </c>
      <c r="F139" s="6" t="inlineStr">
        <is>
          <t>Label</t>
        </is>
      </c>
      <c r="G139" s="6" t="inlineStr">
        <is>
          <t>WHOfuelshares</t>
        </is>
      </c>
      <c r="H139" s="6" t="inlineStr">
        <is>
          <t>egy.distn.pcoff.ove</t>
        </is>
      </c>
      <c r="I139" s="9" t="inlineStr">
        <is>
          <t>n.a.</t>
        </is>
      </c>
    </row>
    <row r="140">
      <c r="C140" s="6" t="inlineStr">
        <is>
          <t>Share of exempt cooking fossil fuel</t>
        </is>
      </c>
      <c r="D140" s="8" t="inlineStr">
        <is>
          <t>Share of exempt cooking fossil fuel in total cooking fossil fuel use</t>
        </is>
      </c>
      <c r="F140" s="6" t="inlineStr">
        <is>
          <t>Ratio</t>
        </is>
      </c>
      <c r="G140" s="6" t="inlineStr">
        <is>
          <t>WHOfuelshares</t>
        </is>
      </c>
      <c r="H140" s="6" t="inlineStr">
        <is>
          <t>egy.distn.pcoff.ove</t>
        </is>
      </c>
      <c r="I140" s="9" t="inlineStr">
        <is>
          <t>n.a.</t>
        </is>
      </c>
    </row>
    <row r="141">
      <c r="C141" s="6" t="inlineStr">
        <is>
          <t>Exempt cooking fossil fuel for bottom XX deciles</t>
        </is>
      </c>
      <c r="D141" s="8" t="inlineStr">
        <is>
          <t>Deciles for which "direct (incidence) effect" will be set to zero for most-used cooking fossil fuel, if exempt</t>
        </is>
      </c>
      <c r="F141" s="6" t="inlineStr">
        <is>
          <t>Deciles</t>
        </is>
      </c>
      <c r="G141" s="6" t="inlineStr">
        <is>
          <t>MTInputs</t>
        </is>
      </c>
      <c r="H141" s="6" t="n"/>
      <c r="I141" s="9" t="n">
        <v>4</v>
      </c>
    </row>
    <row r="142">
      <c r="C142" s="7" t="inlineStr">
        <is>
          <t>Population</t>
        </is>
      </c>
    </row>
    <row r="143">
      <c r="C143" s="6" t="inlineStr">
        <is>
          <t>Population - Survey Year</t>
        </is>
      </c>
      <c r="D143" s="8" t="inlineStr">
        <is>
          <t>Total population in household budget survey year</t>
        </is>
      </c>
      <c r="F143" s="6" t="inlineStr">
        <is>
          <t>Individuals</t>
        </is>
      </c>
      <c r="G143" s="6" t="inlineStr">
        <is>
          <t>HHSurvey</t>
        </is>
      </c>
      <c r="H143" s="6" t="inlineStr">
        <is>
          <t>egy.distn.popw.bkt.ove</t>
        </is>
      </c>
      <c r="I143" s="10">
        <f>XLOOKUP("Overall|Basket|mean|9999",HHSurvey_Key,INDEX(HHSurvey_Data,0,MATCH("popw",HHSurvey_Headers,0)))</f>
        <v/>
      </c>
    </row>
    <row r="144">
      <c r="C144" s="6" t="inlineStr">
        <is>
          <t>Population - End Year</t>
        </is>
      </c>
      <c r="D144" s="8" t="inlineStr">
        <is>
          <t>Total population in end year of climate mitigation policy scenario</t>
        </is>
      </c>
      <c r="F144" s="6" t="inlineStr">
        <is>
          <t>Individuals</t>
        </is>
      </c>
      <c r="G144" s="6" t="inlineStr">
        <is>
          <t>Mitigation</t>
        </is>
      </c>
      <c r="H144" s="6" t="n"/>
      <c r="I144" s="9" t="n">
        <v>120298263</v>
      </c>
    </row>
    <row r="145">
      <c r="C145" s="6" t="inlineStr">
        <is>
          <t>Population - Analysis Year</t>
        </is>
      </c>
      <c r="D145" s="8" t="inlineStr">
        <is>
          <t>Total population in year of interest for distributional analysis</t>
        </is>
      </c>
      <c r="F145" s="6" t="inlineStr">
        <is>
          <t>Individuals</t>
        </is>
      </c>
      <c r="G145" s="6" t="inlineStr">
        <is>
          <t>Mitigation</t>
        </is>
      </c>
      <c r="H145" s="6" t="n"/>
      <c r="I145" s="9" t="n">
        <v>120298263</v>
      </c>
    </row>
    <row r="146">
      <c r="C146" s="6" t="inlineStr">
        <is>
          <t>Population Adj. Factor</t>
        </is>
      </c>
      <c r="D146" s="8" t="inlineStr">
        <is>
          <t>Adjustment factor for total household budget survey population</t>
        </is>
      </c>
      <c r="F146" s="6" t="inlineStr">
        <is>
          <t>Ratio</t>
        </is>
      </c>
      <c r="G146" s="6" t="inlineStr">
        <is>
          <t>Distribution</t>
        </is>
      </c>
      <c r="H146" s="6" t="n"/>
      <c r="I146" s="10">
        <f>$I$145/$I$143</f>
        <v/>
      </c>
    </row>
    <row r="147">
      <c r="C147" s="7" t="inlineStr">
        <is>
          <t>Gross Domestic Product</t>
        </is>
      </c>
    </row>
    <row r="148">
      <c r="C148" s="6" t="inlineStr">
        <is>
          <t>Real GDP - Start Year</t>
        </is>
      </c>
      <c r="D148" s="8" t="inlineStr">
        <is>
          <t>Real GDP in start year of climate mitigation policy scenario</t>
        </is>
      </c>
      <c r="F148" s="6" t="inlineStr">
        <is>
          <t>Real 2026 LCU</t>
        </is>
      </c>
      <c r="G148" s="6" t="inlineStr">
        <is>
          <t>Mitigation</t>
        </is>
      </c>
      <c r="H148" s="6" t="n"/>
      <c r="I148" s="9" t="n">
        <v>31131854315366.79</v>
      </c>
    </row>
    <row r="149">
      <c r="C149" s="6" t="inlineStr">
        <is>
          <t>Real GDP - End Year</t>
        </is>
      </c>
      <c r="D149" s="8" t="inlineStr">
        <is>
          <t>Real GDP in end year of climate mitigation policy scenario</t>
        </is>
      </c>
      <c r="F149" s="6" t="inlineStr">
        <is>
          <t>Real 2026 LCU</t>
        </is>
      </c>
      <c r="G149" s="6" t="inlineStr">
        <is>
          <t>Mitigation</t>
        </is>
      </c>
      <c r="H149" s="6" t="n"/>
      <c r="I149" s="9" t="n">
        <v>37970648117028.2</v>
      </c>
    </row>
    <row r="150">
      <c r="C150" s="6" t="inlineStr">
        <is>
          <t>Real GDP - Analysis Year</t>
        </is>
      </c>
      <c r="D150" s="8" t="inlineStr">
        <is>
          <t>Real GDP in year of interest for distributional analysis</t>
        </is>
      </c>
      <c r="F150" s="6" t="inlineStr">
        <is>
          <t>Real 2026 LCU</t>
        </is>
      </c>
      <c r="G150" s="6" t="inlineStr">
        <is>
          <t>Mitigation</t>
        </is>
      </c>
      <c r="H150" s="6" t="n"/>
      <c r="I150" s="9" t="n">
        <v>37970648117028.2</v>
      </c>
    </row>
    <row r="151">
      <c r="C151" s="6" t="inlineStr">
        <is>
          <t>Per-Capita Real GDP - Analysis Year</t>
        </is>
      </c>
      <c r="D151" s="8" t="inlineStr">
        <is>
          <t>Per-capita real GDP in year of interest for distributional analysis</t>
        </is>
      </c>
      <c r="F151" s="6" t="inlineStr">
        <is>
          <t>Real 2026 LCU</t>
        </is>
      </c>
      <c r="G151" s="6" t="inlineStr">
        <is>
          <t>Distribution</t>
        </is>
      </c>
      <c r="H151" s="6" t="n"/>
      <c r="I151" s="10">
        <f>$I$150/$I$145</f>
        <v/>
      </c>
    </row>
    <row r="152">
      <c r="C152" s="7" t="inlineStr">
        <is>
          <t>Household Consumption</t>
        </is>
      </c>
    </row>
    <row r="153">
      <c r="C153" s="6" t="inlineStr">
        <is>
          <t>2026 GDP Deflator</t>
        </is>
      </c>
      <c r="D153" s="8" t="inlineStr">
        <is>
          <t>Mitigation Module reference GDP deflator</t>
        </is>
      </c>
      <c r="F153" s="6" t="inlineStr">
        <is>
          <t>GDP Deflator in Mitigation Module</t>
        </is>
      </c>
      <c r="G153" s="6" t="inlineStr">
        <is>
          <t>Mitigation</t>
        </is>
      </c>
      <c r="H153" s="6" t="inlineStr">
        <is>
          <t>egy.ngdp_d.a</t>
        </is>
      </c>
      <c r="I153" s="9" t="n">
        <v>234.718325</v>
      </c>
    </row>
    <row r="154">
      <c r="C154" s="6" t="inlineStr">
        <is>
          <t>2017 GDP Deflator</t>
        </is>
      </c>
      <c r="D154" s="8" t="inlineStr">
        <is>
          <t>HH Survey Year GDP deflator</t>
        </is>
      </c>
      <c r="F154" s="6" t="inlineStr">
        <is>
          <t>GDP Deflator in household survey year</t>
        </is>
      </c>
      <c r="G154" s="6" t="inlineStr">
        <is>
          <t>Mitigation</t>
        </is>
      </c>
      <c r="H154" s="6" t="inlineStr">
        <is>
          <t>egy.ngdp_d.a</t>
        </is>
      </c>
      <c r="I154" s="9" t="n">
        <v>59.110091</v>
      </c>
    </row>
    <row r="155">
      <c r="C155" s="6" t="inlineStr">
        <is>
          <t>2014 GDP Deflator</t>
        </is>
      </c>
      <c r="D155" s="8" t="inlineStr">
        <is>
          <t>GTAP Year GDP deflator</t>
        </is>
      </c>
      <c r="F155" s="6" t="inlineStr">
        <is>
          <t>GDP Deflator in year of GTAP data</t>
        </is>
      </c>
      <c r="G155" s="6" t="inlineStr">
        <is>
          <t>Mitigation</t>
        </is>
      </c>
      <c r="H155" s="6" t="inlineStr">
        <is>
          <t>egy.ngdp_d.a</t>
        </is>
      </c>
      <c r="I155" s="9" t="n">
        <v>41.125541</v>
      </c>
    </row>
    <row r="156">
      <c r="C156" s="6" t="inlineStr">
        <is>
          <t>GDP Deflator Ratio (HH Survey)</t>
        </is>
      </c>
      <c r="D156" s="8" t="inlineStr">
        <is>
          <t>Ratio</t>
        </is>
      </c>
      <c r="F156" s="6" t="inlineStr">
        <is>
          <t>Ratio</t>
        </is>
      </c>
      <c r="G156" s="6" t="inlineStr">
        <is>
          <t>Distribution</t>
        </is>
      </c>
      <c r="H156" s="6" t="n"/>
      <c r="I156" s="10">
        <f>$I$153/$I$154</f>
        <v/>
      </c>
    </row>
    <row r="157">
      <c r="C157" s="6" t="inlineStr">
        <is>
          <t>GDP Deflator Ratio (GTAP)</t>
        </is>
      </c>
      <c r="D157" s="8" t="inlineStr">
        <is>
          <t>Ratio</t>
        </is>
      </c>
      <c r="F157" s="6" t="inlineStr">
        <is>
          <t>Ratio</t>
        </is>
      </c>
      <c r="G157" s="6" t="inlineStr">
        <is>
          <t>Distribution</t>
        </is>
      </c>
      <c r="H157" s="6" t="n"/>
      <c r="I157" s="10">
        <f>$I$153/$I$155</f>
        <v/>
      </c>
    </row>
    <row r="158">
      <c r="C158" s="6" t="inlineStr">
        <is>
          <t>Total Household Consumption - Survey Year</t>
        </is>
      </c>
      <c r="D158" s="8" t="inlineStr">
        <is>
          <t>Total household consumption from household budget survey</t>
        </is>
      </c>
      <c r="F158" s="6" t="inlineStr">
        <is>
          <t>Real 2026 LCU</t>
        </is>
      </c>
      <c r="G158" s="6" t="inlineStr">
        <is>
          <t>HHSurvey</t>
        </is>
      </c>
      <c r="H158" s="6" t="inlineStr">
        <is>
          <t>egy.distn.tot_cons_svy.bkt.ove.mean</t>
        </is>
      </c>
      <c r="I158" s="9" t="n">
        <v>6002457383220.692</v>
      </c>
    </row>
    <row r="159">
      <c r="C159" s="6" t="inlineStr">
        <is>
          <t>Latest Year of Consumption/GDP Data</t>
        </is>
      </c>
      <c r="D159" s="8" t="inlineStr">
        <is>
          <t>Latest year of national accounts household consumption-to-GDP ratio data</t>
        </is>
      </c>
      <c r="F159" s="6" t="inlineStr">
        <is>
          <t>Calendar Years</t>
        </is>
      </c>
      <c r="G159" s="6" t="inlineStr">
        <is>
          <t>WDI</t>
        </is>
      </c>
      <c r="H159" s="6" t="inlineStr">
        <is>
          <t>NE.CON.PRVT.ZS</t>
        </is>
      </c>
      <c r="I159" s="9" t="n">
        <v>2023</v>
      </c>
    </row>
    <row r="160">
      <c r="C160" s="6" t="inlineStr">
        <is>
          <t>National Accounts Household Consumption-to-GDP</t>
        </is>
      </c>
      <c r="D160" s="8" t="inlineStr">
        <is>
          <t>Proportion of GDP that is household consumption (assumed constant)</t>
        </is>
      </c>
      <c r="F160" s="6" t="inlineStr">
        <is>
          <t>% GDP</t>
        </is>
      </c>
      <c r="G160" s="6" t="inlineStr">
        <is>
          <t>WDI</t>
        </is>
      </c>
      <c r="H160" s="6" t="inlineStr">
        <is>
          <t>NE.CON.PRVT.ZS</t>
        </is>
      </c>
      <c r="I160" s="10">
        <f>XLOOKUP("Y"&amp;$I$159,GDPRatios!$F$1:$BQ$1,GDPRatios!$F$2:$BQ$2)</f>
        <v/>
      </c>
    </row>
    <row r="161">
      <c r="C161" s="6" t="inlineStr">
        <is>
          <t>National Accounts Household Consumption - Analysis Year</t>
        </is>
      </c>
      <c r="D161" s="8" t="inlineStr">
        <is>
          <t>Total household consumption from national accounts in year of interest for distributional analysis</t>
        </is>
      </c>
      <c r="F161" s="6" t="inlineStr">
        <is>
          <t>Real 2026 LCU</t>
        </is>
      </c>
      <c r="G161" s="6" t="inlineStr">
        <is>
          <t>Distribution</t>
        </is>
      </c>
      <c r="H161" s="6" t="n"/>
      <c r="I161" s="10">
        <f>$I$150*$I$160/100</f>
        <v/>
      </c>
    </row>
    <row r="162">
      <c r="C162" s="6" t="inlineStr">
        <is>
          <t>Household Consumption Adj. Factor</t>
        </is>
      </c>
      <c r="D162" s="8" t="inlineStr">
        <is>
          <t>Implied adjustment factor for scaling household budget survey to national accounts consumption</t>
        </is>
      </c>
      <c r="F162" s="6" t="inlineStr">
        <is>
          <t>Ratio</t>
        </is>
      </c>
      <c r="G162" s="6" t="inlineStr">
        <is>
          <t>Distribution</t>
        </is>
      </c>
      <c r="H162" s="6" t="n"/>
      <c r="I162" s="10">
        <f>$I$161/$I$158</f>
        <v/>
      </c>
    </row>
    <row r="164">
      <c r="A164" s="2" t="inlineStr">
        <is>
          <t>B.II.</t>
        </is>
      </c>
      <c r="B164" s="2" t="inlineStr">
        <is>
          <t>Energy price change data</t>
        </is>
      </c>
    </row>
    <row r="166">
      <c r="A166" s="2" t="inlineStr">
        <is>
          <t xml:space="preserve">B.III. </t>
        </is>
      </c>
      <c r="B166" s="2" t="inlineStr">
        <is>
          <t>Price change calculations</t>
        </is>
      </c>
    </row>
    <row r="168">
      <c r="A168" s="2" t="inlineStr">
        <is>
          <t>B.IV.</t>
        </is>
      </c>
      <c r="B168" s="2" t="inlineStr">
        <is>
          <t>Cost pass-through assumptions</t>
        </is>
      </c>
    </row>
    <row r="169">
      <c r="C169" s="7" t="inlineStr">
        <is>
          <t>Electricity production</t>
        </is>
      </c>
    </row>
    <row r="170">
      <c r="C170" s="6" t="inlineStr">
        <is>
          <t>Rail</t>
        </is>
      </c>
      <c r="D170" s="8" t="n"/>
      <c r="F170" s="6" t="n"/>
      <c r="G170" s="6" t="n"/>
      <c r="H170" s="6" t="n">
        <v>0.905</v>
      </c>
      <c r="I170" s="9" t="n">
        <v>0.905</v>
      </c>
    </row>
    <row r="171">
      <c r="C171" s="6" t="inlineStr">
        <is>
          <t>Road</t>
        </is>
      </c>
      <c r="D171" s="8" t="n"/>
      <c r="F171" s="6" t="n"/>
      <c r="G171" s="6" t="n"/>
      <c r="H171" s="6" t="n">
        <v>0.905</v>
      </c>
      <c r="I171" s="9" t="n">
        <v>0.905</v>
      </c>
    </row>
    <row r="172">
      <c r="C172" s="6" t="inlineStr">
        <is>
          <t>Domestic aviation</t>
        </is>
      </c>
      <c r="D172" s="8" t="n"/>
      <c r="F172" s="6" t="n"/>
      <c r="G172" s="6" t="n"/>
      <c r="H172" s="6" t="n">
        <v>0.905</v>
      </c>
      <c r="I172" s="9" t="n">
        <v>0.905</v>
      </c>
    </row>
    <row r="173">
      <c r="C173" s="6" t="inlineStr">
        <is>
          <t>Domestic navigation</t>
        </is>
      </c>
      <c r="D173" s="8" t="n"/>
      <c r="F173" s="6" t="n"/>
      <c r="G173" s="6" t="n"/>
      <c r="H173" s="6" t="n">
        <v>0.905</v>
      </c>
      <c r="I173" s="9" t="n">
        <v>0.905</v>
      </c>
    </row>
    <row r="174">
      <c r="C174" s="6" t="inlineStr">
        <is>
          <t>Residential sector</t>
        </is>
      </c>
      <c r="D174" s="8" t="n"/>
      <c r="F174" s="6" t="n"/>
      <c r="G174" s="6" t="n"/>
      <c r="H174" s="6" t="n">
        <v>0.905</v>
      </c>
      <c r="I174" s="9" t="n">
        <v>0.905</v>
      </c>
    </row>
    <row r="175">
      <c r="C175" s="6" t="inlineStr">
        <is>
          <t>Food &amp; forestry</t>
        </is>
      </c>
      <c r="D175" s="8" t="n"/>
      <c r="F175" s="6" t="n">
        <v>0.681</v>
      </c>
      <c r="G175" s="6" t="n">
        <v>0.5</v>
      </c>
      <c r="H175" s="6" t="n"/>
      <c r="I175" s="9" t="n">
        <v>0.681</v>
      </c>
    </row>
    <row r="176">
      <c r="C176" s="6" t="inlineStr">
        <is>
          <t>Services (public &amp; private)</t>
        </is>
      </c>
      <c r="D176" s="8" t="n"/>
      <c r="F176" s="6" t="n">
        <v>0.963</v>
      </c>
      <c r="G176" s="6" t="n">
        <v>0.5</v>
      </c>
      <c r="H176" s="6" t="n"/>
      <c r="I176" s="9" t="n">
        <v>0.963</v>
      </c>
    </row>
    <row r="177">
      <c r="C177" s="6" t="inlineStr">
        <is>
          <t>Mining &amp; Chemicals</t>
        </is>
      </c>
      <c r="D177" s="8" t="n"/>
      <c r="F177" s="6" t="n">
        <v>0.711</v>
      </c>
      <c r="G177" s="6" t="n">
        <v>0.5</v>
      </c>
      <c r="H177" s="6" t="n"/>
      <c r="I177" s="9" t="n">
        <v>0.711</v>
      </c>
    </row>
    <row r="178">
      <c r="C178" s="6" t="inlineStr">
        <is>
          <t>Iron and steel</t>
        </is>
      </c>
      <c r="D178" s="8" t="n"/>
      <c r="F178" s="6" t="n">
        <v>0.711</v>
      </c>
      <c r="G178" s="6" t="n">
        <v>0.5</v>
      </c>
      <c r="H178" s="6" t="n"/>
      <c r="I178" s="9" t="n">
        <v>0.711</v>
      </c>
    </row>
    <row r="179">
      <c r="C179" s="6" t="inlineStr">
        <is>
          <t>Non-ferrous metals</t>
        </is>
      </c>
      <c r="D179" s="8" t="n"/>
      <c r="F179" s="6" t="n">
        <v>0.711</v>
      </c>
      <c r="G179" s="6" t="n">
        <v>0.5</v>
      </c>
      <c r="H179" s="6" t="n"/>
      <c r="I179" s="9" t="n">
        <v>0.711</v>
      </c>
    </row>
    <row r="180">
      <c r="C180" s="6" t="inlineStr">
        <is>
          <t>Machinery</t>
        </is>
      </c>
      <c r="D180" s="8" t="n"/>
      <c r="F180" s="6" t="n">
        <v>0.6919999999999999</v>
      </c>
      <c r="G180" s="6" t="n">
        <v>0.5</v>
      </c>
      <c r="H180" s="6" t="n"/>
      <c r="I180" s="9" t="n">
        <v>0.6919999999999999</v>
      </c>
    </row>
    <row r="181">
      <c r="C181" s="6" t="inlineStr">
        <is>
          <t>Cement</t>
        </is>
      </c>
      <c r="D181" s="8" t="n"/>
      <c r="F181" s="6" t="n">
        <v>0.775</v>
      </c>
      <c r="G181" s="6" t="n">
        <v>0.5</v>
      </c>
      <c r="H181" s="6" t="n"/>
      <c r="I181" s="9" t="n">
        <v>0.775</v>
      </c>
    </row>
    <row r="182">
      <c r="C182" s="6" t="inlineStr">
        <is>
          <t>Other manufacturing</t>
        </is>
      </c>
      <c r="D182" s="8" t="n"/>
      <c r="F182" s="6" t="n">
        <v>0.6919999999999999</v>
      </c>
      <c r="G182" s="6" t="n">
        <v>0.5</v>
      </c>
      <c r="H182" s="6" t="n"/>
      <c r="I182" s="9" t="n">
        <v>0.6919999999999999</v>
      </c>
    </row>
    <row r="183">
      <c r="C183" s="6" t="inlineStr">
        <is>
          <t>Construction</t>
        </is>
      </c>
      <c r="D183" s="8" t="n"/>
      <c r="F183" s="6" t="n">
        <v>0.6919999999999999</v>
      </c>
      <c r="G183" s="6" t="n">
        <v>0.5</v>
      </c>
      <c r="H183" s="6" t="n"/>
      <c r="I183" s="9" t="n">
        <v>0.6919999999999999</v>
      </c>
    </row>
    <row r="184">
      <c r="C184" s="6" t="inlineStr">
        <is>
          <t>Fuel transformation &amp; transportation</t>
        </is>
      </c>
      <c r="D184" s="8" t="n"/>
      <c r="F184" s="6" t="n">
        <v>0.327</v>
      </c>
      <c r="G184" s="6" t="n">
        <v>0.5</v>
      </c>
      <c r="H184" s="6" t="n"/>
      <c r="I184" s="9" t="n">
        <v>0.327</v>
      </c>
    </row>
    <row r="185">
      <c r="C185" s="6" t="inlineStr">
        <is>
          <t>Pipeline transport</t>
        </is>
      </c>
      <c r="D185" s="8" t="n"/>
      <c r="F185" s="6" t="n">
        <v>0.327</v>
      </c>
      <c r="G185" s="6" t="n">
        <v>0.5</v>
      </c>
      <c r="H185" s="6" t="n"/>
      <c r="I185" s="9" t="n">
        <v>0.327</v>
      </c>
    </row>
    <row r="186">
      <c r="C186" s="6" t="inlineStr">
        <is>
          <t>Median</t>
        </is>
      </c>
      <c r="D186" s="8" t="n"/>
      <c r="F186" s="6" t="n">
        <v>0.6919999999999999</v>
      </c>
      <c r="G186" s="6" t="n">
        <v>0.5</v>
      </c>
      <c r="H186" s="6" t="n">
        <v>0.905</v>
      </c>
      <c r="I186" s="9" t="n">
        <v>0.711</v>
      </c>
    </row>
  </sheetData>
  <mergeCells count="4">
    <mergeCell ref="B3:N3"/>
    <mergeCell ref="C6:N9"/>
    <mergeCell ref="C12:N19"/>
    <mergeCell ref="B29:N29"/>
  </mergeCells>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AB1487"/>
  <sheetViews>
    <sheetView showGridLines="0" workbookViewId="0">
      <pane xSplit="2" topLeftCell="C1" activePane="topRight" state="frozen"/>
      <selection pane="topRight" activeCell="A1" sqref="A1"/>
    </sheetView>
  </sheetViews>
  <sheetFormatPr baseColWidth="8" defaultRowHeight="15"/>
  <cols>
    <col width="11" customWidth="1" min="1" max="1"/>
    <col width="11" customWidth="1" min="2" max="2"/>
    <col width="42"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s>
  <sheetData>
    <row r="1">
      <c r="A1" s="1" t="inlineStr">
        <is>
          <t>Distributional Effects Module - Egypt: Outputs (Standalone)</t>
        </is>
      </c>
    </row>
    <row r="3">
      <c r="A3" s="4" t="inlineStr">
        <is>
          <t>C.</t>
        </is>
      </c>
      <c r="B3" s="4" t="inlineStr">
        <is>
          <t>Carbon tax incidence calculations</t>
        </is>
      </c>
      <c r="C3" s="5" t="n"/>
      <c r="D3" s="5" t="n"/>
      <c r="E3" s="5" t="n"/>
      <c r="F3" s="5" t="n"/>
      <c r="G3" s="5" t="n"/>
      <c r="H3" s="5" t="n"/>
      <c r="I3" s="5" t="n"/>
      <c r="J3" s="5" t="n"/>
      <c r="K3" s="5" t="n"/>
      <c r="L3" s="5" t="n"/>
      <c r="M3" s="5" t="n"/>
      <c r="N3" s="5" t="n"/>
    </row>
    <row r="5">
      <c r="A5" s="4" t="inlineStr">
        <is>
          <t>C.I.</t>
        </is>
      </c>
      <c r="B5" s="4" t="inlineStr">
        <is>
          <t>Price changes from policy scenario</t>
        </is>
      </c>
      <c r="C5" s="5" t="n"/>
      <c r="D5" s="5" t="n"/>
      <c r="E5" s="5" t="n"/>
      <c r="F5" s="5" t="n"/>
      <c r="G5" s="5" t="n"/>
      <c r="H5" s="5" t="n"/>
      <c r="I5" s="5" t="n"/>
      <c r="J5" s="5" t="n"/>
      <c r="K5" s="5" t="n"/>
      <c r="L5" s="5" t="n"/>
      <c r="M5" s="5" t="n"/>
      <c r="N5" s="5" t="n"/>
    </row>
    <row r="7" ht="30" customHeight="1">
      <c r="C7" s="11" t="inlineStr">
        <is>
          <t>Direct (by fuel) and indirect (by CPAT category) price changes are taken as given inputs from the CPAT Mitigation module's carbon-price scenario -- see the Price_Changes tab and Distribution_Inputs A.II for the scope note. Price-elasticity adjustment factors (ElastAdj table) are likewise given inputs, applied inside DIRECT_EFFECT/INDIRECT_EFFECT.</t>
        </is>
      </c>
    </row>
    <row r="8"/>
    <row r="10">
      <c r="A10" s="4" t="inlineStr">
        <is>
          <t>C.II.</t>
        </is>
      </c>
      <c r="B10" s="4" t="inlineStr">
        <is>
          <t>Price elasticities of demand, behavioral/structural change and deadweight loss (DWL) adjustments</t>
        </is>
      </c>
      <c r="C10" s="5" t="n"/>
      <c r="D10" s="5" t="n"/>
      <c r="E10" s="5" t="n"/>
      <c r="F10" s="5" t="n"/>
      <c r="G10" s="5" t="n"/>
      <c r="H10" s="5" t="n"/>
      <c r="I10" s="5" t="n"/>
      <c r="J10" s="5" t="n"/>
      <c r="K10" s="5" t="n"/>
      <c r="L10" s="5" t="n"/>
      <c r="M10" s="5" t="n"/>
      <c r="N10" s="5" t="n"/>
    </row>
    <row r="12" ht="30" customHeight="1">
      <c r="C12" s="11" t="inlineStr">
        <is>
          <t>Reference display of the elasticities, price changes (post elasticity-adjustment) and deadweight losses used inside Steps 4-5 (C.V/C.VI). Behavioral-change and DWL switches are in Distribution_Inputs B.I; for Egypt's current scenario both are off, so BEHAVIOR_ADJ()=1 and DWL()=0 throughout.</t>
        </is>
      </c>
    </row>
    <row r="13"/>
    <row r="15">
      <c r="C15" s="7" t="inlineStr">
        <is>
          <t>Item</t>
        </is>
      </c>
      <c r="G15" s="7" t="inlineStr">
        <is>
          <t>Code</t>
        </is>
      </c>
      <c r="H15" s="7" t="inlineStr">
        <is>
          <t>Elasticity (Overall, mean)</t>
        </is>
      </c>
      <c r="O15" s="7" t="inlineStr">
        <is>
          <t>Decile --&gt;</t>
        </is>
      </c>
      <c r="Q15" s="7" t="n">
        <v>1</v>
      </c>
      <c r="R15" s="7" t="n">
        <v>2</v>
      </c>
      <c r="S15" s="7" t="n">
        <v>3</v>
      </c>
      <c r="T15" s="7" t="n">
        <v>4</v>
      </c>
      <c r="U15" s="7" t="n">
        <v>5</v>
      </c>
      <c r="V15" s="7" t="n">
        <v>6</v>
      </c>
      <c r="W15" s="7" t="n">
        <v>7</v>
      </c>
      <c r="X15" s="7" t="n">
        <v>8</v>
      </c>
      <c r="Y15" s="7" t="n">
        <v>9</v>
      </c>
      <c r="Z15" s="7" t="n">
        <v>10</v>
      </c>
      <c r="AA15" s="7" t="inlineStr">
        <is>
          <t>Price chg. x ElastAdj (%)</t>
        </is>
      </c>
      <c r="AB15" s="7" t="inlineStr">
        <is>
          <t>DWL, Basket (%)</t>
        </is>
      </c>
    </row>
    <row r="16">
      <c r="C16" s="6" t="inlineStr">
        <is>
          <t>Coal</t>
        </is>
      </c>
      <c r="G16" s="6" t="inlineStr">
        <is>
          <t>coa</t>
        </is>
      </c>
      <c r="P16" s="12">
        <f>ELAST("coa_elasticity",0,"Overall","mean")</f>
        <v/>
      </c>
      <c r="Q16" s="12">
        <f>ELAST("coa_elasticity",DECILE_ARRAY,"Overall","mean")</f>
        <v/>
      </c>
      <c r="AA16" s="12">
        <f>PCHANGE_DIRECT("coa")*ELASTADJ("coa",0)</f>
        <v/>
      </c>
      <c r="AB16" s="12">
        <f>DWL("coa_share","coa_elasticity",0,"Overall","mean",PCHANGE_DIRECT("coa")*ELASTADJ("coa",0))</f>
        <v/>
      </c>
    </row>
    <row r="17">
      <c r="C17" s="6" t="inlineStr">
        <is>
          <t>Electricity</t>
        </is>
      </c>
      <c r="G17" s="6" t="inlineStr">
        <is>
          <t>ely</t>
        </is>
      </c>
      <c r="P17" s="12">
        <f>ELAST("ely_elasticity",0,"Overall","mean")</f>
        <v/>
      </c>
      <c r="Q17" s="12">
        <f>ELAST("ely_elasticity",DECILE_ARRAY,"Overall","mean")</f>
        <v/>
      </c>
      <c r="AA17" s="12">
        <f>PCHANGE_DIRECT("ely")*ELASTADJ("ely",0)</f>
        <v/>
      </c>
      <c r="AB17" s="12">
        <f>DWL("ely_share","ely_elasticity",0,"Overall","mean",PCHANGE_DIRECT("ely")*ELASTADJ("ely",0))</f>
        <v/>
      </c>
    </row>
    <row r="18">
      <c r="C18" s="6" t="inlineStr">
        <is>
          <t>Natural Gas</t>
        </is>
      </c>
      <c r="G18" s="6" t="inlineStr">
        <is>
          <t>nga</t>
        </is>
      </c>
      <c r="P18" s="12">
        <f>ELAST("nga_elasticity",0,"Overall","mean")</f>
        <v/>
      </c>
      <c r="Q18" s="12">
        <f>ELAST("nga_elasticity",DECILE_ARRAY,"Overall","mean")</f>
        <v/>
      </c>
      <c r="AA18" s="12">
        <f>PCHANGE_DIRECT("nga")*ELASTADJ("nga",0)</f>
        <v/>
      </c>
      <c r="AB18" s="12">
        <f>DWL("nga_share","nga_elasticity",0,"Overall","mean",PCHANGE_DIRECT("nga")*ELASTADJ("nga",0))</f>
        <v/>
      </c>
    </row>
    <row r="19">
      <c r="C19" s="6" t="inlineStr">
        <is>
          <t>Non-Road Oil</t>
        </is>
      </c>
      <c r="G19" s="6" t="inlineStr">
        <is>
          <t>oil</t>
        </is>
      </c>
      <c r="P19" s="12">
        <f>ELAST("oil_elasticity",0,"Overall","mean")</f>
        <v/>
      </c>
      <c r="Q19" s="12">
        <f>ELAST("oil_elasticity",DECILE_ARRAY,"Overall","mean")</f>
        <v/>
      </c>
      <c r="AA19" s="12">
        <f>PCHANGE_DIRECT("oil")*ELASTADJ("oil",0)</f>
        <v/>
      </c>
      <c r="AB19" s="12">
        <f>DWL("oil_share","oil_elasticity",0,"Overall","mean",PCHANGE_DIRECT("oil")*ELASTADJ("oil",0))</f>
        <v/>
      </c>
    </row>
    <row r="20">
      <c r="C20" s="6" t="inlineStr">
        <is>
          <t>Gasoline</t>
        </is>
      </c>
      <c r="G20" s="6" t="inlineStr">
        <is>
          <t>gso</t>
        </is>
      </c>
      <c r="P20" s="12">
        <f>ELAST("gso_elasticity",0,"Overall","mean")</f>
        <v/>
      </c>
      <c r="Q20" s="12">
        <f>ELAST("gso_elasticity",DECILE_ARRAY,"Overall","mean")</f>
        <v/>
      </c>
      <c r="AA20" s="12">
        <f>PCHANGE_DIRECT("gso")*ELASTADJ("gso",0)</f>
        <v/>
      </c>
      <c r="AB20" s="12">
        <f>DWL("gso_share","gso_elasticity",0,"Overall","mean",PCHANGE_DIRECT("gso")*ELASTADJ("gso",0))</f>
        <v/>
      </c>
    </row>
    <row r="21">
      <c r="C21" s="6" t="inlineStr">
        <is>
          <t>Diesel</t>
        </is>
      </c>
      <c r="G21" s="6" t="inlineStr">
        <is>
          <t>die</t>
        </is>
      </c>
      <c r="P21" s="12">
        <f>ELAST("die_elasticity",0,"Overall","mean")</f>
        <v/>
      </c>
      <c r="Q21" s="12">
        <f>ELAST("die_elasticity",DECILE_ARRAY,"Overall","mean")</f>
        <v/>
      </c>
      <c r="AA21" s="12">
        <f>PCHANGE_DIRECT("die")*ELASTADJ("die",0)</f>
        <v/>
      </c>
      <c r="AB21" s="12">
        <f>DWL("die_share","die_elasticity",0,"Overall","mean",PCHANGE_DIRECT("die")*ELASTADJ("die",0))</f>
        <v/>
      </c>
    </row>
    <row r="22">
      <c r="C22" s="6" t="inlineStr">
        <is>
          <t>Kerosene</t>
        </is>
      </c>
      <c r="G22" s="6" t="inlineStr">
        <is>
          <t>ker</t>
        </is>
      </c>
      <c r="P22" s="12">
        <f>ELAST("ker_elasticity",0,"Overall","mean")</f>
        <v/>
      </c>
      <c r="Q22" s="12">
        <f>ELAST("ker_elasticity",DECILE_ARRAY,"Overall","mean")</f>
        <v/>
      </c>
      <c r="AA22" s="12">
        <f>PCHANGE_DIRECT("ker")*ELASTADJ("ker",0)</f>
        <v/>
      </c>
      <c r="AB22" s="12">
        <f>DWL("ker_share","ker_elasticity",0,"Overall","mean",PCHANGE_DIRECT("ker")*ELASTADJ("ker",0))</f>
        <v/>
      </c>
    </row>
    <row r="23">
      <c r="C23" s="6" t="inlineStr">
        <is>
          <t>LPG</t>
        </is>
      </c>
      <c r="G23" s="6" t="inlineStr">
        <is>
          <t>lpg</t>
        </is>
      </c>
      <c r="P23" s="12">
        <f>ELAST("lpg_elasticity",0,"Overall","mean")</f>
        <v/>
      </c>
      <c r="Q23" s="12">
        <f>ELAST("lpg_elasticity",DECILE_ARRAY,"Overall","mean")</f>
        <v/>
      </c>
      <c r="AA23" s="12">
        <f>PCHANGE_DIRECT("lpg")*ELASTADJ("lpg",0)</f>
        <v/>
      </c>
      <c r="AB23" s="12">
        <f>DWL("lpg_share","lpg_elasticity",0,"Overall","mean",PCHANGE_DIRECT("lpg")*ELASTADJ("lpg",0))</f>
        <v/>
      </c>
    </row>
    <row r="24">
      <c r="C24" s="6" t="inlineStr">
        <is>
          <t>Appliances</t>
        </is>
      </c>
      <c r="G24" s="6" t="inlineStr">
        <is>
          <t>app</t>
        </is>
      </c>
      <c r="P24" s="12">
        <f>ELAST("appliances_elasticity",0,"Overall","mean")</f>
        <v/>
      </c>
      <c r="Q24" s="12">
        <f>ELAST("appliances_elasticity",DECILE_ARRAY,"Overall","mean")</f>
        <v/>
      </c>
      <c r="AA24" s="12">
        <f>PCHANGE_INDIRECT("app")*ELASTADJ("app",0)</f>
        <v/>
      </c>
      <c r="AB24" s="12">
        <f>DWL("appliances_share","appliances_elasticity",0,"Overall","mean",PCHANGE_INDIRECT("app")*ELASTADJ("app",0))</f>
        <v/>
      </c>
    </row>
    <row r="25">
      <c r="C25" s="6" t="inlineStr">
        <is>
          <t>Chemicals</t>
        </is>
      </c>
      <c r="G25" s="6" t="inlineStr">
        <is>
          <t>che</t>
        </is>
      </c>
      <c r="P25" s="12">
        <f>ELAST("chemicals_elasticity",0,"Overall","mean")</f>
        <v/>
      </c>
      <c r="Q25" s="12">
        <f>ELAST("chemicals_elasticity",DECILE_ARRAY,"Overall","mean")</f>
        <v/>
      </c>
      <c r="AA25" s="12">
        <f>PCHANGE_INDIRECT("che")*ELASTADJ("che",0)</f>
        <v/>
      </c>
      <c r="AB25" s="12">
        <f>DWL("chemicals_share","chemicals_elasticity",0,"Overall","mean",PCHANGE_INDIRECT("che")*ELASTADJ("che",0))</f>
        <v/>
      </c>
    </row>
    <row r="26">
      <c r="C26" s="6" t="inlineStr">
        <is>
          <t>Clothing</t>
        </is>
      </c>
      <c r="G26" s="6" t="inlineStr">
        <is>
          <t>clo</t>
        </is>
      </c>
      <c r="P26" s="12">
        <f>ELAST("clothing_elasticity",0,"Overall","mean")</f>
        <v/>
      </c>
      <c r="Q26" s="12">
        <f>ELAST("clothing_elasticity",DECILE_ARRAY,"Overall","mean")</f>
        <v/>
      </c>
      <c r="AA26" s="12">
        <f>PCHANGE_INDIRECT("clo")*ELASTADJ("clo",0)</f>
        <v/>
      </c>
      <c r="AB26" s="12">
        <f>DWL("clothing_share","clothing_elasticity",0,"Overall","mean",PCHANGE_INDIRECT("clo")*ELASTADJ("clo",0))</f>
        <v/>
      </c>
    </row>
    <row r="27">
      <c r="C27" s="6" t="inlineStr">
        <is>
          <t>Communications</t>
        </is>
      </c>
      <c r="G27" s="6" t="inlineStr">
        <is>
          <t>com</t>
        </is>
      </c>
      <c r="P27" s="12">
        <f>ELAST("communications_elasticity",0,"Overall","mean")</f>
        <v/>
      </c>
      <c r="Q27" s="12">
        <f>ELAST("communications_elasticity",DECILE_ARRAY,"Overall","mean")</f>
        <v/>
      </c>
      <c r="AA27" s="12">
        <f>PCHANGE_INDIRECT("com")*ELASTADJ("com",0)</f>
        <v/>
      </c>
      <c r="AB27" s="12">
        <f>DWL("communications_share","communications_elasticity",0,"Overall","mean",PCHANGE_INDIRECT("com")*ELASTADJ("com",0))</f>
        <v/>
      </c>
    </row>
    <row r="28">
      <c r="C28" s="6" t="inlineStr">
        <is>
          <t>Education</t>
        </is>
      </c>
      <c r="G28" s="6" t="inlineStr">
        <is>
          <t>edu</t>
        </is>
      </c>
      <c r="P28" s="12">
        <f>ELAST("education_elasticity",0,"Overall","mean")</f>
        <v/>
      </c>
      <c r="Q28" s="12">
        <f>ELAST("education_elasticity",DECILE_ARRAY,"Overall","mean")</f>
        <v/>
      </c>
      <c r="AA28" s="12">
        <f>PCHANGE_INDIRECT("edu")*ELASTADJ("edu",0)</f>
        <v/>
      </c>
      <c r="AB28" s="12">
        <f>DWL("education_share","education_elasticity",0,"Overall","mean",PCHANGE_INDIRECT("edu")*ELASTADJ("edu",0))</f>
        <v/>
      </c>
    </row>
    <row r="29">
      <c r="C29" s="6" t="inlineStr">
        <is>
          <t>Food</t>
        </is>
      </c>
      <c r="G29" s="6" t="inlineStr">
        <is>
          <t>food</t>
        </is>
      </c>
      <c r="P29" s="12">
        <f>ELAST("food_elasticity",0,"Overall","mean")</f>
        <v/>
      </c>
      <c r="Q29" s="12">
        <f>ELAST("food_elasticity",DECILE_ARRAY,"Overall","mean")</f>
        <v/>
      </c>
      <c r="AA29" s="12">
        <f>PCHANGE_INDIRECT("food")*ELASTADJ("food",0)</f>
        <v/>
      </c>
      <c r="AB29" s="12">
        <f>DWL("food_share","food_elasticity",0,"Overall","mean",PCHANGE_INDIRECT("food")*ELASTADJ("food",0))</f>
        <v/>
      </c>
    </row>
    <row r="30">
      <c r="C30" s="6" t="inlineStr">
        <is>
          <t>Health Services</t>
        </is>
      </c>
      <c r="G30" s="6" t="inlineStr">
        <is>
          <t>hea</t>
        </is>
      </c>
      <c r="P30" s="12">
        <f>ELAST("health_srv_elasticity",0,"Overall","mean")</f>
        <v/>
      </c>
      <c r="Q30" s="12">
        <f>ELAST("health_srv_elasticity",DECILE_ARRAY,"Overall","mean")</f>
        <v/>
      </c>
      <c r="AA30" s="12">
        <f>PCHANGE_INDIRECT("hea")*ELASTADJ("hea",0)</f>
        <v/>
      </c>
      <c r="AB30" s="12">
        <f>DWL("health_srv_share","health_srv_elasticity",0,"Overall","mean",PCHANGE_INDIRECT("hea")*ELASTADJ("hea",0))</f>
        <v/>
      </c>
    </row>
    <row r="31">
      <c r="C31" s="6" t="inlineStr">
        <is>
          <t>Housing</t>
        </is>
      </c>
      <c r="G31" s="6" t="inlineStr">
        <is>
          <t>hou</t>
        </is>
      </c>
      <c r="P31" s="12">
        <f>ELAST("housing_elasticity",0,"Overall","mean")</f>
        <v/>
      </c>
      <c r="Q31" s="12">
        <f>ELAST("housing_elasticity",DECILE_ARRAY,"Overall","mean")</f>
        <v/>
      </c>
      <c r="AA31" s="12">
        <f>PCHANGE_INDIRECT("hou")*ELASTADJ("hou",0)</f>
        <v/>
      </c>
      <c r="AB31" s="12">
        <f>DWL("housing_share","housing_elasticity",0,"Overall","mean",PCHANGE_INDIRECT("hou")*ELASTADJ("hou",0))</f>
        <v/>
      </c>
    </row>
    <row r="32">
      <c r="C32" s="6" t="inlineStr">
        <is>
          <t>Other</t>
        </is>
      </c>
      <c r="G32" s="6" t="inlineStr">
        <is>
          <t>oth</t>
        </is>
      </c>
      <c r="P32" s="12">
        <f>ELAST("other_elasticity",0,"Overall","mean")</f>
        <v/>
      </c>
      <c r="Q32" s="12">
        <f>ELAST("other_elasticity",DECILE_ARRAY,"Overall","mean")</f>
        <v/>
      </c>
      <c r="AA32" s="12">
        <f>PCHANGE_INDIRECT("oth")*ELASTADJ("oth",0)</f>
        <v/>
      </c>
      <c r="AB32" s="12">
        <f>DWL("other_share","other_elasticity",0,"Overall","mean",PCHANGE_INDIRECT("oth")*ELASTADJ("oth",0))</f>
        <v/>
      </c>
    </row>
    <row r="33">
      <c r="C33" s="6" t="inlineStr">
        <is>
          <t>Paper</t>
        </is>
      </c>
      <c r="G33" s="6" t="inlineStr">
        <is>
          <t>pap</t>
        </is>
      </c>
      <c r="P33" s="12">
        <f>ELAST("paper_elasticity",0,"Overall","mean")</f>
        <v/>
      </c>
      <c r="Q33" s="12">
        <f>ELAST("paper_elasticity",DECILE_ARRAY,"Overall","mean")</f>
        <v/>
      </c>
      <c r="AA33" s="12">
        <f>PCHANGE_INDIRECT("pap")*ELASTADJ("pap",0)</f>
        <v/>
      </c>
      <c r="AB33" s="12">
        <f>DWL("paper_share","paper_elasticity",0,"Overall","mean",PCHANGE_INDIRECT("pap")*ELASTADJ("pap",0))</f>
        <v/>
      </c>
    </row>
    <row r="34">
      <c r="C34" s="6" t="inlineStr">
        <is>
          <t>Pharmaceuticals</t>
        </is>
      </c>
      <c r="G34" s="6" t="inlineStr">
        <is>
          <t>pha</t>
        </is>
      </c>
      <c r="P34" s="12">
        <f>ELAST("pharma_elasticity",0,"Overall","mean")</f>
        <v/>
      </c>
      <c r="Q34" s="12">
        <f>ELAST("pharma_elasticity",DECILE_ARRAY,"Overall","mean")</f>
        <v/>
      </c>
      <c r="AA34" s="12">
        <f>PCHANGE_INDIRECT("pha")*ELASTADJ("pha",0)</f>
        <v/>
      </c>
      <c r="AB34" s="12">
        <f>DWL("pharma_share","pharma_elasticity",0,"Overall","mean",PCHANGE_INDIRECT("pha")*ELASTADJ("pha",0))</f>
        <v/>
      </c>
    </row>
    <row r="35">
      <c r="C35" s="6" t="inlineStr">
        <is>
          <t>Recreation/Tourism</t>
        </is>
      </c>
      <c r="G35" s="6" t="inlineStr">
        <is>
          <t>ret</t>
        </is>
      </c>
      <c r="P35" s="12">
        <f>ELAST("rectourism_elasticity",0,"Overall","mean")</f>
        <v/>
      </c>
      <c r="Q35" s="12">
        <f>ELAST("rectourism_elasticity",DECILE_ARRAY,"Overall","mean")</f>
        <v/>
      </c>
      <c r="AA35" s="12">
        <f>PCHANGE_INDIRECT("ret")*ELASTADJ("ret",0)</f>
        <v/>
      </c>
      <c r="AB35" s="12">
        <f>DWL("rectourism_share","rectourism_elasticity",0,"Overall","mean",PCHANGE_INDIRECT("ret")*ELASTADJ("ret",0))</f>
        <v/>
      </c>
    </row>
    <row r="36">
      <c r="C36" s="6" t="inlineStr">
        <is>
          <t>Transportation Equipment</t>
        </is>
      </c>
      <c r="G36" s="6" t="inlineStr">
        <is>
          <t>teq</t>
        </is>
      </c>
      <c r="P36" s="12">
        <f>ELAST("transp_eqt_elasticity",0,"Overall","mean")</f>
        <v/>
      </c>
      <c r="Q36" s="12">
        <f>ELAST("transp_eqt_elasticity",DECILE_ARRAY,"Overall","mean")</f>
        <v/>
      </c>
      <c r="AA36" s="12">
        <f>PCHANGE_INDIRECT("teq")*ELASTADJ("teq",0)</f>
        <v/>
      </c>
      <c r="AB36" s="12">
        <f>DWL("transp_eqt_share","transp_eqt_elasticity",0,"Overall","mean",PCHANGE_INDIRECT("teq")*ELASTADJ("teq",0))</f>
        <v/>
      </c>
    </row>
    <row r="37">
      <c r="C37" s="6" t="inlineStr">
        <is>
          <t>Public Transportation</t>
        </is>
      </c>
      <c r="G37" s="6" t="inlineStr">
        <is>
          <t>tpu</t>
        </is>
      </c>
      <c r="P37" s="12">
        <f>ELAST("transp_pub_elasticity",0,"Overall","mean")</f>
        <v/>
      </c>
      <c r="Q37" s="12">
        <f>ELAST("transp_pub_elasticity",DECILE_ARRAY,"Overall","mean")</f>
        <v/>
      </c>
      <c r="AA37" s="12">
        <f>PCHANGE_INDIRECT("tpu")*ELASTADJ("tpu",0)</f>
        <v/>
      </c>
      <c r="AB37" s="12">
        <f>DWL("transp_pub_share","transp_pub_elasticity",0,"Overall","mean",PCHANGE_INDIRECT("tpu")*ELASTADJ("tpu",0))</f>
        <v/>
      </c>
    </row>
    <row r="39">
      <c r="A39" s="4" t="inlineStr">
        <is>
          <t>C.III.</t>
        </is>
      </c>
      <c r="B39" s="4" t="inlineStr">
        <is>
          <t>Household budget shares - direct fuel consumption</t>
        </is>
      </c>
      <c r="C39" s="5" t="n"/>
      <c r="D39" s="5" t="n"/>
      <c r="E39" s="5" t="n"/>
      <c r="F39" s="5" t="n"/>
      <c r="G39" s="5" t="n"/>
      <c r="H39" s="5" t="n"/>
      <c r="I39" s="5" t="n"/>
      <c r="J39" s="5" t="n"/>
      <c r="K39" s="5" t="n"/>
      <c r="L39" s="5" t="n"/>
      <c r="M39" s="5" t="n"/>
      <c r="N39" s="5" t="n"/>
    </row>
    <row r="41">
      <c r="C41" s="7" t="inlineStr">
        <is>
          <t>Coal Budget Share (% Total Consumption)</t>
        </is>
      </c>
      <c r="G41" s="6" t="inlineStr">
        <is>
          <t>coa</t>
        </is>
      </c>
      <c r="O41" s="8" t="inlineStr">
        <is>
          <t>Decile --&gt;</t>
        </is>
      </c>
      <c r="Q41" s="8" t="n">
        <v>1</v>
      </c>
      <c r="R41" s="8" t="n">
        <v>2</v>
      </c>
      <c r="S41" s="8" t="n">
        <v>3</v>
      </c>
      <c r="T41" s="8" t="n">
        <v>4</v>
      </c>
      <c r="U41" s="8" t="n">
        <v>5</v>
      </c>
      <c r="V41" s="8" t="n">
        <v>6</v>
      </c>
      <c r="W41" s="8" t="n">
        <v>7</v>
      </c>
      <c r="X41" s="8" t="n">
        <v>8</v>
      </c>
      <c r="Y41" s="8" t="n">
        <v>9</v>
      </c>
      <c r="Z41" s="8" t="n">
        <v>10</v>
      </c>
    </row>
    <row r="42">
      <c r="D42" s="6" t="inlineStr">
        <is>
          <t>mean</t>
        </is>
      </c>
      <c r="E42" s="6" t="inlineStr">
        <is>
          <t>Overall</t>
        </is>
      </c>
      <c r="F42" s="6" t="inlineStr">
        <is>
          <t>Basket</t>
        </is>
      </c>
      <c r="G42" s="6" t="inlineStr">
        <is>
          <t>coa</t>
        </is>
      </c>
      <c r="H42" s="6" t="inlineStr">
        <is>
          <t>%</t>
        </is>
      </c>
      <c r="P42" s="12">
        <f>BSHARE("coa_share",0,"Overall","mean")</f>
        <v/>
      </c>
    </row>
    <row r="43">
      <c r="D43" s="6" t="inlineStr">
        <is>
          <t>mean</t>
        </is>
      </c>
      <c r="E43" s="6" t="inlineStr">
        <is>
          <t>Overall</t>
        </is>
      </c>
      <c r="F43" s="6" t="inlineStr">
        <is>
          <t>Deciles</t>
        </is>
      </c>
      <c r="G43" s="6" t="inlineStr">
        <is>
          <t>coa</t>
        </is>
      </c>
      <c r="H43" s="6" t="inlineStr">
        <is>
          <t>%</t>
        </is>
      </c>
      <c r="Q43" s="12">
        <f>BSHARE("coa_share",DECILE_ARRAY,"Overall","mean")</f>
        <v/>
      </c>
    </row>
    <row r="44">
      <c r="D44" s="6" t="inlineStr">
        <is>
          <t>mean</t>
        </is>
      </c>
      <c r="E44" s="6" t="inlineStr">
        <is>
          <t>Urban</t>
        </is>
      </c>
      <c r="F44" s="6" t="inlineStr">
        <is>
          <t>Basket</t>
        </is>
      </c>
      <c r="G44" s="6" t="inlineStr">
        <is>
          <t>coa</t>
        </is>
      </c>
      <c r="H44" s="6" t="inlineStr">
        <is>
          <t>%</t>
        </is>
      </c>
      <c r="P44" s="12">
        <f>BSHARE("coa_share",0,"Urban","mean")</f>
        <v/>
      </c>
    </row>
    <row r="45">
      <c r="D45" s="6" t="inlineStr">
        <is>
          <t>mean</t>
        </is>
      </c>
      <c r="E45" s="6" t="inlineStr">
        <is>
          <t>Urban</t>
        </is>
      </c>
      <c r="F45" s="6" t="inlineStr">
        <is>
          <t>Deciles</t>
        </is>
      </c>
      <c r="G45" s="6" t="inlineStr">
        <is>
          <t>coa</t>
        </is>
      </c>
      <c r="H45" s="6" t="inlineStr">
        <is>
          <t>%</t>
        </is>
      </c>
      <c r="Q45" s="12">
        <f>BSHARE("coa_share",DECILE_ARRAY,"Urban","mean")</f>
        <v/>
      </c>
    </row>
    <row r="46">
      <c r="D46" s="6" t="inlineStr">
        <is>
          <t>mean</t>
        </is>
      </c>
      <c r="E46" s="6" t="inlineStr">
        <is>
          <t>Rural</t>
        </is>
      </c>
      <c r="F46" s="6" t="inlineStr">
        <is>
          <t>Basket</t>
        </is>
      </c>
      <c r="G46" s="6" t="inlineStr">
        <is>
          <t>coa</t>
        </is>
      </c>
      <c r="H46" s="6" t="inlineStr">
        <is>
          <t>%</t>
        </is>
      </c>
      <c r="P46" s="12">
        <f>BSHARE("coa_share",0,"Rural","mean")</f>
        <v/>
      </c>
    </row>
    <row r="47">
      <c r="D47" s="6" t="inlineStr">
        <is>
          <t>mean</t>
        </is>
      </c>
      <c r="E47" s="6" t="inlineStr">
        <is>
          <t>Rural</t>
        </is>
      </c>
      <c r="F47" s="6" t="inlineStr">
        <is>
          <t>Deciles</t>
        </is>
      </c>
      <c r="G47" s="6" t="inlineStr">
        <is>
          <t>coa</t>
        </is>
      </c>
      <c r="H47" s="6" t="inlineStr">
        <is>
          <t>%</t>
        </is>
      </c>
      <c r="Q47" s="12">
        <f>BSHARE("coa_share",DECILE_ARRAY,"Rural","mean")</f>
        <v/>
      </c>
    </row>
    <row r="48">
      <c r="D48" s="6" t="inlineStr">
        <is>
          <t>median</t>
        </is>
      </c>
      <c r="E48" s="6" t="inlineStr">
        <is>
          <t>Overall</t>
        </is>
      </c>
      <c r="F48" s="6" t="inlineStr">
        <is>
          <t>Basket</t>
        </is>
      </c>
      <c r="G48" s="6" t="inlineStr">
        <is>
          <t>coa</t>
        </is>
      </c>
      <c r="H48" s="6" t="inlineStr">
        <is>
          <t>%</t>
        </is>
      </c>
      <c r="P48" s="12">
        <f>BSHARE("coa_share",0,"Overall","median")</f>
        <v/>
      </c>
    </row>
    <row r="49">
      <c r="D49" s="6" t="inlineStr">
        <is>
          <t>median</t>
        </is>
      </c>
      <c r="E49" s="6" t="inlineStr">
        <is>
          <t>Overall</t>
        </is>
      </c>
      <c r="F49" s="6" t="inlineStr">
        <is>
          <t>Deciles</t>
        </is>
      </c>
      <c r="G49" s="6" t="inlineStr">
        <is>
          <t>coa</t>
        </is>
      </c>
      <c r="H49" s="6" t="inlineStr">
        <is>
          <t>%</t>
        </is>
      </c>
      <c r="Q49" s="12">
        <f>BSHARE("coa_share",DECILE_ARRAY,"Overall","median")</f>
        <v/>
      </c>
    </row>
    <row r="50">
      <c r="D50" s="6" t="inlineStr">
        <is>
          <t>median</t>
        </is>
      </c>
      <c r="E50" s="6" t="inlineStr">
        <is>
          <t>Urban</t>
        </is>
      </c>
      <c r="F50" s="6" t="inlineStr">
        <is>
          <t>Basket</t>
        </is>
      </c>
      <c r="G50" s="6" t="inlineStr">
        <is>
          <t>coa</t>
        </is>
      </c>
      <c r="H50" s="6" t="inlineStr">
        <is>
          <t>%</t>
        </is>
      </c>
      <c r="P50" s="12">
        <f>BSHARE("coa_share",0,"Urban","median")</f>
        <v/>
      </c>
    </row>
    <row r="51">
      <c r="D51" s="6" t="inlineStr">
        <is>
          <t>median</t>
        </is>
      </c>
      <c r="E51" s="6" t="inlineStr">
        <is>
          <t>Urban</t>
        </is>
      </c>
      <c r="F51" s="6" t="inlineStr">
        <is>
          <t>Deciles</t>
        </is>
      </c>
      <c r="G51" s="6" t="inlineStr">
        <is>
          <t>coa</t>
        </is>
      </c>
      <c r="H51" s="6" t="inlineStr">
        <is>
          <t>%</t>
        </is>
      </c>
      <c r="Q51" s="12">
        <f>BSHARE("coa_share",DECILE_ARRAY,"Urban","median")</f>
        <v/>
      </c>
    </row>
    <row r="52">
      <c r="D52" s="6" t="inlineStr">
        <is>
          <t>median</t>
        </is>
      </c>
      <c r="E52" s="6" t="inlineStr">
        <is>
          <t>Rural</t>
        </is>
      </c>
      <c r="F52" s="6" t="inlineStr">
        <is>
          <t>Basket</t>
        </is>
      </c>
      <c r="G52" s="6" t="inlineStr">
        <is>
          <t>coa</t>
        </is>
      </c>
      <c r="H52" s="6" t="inlineStr">
        <is>
          <t>%</t>
        </is>
      </c>
      <c r="P52" s="12">
        <f>BSHARE("coa_share",0,"Rural","median")</f>
        <v/>
      </c>
    </row>
    <row r="53">
      <c r="D53" s="6" t="inlineStr">
        <is>
          <t>median</t>
        </is>
      </c>
      <c r="E53" s="6" t="inlineStr">
        <is>
          <t>Rural</t>
        </is>
      </c>
      <c r="F53" s="6" t="inlineStr">
        <is>
          <t>Deciles</t>
        </is>
      </c>
      <c r="G53" s="6" t="inlineStr">
        <is>
          <t>coa</t>
        </is>
      </c>
      <c r="H53" s="6" t="inlineStr">
        <is>
          <t>%</t>
        </is>
      </c>
      <c r="Q53" s="12">
        <f>BSHARE("coa_share",DECILE_ARRAY,"Rural","median")</f>
        <v/>
      </c>
    </row>
    <row r="54">
      <c r="D54" s="6" t="inlineStr">
        <is>
          <t>p25</t>
        </is>
      </c>
      <c r="E54" s="6" t="inlineStr">
        <is>
          <t>Overall</t>
        </is>
      </c>
      <c r="F54" s="6" t="inlineStr">
        <is>
          <t>Basket</t>
        </is>
      </c>
      <c r="G54" s="6" t="inlineStr">
        <is>
          <t>coa</t>
        </is>
      </c>
      <c r="H54" s="6" t="inlineStr">
        <is>
          <t>%</t>
        </is>
      </c>
      <c r="P54" s="12">
        <f>BSHARE("coa_share",0,"Overall","p25")</f>
        <v/>
      </c>
    </row>
    <row r="55">
      <c r="D55" s="6" t="inlineStr">
        <is>
          <t>p25</t>
        </is>
      </c>
      <c r="E55" s="6" t="inlineStr">
        <is>
          <t>Overall</t>
        </is>
      </c>
      <c r="F55" s="6" t="inlineStr">
        <is>
          <t>Deciles</t>
        </is>
      </c>
      <c r="G55" s="6" t="inlineStr">
        <is>
          <t>coa</t>
        </is>
      </c>
      <c r="H55" s="6" t="inlineStr">
        <is>
          <t>%</t>
        </is>
      </c>
      <c r="Q55" s="12">
        <f>BSHARE("coa_share",DECILE_ARRAY,"Overall","p25")</f>
        <v/>
      </c>
    </row>
    <row r="56">
      <c r="D56" s="6" t="inlineStr">
        <is>
          <t>p25</t>
        </is>
      </c>
      <c r="E56" s="6" t="inlineStr">
        <is>
          <t>Urban</t>
        </is>
      </c>
      <c r="F56" s="6" t="inlineStr">
        <is>
          <t>Basket</t>
        </is>
      </c>
      <c r="G56" s="6" t="inlineStr">
        <is>
          <t>coa</t>
        </is>
      </c>
      <c r="H56" s="6" t="inlineStr">
        <is>
          <t>%</t>
        </is>
      </c>
      <c r="P56" s="12">
        <f>BSHARE("coa_share",0,"Urban","p25")</f>
        <v/>
      </c>
    </row>
    <row r="57">
      <c r="D57" s="6" t="inlineStr">
        <is>
          <t>p25</t>
        </is>
      </c>
      <c r="E57" s="6" t="inlineStr">
        <is>
          <t>Urban</t>
        </is>
      </c>
      <c r="F57" s="6" t="inlineStr">
        <is>
          <t>Deciles</t>
        </is>
      </c>
      <c r="G57" s="6" t="inlineStr">
        <is>
          <t>coa</t>
        </is>
      </c>
      <c r="H57" s="6" t="inlineStr">
        <is>
          <t>%</t>
        </is>
      </c>
      <c r="Q57" s="12">
        <f>BSHARE("coa_share",DECILE_ARRAY,"Urban","p25")</f>
        <v/>
      </c>
    </row>
    <row r="58">
      <c r="D58" s="6" t="inlineStr">
        <is>
          <t>p25</t>
        </is>
      </c>
      <c r="E58" s="6" t="inlineStr">
        <is>
          <t>Rural</t>
        </is>
      </c>
      <c r="F58" s="6" t="inlineStr">
        <is>
          <t>Basket</t>
        </is>
      </c>
      <c r="G58" s="6" t="inlineStr">
        <is>
          <t>coa</t>
        </is>
      </c>
      <c r="H58" s="6" t="inlineStr">
        <is>
          <t>%</t>
        </is>
      </c>
      <c r="P58" s="12">
        <f>BSHARE("coa_share",0,"Rural","p25")</f>
        <v/>
      </c>
    </row>
    <row r="59">
      <c r="D59" s="6" t="inlineStr">
        <is>
          <t>p25</t>
        </is>
      </c>
      <c r="E59" s="6" t="inlineStr">
        <is>
          <t>Rural</t>
        </is>
      </c>
      <c r="F59" s="6" t="inlineStr">
        <is>
          <t>Deciles</t>
        </is>
      </c>
      <c r="G59" s="6" t="inlineStr">
        <is>
          <t>coa</t>
        </is>
      </c>
      <c r="H59" s="6" t="inlineStr">
        <is>
          <t>%</t>
        </is>
      </c>
      <c r="Q59" s="12">
        <f>BSHARE("coa_share",DECILE_ARRAY,"Rural","p25")</f>
        <v/>
      </c>
    </row>
    <row r="60">
      <c r="D60" s="6" t="inlineStr">
        <is>
          <t>p75</t>
        </is>
      </c>
      <c r="E60" s="6" t="inlineStr">
        <is>
          <t>Overall</t>
        </is>
      </c>
      <c r="F60" s="6" t="inlineStr">
        <is>
          <t>Basket</t>
        </is>
      </c>
      <c r="G60" s="6" t="inlineStr">
        <is>
          <t>coa</t>
        </is>
      </c>
      <c r="H60" s="6" t="inlineStr">
        <is>
          <t>%</t>
        </is>
      </c>
      <c r="P60" s="12">
        <f>BSHARE("coa_share",0,"Overall","p75")</f>
        <v/>
      </c>
    </row>
    <row r="61">
      <c r="D61" s="6" t="inlineStr">
        <is>
          <t>p75</t>
        </is>
      </c>
      <c r="E61" s="6" t="inlineStr">
        <is>
          <t>Overall</t>
        </is>
      </c>
      <c r="F61" s="6" t="inlineStr">
        <is>
          <t>Deciles</t>
        </is>
      </c>
      <c r="G61" s="6" t="inlineStr">
        <is>
          <t>coa</t>
        </is>
      </c>
      <c r="H61" s="6" t="inlineStr">
        <is>
          <t>%</t>
        </is>
      </c>
      <c r="Q61" s="12">
        <f>BSHARE("coa_share",DECILE_ARRAY,"Overall","p75")</f>
        <v/>
      </c>
    </row>
    <row r="62">
      <c r="D62" s="6" t="inlineStr">
        <is>
          <t>p75</t>
        </is>
      </c>
      <c r="E62" s="6" t="inlineStr">
        <is>
          <t>Urban</t>
        </is>
      </c>
      <c r="F62" s="6" t="inlineStr">
        <is>
          <t>Basket</t>
        </is>
      </c>
      <c r="G62" s="6" t="inlineStr">
        <is>
          <t>coa</t>
        </is>
      </c>
      <c r="H62" s="6" t="inlineStr">
        <is>
          <t>%</t>
        </is>
      </c>
      <c r="P62" s="12">
        <f>BSHARE("coa_share",0,"Urban","p75")</f>
        <v/>
      </c>
    </row>
    <row r="63">
      <c r="D63" s="6" t="inlineStr">
        <is>
          <t>p75</t>
        </is>
      </c>
      <c r="E63" s="6" t="inlineStr">
        <is>
          <t>Urban</t>
        </is>
      </c>
      <c r="F63" s="6" t="inlineStr">
        <is>
          <t>Deciles</t>
        </is>
      </c>
      <c r="G63" s="6" t="inlineStr">
        <is>
          <t>coa</t>
        </is>
      </c>
      <c r="H63" s="6" t="inlineStr">
        <is>
          <t>%</t>
        </is>
      </c>
      <c r="Q63" s="12">
        <f>BSHARE("coa_share",DECILE_ARRAY,"Urban","p75")</f>
        <v/>
      </c>
    </row>
    <row r="64">
      <c r="D64" s="6" t="inlineStr">
        <is>
          <t>p75</t>
        </is>
      </c>
      <c r="E64" s="6" t="inlineStr">
        <is>
          <t>Rural</t>
        </is>
      </c>
      <c r="F64" s="6" t="inlineStr">
        <is>
          <t>Basket</t>
        </is>
      </c>
      <c r="G64" s="6" t="inlineStr">
        <is>
          <t>coa</t>
        </is>
      </c>
      <c r="H64" s="6" t="inlineStr">
        <is>
          <t>%</t>
        </is>
      </c>
      <c r="P64" s="12">
        <f>BSHARE("coa_share",0,"Rural","p75")</f>
        <v/>
      </c>
    </row>
    <row r="65">
      <c r="D65" s="6" t="inlineStr">
        <is>
          <t>p75</t>
        </is>
      </c>
      <c r="E65" s="6" t="inlineStr">
        <is>
          <t>Rural</t>
        </is>
      </c>
      <c r="F65" s="6" t="inlineStr">
        <is>
          <t>Deciles</t>
        </is>
      </c>
      <c r="G65" s="6" t="inlineStr">
        <is>
          <t>coa</t>
        </is>
      </c>
      <c r="H65" s="6" t="inlineStr">
        <is>
          <t>%</t>
        </is>
      </c>
      <c r="Q65" s="12">
        <f>BSHARE("coa_share",DECILE_ARRAY,"Rural","p75")</f>
        <v/>
      </c>
    </row>
    <row r="67">
      <c r="C67" s="7" t="inlineStr">
        <is>
          <t>Electricity Budget Share (% Total Consumption)</t>
        </is>
      </c>
      <c r="G67" s="6" t="inlineStr">
        <is>
          <t>ely</t>
        </is>
      </c>
      <c r="O67" s="8" t="inlineStr">
        <is>
          <t>Decile --&gt;</t>
        </is>
      </c>
      <c r="Q67" s="8" t="n">
        <v>1</v>
      </c>
      <c r="R67" s="8" t="n">
        <v>2</v>
      </c>
      <c r="S67" s="8" t="n">
        <v>3</v>
      </c>
      <c r="T67" s="8" t="n">
        <v>4</v>
      </c>
      <c r="U67" s="8" t="n">
        <v>5</v>
      </c>
      <c r="V67" s="8" t="n">
        <v>6</v>
      </c>
      <c r="W67" s="8" t="n">
        <v>7</v>
      </c>
      <c r="X67" s="8" t="n">
        <v>8</v>
      </c>
      <c r="Y67" s="8" t="n">
        <v>9</v>
      </c>
      <c r="Z67" s="8" t="n">
        <v>10</v>
      </c>
    </row>
    <row r="68">
      <c r="D68" s="6" t="inlineStr">
        <is>
          <t>mean</t>
        </is>
      </c>
      <c r="E68" s="6" t="inlineStr">
        <is>
          <t>Overall</t>
        </is>
      </c>
      <c r="F68" s="6" t="inlineStr">
        <is>
          <t>Basket</t>
        </is>
      </c>
      <c r="G68" s="6" t="inlineStr">
        <is>
          <t>ely</t>
        </is>
      </c>
      <c r="H68" s="6" t="inlineStr">
        <is>
          <t>%</t>
        </is>
      </c>
      <c r="P68" s="12">
        <f>BSHARE("ely_share",0,"Overall","mean")</f>
        <v/>
      </c>
    </row>
    <row r="69">
      <c r="D69" s="6" t="inlineStr">
        <is>
          <t>mean</t>
        </is>
      </c>
      <c r="E69" s="6" t="inlineStr">
        <is>
          <t>Overall</t>
        </is>
      </c>
      <c r="F69" s="6" t="inlineStr">
        <is>
          <t>Deciles</t>
        </is>
      </c>
      <c r="G69" s="6" t="inlineStr">
        <is>
          <t>ely</t>
        </is>
      </c>
      <c r="H69" s="6" t="inlineStr">
        <is>
          <t>%</t>
        </is>
      </c>
      <c r="Q69" s="12">
        <f>BSHARE("ely_share",DECILE_ARRAY,"Overall","mean")</f>
        <v/>
      </c>
    </row>
    <row r="70">
      <c r="D70" s="6" t="inlineStr">
        <is>
          <t>mean</t>
        </is>
      </c>
      <c r="E70" s="6" t="inlineStr">
        <is>
          <t>Urban</t>
        </is>
      </c>
      <c r="F70" s="6" t="inlineStr">
        <is>
          <t>Basket</t>
        </is>
      </c>
      <c r="G70" s="6" t="inlineStr">
        <is>
          <t>ely</t>
        </is>
      </c>
      <c r="H70" s="6" t="inlineStr">
        <is>
          <t>%</t>
        </is>
      </c>
      <c r="P70" s="12">
        <f>BSHARE("ely_share",0,"Urban","mean")</f>
        <v/>
      </c>
    </row>
    <row r="71">
      <c r="D71" s="6" t="inlineStr">
        <is>
          <t>mean</t>
        </is>
      </c>
      <c r="E71" s="6" t="inlineStr">
        <is>
          <t>Urban</t>
        </is>
      </c>
      <c r="F71" s="6" t="inlineStr">
        <is>
          <t>Deciles</t>
        </is>
      </c>
      <c r="G71" s="6" t="inlineStr">
        <is>
          <t>ely</t>
        </is>
      </c>
      <c r="H71" s="6" t="inlineStr">
        <is>
          <t>%</t>
        </is>
      </c>
      <c r="Q71" s="12">
        <f>BSHARE("ely_share",DECILE_ARRAY,"Urban","mean")</f>
        <v/>
      </c>
    </row>
    <row r="72">
      <c r="D72" s="6" t="inlineStr">
        <is>
          <t>mean</t>
        </is>
      </c>
      <c r="E72" s="6" t="inlineStr">
        <is>
          <t>Rural</t>
        </is>
      </c>
      <c r="F72" s="6" t="inlineStr">
        <is>
          <t>Basket</t>
        </is>
      </c>
      <c r="G72" s="6" t="inlineStr">
        <is>
          <t>ely</t>
        </is>
      </c>
      <c r="H72" s="6" t="inlineStr">
        <is>
          <t>%</t>
        </is>
      </c>
      <c r="P72" s="12">
        <f>BSHARE("ely_share",0,"Rural","mean")</f>
        <v/>
      </c>
    </row>
    <row r="73">
      <c r="D73" s="6" t="inlineStr">
        <is>
          <t>mean</t>
        </is>
      </c>
      <c r="E73" s="6" t="inlineStr">
        <is>
          <t>Rural</t>
        </is>
      </c>
      <c r="F73" s="6" t="inlineStr">
        <is>
          <t>Deciles</t>
        </is>
      </c>
      <c r="G73" s="6" t="inlineStr">
        <is>
          <t>ely</t>
        </is>
      </c>
      <c r="H73" s="6" t="inlineStr">
        <is>
          <t>%</t>
        </is>
      </c>
      <c r="Q73" s="12">
        <f>BSHARE("ely_share",DECILE_ARRAY,"Rural","mean")</f>
        <v/>
      </c>
    </row>
    <row r="74">
      <c r="D74" s="6" t="inlineStr">
        <is>
          <t>median</t>
        </is>
      </c>
      <c r="E74" s="6" t="inlineStr">
        <is>
          <t>Overall</t>
        </is>
      </c>
      <c r="F74" s="6" t="inlineStr">
        <is>
          <t>Basket</t>
        </is>
      </c>
      <c r="G74" s="6" t="inlineStr">
        <is>
          <t>ely</t>
        </is>
      </c>
      <c r="H74" s="6" t="inlineStr">
        <is>
          <t>%</t>
        </is>
      </c>
      <c r="P74" s="12">
        <f>BSHARE("ely_share",0,"Overall","median")</f>
        <v/>
      </c>
    </row>
    <row r="75">
      <c r="D75" s="6" t="inlineStr">
        <is>
          <t>median</t>
        </is>
      </c>
      <c r="E75" s="6" t="inlineStr">
        <is>
          <t>Overall</t>
        </is>
      </c>
      <c r="F75" s="6" t="inlineStr">
        <is>
          <t>Deciles</t>
        </is>
      </c>
      <c r="G75" s="6" t="inlineStr">
        <is>
          <t>ely</t>
        </is>
      </c>
      <c r="H75" s="6" t="inlineStr">
        <is>
          <t>%</t>
        </is>
      </c>
      <c r="Q75" s="12">
        <f>BSHARE("ely_share",DECILE_ARRAY,"Overall","median")</f>
        <v/>
      </c>
    </row>
    <row r="76">
      <c r="D76" s="6" t="inlineStr">
        <is>
          <t>median</t>
        </is>
      </c>
      <c r="E76" s="6" t="inlineStr">
        <is>
          <t>Urban</t>
        </is>
      </c>
      <c r="F76" s="6" t="inlineStr">
        <is>
          <t>Basket</t>
        </is>
      </c>
      <c r="G76" s="6" t="inlineStr">
        <is>
          <t>ely</t>
        </is>
      </c>
      <c r="H76" s="6" t="inlineStr">
        <is>
          <t>%</t>
        </is>
      </c>
      <c r="P76" s="12">
        <f>BSHARE("ely_share",0,"Urban","median")</f>
        <v/>
      </c>
    </row>
    <row r="77">
      <c r="D77" s="6" t="inlineStr">
        <is>
          <t>median</t>
        </is>
      </c>
      <c r="E77" s="6" t="inlineStr">
        <is>
          <t>Urban</t>
        </is>
      </c>
      <c r="F77" s="6" t="inlineStr">
        <is>
          <t>Deciles</t>
        </is>
      </c>
      <c r="G77" s="6" t="inlineStr">
        <is>
          <t>ely</t>
        </is>
      </c>
      <c r="H77" s="6" t="inlineStr">
        <is>
          <t>%</t>
        </is>
      </c>
      <c r="Q77" s="12">
        <f>BSHARE("ely_share",DECILE_ARRAY,"Urban","median")</f>
        <v/>
      </c>
    </row>
    <row r="78">
      <c r="D78" s="6" t="inlineStr">
        <is>
          <t>median</t>
        </is>
      </c>
      <c r="E78" s="6" t="inlineStr">
        <is>
          <t>Rural</t>
        </is>
      </c>
      <c r="F78" s="6" t="inlineStr">
        <is>
          <t>Basket</t>
        </is>
      </c>
      <c r="G78" s="6" t="inlineStr">
        <is>
          <t>ely</t>
        </is>
      </c>
      <c r="H78" s="6" t="inlineStr">
        <is>
          <t>%</t>
        </is>
      </c>
      <c r="P78" s="12">
        <f>BSHARE("ely_share",0,"Rural","median")</f>
        <v/>
      </c>
    </row>
    <row r="79">
      <c r="D79" s="6" t="inlineStr">
        <is>
          <t>median</t>
        </is>
      </c>
      <c r="E79" s="6" t="inlineStr">
        <is>
          <t>Rural</t>
        </is>
      </c>
      <c r="F79" s="6" t="inlineStr">
        <is>
          <t>Deciles</t>
        </is>
      </c>
      <c r="G79" s="6" t="inlineStr">
        <is>
          <t>ely</t>
        </is>
      </c>
      <c r="H79" s="6" t="inlineStr">
        <is>
          <t>%</t>
        </is>
      </c>
      <c r="Q79" s="12">
        <f>BSHARE("ely_share",DECILE_ARRAY,"Rural","median")</f>
        <v/>
      </c>
    </row>
    <row r="80">
      <c r="D80" s="6" t="inlineStr">
        <is>
          <t>p25</t>
        </is>
      </c>
      <c r="E80" s="6" t="inlineStr">
        <is>
          <t>Overall</t>
        </is>
      </c>
      <c r="F80" s="6" t="inlineStr">
        <is>
          <t>Basket</t>
        </is>
      </c>
      <c r="G80" s="6" t="inlineStr">
        <is>
          <t>ely</t>
        </is>
      </c>
      <c r="H80" s="6" t="inlineStr">
        <is>
          <t>%</t>
        </is>
      </c>
      <c r="P80" s="12">
        <f>BSHARE("ely_share",0,"Overall","p25")</f>
        <v/>
      </c>
    </row>
    <row r="81">
      <c r="D81" s="6" t="inlineStr">
        <is>
          <t>p25</t>
        </is>
      </c>
      <c r="E81" s="6" t="inlineStr">
        <is>
          <t>Overall</t>
        </is>
      </c>
      <c r="F81" s="6" t="inlineStr">
        <is>
          <t>Deciles</t>
        </is>
      </c>
      <c r="G81" s="6" t="inlineStr">
        <is>
          <t>ely</t>
        </is>
      </c>
      <c r="H81" s="6" t="inlineStr">
        <is>
          <t>%</t>
        </is>
      </c>
      <c r="Q81" s="12">
        <f>BSHARE("ely_share",DECILE_ARRAY,"Overall","p25")</f>
        <v/>
      </c>
    </row>
    <row r="82">
      <c r="D82" s="6" t="inlineStr">
        <is>
          <t>p25</t>
        </is>
      </c>
      <c r="E82" s="6" t="inlineStr">
        <is>
          <t>Urban</t>
        </is>
      </c>
      <c r="F82" s="6" t="inlineStr">
        <is>
          <t>Basket</t>
        </is>
      </c>
      <c r="G82" s="6" t="inlineStr">
        <is>
          <t>ely</t>
        </is>
      </c>
      <c r="H82" s="6" t="inlineStr">
        <is>
          <t>%</t>
        </is>
      </c>
      <c r="P82" s="12">
        <f>BSHARE("ely_share",0,"Urban","p25")</f>
        <v/>
      </c>
    </row>
    <row r="83">
      <c r="D83" s="6" t="inlineStr">
        <is>
          <t>p25</t>
        </is>
      </c>
      <c r="E83" s="6" t="inlineStr">
        <is>
          <t>Urban</t>
        </is>
      </c>
      <c r="F83" s="6" t="inlineStr">
        <is>
          <t>Deciles</t>
        </is>
      </c>
      <c r="G83" s="6" t="inlineStr">
        <is>
          <t>ely</t>
        </is>
      </c>
      <c r="H83" s="6" t="inlineStr">
        <is>
          <t>%</t>
        </is>
      </c>
      <c r="Q83" s="12">
        <f>BSHARE("ely_share",DECILE_ARRAY,"Urban","p25")</f>
        <v/>
      </c>
    </row>
    <row r="84">
      <c r="D84" s="6" t="inlineStr">
        <is>
          <t>p25</t>
        </is>
      </c>
      <c r="E84" s="6" t="inlineStr">
        <is>
          <t>Rural</t>
        </is>
      </c>
      <c r="F84" s="6" t="inlineStr">
        <is>
          <t>Basket</t>
        </is>
      </c>
      <c r="G84" s="6" t="inlineStr">
        <is>
          <t>ely</t>
        </is>
      </c>
      <c r="H84" s="6" t="inlineStr">
        <is>
          <t>%</t>
        </is>
      </c>
      <c r="P84" s="12">
        <f>BSHARE("ely_share",0,"Rural","p25")</f>
        <v/>
      </c>
    </row>
    <row r="85">
      <c r="D85" s="6" t="inlineStr">
        <is>
          <t>p25</t>
        </is>
      </c>
      <c r="E85" s="6" t="inlineStr">
        <is>
          <t>Rural</t>
        </is>
      </c>
      <c r="F85" s="6" t="inlineStr">
        <is>
          <t>Deciles</t>
        </is>
      </c>
      <c r="G85" s="6" t="inlineStr">
        <is>
          <t>ely</t>
        </is>
      </c>
      <c r="H85" s="6" t="inlineStr">
        <is>
          <t>%</t>
        </is>
      </c>
      <c r="Q85" s="12">
        <f>BSHARE("ely_share",DECILE_ARRAY,"Rural","p25")</f>
        <v/>
      </c>
    </row>
    <row r="86">
      <c r="D86" s="6" t="inlineStr">
        <is>
          <t>p75</t>
        </is>
      </c>
      <c r="E86" s="6" t="inlineStr">
        <is>
          <t>Overall</t>
        </is>
      </c>
      <c r="F86" s="6" t="inlineStr">
        <is>
          <t>Basket</t>
        </is>
      </c>
      <c r="G86" s="6" t="inlineStr">
        <is>
          <t>ely</t>
        </is>
      </c>
      <c r="H86" s="6" t="inlineStr">
        <is>
          <t>%</t>
        </is>
      </c>
      <c r="P86" s="12">
        <f>BSHARE("ely_share",0,"Overall","p75")</f>
        <v/>
      </c>
    </row>
    <row r="87">
      <c r="D87" s="6" t="inlineStr">
        <is>
          <t>p75</t>
        </is>
      </c>
      <c r="E87" s="6" t="inlineStr">
        <is>
          <t>Overall</t>
        </is>
      </c>
      <c r="F87" s="6" t="inlineStr">
        <is>
          <t>Deciles</t>
        </is>
      </c>
      <c r="G87" s="6" t="inlineStr">
        <is>
          <t>ely</t>
        </is>
      </c>
      <c r="H87" s="6" t="inlineStr">
        <is>
          <t>%</t>
        </is>
      </c>
      <c r="Q87" s="12">
        <f>BSHARE("ely_share",DECILE_ARRAY,"Overall","p75")</f>
        <v/>
      </c>
    </row>
    <row r="88">
      <c r="D88" s="6" t="inlineStr">
        <is>
          <t>p75</t>
        </is>
      </c>
      <c r="E88" s="6" t="inlineStr">
        <is>
          <t>Urban</t>
        </is>
      </c>
      <c r="F88" s="6" t="inlineStr">
        <is>
          <t>Basket</t>
        </is>
      </c>
      <c r="G88" s="6" t="inlineStr">
        <is>
          <t>ely</t>
        </is>
      </c>
      <c r="H88" s="6" t="inlineStr">
        <is>
          <t>%</t>
        </is>
      </c>
      <c r="P88" s="12">
        <f>BSHARE("ely_share",0,"Urban","p75")</f>
        <v/>
      </c>
    </row>
    <row r="89">
      <c r="D89" s="6" t="inlineStr">
        <is>
          <t>p75</t>
        </is>
      </c>
      <c r="E89" s="6" t="inlineStr">
        <is>
          <t>Urban</t>
        </is>
      </c>
      <c r="F89" s="6" t="inlineStr">
        <is>
          <t>Deciles</t>
        </is>
      </c>
      <c r="G89" s="6" t="inlineStr">
        <is>
          <t>ely</t>
        </is>
      </c>
      <c r="H89" s="6" t="inlineStr">
        <is>
          <t>%</t>
        </is>
      </c>
      <c r="Q89" s="12">
        <f>BSHARE("ely_share",DECILE_ARRAY,"Urban","p75")</f>
        <v/>
      </c>
    </row>
    <row r="90">
      <c r="D90" s="6" t="inlineStr">
        <is>
          <t>p75</t>
        </is>
      </c>
      <c r="E90" s="6" t="inlineStr">
        <is>
          <t>Rural</t>
        </is>
      </c>
      <c r="F90" s="6" t="inlineStr">
        <is>
          <t>Basket</t>
        </is>
      </c>
      <c r="G90" s="6" t="inlineStr">
        <is>
          <t>ely</t>
        </is>
      </c>
      <c r="H90" s="6" t="inlineStr">
        <is>
          <t>%</t>
        </is>
      </c>
      <c r="P90" s="12">
        <f>BSHARE("ely_share",0,"Rural","p75")</f>
        <v/>
      </c>
    </row>
    <row r="91">
      <c r="D91" s="6" t="inlineStr">
        <is>
          <t>p75</t>
        </is>
      </c>
      <c r="E91" s="6" t="inlineStr">
        <is>
          <t>Rural</t>
        </is>
      </c>
      <c r="F91" s="6" t="inlineStr">
        <is>
          <t>Deciles</t>
        </is>
      </c>
      <c r="G91" s="6" t="inlineStr">
        <is>
          <t>ely</t>
        </is>
      </c>
      <c r="H91" s="6" t="inlineStr">
        <is>
          <t>%</t>
        </is>
      </c>
      <c r="Q91" s="12">
        <f>BSHARE("ely_share",DECILE_ARRAY,"Rural","p75")</f>
        <v/>
      </c>
    </row>
    <row r="93">
      <c r="C93" s="7" t="inlineStr">
        <is>
          <t>Natural Gas Budget Share (% Total Consumption)</t>
        </is>
      </c>
      <c r="G93" s="6" t="inlineStr">
        <is>
          <t>nga</t>
        </is>
      </c>
      <c r="O93" s="8" t="inlineStr">
        <is>
          <t>Decile --&gt;</t>
        </is>
      </c>
      <c r="Q93" s="8" t="n">
        <v>1</v>
      </c>
      <c r="R93" s="8" t="n">
        <v>2</v>
      </c>
      <c r="S93" s="8" t="n">
        <v>3</v>
      </c>
      <c r="T93" s="8" t="n">
        <v>4</v>
      </c>
      <c r="U93" s="8" t="n">
        <v>5</v>
      </c>
      <c r="V93" s="8" t="n">
        <v>6</v>
      </c>
      <c r="W93" s="8" t="n">
        <v>7</v>
      </c>
      <c r="X93" s="8" t="n">
        <v>8</v>
      </c>
      <c r="Y93" s="8" t="n">
        <v>9</v>
      </c>
      <c r="Z93" s="8" t="n">
        <v>10</v>
      </c>
    </row>
    <row r="94">
      <c r="D94" s="6" t="inlineStr">
        <is>
          <t>mean</t>
        </is>
      </c>
      <c r="E94" s="6" t="inlineStr">
        <is>
          <t>Overall</t>
        </is>
      </c>
      <c r="F94" s="6" t="inlineStr">
        <is>
          <t>Basket</t>
        </is>
      </c>
      <c r="G94" s="6" t="inlineStr">
        <is>
          <t>nga</t>
        </is>
      </c>
      <c r="H94" s="6" t="inlineStr">
        <is>
          <t>%</t>
        </is>
      </c>
      <c r="P94" s="12">
        <f>BSHARE("nga_share",0,"Overall","mean")</f>
        <v/>
      </c>
    </row>
    <row r="95">
      <c r="D95" s="6" t="inlineStr">
        <is>
          <t>mean</t>
        </is>
      </c>
      <c r="E95" s="6" t="inlineStr">
        <is>
          <t>Overall</t>
        </is>
      </c>
      <c r="F95" s="6" t="inlineStr">
        <is>
          <t>Deciles</t>
        </is>
      </c>
      <c r="G95" s="6" t="inlineStr">
        <is>
          <t>nga</t>
        </is>
      </c>
      <c r="H95" s="6" t="inlineStr">
        <is>
          <t>%</t>
        </is>
      </c>
      <c r="Q95" s="12">
        <f>BSHARE("nga_share",DECILE_ARRAY,"Overall","mean")</f>
        <v/>
      </c>
    </row>
    <row r="96">
      <c r="D96" s="6" t="inlineStr">
        <is>
          <t>mean</t>
        </is>
      </c>
      <c r="E96" s="6" t="inlineStr">
        <is>
          <t>Urban</t>
        </is>
      </c>
      <c r="F96" s="6" t="inlineStr">
        <is>
          <t>Basket</t>
        </is>
      </c>
      <c r="G96" s="6" t="inlineStr">
        <is>
          <t>nga</t>
        </is>
      </c>
      <c r="H96" s="6" t="inlineStr">
        <is>
          <t>%</t>
        </is>
      </c>
      <c r="P96" s="12">
        <f>BSHARE("nga_share",0,"Urban","mean")</f>
        <v/>
      </c>
    </row>
    <row r="97">
      <c r="D97" s="6" t="inlineStr">
        <is>
          <t>mean</t>
        </is>
      </c>
      <c r="E97" s="6" t="inlineStr">
        <is>
          <t>Urban</t>
        </is>
      </c>
      <c r="F97" s="6" t="inlineStr">
        <is>
          <t>Deciles</t>
        </is>
      </c>
      <c r="G97" s="6" t="inlineStr">
        <is>
          <t>nga</t>
        </is>
      </c>
      <c r="H97" s="6" t="inlineStr">
        <is>
          <t>%</t>
        </is>
      </c>
      <c r="Q97" s="12">
        <f>BSHARE("nga_share",DECILE_ARRAY,"Urban","mean")</f>
        <v/>
      </c>
    </row>
    <row r="98">
      <c r="D98" s="6" t="inlineStr">
        <is>
          <t>mean</t>
        </is>
      </c>
      <c r="E98" s="6" t="inlineStr">
        <is>
          <t>Rural</t>
        </is>
      </c>
      <c r="F98" s="6" t="inlineStr">
        <is>
          <t>Basket</t>
        </is>
      </c>
      <c r="G98" s="6" t="inlineStr">
        <is>
          <t>nga</t>
        </is>
      </c>
      <c r="H98" s="6" t="inlineStr">
        <is>
          <t>%</t>
        </is>
      </c>
      <c r="P98" s="12">
        <f>BSHARE("nga_share",0,"Rural","mean")</f>
        <v/>
      </c>
    </row>
    <row r="99">
      <c r="D99" s="6" t="inlineStr">
        <is>
          <t>mean</t>
        </is>
      </c>
      <c r="E99" s="6" t="inlineStr">
        <is>
          <t>Rural</t>
        </is>
      </c>
      <c r="F99" s="6" t="inlineStr">
        <is>
          <t>Deciles</t>
        </is>
      </c>
      <c r="G99" s="6" t="inlineStr">
        <is>
          <t>nga</t>
        </is>
      </c>
      <c r="H99" s="6" t="inlineStr">
        <is>
          <t>%</t>
        </is>
      </c>
      <c r="Q99" s="12">
        <f>BSHARE("nga_share",DECILE_ARRAY,"Rural","mean")</f>
        <v/>
      </c>
    </row>
    <row r="100">
      <c r="D100" s="6" t="inlineStr">
        <is>
          <t>median</t>
        </is>
      </c>
      <c r="E100" s="6" t="inlineStr">
        <is>
          <t>Overall</t>
        </is>
      </c>
      <c r="F100" s="6" t="inlineStr">
        <is>
          <t>Basket</t>
        </is>
      </c>
      <c r="G100" s="6" t="inlineStr">
        <is>
          <t>nga</t>
        </is>
      </c>
      <c r="H100" s="6" t="inlineStr">
        <is>
          <t>%</t>
        </is>
      </c>
      <c r="P100" s="12">
        <f>BSHARE("nga_share",0,"Overall","median")</f>
        <v/>
      </c>
    </row>
    <row r="101">
      <c r="D101" s="6" t="inlineStr">
        <is>
          <t>median</t>
        </is>
      </c>
      <c r="E101" s="6" t="inlineStr">
        <is>
          <t>Overall</t>
        </is>
      </c>
      <c r="F101" s="6" t="inlineStr">
        <is>
          <t>Deciles</t>
        </is>
      </c>
      <c r="G101" s="6" t="inlineStr">
        <is>
          <t>nga</t>
        </is>
      </c>
      <c r="H101" s="6" t="inlineStr">
        <is>
          <t>%</t>
        </is>
      </c>
      <c r="Q101" s="12">
        <f>BSHARE("nga_share",DECILE_ARRAY,"Overall","median")</f>
        <v/>
      </c>
    </row>
    <row r="102">
      <c r="D102" s="6" t="inlineStr">
        <is>
          <t>median</t>
        </is>
      </c>
      <c r="E102" s="6" t="inlineStr">
        <is>
          <t>Urban</t>
        </is>
      </c>
      <c r="F102" s="6" t="inlineStr">
        <is>
          <t>Basket</t>
        </is>
      </c>
      <c r="G102" s="6" t="inlineStr">
        <is>
          <t>nga</t>
        </is>
      </c>
      <c r="H102" s="6" t="inlineStr">
        <is>
          <t>%</t>
        </is>
      </c>
      <c r="P102" s="12">
        <f>BSHARE("nga_share",0,"Urban","median")</f>
        <v/>
      </c>
    </row>
    <row r="103">
      <c r="D103" s="6" t="inlineStr">
        <is>
          <t>median</t>
        </is>
      </c>
      <c r="E103" s="6" t="inlineStr">
        <is>
          <t>Urban</t>
        </is>
      </c>
      <c r="F103" s="6" t="inlineStr">
        <is>
          <t>Deciles</t>
        </is>
      </c>
      <c r="G103" s="6" t="inlineStr">
        <is>
          <t>nga</t>
        </is>
      </c>
      <c r="H103" s="6" t="inlineStr">
        <is>
          <t>%</t>
        </is>
      </c>
      <c r="Q103" s="12">
        <f>BSHARE("nga_share",DECILE_ARRAY,"Urban","median")</f>
        <v/>
      </c>
    </row>
    <row r="104">
      <c r="D104" s="6" t="inlineStr">
        <is>
          <t>median</t>
        </is>
      </c>
      <c r="E104" s="6" t="inlineStr">
        <is>
          <t>Rural</t>
        </is>
      </c>
      <c r="F104" s="6" t="inlineStr">
        <is>
          <t>Basket</t>
        </is>
      </c>
      <c r="G104" s="6" t="inlineStr">
        <is>
          <t>nga</t>
        </is>
      </c>
      <c r="H104" s="6" t="inlineStr">
        <is>
          <t>%</t>
        </is>
      </c>
      <c r="P104" s="12">
        <f>BSHARE("nga_share",0,"Rural","median")</f>
        <v/>
      </c>
    </row>
    <row r="105">
      <c r="D105" s="6" t="inlineStr">
        <is>
          <t>median</t>
        </is>
      </c>
      <c r="E105" s="6" t="inlineStr">
        <is>
          <t>Rural</t>
        </is>
      </c>
      <c r="F105" s="6" t="inlineStr">
        <is>
          <t>Deciles</t>
        </is>
      </c>
      <c r="G105" s="6" t="inlineStr">
        <is>
          <t>nga</t>
        </is>
      </c>
      <c r="H105" s="6" t="inlineStr">
        <is>
          <t>%</t>
        </is>
      </c>
      <c r="Q105" s="12">
        <f>BSHARE("nga_share",DECILE_ARRAY,"Rural","median")</f>
        <v/>
      </c>
    </row>
    <row r="106">
      <c r="D106" s="6" t="inlineStr">
        <is>
          <t>p25</t>
        </is>
      </c>
      <c r="E106" s="6" t="inlineStr">
        <is>
          <t>Overall</t>
        </is>
      </c>
      <c r="F106" s="6" t="inlineStr">
        <is>
          <t>Basket</t>
        </is>
      </c>
      <c r="G106" s="6" t="inlineStr">
        <is>
          <t>nga</t>
        </is>
      </c>
      <c r="H106" s="6" t="inlineStr">
        <is>
          <t>%</t>
        </is>
      </c>
      <c r="P106" s="12">
        <f>BSHARE("nga_share",0,"Overall","p25")</f>
        <v/>
      </c>
    </row>
    <row r="107">
      <c r="D107" s="6" t="inlineStr">
        <is>
          <t>p25</t>
        </is>
      </c>
      <c r="E107" s="6" t="inlineStr">
        <is>
          <t>Overall</t>
        </is>
      </c>
      <c r="F107" s="6" t="inlineStr">
        <is>
          <t>Deciles</t>
        </is>
      </c>
      <c r="G107" s="6" t="inlineStr">
        <is>
          <t>nga</t>
        </is>
      </c>
      <c r="H107" s="6" t="inlineStr">
        <is>
          <t>%</t>
        </is>
      </c>
      <c r="Q107" s="12">
        <f>BSHARE("nga_share",DECILE_ARRAY,"Overall","p25")</f>
        <v/>
      </c>
    </row>
    <row r="108">
      <c r="D108" s="6" t="inlineStr">
        <is>
          <t>p25</t>
        </is>
      </c>
      <c r="E108" s="6" t="inlineStr">
        <is>
          <t>Urban</t>
        </is>
      </c>
      <c r="F108" s="6" t="inlineStr">
        <is>
          <t>Basket</t>
        </is>
      </c>
      <c r="G108" s="6" t="inlineStr">
        <is>
          <t>nga</t>
        </is>
      </c>
      <c r="H108" s="6" t="inlineStr">
        <is>
          <t>%</t>
        </is>
      </c>
      <c r="P108" s="12">
        <f>BSHARE("nga_share",0,"Urban","p25")</f>
        <v/>
      </c>
    </row>
    <row r="109">
      <c r="D109" s="6" t="inlineStr">
        <is>
          <t>p25</t>
        </is>
      </c>
      <c r="E109" s="6" t="inlineStr">
        <is>
          <t>Urban</t>
        </is>
      </c>
      <c r="F109" s="6" t="inlineStr">
        <is>
          <t>Deciles</t>
        </is>
      </c>
      <c r="G109" s="6" t="inlineStr">
        <is>
          <t>nga</t>
        </is>
      </c>
      <c r="H109" s="6" t="inlineStr">
        <is>
          <t>%</t>
        </is>
      </c>
      <c r="Q109" s="12">
        <f>BSHARE("nga_share",DECILE_ARRAY,"Urban","p25")</f>
        <v/>
      </c>
    </row>
    <row r="110">
      <c r="D110" s="6" t="inlineStr">
        <is>
          <t>p25</t>
        </is>
      </c>
      <c r="E110" s="6" t="inlineStr">
        <is>
          <t>Rural</t>
        </is>
      </c>
      <c r="F110" s="6" t="inlineStr">
        <is>
          <t>Basket</t>
        </is>
      </c>
      <c r="G110" s="6" t="inlineStr">
        <is>
          <t>nga</t>
        </is>
      </c>
      <c r="H110" s="6" t="inlineStr">
        <is>
          <t>%</t>
        </is>
      </c>
      <c r="P110" s="12">
        <f>BSHARE("nga_share",0,"Rural","p25")</f>
        <v/>
      </c>
    </row>
    <row r="111">
      <c r="D111" s="6" t="inlineStr">
        <is>
          <t>p25</t>
        </is>
      </c>
      <c r="E111" s="6" t="inlineStr">
        <is>
          <t>Rural</t>
        </is>
      </c>
      <c r="F111" s="6" t="inlineStr">
        <is>
          <t>Deciles</t>
        </is>
      </c>
      <c r="G111" s="6" t="inlineStr">
        <is>
          <t>nga</t>
        </is>
      </c>
      <c r="H111" s="6" t="inlineStr">
        <is>
          <t>%</t>
        </is>
      </c>
      <c r="Q111" s="12">
        <f>BSHARE("nga_share",DECILE_ARRAY,"Rural","p25")</f>
        <v/>
      </c>
    </row>
    <row r="112">
      <c r="D112" s="6" t="inlineStr">
        <is>
          <t>p75</t>
        </is>
      </c>
      <c r="E112" s="6" t="inlineStr">
        <is>
          <t>Overall</t>
        </is>
      </c>
      <c r="F112" s="6" t="inlineStr">
        <is>
          <t>Basket</t>
        </is>
      </c>
      <c r="G112" s="6" t="inlineStr">
        <is>
          <t>nga</t>
        </is>
      </c>
      <c r="H112" s="6" t="inlineStr">
        <is>
          <t>%</t>
        </is>
      </c>
      <c r="P112" s="12">
        <f>BSHARE("nga_share",0,"Overall","p75")</f>
        <v/>
      </c>
    </row>
    <row r="113">
      <c r="D113" s="6" t="inlineStr">
        <is>
          <t>p75</t>
        </is>
      </c>
      <c r="E113" s="6" t="inlineStr">
        <is>
          <t>Overall</t>
        </is>
      </c>
      <c r="F113" s="6" t="inlineStr">
        <is>
          <t>Deciles</t>
        </is>
      </c>
      <c r="G113" s="6" t="inlineStr">
        <is>
          <t>nga</t>
        </is>
      </c>
      <c r="H113" s="6" t="inlineStr">
        <is>
          <t>%</t>
        </is>
      </c>
      <c r="Q113" s="12">
        <f>BSHARE("nga_share",DECILE_ARRAY,"Overall","p75")</f>
        <v/>
      </c>
    </row>
    <row r="114">
      <c r="D114" s="6" t="inlineStr">
        <is>
          <t>p75</t>
        </is>
      </c>
      <c r="E114" s="6" t="inlineStr">
        <is>
          <t>Urban</t>
        </is>
      </c>
      <c r="F114" s="6" t="inlineStr">
        <is>
          <t>Basket</t>
        </is>
      </c>
      <c r="G114" s="6" t="inlineStr">
        <is>
          <t>nga</t>
        </is>
      </c>
      <c r="H114" s="6" t="inlineStr">
        <is>
          <t>%</t>
        </is>
      </c>
      <c r="P114" s="12">
        <f>BSHARE("nga_share",0,"Urban","p75")</f>
        <v/>
      </c>
    </row>
    <row r="115">
      <c r="D115" s="6" t="inlineStr">
        <is>
          <t>p75</t>
        </is>
      </c>
      <c r="E115" s="6" t="inlineStr">
        <is>
          <t>Urban</t>
        </is>
      </c>
      <c r="F115" s="6" t="inlineStr">
        <is>
          <t>Deciles</t>
        </is>
      </c>
      <c r="G115" s="6" t="inlineStr">
        <is>
          <t>nga</t>
        </is>
      </c>
      <c r="H115" s="6" t="inlineStr">
        <is>
          <t>%</t>
        </is>
      </c>
      <c r="Q115" s="12">
        <f>BSHARE("nga_share",DECILE_ARRAY,"Urban","p75")</f>
        <v/>
      </c>
    </row>
    <row r="116">
      <c r="D116" s="6" t="inlineStr">
        <is>
          <t>p75</t>
        </is>
      </c>
      <c r="E116" s="6" t="inlineStr">
        <is>
          <t>Rural</t>
        </is>
      </c>
      <c r="F116" s="6" t="inlineStr">
        <is>
          <t>Basket</t>
        </is>
      </c>
      <c r="G116" s="6" t="inlineStr">
        <is>
          <t>nga</t>
        </is>
      </c>
      <c r="H116" s="6" t="inlineStr">
        <is>
          <t>%</t>
        </is>
      </c>
      <c r="P116" s="12">
        <f>BSHARE("nga_share",0,"Rural","p75")</f>
        <v/>
      </c>
    </row>
    <row r="117">
      <c r="D117" s="6" t="inlineStr">
        <is>
          <t>p75</t>
        </is>
      </c>
      <c r="E117" s="6" t="inlineStr">
        <is>
          <t>Rural</t>
        </is>
      </c>
      <c r="F117" s="6" t="inlineStr">
        <is>
          <t>Deciles</t>
        </is>
      </c>
      <c r="G117" s="6" t="inlineStr">
        <is>
          <t>nga</t>
        </is>
      </c>
      <c r="H117" s="6" t="inlineStr">
        <is>
          <t>%</t>
        </is>
      </c>
      <c r="Q117" s="12">
        <f>BSHARE("nga_share",DECILE_ARRAY,"Rural","p75")</f>
        <v/>
      </c>
    </row>
    <row r="119">
      <c r="C119" s="7" t="inlineStr">
        <is>
          <t>Non-Road Oil Budget Share (% Total Consumption)</t>
        </is>
      </c>
      <c r="G119" s="6" t="inlineStr">
        <is>
          <t>oil</t>
        </is>
      </c>
      <c r="O119" s="8" t="inlineStr">
        <is>
          <t>Decile --&gt;</t>
        </is>
      </c>
      <c r="Q119" s="8" t="n">
        <v>1</v>
      </c>
      <c r="R119" s="8" t="n">
        <v>2</v>
      </c>
      <c r="S119" s="8" t="n">
        <v>3</v>
      </c>
      <c r="T119" s="8" t="n">
        <v>4</v>
      </c>
      <c r="U119" s="8" t="n">
        <v>5</v>
      </c>
      <c r="V119" s="8" t="n">
        <v>6</v>
      </c>
      <c r="W119" s="8" t="n">
        <v>7</v>
      </c>
      <c r="X119" s="8" t="n">
        <v>8</v>
      </c>
      <c r="Y119" s="8" t="n">
        <v>9</v>
      </c>
      <c r="Z119" s="8" t="n">
        <v>10</v>
      </c>
    </row>
    <row r="120">
      <c r="D120" s="6" t="inlineStr">
        <is>
          <t>mean</t>
        </is>
      </c>
      <c r="E120" s="6" t="inlineStr">
        <is>
          <t>Overall</t>
        </is>
      </c>
      <c r="F120" s="6" t="inlineStr">
        <is>
          <t>Basket</t>
        </is>
      </c>
      <c r="G120" s="6" t="inlineStr">
        <is>
          <t>oil</t>
        </is>
      </c>
      <c r="H120" s="6" t="inlineStr">
        <is>
          <t>%</t>
        </is>
      </c>
      <c r="P120" s="12">
        <f>BSHARE("oil_share",0,"Overall","mean")</f>
        <v/>
      </c>
    </row>
    <row r="121">
      <c r="D121" s="6" t="inlineStr">
        <is>
          <t>mean</t>
        </is>
      </c>
      <c r="E121" s="6" t="inlineStr">
        <is>
          <t>Overall</t>
        </is>
      </c>
      <c r="F121" s="6" t="inlineStr">
        <is>
          <t>Deciles</t>
        </is>
      </c>
      <c r="G121" s="6" t="inlineStr">
        <is>
          <t>oil</t>
        </is>
      </c>
      <c r="H121" s="6" t="inlineStr">
        <is>
          <t>%</t>
        </is>
      </c>
      <c r="Q121" s="12">
        <f>BSHARE("oil_share",DECILE_ARRAY,"Overall","mean")</f>
        <v/>
      </c>
    </row>
    <row r="122">
      <c r="D122" s="6" t="inlineStr">
        <is>
          <t>mean</t>
        </is>
      </c>
      <c r="E122" s="6" t="inlineStr">
        <is>
          <t>Urban</t>
        </is>
      </c>
      <c r="F122" s="6" t="inlineStr">
        <is>
          <t>Basket</t>
        </is>
      </c>
      <c r="G122" s="6" t="inlineStr">
        <is>
          <t>oil</t>
        </is>
      </c>
      <c r="H122" s="6" t="inlineStr">
        <is>
          <t>%</t>
        </is>
      </c>
      <c r="P122" s="12">
        <f>BSHARE("oil_share",0,"Urban","mean")</f>
        <v/>
      </c>
    </row>
    <row r="123">
      <c r="D123" s="6" t="inlineStr">
        <is>
          <t>mean</t>
        </is>
      </c>
      <c r="E123" s="6" t="inlineStr">
        <is>
          <t>Urban</t>
        </is>
      </c>
      <c r="F123" s="6" t="inlineStr">
        <is>
          <t>Deciles</t>
        </is>
      </c>
      <c r="G123" s="6" t="inlineStr">
        <is>
          <t>oil</t>
        </is>
      </c>
      <c r="H123" s="6" t="inlineStr">
        <is>
          <t>%</t>
        </is>
      </c>
      <c r="Q123" s="12">
        <f>BSHARE("oil_share",DECILE_ARRAY,"Urban","mean")</f>
        <v/>
      </c>
    </row>
    <row r="124">
      <c r="D124" s="6" t="inlineStr">
        <is>
          <t>mean</t>
        </is>
      </c>
      <c r="E124" s="6" t="inlineStr">
        <is>
          <t>Rural</t>
        </is>
      </c>
      <c r="F124" s="6" t="inlineStr">
        <is>
          <t>Basket</t>
        </is>
      </c>
      <c r="G124" s="6" t="inlineStr">
        <is>
          <t>oil</t>
        </is>
      </c>
      <c r="H124" s="6" t="inlineStr">
        <is>
          <t>%</t>
        </is>
      </c>
      <c r="P124" s="12">
        <f>BSHARE("oil_share",0,"Rural","mean")</f>
        <v/>
      </c>
    </row>
    <row r="125">
      <c r="D125" s="6" t="inlineStr">
        <is>
          <t>mean</t>
        </is>
      </c>
      <c r="E125" s="6" t="inlineStr">
        <is>
          <t>Rural</t>
        </is>
      </c>
      <c r="F125" s="6" t="inlineStr">
        <is>
          <t>Deciles</t>
        </is>
      </c>
      <c r="G125" s="6" t="inlineStr">
        <is>
          <t>oil</t>
        </is>
      </c>
      <c r="H125" s="6" t="inlineStr">
        <is>
          <t>%</t>
        </is>
      </c>
      <c r="Q125" s="12">
        <f>BSHARE("oil_share",DECILE_ARRAY,"Rural","mean")</f>
        <v/>
      </c>
    </row>
    <row r="126">
      <c r="D126" s="6" t="inlineStr">
        <is>
          <t>median</t>
        </is>
      </c>
      <c r="E126" s="6" t="inlineStr">
        <is>
          <t>Overall</t>
        </is>
      </c>
      <c r="F126" s="6" t="inlineStr">
        <is>
          <t>Basket</t>
        </is>
      </c>
      <c r="G126" s="6" t="inlineStr">
        <is>
          <t>oil</t>
        </is>
      </c>
      <c r="H126" s="6" t="inlineStr">
        <is>
          <t>%</t>
        </is>
      </c>
      <c r="P126" s="12">
        <f>BSHARE("oil_share",0,"Overall","median")</f>
        <v/>
      </c>
    </row>
    <row r="127">
      <c r="D127" s="6" t="inlineStr">
        <is>
          <t>median</t>
        </is>
      </c>
      <c r="E127" s="6" t="inlineStr">
        <is>
          <t>Overall</t>
        </is>
      </c>
      <c r="F127" s="6" t="inlineStr">
        <is>
          <t>Deciles</t>
        </is>
      </c>
      <c r="G127" s="6" t="inlineStr">
        <is>
          <t>oil</t>
        </is>
      </c>
      <c r="H127" s="6" t="inlineStr">
        <is>
          <t>%</t>
        </is>
      </c>
      <c r="Q127" s="12">
        <f>BSHARE("oil_share",DECILE_ARRAY,"Overall","median")</f>
        <v/>
      </c>
    </row>
    <row r="128">
      <c r="D128" s="6" t="inlineStr">
        <is>
          <t>median</t>
        </is>
      </c>
      <c r="E128" s="6" t="inlineStr">
        <is>
          <t>Urban</t>
        </is>
      </c>
      <c r="F128" s="6" t="inlineStr">
        <is>
          <t>Basket</t>
        </is>
      </c>
      <c r="G128" s="6" t="inlineStr">
        <is>
          <t>oil</t>
        </is>
      </c>
      <c r="H128" s="6" t="inlineStr">
        <is>
          <t>%</t>
        </is>
      </c>
      <c r="P128" s="12">
        <f>BSHARE("oil_share",0,"Urban","median")</f>
        <v/>
      </c>
    </row>
    <row r="129">
      <c r="D129" s="6" t="inlineStr">
        <is>
          <t>median</t>
        </is>
      </c>
      <c r="E129" s="6" t="inlineStr">
        <is>
          <t>Urban</t>
        </is>
      </c>
      <c r="F129" s="6" t="inlineStr">
        <is>
          <t>Deciles</t>
        </is>
      </c>
      <c r="G129" s="6" t="inlineStr">
        <is>
          <t>oil</t>
        </is>
      </c>
      <c r="H129" s="6" t="inlineStr">
        <is>
          <t>%</t>
        </is>
      </c>
      <c r="Q129" s="12">
        <f>BSHARE("oil_share",DECILE_ARRAY,"Urban","median")</f>
        <v/>
      </c>
    </row>
    <row r="130">
      <c r="D130" s="6" t="inlineStr">
        <is>
          <t>median</t>
        </is>
      </c>
      <c r="E130" s="6" t="inlineStr">
        <is>
          <t>Rural</t>
        </is>
      </c>
      <c r="F130" s="6" t="inlineStr">
        <is>
          <t>Basket</t>
        </is>
      </c>
      <c r="G130" s="6" t="inlineStr">
        <is>
          <t>oil</t>
        </is>
      </c>
      <c r="H130" s="6" t="inlineStr">
        <is>
          <t>%</t>
        </is>
      </c>
      <c r="P130" s="12">
        <f>BSHARE("oil_share",0,"Rural","median")</f>
        <v/>
      </c>
    </row>
    <row r="131">
      <c r="D131" s="6" t="inlineStr">
        <is>
          <t>median</t>
        </is>
      </c>
      <c r="E131" s="6" t="inlineStr">
        <is>
          <t>Rural</t>
        </is>
      </c>
      <c r="F131" s="6" t="inlineStr">
        <is>
          <t>Deciles</t>
        </is>
      </c>
      <c r="G131" s="6" t="inlineStr">
        <is>
          <t>oil</t>
        </is>
      </c>
      <c r="H131" s="6" t="inlineStr">
        <is>
          <t>%</t>
        </is>
      </c>
      <c r="Q131" s="12">
        <f>BSHARE("oil_share",DECILE_ARRAY,"Rural","median")</f>
        <v/>
      </c>
    </row>
    <row r="132">
      <c r="D132" s="6" t="inlineStr">
        <is>
          <t>p25</t>
        </is>
      </c>
      <c r="E132" s="6" t="inlineStr">
        <is>
          <t>Overall</t>
        </is>
      </c>
      <c r="F132" s="6" t="inlineStr">
        <is>
          <t>Basket</t>
        </is>
      </c>
      <c r="G132" s="6" t="inlineStr">
        <is>
          <t>oil</t>
        </is>
      </c>
      <c r="H132" s="6" t="inlineStr">
        <is>
          <t>%</t>
        </is>
      </c>
      <c r="P132" s="12">
        <f>BSHARE("oil_share",0,"Overall","p25")</f>
        <v/>
      </c>
    </row>
    <row r="133">
      <c r="D133" s="6" t="inlineStr">
        <is>
          <t>p25</t>
        </is>
      </c>
      <c r="E133" s="6" t="inlineStr">
        <is>
          <t>Overall</t>
        </is>
      </c>
      <c r="F133" s="6" t="inlineStr">
        <is>
          <t>Deciles</t>
        </is>
      </c>
      <c r="G133" s="6" t="inlineStr">
        <is>
          <t>oil</t>
        </is>
      </c>
      <c r="H133" s="6" t="inlineStr">
        <is>
          <t>%</t>
        </is>
      </c>
      <c r="Q133" s="12">
        <f>BSHARE("oil_share",DECILE_ARRAY,"Overall","p25")</f>
        <v/>
      </c>
    </row>
    <row r="134">
      <c r="D134" s="6" t="inlineStr">
        <is>
          <t>p25</t>
        </is>
      </c>
      <c r="E134" s="6" t="inlineStr">
        <is>
          <t>Urban</t>
        </is>
      </c>
      <c r="F134" s="6" t="inlineStr">
        <is>
          <t>Basket</t>
        </is>
      </c>
      <c r="G134" s="6" t="inlineStr">
        <is>
          <t>oil</t>
        </is>
      </c>
      <c r="H134" s="6" t="inlineStr">
        <is>
          <t>%</t>
        </is>
      </c>
      <c r="P134" s="12">
        <f>BSHARE("oil_share",0,"Urban","p25")</f>
        <v/>
      </c>
    </row>
    <row r="135">
      <c r="D135" s="6" t="inlineStr">
        <is>
          <t>p25</t>
        </is>
      </c>
      <c r="E135" s="6" t="inlineStr">
        <is>
          <t>Urban</t>
        </is>
      </c>
      <c r="F135" s="6" t="inlineStr">
        <is>
          <t>Deciles</t>
        </is>
      </c>
      <c r="G135" s="6" t="inlineStr">
        <is>
          <t>oil</t>
        </is>
      </c>
      <c r="H135" s="6" t="inlineStr">
        <is>
          <t>%</t>
        </is>
      </c>
      <c r="Q135" s="12">
        <f>BSHARE("oil_share",DECILE_ARRAY,"Urban","p25")</f>
        <v/>
      </c>
    </row>
    <row r="136">
      <c r="D136" s="6" t="inlineStr">
        <is>
          <t>p25</t>
        </is>
      </c>
      <c r="E136" s="6" t="inlineStr">
        <is>
          <t>Rural</t>
        </is>
      </c>
      <c r="F136" s="6" t="inlineStr">
        <is>
          <t>Basket</t>
        </is>
      </c>
      <c r="G136" s="6" t="inlineStr">
        <is>
          <t>oil</t>
        </is>
      </c>
      <c r="H136" s="6" t="inlineStr">
        <is>
          <t>%</t>
        </is>
      </c>
      <c r="P136" s="12">
        <f>BSHARE("oil_share",0,"Rural","p25")</f>
        <v/>
      </c>
    </row>
    <row r="137">
      <c r="D137" s="6" t="inlineStr">
        <is>
          <t>p25</t>
        </is>
      </c>
      <c r="E137" s="6" t="inlineStr">
        <is>
          <t>Rural</t>
        </is>
      </c>
      <c r="F137" s="6" t="inlineStr">
        <is>
          <t>Deciles</t>
        </is>
      </c>
      <c r="G137" s="6" t="inlineStr">
        <is>
          <t>oil</t>
        </is>
      </c>
      <c r="H137" s="6" t="inlineStr">
        <is>
          <t>%</t>
        </is>
      </c>
      <c r="Q137" s="12">
        <f>BSHARE("oil_share",DECILE_ARRAY,"Rural","p25")</f>
        <v/>
      </c>
    </row>
    <row r="138">
      <c r="D138" s="6" t="inlineStr">
        <is>
          <t>p75</t>
        </is>
      </c>
      <c r="E138" s="6" t="inlineStr">
        <is>
          <t>Overall</t>
        </is>
      </c>
      <c r="F138" s="6" t="inlineStr">
        <is>
          <t>Basket</t>
        </is>
      </c>
      <c r="G138" s="6" t="inlineStr">
        <is>
          <t>oil</t>
        </is>
      </c>
      <c r="H138" s="6" t="inlineStr">
        <is>
          <t>%</t>
        </is>
      </c>
      <c r="P138" s="12">
        <f>BSHARE("oil_share",0,"Overall","p75")</f>
        <v/>
      </c>
    </row>
    <row r="139">
      <c r="D139" s="6" t="inlineStr">
        <is>
          <t>p75</t>
        </is>
      </c>
      <c r="E139" s="6" t="inlineStr">
        <is>
          <t>Overall</t>
        </is>
      </c>
      <c r="F139" s="6" t="inlineStr">
        <is>
          <t>Deciles</t>
        </is>
      </c>
      <c r="G139" s="6" t="inlineStr">
        <is>
          <t>oil</t>
        </is>
      </c>
      <c r="H139" s="6" t="inlineStr">
        <is>
          <t>%</t>
        </is>
      </c>
      <c r="Q139" s="12">
        <f>BSHARE("oil_share",DECILE_ARRAY,"Overall","p75")</f>
        <v/>
      </c>
    </row>
    <row r="140">
      <c r="D140" s="6" t="inlineStr">
        <is>
          <t>p75</t>
        </is>
      </c>
      <c r="E140" s="6" t="inlineStr">
        <is>
          <t>Urban</t>
        </is>
      </c>
      <c r="F140" s="6" t="inlineStr">
        <is>
          <t>Basket</t>
        </is>
      </c>
      <c r="G140" s="6" t="inlineStr">
        <is>
          <t>oil</t>
        </is>
      </c>
      <c r="H140" s="6" t="inlineStr">
        <is>
          <t>%</t>
        </is>
      </c>
      <c r="P140" s="12">
        <f>BSHARE("oil_share",0,"Urban","p75")</f>
        <v/>
      </c>
    </row>
    <row r="141">
      <c r="D141" s="6" t="inlineStr">
        <is>
          <t>p75</t>
        </is>
      </c>
      <c r="E141" s="6" t="inlineStr">
        <is>
          <t>Urban</t>
        </is>
      </c>
      <c r="F141" s="6" t="inlineStr">
        <is>
          <t>Deciles</t>
        </is>
      </c>
      <c r="G141" s="6" t="inlineStr">
        <is>
          <t>oil</t>
        </is>
      </c>
      <c r="H141" s="6" t="inlineStr">
        <is>
          <t>%</t>
        </is>
      </c>
      <c r="Q141" s="12">
        <f>BSHARE("oil_share",DECILE_ARRAY,"Urban","p75")</f>
        <v/>
      </c>
    </row>
    <row r="142">
      <c r="D142" s="6" t="inlineStr">
        <is>
          <t>p75</t>
        </is>
      </c>
      <c r="E142" s="6" t="inlineStr">
        <is>
          <t>Rural</t>
        </is>
      </c>
      <c r="F142" s="6" t="inlineStr">
        <is>
          <t>Basket</t>
        </is>
      </c>
      <c r="G142" s="6" t="inlineStr">
        <is>
          <t>oil</t>
        </is>
      </c>
      <c r="H142" s="6" t="inlineStr">
        <is>
          <t>%</t>
        </is>
      </c>
      <c r="P142" s="12">
        <f>BSHARE("oil_share",0,"Rural","p75")</f>
        <v/>
      </c>
    </row>
    <row r="143">
      <c r="D143" s="6" t="inlineStr">
        <is>
          <t>p75</t>
        </is>
      </c>
      <c r="E143" s="6" t="inlineStr">
        <is>
          <t>Rural</t>
        </is>
      </c>
      <c r="F143" s="6" t="inlineStr">
        <is>
          <t>Deciles</t>
        </is>
      </c>
      <c r="G143" s="6" t="inlineStr">
        <is>
          <t>oil</t>
        </is>
      </c>
      <c r="H143" s="6" t="inlineStr">
        <is>
          <t>%</t>
        </is>
      </c>
      <c r="Q143" s="12">
        <f>BSHARE("oil_share",DECILE_ARRAY,"Rural","p75")</f>
        <v/>
      </c>
    </row>
    <row r="145">
      <c r="C145" s="7" t="inlineStr">
        <is>
          <t>Gasoline Budget Share (% Total Consumption)</t>
        </is>
      </c>
      <c r="G145" s="6" t="inlineStr">
        <is>
          <t>gso</t>
        </is>
      </c>
      <c r="O145" s="8" t="inlineStr">
        <is>
          <t>Decile --&gt;</t>
        </is>
      </c>
      <c r="Q145" s="8" t="n">
        <v>1</v>
      </c>
      <c r="R145" s="8" t="n">
        <v>2</v>
      </c>
      <c r="S145" s="8" t="n">
        <v>3</v>
      </c>
      <c r="T145" s="8" t="n">
        <v>4</v>
      </c>
      <c r="U145" s="8" t="n">
        <v>5</v>
      </c>
      <c r="V145" s="8" t="n">
        <v>6</v>
      </c>
      <c r="W145" s="8" t="n">
        <v>7</v>
      </c>
      <c r="X145" s="8" t="n">
        <v>8</v>
      </c>
      <c r="Y145" s="8" t="n">
        <v>9</v>
      </c>
      <c r="Z145" s="8" t="n">
        <v>10</v>
      </c>
    </row>
    <row r="146">
      <c r="D146" s="6" t="inlineStr">
        <is>
          <t>mean</t>
        </is>
      </c>
      <c r="E146" s="6" t="inlineStr">
        <is>
          <t>Overall</t>
        </is>
      </c>
      <c r="F146" s="6" t="inlineStr">
        <is>
          <t>Basket</t>
        </is>
      </c>
      <c r="G146" s="6" t="inlineStr">
        <is>
          <t>gso</t>
        </is>
      </c>
      <c r="H146" s="6" t="inlineStr">
        <is>
          <t>%</t>
        </is>
      </c>
      <c r="P146" s="12">
        <f>BSHARE("gso_share",0,"Overall","mean")</f>
        <v/>
      </c>
    </row>
    <row r="147">
      <c r="D147" s="6" t="inlineStr">
        <is>
          <t>mean</t>
        </is>
      </c>
      <c r="E147" s="6" t="inlineStr">
        <is>
          <t>Overall</t>
        </is>
      </c>
      <c r="F147" s="6" t="inlineStr">
        <is>
          <t>Deciles</t>
        </is>
      </c>
      <c r="G147" s="6" t="inlineStr">
        <is>
          <t>gso</t>
        </is>
      </c>
      <c r="H147" s="6" t="inlineStr">
        <is>
          <t>%</t>
        </is>
      </c>
      <c r="Q147" s="12">
        <f>BSHARE("gso_share",DECILE_ARRAY,"Overall","mean")</f>
        <v/>
      </c>
    </row>
    <row r="148">
      <c r="D148" s="6" t="inlineStr">
        <is>
          <t>mean</t>
        </is>
      </c>
      <c r="E148" s="6" t="inlineStr">
        <is>
          <t>Urban</t>
        </is>
      </c>
      <c r="F148" s="6" t="inlineStr">
        <is>
          <t>Basket</t>
        </is>
      </c>
      <c r="G148" s="6" t="inlineStr">
        <is>
          <t>gso</t>
        </is>
      </c>
      <c r="H148" s="6" t="inlineStr">
        <is>
          <t>%</t>
        </is>
      </c>
      <c r="P148" s="12">
        <f>BSHARE("gso_share",0,"Urban","mean")</f>
        <v/>
      </c>
    </row>
    <row r="149">
      <c r="D149" s="6" t="inlineStr">
        <is>
          <t>mean</t>
        </is>
      </c>
      <c r="E149" s="6" t="inlineStr">
        <is>
          <t>Urban</t>
        </is>
      </c>
      <c r="F149" s="6" t="inlineStr">
        <is>
          <t>Deciles</t>
        </is>
      </c>
      <c r="G149" s="6" t="inlineStr">
        <is>
          <t>gso</t>
        </is>
      </c>
      <c r="H149" s="6" t="inlineStr">
        <is>
          <t>%</t>
        </is>
      </c>
      <c r="Q149" s="12">
        <f>BSHARE("gso_share",DECILE_ARRAY,"Urban","mean")</f>
        <v/>
      </c>
    </row>
    <row r="150">
      <c r="D150" s="6" t="inlineStr">
        <is>
          <t>mean</t>
        </is>
      </c>
      <c r="E150" s="6" t="inlineStr">
        <is>
          <t>Rural</t>
        </is>
      </c>
      <c r="F150" s="6" t="inlineStr">
        <is>
          <t>Basket</t>
        </is>
      </c>
      <c r="G150" s="6" t="inlineStr">
        <is>
          <t>gso</t>
        </is>
      </c>
      <c r="H150" s="6" t="inlineStr">
        <is>
          <t>%</t>
        </is>
      </c>
      <c r="P150" s="12">
        <f>BSHARE("gso_share",0,"Rural","mean")</f>
        <v/>
      </c>
    </row>
    <row r="151">
      <c r="D151" s="6" t="inlineStr">
        <is>
          <t>mean</t>
        </is>
      </c>
      <c r="E151" s="6" t="inlineStr">
        <is>
          <t>Rural</t>
        </is>
      </c>
      <c r="F151" s="6" t="inlineStr">
        <is>
          <t>Deciles</t>
        </is>
      </c>
      <c r="G151" s="6" t="inlineStr">
        <is>
          <t>gso</t>
        </is>
      </c>
      <c r="H151" s="6" t="inlineStr">
        <is>
          <t>%</t>
        </is>
      </c>
      <c r="Q151" s="12">
        <f>BSHARE("gso_share",DECILE_ARRAY,"Rural","mean")</f>
        <v/>
      </c>
    </row>
    <row r="152">
      <c r="D152" s="6" t="inlineStr">
        <is>
          <t>median</t>
        </is>
      </c>
      <c r="E152" s="6" t="inlineStr">
        <is>
          <t>Overall</t>
        </is>
      </c>
      <c r="F152" s="6" t="inlineStr">
        <is>
          <t>Basket</t>
        </is>
      </c>
      <c r="G152" s="6" t="inlineStr">
        <is>
          <t>gso</t>
        </is>
      </c>
      <c r="H152" s="6" t="inlineStr">
        <is>
          <t>%</t>
        </is>
      </c>
      <c r="P152" s="12">
        <f>BSHARE("gso_share",0,"Overall","median")</f>
        <v/>
      </c>
    </row>
    <row r="153">
      <c r="D153" s="6" t="inlineStr">
        <is>
          <t>median</t>
        </is>
      </c>
      <c r="E153" s="6" t="inlineStr">
        <is>
          <t>Overall</t>
        </is>
      </c>
      <c r="F153" s="6" t="inlineStr">
        <is>
          <t>Deciles</t>
        </is>
      </c>
      <c r="G153" s="6" t="inlineStr">
        <is>
          <t>gso</t>
        </is>
      </c>
      <c r="H153" s="6" t="inlineStr">
        <is>
          <t>%</t>
        </is>
      </c>
      <c r="Q153" s="12">
        <f>BSHARE("gso_share",DECILE_ARRAY,"Overall","median")</f>
        <v/>
      </c>
    </row>
    <row r="154">
      <c r="D154" s="6" t="inlineStr">
        <is>
          <t>median</t>
        </is>
      </c>
      <c r="E154" s="6" t="inlineStr">
        <is>
          <t>Urban</t>
        </is>
      </c>
      <c r="F154" s="6" t="inlineStr">
        <is>
          <t>Basket</t>
        </is>
      </c>
      <c r="G154" s="6" t="inlineStr">
        <is>
          <t>gso</t>
        </is>
      </c>
      <c r="H154" s="6" t="inlineStr">
        <is>
          <t>%</t>
        </is>
      </c>
      <c r="P154" s="12">
        <f>BSHARE("gso_share",0,"Urban","median")</f>
        <v/>
      </c>
    </row>
    <row r="155">
      <c r="D155" s="6" t="inlineStr">
        <is>
          <t>median</t>
        </is>
      </c>
      <c r="E155" s="6" t="inlineStr">
        <is>
          <t>Urban</t>
        </is>
      </c>
      <c r="F155" s="6" t="inlineStr">
        <is>
          <t>Deciles</t>
        </is>
      </c>
      <c r="G155" s="6" t="inlineStr">
        <is>
          <t>gso</t>
        </is>
      </c>
      <c r="H155" s="6" t="inlineStr">
        <is>
          <t>%</t>
        </is>
      </c>
      <c r="Q155" s="12">
        <f>BSHARE("gso_share",DECILE_ARRAY,"Urban","median")</f>
        <v/>
      </c>
    </row>
    <row r="156">
      <c r="D156" s="6" t="inlineStr">
        <is>
          <t>median</t>
        </is>
      </c>
      <c r="E156" s="6" t="inlineStr">
        <is>
          <t>Rural</t>
        </is>
      </c>
      <c r="F156" s="6" t="inlineStr">
        <is>
          <t>Basket</t>
        </is>
      </c>
      <c r="G156" s="6" t="inlineStr">
        <is>
          <t>gso</t>
        </is>
      </c>
      <c r="H156" s="6" t="inlineStr">
        <is>
          <t>%</t>
        </is>
      </c>
      <c r="P156" s="12">
        <f>BSHARE("gso_share",0,"Rural","median")</f>
        <v/>
      </c>
    </row>
    <row r="157">
      <c r="D157" s="6" t="inlineStr">
        <is>
          <t>median</t>
        </is>
      </c>
      <c r="E157" s="6" t="inlineStr">
        <is>
          <t>Rural</t>
        </is>
      </c>
      <c r="F157" s="6" t="inlineStr">
        <is>
          <t>Deciles</t>
        </is>
      </c>
      <c r="G157" s="6" t="inlineStr">
        <is>
          <t>gso</t>
        </is>
      </c>
      <c r="H157" s="6" t="inlineStr">
        <is>
          <t>%</t>
        </is>
      </c>
      <c r="Q157" s="12">
        <f>BSHARE("gso_share",DECILE_ARRAY,"Rural","median")</f>
        <v/>
      </c>
    </row>
    <row r="158">
      <c r="D158" s="6" t="inlineStr">
        <is>
          <t>p25</t>
        </is>
      </c>
      <c r="E158" s="6" t="inlineStr">
        <is>
          <t>Overall</t>
        </is>
      </c>
      <c r="F158" s="6" t="inlineStr">
        <is>
          <t>Basket</t>
        </is>
      </c>
      <c r="G158" s="6" t="inlineStr">
        <is>
          <t>gso</t>
        </is>
      </c>
      <c r="H158" s="6" t="inlineStr">
        <is>
          <t>%</t>
        </is>
      </c>
      <c r="P158" s="12">
        <f>BSHARE("gso_share",0,"Overall","p25")</f>
        <v/>
      </c>
    </row>
    <row r="159">
      <c r="D159" s="6" t="inlineStr">
        <is>
          <t>p25</t>
        </is>
      </c>
      <c r="E159" s="6" t="inlineStr">
        <is>
          <t>Overall</t>
        </is>
      </c>
      <c r="F159" s="6" t="inlineStr">
        <is>
          <t>Deciles</t>
        </is>
      </c>
      <c r="G159" s="6" t="inlineStr">
        <is>
          <t>gso</t>
        </is>
      </c>
      <c r="H159" s="6" t="inlineStr">
        <is>
          <t>%</t>
        </is>
      </c>
      <c r="Q159" s="12">
        <f>BSHARE("gso_share",DECILE_ARRAY,"Overall","p25")</f>
        <v/>
      </c>
    </row>
    <row r="160">
      <c r="D160" s="6" t="inlineStr">
        <is>
          <t>p25</t>
        </is>
      </c>
      <c r="E160" s="6" t="inlineStr">
        <is>
          <t>Urban</t>
        </is>
      </c>
      <c r="F160" s="6" t="inlineStr">
        <is>
          <t>Basket</t>
        </is>
      </c>
      <c r="G160" s="6" t="inlineStr">
        <is>
          <t>gso</t>
        </is>
      </c>
      <c r="H160" s="6" t="inlineStr">
        <is>
          <t>%</t>
        </is>
      </c>
      <c r="P160" s="12">
        <f>BSHARE("gso_share",0,"Urban","p25")</f>
        <v/>
      </c>
    </row>
    <row r="161">
      <c r="D161" s="6" t="inlineStr">
        <is>
          <t>p25</t>
        </is>
      </c>
      <c r="E161" s="6" t="inlineStr">
        <is>
          <t>Urban</t>
        </is>
      </c>
      <c r="F161" s="6" t="inlineStr">
        <is>
          <t>Deciles</t>
        </is>
      </c>
      <c r="G161" s="6" t="inlineStr">
        <is>
          <t>gso</t>
        </is>
      </c>
      <c r="H161" s="6" t="inlineStr">
        <is>
          <t>%</t>
        </is>
      </c>
      <c r="Q161" s="12">
        <f>BSHARE("gso_share",DECILE_ARRAY,"Urban","p25")</f>
        <v/>
      </c>
    </row>
    <row r="162">
      <c r="D162" s="6" t="inlineStr">
        <is>
          <t>p25</t>
        </is>
      </c>
      <c r="E162" s="6" t="inlineStr">
        <is>
          <t>Rural</t>
        </is>
      </c>
      <c r="F162" s="6" t="inlineStr">
        <is>
          <t>Basket</t>
        </is>
      </c>
      <c r="G162" s="6" t="inlineStr">
        <is>
          <t>gso</t>
        </is>
      </c>
      <c r="H162" s="6" t="inlineStr">
        <is>
          <t>%</t>
        </is>
      </c>
      <c r="P162" s="12">
        <f>BSHARE("gso_share",0,"Rural","p25")</f>
        <v/>
      </c>
    </row>
    <row r="163">
      <c r="D163" s="6" t="inlineStr">
        <is>
          <t>p25</t>
        </is>
      </c>
      <c r="E163" s="6" t="inlineStr">
        <is>
          <t>Rural</t>
        </is>
      </c>
      <c r="F163" s="6" t="inlineStr">
        <is>
          <t>Deciles</t>
        </is>
      </c>
      <c r="G163" s="6" t="inlineStr">
        <is>
          <t>gso</t>
        </is>
      </c>
      <c r="H163" s="6" t="inlineStr">
        <is>
          <t>%</t>
        </is>
      </c>
      <c r="Q163" s="12">
        <f>BSHARE("gso_share",DECILE_ARRAY,"Rural","p25")</f>
        <v/>
      </c>
    </row>
    <row r="164">
      <c r="D164" s="6" t="inlineStr">
        <is>
          <t>p75</t>
        </is>
      </c>
      <c r="E164" s="6" t="inlineStr">
        <is>
          <t>Overall</t>
        </is>
      </c>
      <c r="F164" s="6" t="inlineStr">
        <is>
          <t>Basket</t>
        </is>
      </c>
      <c r="G164" s="6" t="inlineStr">
        <is>
          <t>gso</t>
        </is>
      </c>
      <c r="H164" s="6" t="inlineStr">
        <is>
          <t>%</t>
        </is>
      </c>
      <c r="P164" s="12">
        <f>BSHARE("gso_share",0,"Overall","p75")</f>
        <v/>
      </c>
    </row>
    <row r="165">
      <c r="D165" s="6" t="inlineStr">
        <is>
          <t>p75</t>
        </is>
      </c>
      <c r="E165" s="6" t="inlineStr">
        <is>
          <t>Overall</t>
        </is>
      </c>
      <c r="F165" s="6" t="inlineStr">
        <is>
          <t>Deciles</t>
        </is>
      </c>
      <c r="G165" s="6" t="inlineStr">
        <is>
          <t>gso</t>
        </is>
      </c>
      <c r="H165" s="6" t="inlineStr">
        <is>
          <t>%</t>
        </is>
      </c>
      <c r="Q165" s="12">
        <f>BSHARE("gso_share",DECILE_ARRAY,"Overall","p75")</f>
        <v/>
      </c>
    </row>
    <row r="166">
      <c r="D166" s="6" t="inlineStr">
        <is>
          <t>p75</t>
        </is>
      </c>
      <c r="E166" s="6" t="inlineStr">
        <is>
          <t>Urban</t>
        </is>
      </c>
      <c r="F166" s="6" t="inlineStr">
        <is>
          <t>Basket</t>
        </is>
      </c>
      <c r="G166" s="6" t="inlineStr">
        <is>
          <t>gso</t>
        </is>
      </c>
      <c r="H166" s="6" t="inlineStr">
        <is>
          <t>%</t>
        </is>
      </c>
      <c r="P166" s="12">
        <f>BSHARE("gso_share",0,"Urban","p75")</f>
        <v/>
      </c>
    </row>
    <row r="167">
      <c r="D167" s="6" t="inlineStr">
        <is>
          <t>p75</t>
        </is>
      </c>
      <c r="E167" s="6" t="inlineStr">
        <is>
          <t>Urban</t>
        </is>
      </c>
      <c r="F167" s="6" t="inlineStr">
        <is>
          <t>Deciles</t>
        </is>
      </c>
      <c r="G167" s="6" t="inlineStr">
        <is>
          <t>gso</t>
        </is>
      </c>
      <c r="H167" s="6" t="inlineStr">
        <is>
          <t>%</t>
        </is>
      </c>
      <c r="Q167" s="12">
        <f>BSHARE("gso_share",DECILE_ARRAY,"Urban","p75")</f>
        <v/>
      </c>
    </row>
    <row r="168">
      <c r="D168" s="6" t="inlineStr">
        <is>
          <t>p75</t>
        </is>
      </c>
      <c r="E168" s="6" t="inlineStr">
        <is>
          <t>Rural</t>
        </is>
      </c>
      <c r="F168" s="6" t="inlineStr">
        <is>
          <t>Basket</t>
        </is>
      </c>
      <c r="G168" s="6" t="inlineStr">
        <is>
          <t>gso</t>
        </is>
      </c>
      <c r="H168" s="6" t="inlineStr">
        <is>
          <t>%</t>
        </is>
      </c>
      <c r="P168" s="12">
        <f>BSHARE("gso_share",0,"Rural","p75")</f>
        <v/>
      </c>
    </row>
    <row r="169">
      <c r="D169" s="6" t="inlineStr">
        <is>
          <t>p75</t>
        </is>
      </c>
      <c r="E169" s="6" t="inlineStr">
        <is>
          <t>Rural</t>
        </is>
      </c>
      <c r="F169" s="6" t="inlineStr">
        <is>
          <t>Deciles</t>
        </is>
      </c>
      <c r="G169" s="6" t="inlineStr">
        <is>
          <t>gso</t>
        </is>
      </c>
      <c r="H169" s="6" t="inlineStr">
        <is>
          <t>%</t>
        </is>
      </c>
      <c r="Q169" s="12">
        <f>BSHARE("gso_share",DECILE_ARRAY,"Rural","p75")</f>
        <v/>
      </c>
    </row>
    <row r="171">
      <c r="C171" s="7" t="inlineStr">
        <is>
          <t>Diesel Budget Share (% Total Consumption)</t>
        </is>
      </c>
      <c r="G171" s="6" t="inlineStr">
        <is>
          <t>die</t>
        </is>
      </c>
      <c r="O171" s="8" t="inlineStr">
        <is>
          <t>Decile --&gt;</t>
        </is>
      </c>
      <c r="Q171" s="8" t="n">
        <v>1</v>
      </c>
      <c r="R171" s="8" t="n">
        <v>2</v>
      </c>
      <c r="S171" s="8" t="n">
        <v>3</v>
      </c>
      <c r="T171" s="8" t="n">
        <v>4</v>
      </c>
      <c r="U171" s="8" t="n">
        <v>5</v>
      </c>
      <c r="V171" s="8" t="n">
        <v>6</v>
      </c>
      <c r="W171" s="8" t="n">
        <v>7</v>
      </c>
      <c r="X171" s="8" t="n">
        <v>8</v>
      </c>
      <c r="Y171" s="8" t="n">
        <v>9</v>
      </c>
      <c r="Z171" s="8" t="n">
        <v>10</v>
      </c>
    </row>
    <row r="172">
      <c r="D172" s="6" t="inlineStr">
        <is>
          <t>mean</t>
        </is>
      </c>
      <c r="E172" s="6" t="inlineStr">
        <is>
          <t>Overall</t>
        </is>
      </c>
      <c r="F172" s="6" t="inlineStr">
        <is>
          <t>Basket</t>
        </is>
      </c>
      <c r="G172" s="6" t="inlineStr">
        <is>
          <t>die</t>
        </is>
      </c>
      <c r="H172" s="6" t="inlineStr">
        <is>
          <t>%</t>
        </is>
      </c>
      <c r="P172" s="12">
        <f>BSHARE("die_share",0,"Overall","mean")</f>
        <v/>
      </c>
    </row>
    <row r="173">
      <c r="D173" s="6" t="inlineStr">
        <is>
          <t>mean</t>
        </is>
      </c>
      <c r="E173" s="6" t="inlineStr">
        <is>
          <t>Overall</t>
        </is>
      </c>
      <c r="F173" s="6" t="inlineStr">
        <is>
          <t>Deciles</t>
        </is>
      </c>
      <c r="G173" s="6" t="inlineStr">
        <is>
          <t>die</t>
        </is>
      </c>
      <c r="H173" s="6" t="inlineStr">
        <is>
          <t>%</t>
        </is>
      </c>
      <c r="Q173" s="12">
        <f>BSHARE("die_share",DECILE_ARRAY,"Overall","mean")</f>
        <v/>
      </c>
    </row>
    <row r="174">
      <c r="D174" s="6" t="inlineStr">
        <is>
          <t>mean</t>
        </is>
      </c>
      <c r="E174" s="6" t="inlineStr">
        <is>
          <t>Urban</t>
        </is>
      </c>
      <c r="F174" s="6" t="inlineStr">
        <is>
          <t>Basket</t>
        </is>
      </c>
      <c r="G174" s="6" t="inlineStr">
        <is>
          <t>die</t>
        </is>
      </c>
      <c r="H174" s="6" t="inlineStr">
        <is>
          <t>%</t>
        </is>
      </c>
      <c r="P174" s="12">
        <f>BSHARE("die_share",0,"Urban","mean")</f>
        <v/>
      </c>
    </row>
    <row r="175">
      <c r="D175" s="6" t="inlineStr">
        <is>
          <t>mean</t>
        </is>
      </c>
      <c r="E175" s="6" t="inlineStr">
        <is>
          <t>Urban</t>
        </is>
      </c>
      <c r="F175" s="6" t="inlineStr">
        <is>
          <t>Deciles</t>
        </is>
      </c>
      <c r="G175" s="6" t="inlineStr">
        <is>
          <t>die</t>
        </is>
      </c>
      <c r="H175" s="6" t="inlineStr">
        <is>
          <t>%</t>
        </is>
      </c>
      <c r="Q175" s="12">
        <f>BSHARE("die_share",DECILE_ARRAY,"Urban","mean")</f>
        <v/>
      </c>
    </row>
    <row r="176">
      <c r="D176" s="6" t="inlineStr">
        <is>
          <t>mean</t>
        </is>
      </c>
      <c r="E176" s="6" t="inlineStr">
        <is>
          <t>Rural</t>
        </is>
      </c>
      <c r="F176" s="6" t="inlineStr">
        <is>
          <t>Basket</t>
        </is>
      </c>
      <c r="G176" s="6" t="inlineStr">
        <is>
          <t>die</t>
        </is>
      </c>
      <c r="H176" s="6" t="inlineStr">
        <is>
          <t>%</t>
        </is>
      </c>
      <c r="P176" s="12">
        <f>BSHARE("die_share",0,"Rural","mean")</f>
        <v/>
      </c>
    </row>
    <row r="177">
      <c r="D177" s="6" t="inlineStr">
        <is>
          <t>mean</t>
        </is>
      </c>
      <c r="E177" s="6" t="inlineStr">
        <is>
          <t>Rural</t>
        </is>
      </c>
      <c r="F177" s="6" t="inlineStr">
        <is>
          <t>Deciles</t>
        </is>
      </c>
      <c r="G177" s="6" t="inlineStr">
        <is>
          <t>die</t>
        </is>
      </c>
      <c r="H177" s="6" t="inlineStr">
        <is>
          <t>%</t>
        </is>
      </c>
      <c r="Q177" s="12">
        <f>BSHARE("die_share",DECILE_ARRAY,"Rural","mean")</f>
        <v/>
      </c>
    </row>
    <row r="178">
      <c r="D178" s="6" t="inlineStr">
        <is>
          <t>median</t>
        </is>
      </c>
      <c r="E178" s="6" t="inlineStr">
        <is>
          <t>Overall</t>
        </is>
      </c>
      <c r="F178" s="6" t="inlineStr">
        <is>
          <t>Basket</t>
        </is>
      </c>
      <c r="G178" s="6" t="inlineStr">
        <is>
          <t>die</t>
        </is>
      </c>
      <c r="H178" s="6" t="inlineStr">
        <is>
          <t>%</t>
        </is>
      </c>
      <c r="P178" s="12">
        <f>BSHARE("die_share",0,"Overall","median")</f>
        <v/>
      </c>
    </row>
    <row r="179">
      <c r="D179" s="6" t="inlineStr">
        <is>
          <t>median</t>
        </is>
      </c>
      <c r="E179" s="6" t="inlineStr">
        <is>
          <t>Overall</t>
        </is>
      </c>
      <c r="F179" s="6" t="inlineStr">
        <is>
          <t>Deciles</t>
        </is>
      </c>
      <c r="G179" s="6" t="inlineStr">
        <is>
          <t>die</t>
        </is>
      </c>
      <c r="H179" s="6" t="inlineStr">
        <is>
          <t>%</t>
        </is>
      </c>
      <c r="Q179" s="12">
        <f>BSHARE("die_share",DECILE_ARRAY,"Overall","median")</f>
        <v/>
      </c>
    </row>
    <row r="180">
      <c r="D180" s="6" t="inlineStr">
        <is>
          <t>median</t>
        </is>
      </c>
      <c r="E180" s="6" t="inlineStr">
        <is>
          <t>Urban</t>
        </is>
      </c>
      <c r="F180" s="6" t="inlineStr">
        <is>
          <t>Basket</t>
        </is>
      </c>
      <c r="G180" s="6" t="inlineStr">
        <is>
          <t>die</t>
        </is>
      </c>
      <c r="H180" s="6" t="inlineStr">
        <is>
          <t>%</t>
        </is>
      </c>
      <c r="P180" s="12">
        <f>BSHARE("die_share",0,"Urban","median")</f>
        <v/>
      </c>
    </row>
    <row r="181">
      <c r="D181" s="6" t="inlineStr">
        <is>
          <t>median</t>
        </is>
      </c>
      <c r="E181" s="6" t="inlineStr">
        <is>
          <t>Urban</t>
        </is>
      </c>
      <c r="F181" s="6" t="inlineStr">
        <is>
          <t>Deciles</t>
        </is>
      </c>
      <c r="G181" s="6" t="inlineStr">
        <is>
          <t>die</t>
        </is>
      </c>
      <c r="H181" s="6" t="inlineStr">
        <is>
          <t>%</t>
        </is>
      </c>
      <c r="Q181" s="12">
        <f>BSHARE("die_share",DECILE_ARRAY,"Urban","median")</f>
        <v/>
      </c>
    </row>
    <row r="182">
      <c r="D182" s="6" t="inlineStr">
        <is>
          <t>median</t>
        </is>
      </c>
      <c r="E182" s="6" t="inlineStr">
        <is>
          <t>Rural</t>
        </is>
      </c>
      <c r="F182" s="6" t="inlineStr">
        <is>
          <t>Basket</t>
        </is>
      </c>
      <c r="G182" s="6" t="inlineStr">
        <is>
          <t>die</t>
        </is>
      </c>
      <c r="H182" s="6" t="inlineStr">
        <is>
          <t>%</t>
        </is>
      </c>
      <c r="P182" s="12">
        <f>BSHARE("die_share",0,"Rural","median")</f>
        <v/>
      </c>
    </row>
    <row r="183">
      <c r="D183" s="6" t="inlineStr">
        <is>
          <t>median</t>
        </is>
      </c>
      <c r="E183" s="6" t="inlineStr">
        <is>
          <t>Rural</t>
        </is>
      </c>
      <c r="F183" s="6" t="inlineStr">
        <is>
          <t>Deciles</t>
        </is>
      </c>
      <c r="G183" s="6" t="inlineStr">
        <is>
          <t>die</t>
        </is>
      </c>
      <c r="H183" s="6" t="inlineStr">
        <is>
          <t>%</t>
        </is>
      </c>
      <c r="Q183" s="12">
        <f>BSHARE("die_share",DECILE_ARRAY,"Rural","median")</f>
        <v/>
      </c>
    </row>
    <row r="184">
      <c r="D184" s="6" t="inlineStr">
        <is>
          <t>p25</t>
        </is>
      </c>
      <c r="E184" s="6" t="inlineStr">
        <is>
          <t>Overall</t>
        </is>
      </c>
      <c r="F184" s="6" t="inlineStr">
        <is>
          <t>Basket</t>
        </is>
      </c>
      <c r="G184" s="6" t="inlineStr">
        <is>
          <t>die</t>
        </is>
      </c>
      <c r="H184" s="6" t="inlineStr">
        <is>
          <t>%</t>
        </is>
      </c>
      <c r="P184" s="12">
        <f>BSHARE("die_share",0,"Overall","p25")</f>
        <v/>
      </c>
    </row>
    <row r="185">
      <c r="D185" s="6" t="inlineStr">
        <is>
          <t>p25</t>
        </is>
      </c>
      <c r="E185" s="6" t="inlineStr">
        <is>
          <t>Overall</t>
        </is>
      </c>
      <c r="F185" s="6" t="inlineStr">
        <is>
          <t>Deciles</t>
        </is>
      </c>
      <c r="G185" s="6" t="inlineStr">
        <is>
          <t>die</t>
        </is>
      </c>
      <c r="H185" s="6" t="inlineStr">
        <is>
          <t>%</t>
        </is>
      </c>
      <c r="Q185" s="12">
        <f>BSHARE("die_share",DECILE_ARRAY,"Overall","p25")</f>
        <v/>
      </c>
    </row>
    <row r="186">
      <c r="D186" s="6" t="inlineStr">
        <is>
          <t>p25</t>
        </is>
      </c>
      <c r="E186" s="6" t="inlineStr">
        <is>
          <t>Urban</t>
        </is>
      </c>
      <c r="F186" s="6" t="inlineStr">
        <is>
          <t>Basket</t>
        </is>
      </c>
      <c r="G186" s="6" t="inlineStr">
        <is>
          <t>die</t>
        </is>
      </c>
      <c r="H186" s="6" t="inlineStr">
        <is>
          <t>%</t>
        </is>
      </c>
      <c r="P186" s="12">
        <f>BSHARE("die_share",0,"Urban","p25")</f>
        <v/>
      </c>
    </row>
    <row r="187">
      <c r="D187" s="6" t="inlineStr">
        <is>
          <t>p25</t>
        </is>
      </c>
      <c r="E187" s="6" t="inlineStr">
        <is>
          <t>Urban</t>
        </is>
      </c>
      <c r="F187" s="6" t="inlineStr">
        <is>
          <t>Deciles</t>
        </is>
      </c>
      <c r="G187" s="6" t="inlineStr">
        <is>
          <t>die</t>
        </is>
      </c>
      <c r="H187" s="6" t="inlineStr">
        <is>
          <t>%</t>
        </is>
      </c>
      <c r="Q187" s="12">
        <f>BSHARE("die_share",DECILE_ARRAY,"Urban","p25")</f>
        <v/>
      </c>
    </row>
    <row r="188">
      <c r="D188" s="6" t="inlineStr">
        <is>
          <t>p25</t>
        </is>
      </c>
      <c r="E188" s="6" t="inlineStr">
        <is>
          <t>Rural</t>
        </is>
      </c>
      <c r="F188" s="6" t="inlineStr">
        <is>
          <t>Basket</t>
        </is>
      </c>
      <c r="G188" s="6" t="inlineStr">
        <is>
          <t>die</t>
        </is>
      </c>
      <c r="H188" s="6" t="inlineStr">
        <is>
          <t>%</t>
        </is>
      </c>
      <c r="P188" s="12">
        <f>BSHARE("die_share",0,"Rural","p25")</f>
        <v/>
      </c>
    </row>
    <row r="189">
      <c r="D189" s="6" t="inlineStr">
        <is>
          <t>p25</t>
        </is>
      </c>
      <c r="E189" s="6" t="inlineStr">
        <is>
          <t>Rural</t>
        </is>
      </c>
      <c r="F189" s="6" t="inlineStr">
        <is>
          <t>Deciles</t>
        </is>
      </c>
      <c r="G189" s="6" t="inlineStr">
        <is>
          <t>die</t>
        </is>
      </c>
      <c r="H189" s="6" t="inlineStr">
        <is>
          <t>%</t>
        </is>
      </c>
      <c r="Q189" s="12">
        <f>BSHARE("die_share",DECILE_ARRAY,"Rural","p25")</f>
        <v/>
      </c>
    </row>
    <row r="190">
      <c r="D190" s="6" t="inlineStr">
        <is>
          <t>p75</t>
        </is>
      </c>
      <c r="E190" s="6" t="inlineStr">
        <is>
          <t>Overall</t>
        </is>
      </c>
      <c r="F190" s="6" t="inlineStr">
        <is>
          <t>Basket</t>
        </is>
      </c>
      <c r="G190" s="6" t="inlineStr">
        <is>
          <t>die</t>
        </is>
      </c>
      <c r="H190" s="6" t="inlineStr">
        <is>
          <t>%</t>
        </is>
      </c>
      <c r="P190" s="12">
        <f>BSHARE("die_share",0,"Overall","p75")</f>
        <v/>
      </c>
    </row>
    <row r="191">
      <c r="D191" s="6" t="inlineStr">
        <is>
          <t>p75</t>
        </is>
      </c>
      <c r="E191" s="6" t="inlineStr">
        <is>
          <t>Overall</t>
        </is>
      </c>
      <c r="F191" s="6" t="inlineStr">
        <is>
          <t>Deciles</t>
        </is>
      </c>
      <c r="G191" s="6" t="inlineStr">
        <is>
          <t>die</t>
        </is>
      </c>
      <c r="H191" s="6" t="inlineStr">
        <is>
          <t>%</t>
        </is>
      </c>
      <c r="Q191" s="12">
        <f>BSHARE("die_share",DECILE_ARRAY,"Overall","p75")</f>
        <v/>
      </c>
    </row>
    <row r="192">
      <c r="D192" s="6" t="inlineStr">
        <is>
          <t>p75</t>
        </is>
      </c>
      <c r="E192" s="6" t="inlineStr">
        <is>
          <t>Urban</t>
        </is>
      </c>
      <c r="F192" s="6" t="inlineStr">
        <is>
          <t>Basket</t>
        </is>
      </c>
      <c r="G192" s="6" t="inlineStr">
        <is>
          <t>die</t>
        </is>
      </c>
      <c r="H192" s="6" t="inlineStr">
        <is>
          <t>%</t>
        </is>
      </c>
      <c r="P192" s="12">
        <f>BSHARE("die_share",0,"Urban","p75")</f>
        <v/>
      </c>
    </row>
    <row r="193">
      <c r="D193" s="6" t="inlineStr">
        <is>
          <t>p75</t>
        </is>
      </c>
      <c r="E193" s="6" t="inlineStr">
        <is>
          <t>Urban</t>
        </is>
      </c>
      <c r="F193" s="6" t="inlineStr">
        <is>
          <t>Deciles</t>
        </is>
      </c>
      <c r="G193" s="6" t="inlineStr">
        <is>
          <t>die</t>
        </is>
      </c>
      <c r="H193" s="6" t="inlineStr">
        <is>
          <t>%</t>
        </is>
      </c>
      <c r="Q193" s="12">
        <f>BSHARE("die_share",DECILE_ARRAY,"Urban","p75")</f>
        <v/>
      </c>
    </row>
    <row r="194">
      <c r="D194" s="6" t="inlineStr">
        <is>
          <t>p75</t>
        </is>
      </c>
      <c r="E194" s="6" t="inlineStr">
        <is>
          <t>Rural</t>
        </is>
      </c>
      <c r="F194" s="6" t="inlineStr">
        <is>
          <t>Basket</t>
        </is>
      </c>
      <c r="G194" s="6" t="inlineStr">
        <is>
          <t>die</t>
        </is>
      </c>
      <c r="H194" s="6" t="inlineStr">
        <is>
          <t>%</t>
        </is>
      </c>
      <c r="P194" s="12">
        <f>BSHARE("die_share",0,"Rural","p75")</f>
        <v/>
      </c>
    </row>
    <row r="195">
      <c r="D195" s="6" t="inlineStr">
        <is>
          <t>p75</t>
        </is>
      </c>
      <c r="E195" s="6" t="inlineStr">
        <is>
          <t>Rural</t>
        </is>
      </c>
      <c r="F195" s="6" t="inlineStr">
        <is>
          <t>Deciles</t>
        </is>
      </c>
      <c r="G195" s="6" t="inlineStr">
        <is>
          <t>die</t>
        </is>
      </c>
      <c r="H195" s="6" t="inlineStr">
        <is>
          <t>%</t>
        </is>
      </c>
      <c r="Q195" s="12">
        <f>BSHARE("die_share",DECILE_ARRAY,"Rural","p75")</f>
        <v/>
      </c>
    </row>
    <row r="197">
      <c r="C197" s="7" t="inlineStr">
        <is>
          <t>Kerosene Budget Share (% Total Consumption)</t>
        </is>
      </c>
      <c r="G197" s="6" t="inlineStr">
        <is>
          <t>ker</t>
        </is>
      </c>
      <c r="O197" s="8" t="inlineStr">
        <is>
          <t>Decile --&gt;</t>
        </is>
      </c>
      <c r="Q197" s="8" t="n">
        <v>1</v>
      </c>
      <c r="R197" s="8" t="n">
        <v>2</v>
      </c>
      <c r="S197" s="8" t="n">
        <v>3</v>
      </c>
      <c r="T197" s="8" t="n">
        <v>4</v>
      </c>
      <c r="U197" s="8" t="n">
        <v>5</v>
      </c>
      <c r="V197" s="8" t="n">
        <v>6</v>
      </c>
      <c r="W197" s="8" t="n">
        <v>7</v>
      </c>
      <c r="X197" s="8" t="n">
        <v>8</v>
      </c>
      <c r="Y197" s="8" t="n">
        <v>9</v>
      </c>
      <c r="Z197" s="8" t="n">
        <v>10</v>
      </c>
    </row>
    <row r="198">
      <c r="D198" s="6" t="inlineStr">
        <is>
          <t>mean</t>
        </is>
      </c>
      <c r="E198" s="6" t="inlineStr">
        <is>
          <t>Overall</t>
        </is>
      </c>
      <c r="F198" s="6" t="inlineStr">
        <is>
          <t>Basket</t>
        </is>
      </c>
      <c r="G198" s="6" t="inlineStr">
        <is>
          <t>ker</t>
        </is>
      </c>
      <c r="H198" s="6" t="inlineStr">
        <is>
          <t>%</t>
        </is>
      </c>
      <c r="P198" s="12">
        <f>BSHARE("ker_share",0,"Overall","mean")</f>
        <v/>
      </c>
    </row>
    <row r="199">
      <c r="D199" s="6" t="inlineStr">
        <is>
          <t>mean</t>
        </is>
      </c>
      <c r="E199" s="6" t="inlineStr">
        <is>
          <t>Overall</t>
        </is>
      </c>
      <c r="F199" s="6" t="inlineStr">
        <is>
          <t>Deciles</t>
        </is>
      </c>
      <c r="G199" s="6" t="inlineStr">
        <is>
          <t>ker</t>
        </is>
      </c>
      <c r="H199" s="6" t="inlineStr">
        <is>
          <t>%</t>
        </is>
      </c>
      <c r="Q199" s="12">
        <f>BSHARE("ker_share",DECILE_ARRAY,"Overall","mean")</f>
        <v/>
      </c>
    </row>
    <row r="200">
      <c r="D200" s="6" t="inlineStr">
        <is>
          <t>mean</t>
        </is>
      </c>
      <c r="E200" s="6" t="inlineStr">
        <is>
          <t>Urban</t>
        </is>
      </c>
      <c r="F200" s="6" t="inlineStr">
        <is>
          <t>Basket</t>
        </is>
      </c>
      <c r="G200" s="6" t="inlineStr">
        <is>
          <t>ker</t>
        </is>
      </c>
      <c r="H200" s="6" t="inlineStr">
        <is>
          <t>%</t>
        </is>
      </c>
      <c r="P200" s="12">
        <f>BSHARE("ker_share",0,"Urban","mean")</f>
        <v/>
      </c>
    </row>
    <row r="201">
      <c r="D201" s="6" t="inlineStr">
        <is>
          <t>mean</t>
        </is>
      </c>
      <c r="E201" s="6" t="inlineStr">
        <is>
          <t>Urban</t>
        </is>
      </c>
      <c r="F201" s="6" t="inlineStr">
        <is>
          <t>Deciles</t>
        </is>
      </c>
      <c r="G201" s="6" t="inlineStr">
        <is>
          <t>ker</t>
        </is>
      </c>
      <c r="H201" s="6" t="inlineStr">
        <is>
          <t>%</t>
        </is>
      </c>
      <c r="Q201" s="12">
        <f>BSHARE("ker_share",DECILE_ARRAY,"Urban","mean")</f>
        <v/>
      </c>
    </row>
    <row r="202">
      <c r="D202" s="6" t="inlineStr">
        <is>
          <t>mean</t>
        </is>
      </c>
      <c r="E202" s="6" t="inlineStr">
        <is>
          <t>Rural</t>
        </is>
      </c>
      <c r="F202" s="6" t="inlineStr">
        <is>
          <t>Basket</t>
        </is>
      </c>
      <c r="G202" s="6" t="inlineStr">
        <is>
          <t>ker</t>
        </is>
      </c>
      <c r="H202" s="6" t="inlineStr">
        <is>
          <t>%</t>
        </is>
      </c>
      <c r="P202" s="12">
        <f>BSHARE("ker_share",0,"Rural","mean")</f>
        <v/>
      </c>
    </row>
    <row r="203">
      <c r="D203" s="6" t="inlineStr">
        <is>
          <t>mean</t>
        </is>
      </c>
      <c r="E203" s="6" t="inlineStr">
        <is>
          <t>Rural</t>
        </is>
      </c>
      <c r="F203" s="6" t="inlineStr">
        <is>
          <t>Deciles</t>
        </is>
      </c>
      <c r="G203" s="6" t="inlineStr">
        <is>
          <t>ker</t>
        </is>
      </c>
      <c r="H203" s="6" t="inlineStr">
        <is>
          <t>%</t>
        </is>
      </c>
      <c r="Q203" s="12">
        <f>BSHARE("ker_share",DECILE_ARRAY,"Rural","mean")</f>
        <v/>
      </c>
    </row>
    <row r="204">
      <c r="D204" s="6" t="inlineStr">
        <is>
          <t>median</t>
        </is>
      </c>
      <c r="E204" s="6" t="inlineStr">
        <is>
          <t>Overall</t>
        </is>
      </c>
      <c r="F204" s="6" t="inlineStr">
        <is>
          <t>Basket</t>
        </is>
      </c>
      <c r="G204" s="6" t="inlineStr">
        <is>
          <t>ker</t>
        </is>
      </c>
      <c r="H204" s="6" t="inlineStr">
        <is>
          <t>%</t>
        </is>
      </c>
      <c r="P204" s="12">
        <f>BSHARE("ker_share",0,"Overall","median")</f>
        <v/>
      </c>
    </row>
    <row r="205">
      <c r="D205" s="6" t="inlineStr">
        <is>
          <t>median</t>
        </is>
      </c>
      <c r="E205" s="6" t="inlineStr">
        <is>
          <t>Overall</t>
        </is>
      </c>
      <c r="F205" s="6" t="inlineStr">
        <is>
          <t>Deciles</t>
        </is>
      </c>
      <c r="G205" s="6" t="inlineStr">
        <is>
          <t>ker</t>
        </is>
      </c>
      <c r="H205" s="6" t="inlineStr">
        <is>
          <t>%</t>
        </is>
      </c>
      <c r="Q205" s="12">
        <f>BSHARE("ker_share",DECILE_ARRAY,"Overall","median")</f>
        <v/>
      </c>
    </row>
    <row r="206">
      <c r="D206" s="6" t="inlineStr">
        <is>
          <t>median</t>
        </is>
      </c>
      <c r="E206" s="6" t="inlineStr">
        <is>
          <t>Urban</t>
        </is>
      </c>
      <c r="F206" s="6" t="inlineStr">
        <is>
          <t>Basket</t>
        </is>
      </c>
      <c r="G206" s="6" t="inlineStr">
        <is>
          <t>ker</t>
        </is>
      </c>
      <c r="H206" s="6" t="inlineStr">
        <is>
          <t>%</t>
        </is>
      </c>
      <c r="P206" s="12">
        <f>BSHARE("ker_share",0,"Urban","median")</f>
        <v/>
      </c>
    </row>
    <row r="207">
      <c r="D207" s="6" t="inlineStr">
        <is>
          <t>median</t>
        </is>
      </c>
      <c r="E207" s="6" t="inlineStr">
        <is>
          <t>Urban</t>
        </is>
      </c>
      <c r="F207" s="6" t="inlineStr">
        <is>
          <t>Deciles</t>
        </is>
      </c>
      <c r="G207" s="6" t="inlineStr">
        <is>
          <t>ker</t>
        </is>
      </c>
      <c r="H207" s="6" t="inlineStr">
        <is>
          <t>%</t>
        </is>
      </c>
      <c r="Q207" s="12">
        <f>BSHARE("ker_share",DECILE_ARRAY,"Urban","median")</f>
        <v/>
      </c>
    </row>
    <row r="208">
      <c r="D208" s="6" t="inlineStr">
        <is>
          <t>median</t>
        </is>
      </c>
      <c r="E208" s="6" t="inlineStr">
        <is>
          <t>Rural</t>
        </is>
      </c>
      <c r="F208" s="6" t="inlineStr">
        <is>
          <t>Basket</t>
        </is>
      </c>
      <c r="G208" s="6" t="inlineStr">
        <is>
          <t>ker</t>
        </is>
      </c>
      <c r="H208" s="6" t="inlineStr">
        <is>
          <t>%</t>
        </is>
      </c>
      <c r="P208" s="12">
        <f>BSHARE("ker_share",0,"Rural","median")</f>
        <v/>
      </c>
    </row>
    <row r="209">
      <c r="D209" s="6" t="inlineStr">
        <is>
          <t>median</t>
        </is>
      </c>
      <c r="E209" s="6" t="inlineStr">
        <is>
          <t>Rural</t>
        </is>
      </c>
      <c r="F209" s="6" t="inlineStr">
        <is>
          <t>Deciles</t>
        </is>
      </c>
      <c r="G209" s="6" t="inlineStr">
        <is>
          <t>ker</t>
        </is>
      </c>
      <c r="H209" s="6" t="inlineStr">
        <is>
          <t>%</t>
        </is>
      </c>
      <c r="Q209" s="12">
        <f>BSHARE("ker_share",DECILE_ARRAY,"Rural","median")</f>
        <v/>
      </c>
    </row>
    <row r="210">
      <c r="D210" s="6" t="inlineStr">
        <is>
          <t>p25</t>
        </is>
      </c>
      <c r="E210" s="6" t="inlineStr">
        <is>
          <t>Overall</t>
        </is>
      </c>
      <c r="F210" s="6" t="inlineStr">
        <is>
          <t>Basket</t>
        </is>
      </c>
      <c r="G210" s="6" t="inlineStr">
        <is>
          <t>ker</t>
        </is>
      </c>
      <c r="H210" s="6" t="inlineStr">
        <is>
          <t>%</t>
        </is>
      </c>
      <c r="P210" s="12">
        <f>BSHARE("ker_share",0,"Overall","p25")</f>
        <v/>
      </c>
    </row>
    <row r="211">
      <c r="D211" s="6" t="inlineStr">
        <is>
          <t>p25</t>
        </is>
      </c>
      <c r="E211" s="6" t="inlineStr">
        <is>
          <t>Overall</t>
        </is>
      </c>
      <c r="F211" s="6" t="inlineStr">
        <is>
          <t>Deciles</t>
        </is>
      </c>
      <c r="G211" s="6" t="inlineStr">
        <is>
          <t>ker</t>
        </is>
      </c>
      <c r="H211" s="6" t="inlineStr">
        <is>
          <t>%</t>
        </is>
      </c>
      <c r="Q211" s="12">
        <f>BSHARE("ker_share",DECILE_ARRAY,"Overall","p25")</f>
        <v/>
      </c>
    </row>
    <row r="212">
      <c r="D212" s="6" t="inlineStr">
        <is>
          <t>p25</t>
        </is>
      </c>
      <c r="E212" s="6" t="inlineStr">
        <is>
          <t>Urban</t>
        </is>
      </c>
      <c r="F212" s="6" t="inlineStr">
        <is>
          <t>Basket</t>
        </is>
      </c>
      <c r="G212" s="6" t="inlineStr">
        <is>
          <t>ker</t>
        </is>
      </c>
      <c r="H212" s="6" t="inlineStr">
        <is>
          <t>%</t>
        </is>
      </c>
      <c r="P212" s="12">
        <f>BSHARE("ker_share",0,"Urban","p25")</f>
        <v/>
      </c>
    </row>
    <row r="213">
      <c r="D213" s="6" t="inlineStr">
        <is>
          <t>p25</t>
        </is>
      </c>
      <c r="E213" s="6" t="inlineStr">
        <is>
          <t>Urban</t>
        </is>
      </c>
      <c r="F213" s="6" t="inlineStr">
        <is>
          <t>Deciles</t>
        </is>
      </c>
      <c r="G213" s="6" t="inlineStr">
        <is>
          <t>ker</t>
        </is>
      </c>
      <c r="H213" s="6" t="inlineStr">
        <is>
          <t>%</t>
        </is>
      </c>
      <c r="Q213" s="12">
        <f>BSHARE("ker_share",DECILE_ARRAY,"Urban","p25")</f>
        <v/>
      </c>
    </row>
    <row r="214">
      <c r="D214" s="6" t="inlineStr">
        <is>
          <t>p25</t>
        </is>
      </c>
      <c r="E214" s="6" t="inlineStr">
        <is>
          <t>Rural</t>
        </is>
      </c>
      <c r="F214" s="6" t="inlineStr">
        <is>
          <t>Basket</t>
        </is>
      </c>
      <c r="G214" s="6" t="inlineStr">
        <is>
          <t>ker</t>
        </is>
      </c>
      <c r="H214" s="6" t="inlineStr">
        <is>
          <t>%</t>
        </is>
      </c>
      <c r="P214" s="12">
        <f>BSHARE("ker_share",0,"Rural","p25")</f>
        <v/>
      </c>
    </row>
    <row r="215">
      <c r="D215" s="6" t="inlineStr">
        <is>
          <t>p25</t>
        </is>
      </c>
      <c r="E215" s="6" t="inlineStr">
        <is>
          <t>Rural</t>
        </is>
      </c>
      <c r="F215" s="6" t="inlineStr">
        <is>
          <t>Deciles</t>
        </is>
      </c>
      <c r="G215" s="6" t="inlineStr">
        <is>
          <t>ker</t>
        </is>
      </c>
      <c r="H215" s="6" t="inlineStr">
        <is>
          <t>%</t>
        </is>
      </c>
      <c r="Q215" s="12">
        <f>BSHARE("ker_share",DECILE_ARRAY,"Rural","p25")</f>
        <v/>
      </c>
    </row>
    <row r="216">
      <c r="D216" s="6" t="inlineStr">
        <is>
          <t>p75</t>
        </is>
      </c>
      <c r="E216" s="6" t="inlineStr">
        <is>
          <t>Overall</t>
        </is>
      </c>
      <c r="F216" s="6" t="inlineStr">
        <is>
          <t>Basket</t>
        </is>
      </c>
      <c r="G216" s="6" t="inlineStr">
        <is>
          <t>ker</t>
        </is>
      </c>
      <c r="H216" s="6" t="inlineStr">
        <is>
          <t>%</t>
        </is>
      </c>
      <c r="P216" s="12">
        <f>BSHARE("ker_share",0,"Overall","p75")</f>
        <v/>
      </c>
    </row>
    <row r="217">
      <c r="D217" s="6" t="inlineStr">
        <is>
          <t>p75</t>
        </is>
      </c>
      <c r="E217" s="6" t="inlineStr">
        <is>
          <t>Overall</t>
        </is>
      </c>
      <c r="F217" s="6" t="inlineStr">
        <is>
          <t>Deciles</t>
        </is>
      </c>
      <c r="G217" s="6" t="inlineStr">
        <is>
          <t>ker</t>
        </is>
      </c>
      <c r="H217" s="6" t="inlineStr">
        <is>
          <t>%</t>
        </is>
      </c>
      <c r="Q217" s="12">
        <f>BSHARE("ker_share",DECILE_ARRAY,"Overall","p75")</f>
        <v/>
      </c>
    </row>
    <row r="218">
      <c r="D218" s="6" t="inlineStr">
        <is>
          <t>p75</t>
        </is>
      </c>
      <c r="E218" s="6" t="inlineStr">
        <is>
          <t>Urban</t>
        </is>
      </c>
      <c r="F218" s="6" t="inlineStr">
        <is>
          <t>Basket</t>
        </is>
      </c>
      <c r="G218" s="6" t="inlineStr">
        <is>
          <t>ker</t>
        </is>
      </c>
      <c r="H218" s="6" t="inlineStr">
        <is>
          <t>%</t>
        </is>
      </c>
      <c r="P218" s="12">
        <f>BSHARE("ker_share",0,"Urban","p75")</f>
        <v/>
      </c>
    </row>
    <row r="219">
      <c r="D219" s="6" t="inlineStr">
        <is>
          <t>p75</t>
        </is>
      </c>
      <c r="E219" s="6" t="inlineStr">
        <is>
          <t>Urban</t>
        </is>
      </c>
      <c r="F219" s="6" t="inlineStr">
        <is>
          <t>Deciles</t>
        </is>
      </c>
      <c r="G219" s="6" t="inlineStr">
        <is>
          <t>ker</t>
        </is>
      </c>
      <c r="H219" s="6" t="inlineStr">
        <is>
          <t>%</t>
        </is>
      </c>
      <c r="Q219" s="12">
        <f>BSHARE("ker_share",DECILE_ARRAY,"Urban","p75")</f>
        <v/>
      </c>
    </row>
    <row r="220">
      <c r="D220" s="6" t="inlineStr">
        <is>
          <t>p75</t>
        </is>
      </c>
      <c r="E220" s="6" t="inlineStr">
        <is>
          <t>Rural</t>
        </is>
      </c>
      <c r="F220" s="6" t="inlineStr">
        <is>
          <t>Basket</t>
        </is>
      </c>
      <c r="G220" s="6" t="inlineStr">
        <is>
          <t>ker</t>
        </is>
      </c>
      <c r="H220" s="6" t="inlineStr">
        <is>
          <t>%</t>
        </is>
      </c>
      <c r="P220" s="12">
        <f>BSHARE("ker_share",0,"Rural","p75")</f>
        <v/>
      </c>
    </row>
    <row r="221">
      <c r="D221" s="6" t="inlineStr">
        <is>
          <t>p75</t>
        </is>
      </c>
      <c r="E221" s="6" t="inlineStr">
        <is>
          <t>Rural</t>
        </is>
      </c>
      <c r="F221" s="6" t="inlineStr">
        <is>
          <t>Deciles</t>
        </is>
      </c>
      <c r="G221" s="6" t="inlineStr">
        <is>
          <t>ker</t>
        </is>
      </c>
      <c r="H221" s="6" t="inlineStr">
        <is>
          <t>%</t>
        </is>
      </c>
      <c r="Q221" s="12">
        <f>BSHARE("ker_share",DECILE_ARRAY,"Rural","p75")</f>
        <v/>
      </c>
    </row>
    <row r="223">
      <c r="C223" s="7" t="inlineStr">
        <is>
          <t>LPG Budget Share (% Total Consumption)</t>
        </is>
      </c>
      <c r="G223" s="6" t="inlineStr">
        <is>
          <t>lpg</t>
        </is>
      </c>
      <c r="O223" s="8" t="inlineStr">
        <is>
          <t>Decile --&gt;</t>
        </is>
      </c>
      <c r="Q223" s="8" t="n">
        <v>1</v>
      </c>
      <c r="R223" s="8" t="n">
        <v>2</v>
      </c>
      <c r="S223" s="8" t="n">
        <v>3</v>
      </c>
      <c r="T223" s="8" t="n">
        <v>4</v>
      </c>
      <c r="U223" s="8" t="n">
        <v>5</v>
      </c>
      <c r="V223" s="8" t="n">
        <v>6</v>
      </c>
      <c r="W223" s="8" t="n">
        <v>7</v>
      </c>
      <c r="X223" s="8" t="n">
        <v>8</v>
      </c>
      <c r="Y223" s="8" t="n">
        <v>9</v>
      </c>
      <c r="Z223" s="8" t="n">
        <v>10</v>
      </c>
    </row>
    <row r="224">
      <c r="D224" s="6" t="inlineStr">
        <is>
          <t>mean</t>
        </is>
      </c>
      <c r="E224" s="6" t="inlineStr">
        <is>
          <t>Overall</t>
        </is>
      </c>
      <c r="F224" s="6" t="inlineStr">
        <is>
          <t>Basket</t>
        </is>
      </c>
      <c r="G224" s="6" t="inlineStr">
        <is>
          <t>lpg</t>
        </is>
      </c>
      <c r="H224" s="6" t="inlineStr">
        <is>
          <t>%</t>
        </is>
      </c>
      <c r="P224" s="12">
        <f>BSHARE("lpg_share",0,"Overall","mean")</f>
        <v/>
      </c>
    </row>
    <row r="225">
      <c r="D225" s="6" t="inlineStr">
        <is>
          <t>mean</t>
        </is>
      </c>
      <c r="E225" s="6" t="inlineStr">
        <is>
          <t>Overall</t>
        </is>
      </c>
      <c r="F225" s="6" t="inlineStr">
        <is>
          <t>Deciles</t>
        </is>
      </c>
      <c r="G225" s="6" t="inlineStr">
        <is>
          <t>lpg</t>
        </is>
      </c>
      <c r="H225" s="6" t="inlineStr">
        <is>
          <t>%</t>
        </is>
      </c>
      <c r="Q225" s="12">
        <f>BSHARE("lpg_share",DECILE_ARRAY,"Overall","mean")</f>
        <v/>
      </c>
    </row>
    <row r="226">
      <c r="D226" s="6" t="inlineStr">
        <is>
          <t>mean</t>
        </is>
      </c>
      <c r="E226" s="6" t="inlineStr">
        <is>
          <t>Urban</t>
        </is>
      </c>
      <c r="F226" s="6" t="inlineStr">
        <is>
          <t>Basket</t>
        </is>
      </c>
      <c r="G226" s="6" t="inlineStr">
        <is>
          <t>lpg</t>
        </is>
      </c>
      <c r="H226" s="6" t="inlineStr">
        <is>
          <t>%</t>
        </is>
      </c>
      <c r="P226" s="12">
        <f>BSHARE("lpg_share",0,"Urban","mean")</f>
        <v/>
      </c>
    </row>
    <row r="227">
      <c r="D227" s="6" t="inlineStr">
        <is>
          <t>mean</t>
        </is>
      </c>
      <c r="E227" s="6" t="inlineStr">
        <is>
          <t>Urban</t>
        </is>
      </c>
      <c r="F227" s="6" t="inlineStr">
        <is>
          <t>Deciles</t>
        </is>
      </c>
      <c r="G227" s="6" t="inlineStr">
        <is>
          <t>lpg</t>
        </is>
      </c>
      <c r="H227" s="6" t="inlineStr">
        <is>
          <t>%</t>
        </is>
      </c>
      <c r="Q227" s="12">
        <f>BSHARE("lpg_share",DECILE_ARRAY,"Urban","mean")</f>
        <v/>
      </c>
    </row>
    <row r="228">
      <c r="D228" s="6" t="inlineStr">
        <is>
          <t>mean</t>
        </is>
      </c>
      <c r="E228" s="6" t="inlineStr">
        <is>
          <t>Rural</t>
        </is>
      </c>
      <c r="F228" s="6" t="inlineStr">
        <is>
          <t>Basket</t>
        </is>
      </c>
      <c r="G228" s="6" t="inlineStr">
        <is>
          <t>lpg</t>
        </is>
      </c>
      <c r="H228" s="6" t="inlineStr">
        <is>
          <t>%</t>
        </is>
      </c>
      <c r="P228" s="12">
        <f>BSHARE("lpg_share",0,"Rural","mean")</f>
        <v/>
      </c>
    </row>
    <row r="229">
      <c r="D229" s="6" t="inlineStr">
        <is>
          <t>mean</t>
        </is>
      </c>
      <c r="E229" s="6" t="inlineStr">
        <is>
          <t>Rural</t>
        </is>
      </c>
      <c r="F229" s="6" t="inlineStr">
        <is>
          <t>Deciles</t>
        </is>
      </c>
      <c r="G229" s="6" t="inlineStr">
        <is>
          <t>lpg</t>
        </is>
      </c>
      <c r="H229" s="6" t="inlineStr">
        <is>
          <t>%</t>
        </is>
      </c>
      <c r="Q229" s="12">
        <f>BSHARE("lpg_share",DECILE_ARRAY,"Rural","mean")</f>
        <v/>
      </c>
    </row>
    <row r="230">
      <c r="D230" s="6" t="inlineStr">
        <is>
          <t>median</t>
        </is>
      </c>
      <c r="E230" s="6" t="inlineStr">
        <is>
          <t>Overall</t>
        </is>
      </c>
      <c r="F230" s="6" t="inlineStr">
        <is>
          <t>Basket</t>
        </is>
      </c>
      <c r="G230" s="6" t="inlineStr">
        <is>
          <t>lpg</t>
        </is>
      </c>
      <c r="H230" s="6" t="inlineStr">
        <is>
          <t>%</t>
        </is>
      </c>
      <c r="P230" s="12">
        <f>BSHARE("lpg_share",0,"Overall","median")</f>
        <v/>
      </c>
    </row>
    <row r="231">
      <c r="D231" s="6" t="inlineStr">
        <is>
          <t>median</t>
        </is>
      </c>
      <c r="E231" s="6" t="inlineStr">
        <is>
          <t>Overall</t>
        </is>
      </c>
      <c r="F231" s="6" t="inlineStr">
        <is>
          <t>Deciles</t>
        </is>
      </c>
      <c r="G231" s="6" t="inlineStr">
        <is>
          <t>lpg</t>
        </is>
      </c>
      <c r="H231" s="6" t="inlineStr">
        <is>
          <t>%</t>
        </is>
      </c>
      <c r="Q231" s="12">
        <f>BSHARE("lpg_share",DECILE_ARRAY,"Overall","median")</f>
        <v/>
      </c>
    </row>
    <row r="232">
      <c r="D232" s="6" t="inlineStr">
        <is>
          <t>median</t>
        </is>
      </c>
      <c r="E232" s="6" t="inlineStr">
        <is>
          <t>Urban</t>
        </is>
      </c>
      <c r="F232" s="6" t="inlineStr">
        <is>
          <t>Basket</t>
        </is>
      </c>
      <c r="G232" s="6" t="inlineStr">
        <is>
          <t>lpg</t>
        </is>
      </c>
      <c r="H232" s="6" t="inlineStr">
        <is>
          <t>%</t>
        </is>
      </c>
      <c r="P232" s="12">
        <f>BSHARE("lpg_share",0,"Urban","median")</f>
        <v/>
      </c>
    </row>
    <row r="233">
      <c r="D233" s="6" t="inlineStr">
        <is>
          <t>median</t>
        </is>
      </c>
      <c r="E233" s="6" t="inlineStr">
        <is>
          <t>Urban</t>
        </is>
      </c>
      <c r="F233" s="6" t="inlineStr">
        <is>
          <t>Deciles</t>
        </is>
      </c>
      <c r="G233" s="6" t="inlineStr">
        <is>
          <t>lpg</t>
        </is>
      </c>
      <c r="H233" s="6" t="inlineStr">
        <is>
          <t>%</t>
        </is>
      </c>
      <c r="Q233" s="12">
        <f>BSHARE("lpg_share",DECILE_ARRAY,"Urban","median")</f>
        <v/>
      </c>
    </row>
    <row r="234">
      <c r="D234" s="6" t="inlineStr">
        <is>
          <t>median</t>
        </is>
      </c>
      <c r="E234" s="6" t="inlineStr">
        <is>
          <t>Rural</t>
        </is>
      </c>
      <c r="F234" s="6" t="inlineStr">
        <is>
          <t>Basket</t>
        </is>
      </c>
      <c r="G234" s="6" t="inlineStr">
        <is>
          <t>lpg</t>
        </is>
      </c>
      <c r="H234" s="6" t="inlineStr">
        <is>
          <t>%</t>
        </is>
      </c>
      <c r="P234" s="12">
        <f>BSHARE("lpg_share",0,"Rural","median")</f>
        <v/>
      </c>
    </row>
    <row r="235">
      <c r="D235" s="6" t="inlineStr">
        <is>
          <t>median</t>
        </is>
      </c>
      <c r="E235" s="6" t="inlineStr">
        <is>
          <t>Rural</t>
        </is>
      </c>
      <c r="F235" s="6" t="inlineStr">
        <is>
          <t>Deciles</t>
        </is>
      </c>
      <c r="G235" s="6" t="inlineStr">
        <is>
          <t>lpg</t>
        </is>
      </c>
      <c r="H235" s="6" t="inlineStr">
        <is>
          <t>%</t>
        </is>
      </c>
      <c r="Q235" s="12">
        <f>BSHARE("lpg_share",DECILE_ARRAY,"Rural","median")</f>
        <v/>
      </c>
    </row>
    <row r="236">
      <c r="D236" s="6" t="inlineStr">
        <is>
          <t>p25</t>
        </is>
      </c>
      <c r="E236" s="6" t="inlineStr">
        <is>
          <t>Overall</t>
        </is>
      </c>
      <c r="F236" s="6" t="inlineStr">
        <is>
          <t>Basket</t>
        </is>
      </c>
      <c r="G236" s="6" t="inlineStr">
        <is>
          <t>lpg</t>
        </is>
      </c>
      <c r="H236" s="6" t="inlineStr">
        <is>
          <t>%</t>
        </is>
      </c>
      <c r="P236" s="12">
        <f>BSHARE("lpg_share",0,"Overall","p25")</f>
        <v/>
      </c>
    </row>
    <row r="237">
      <c r="D237" s="6" t="inlineStr">
        <is>
          <t>p25</t>
        </is>
      </c>
      <c r="E237" s="6" t="inlineStr">
        <is>
          <t>Overall</t>
        </is>
      </c>
      <c r="F237" s="6" t="inlineStr">
        <is>
          <t>Deciles</t>
        </is>
      </c>
      <c r="G237" s="6" t="inlineStr">
        <is>
          <t>lpg</t>
        </is>
      </c>
      <c r="H237" s="6" t="inlineStr">
        <is>
          <t>%</t>
        </is>
      </c>
      <c r="Q237" s="12">
        <f>BSHARE("lpg_share",DECILE_ARRAY,"Overall","p25")</f>
        <v/>
      </c>
    </row>
    <row r="238">
      <c r="D238" s="6" t="inlineStr">
        <is>
          <t>p25</t>
        </is>
      </c>
      <c r="E238" s="6" t="inlineStr">
        <is>
          <t>Urban</t>
        </is>
      </c>
      <c r="F238" s="6" t="inlineStr">
        <is>
          <t>Basket</t>
        </is>
      </c>
      <c r="G238" s="6" t="inlineStr">
        <is>
          <t>lpg</t>
        </is>
      </c>
      <c r="H238" s="6" t="inlineStr">
        <is>
          <t>%</t>
        </is>
      </c>
      <c r="P238" s="12">
        <f>BSHARE("lpg_share",0,"Urban","p25")</f>
        <v/>
      </c>
    </row>
    <row r="239">
      <c r="D239" s="6" t="inlineStr">
        <is>
          <t>p25</t>
        </is>
      </c>
      <c r="E239" s="6" t="inlineStr">
        <is>
          <t>Urban</t>
        </is>
      </c>
      <c r="F239" s="6" t="inlineStr">
        <is>
          <t>Deciles</t>
        </is>
      </c>
      <c r="G239" s="6" t="inlineStr">
        <is>
          <t>lpg</t>
        </is>
      </c>
      <c r="H239" s="6" t="inlineStr">
        <is>
          <t>%</t>
        </is>
      </c>
      <c r="Q239" s="12">
        <f>BSHARE("lpg_share",DECILE_ARRAY,"Urban","p25")</f>
        <v/>
      </c>
    </row>
    <row r="240">
      <c r="D240" s="6" t="inlineStr">
        <is>
          <t>p25</t>
        </is>
      </c>
      <c r="E240" s="6" t="inlineStr">
        <is>
          <t>Rural</t>
        </is>
      </c>
      <c r="F240" s="6" t="inlineStr">
        <is>
          <t>Basket</t>
        </is>
      </c>
      <c r="G240" s="6" t="inlineStr">
        <is>
          <t>lpg</t>
        </is>
      </c>
      <c r="H240" s="6" t="inlineStr">
        <is>
          <t>%</t>
        </is>
      </c>
      <c r="P240" s="12">
        <f>BSHARE("lpg_share",0,"Rural","p25")</f>
        <v/>
      </c>
    </row>
    <row r="241">
      <c r="D241" s="6" t="inlineStr">
        <is>
          <t>p25</t>
        </is>
      </c>
      <c r="E241" s="6" t="inlineStr">
        <is>
          <t>Rural</t>
        </is>
      </c>
      <c r="F241" s="6" t="inlineStr">
        <is>
          <t>Deciles</t>
        </is>
      </c>
      <c r="G241" s="6" t="inlineStr">
        <is>
          <t>lpg</t>
        </is>
      </c>
      <c r="H241" s="6" t="inlineStr">
        <is>
          <t>%</t>
        </is>
      </c>
      <c r="Q241" s="12">
        <f>BSHARE("lpg_share",DECILE_ARRAY,"Rural","p25")</f>
        <v/>
      </c>
    </row>
    <row r="242">
      <c r="D242" s="6" t="inlineStr">
        <is>
          <t>p75</t>
        </is>
      </c>
      <c r="E242" s="6" t="inlineStr">
        <is>
          <t>Overall</t>
        </is>
      </c>
      <c r="F242" s="6" t="inlineStr">
        <is>
          <t>Basket</t>
        </is>
      </c>
      <c r="G242" s="6" t="inlineStr">
        <is>
          <t>lpg</t>
        </is>
      </c>
      <c r="H242" s="6" t="inlineStr">
        <is>
          <t>%</t>
        </is>
      </c>
      <c r="P242" s="12">
        <f>BSHARE("lpg_share",0,"Overall","p75")</f>
        <v/>
      </c>
    </row>
    <row r="243">
      <c r="D243" s="6" t="inlineStr">
        <is>
          <t>p75</t>
        </is>
      </c>
      <c r="E243" s="6" t="inlineStr">
        <is>
          <t>Overall</t>
        </is>
      </c>
      <c r="F243" s="6" t="inlineStr">
        <is>
          <t>Deciles</t>
        </is>
      </c>
      <c r="G243" s="6" t="inlineStr">
        <is>
          <t>lpg</t>
        </is>
      </c>
      <c r="H243" s="6" t="inlineStr">
        <is>
          <t>%</t>
        </is>
      </c>
      <c r="Q243" s="12">
        <f>BSHARE("lpg_share",DECILE_ARRAY,"Overall","p75")</f>
        <v/>
      </c>
    </row>
    <row r="244">
      <c r="D244" s="6" t="inlineStr">
        <is>
          <t>p75</t>
        </is>
      </c>
      <c r="E244" s="6" t="inlineStr">
        <is>
          <t>Urban</t>
        </is>
      </c>
      <c r="F244" s="6" t="inlineStr">
        <is>
          <t>Basket</t>
        </is>
      </c>
      <c r="G244" s="6" t="inlineStr">
        <is>
          <t>lpg</t>
        </is>
      </c>
      <c r="H244" s="6" t="inlineStr">
        <is>
          <t>%</t>
        </is>
      </c>
      <c r="P244" s="12">
        <f>BSHARE("lpg_share",0,"Urban","p75")</f>
        <v/>
      </c>
    </row>
    <row r="245">
      <c r="D245" s="6" t="inlineStr">
        <is>
          <t>p75</t>
        </is>
      </c>
      <c r="E245" s="6" t="inlineStr">
        <is>
          <t>Urban</t>
        </is>
      </c>
      <c r="F245" s="6" t="inlineStr">
        <is>
          <t>Deciles</t>
        </is>
      </c>
      <c r="G245" s="6" t="inlineStr">
        <is>
          <t>lpg</t>
        </is>
      </c>
      <c r="H245" s="6" t="inlineStr">
        <is>
          <t>%</t>
        </is>
      </c>
      <c r="Q245" s="12">
        <f>BSHARE("lpg_share",DECILE_ARRAY,"Urban","p75")</f>
        <v/>
      </c>
    </row>
    <row r="246">
      <c r="D246" s="6" t="inlineStr">
        <is>
          <t>p75</t>
        </is>
      </c>
      <c r="E246" s="6" t="inlineStr">
        <is>
          <t>Rural</t>
        </is>
      </c>
      <c r="F246" s="6" t="inlineStr">
        <is>
          <t>Basket</t>
        </is>
      </c>
      <c r="G246" s="6" t="inlineStr">
        <is>
          <t>lpg</t>
        </is>
      </c>
      <c r="H246" s="6" t="inlineStr">
        <is>
          <t>%</t>
        </is>
      </c>
      <c r="P246" s="12">
        <f>BSHARE("lpg_share",0,"Rural","p75")</f>
        <v/>
      </c>
    </row>
    <row r="247">
      <c r="D247" s="6" t="inlineStr">
        <is>
          <t>p75</t>
        </is>
      </c>
      <c r="E247" s="6" t="inlineStr">
        <is>
          <t>Rural</t>
        </is>
      </c>
      <c r="F247" s="6" t="inlineStr">
        <is>
          <t>Deciles</t>
        </is>
      </c>
      <c r="G247" s="6" t="inlineStr">
        <is>
          <t>lpg</t>
        </is>
      </c>
      <c r="H247" s="6" t="inlineStr">
        <is>
          <t>%</t>
        </is>
      </c>
      <c r="Q247" s="12">
        <f>BSHARE("lpg_share",DECILE_ARRAY,"Rural","p75")</f>
        <v/>
      </c>
    </row>
    <row r="249">
      <c r="C249" s="7" t="inlineStr">
        <is>
          <t>Charcoal Budget Share (% Total Consumption)</t>
        </is>
      </c>
      <c r="G249" s="6" t="inlineStr">
        <is>
          <t>ccl</t>
        </is>
      </c>
      <c r="O249" s="8" t="inlineStr">
        <is>
          <t>Decile --&gt;</t>
        </is>
      </c>
      <c r="Q249" s="8" t="n">
        <v>1</v>
      </c>
      <c r="R249" s="8" t="n">
        <v>2</v>
      </c>
      <c r="S249" s="8" t="n">
        <v>3</v>
      </c>
      <c r="T249" s="8" t="n">
        <v>4</v>
      </c>
      <c r="U249" s="8" t="n">
        <v>5</v>
      </c>
      <c r="V249" s="8" t="n">
        <v>6</v>
      </c>
      <c r="W249" s="8" t="n">
        <v>7</v>
      </c>
      <c r="X249" s="8" t="n">
        <v>8</v>
      </c>
      <c r="Y249" s="8" t="n">
        <v>9</v>
      </c>
      <c r="Z249" s="8" t="n">
        <v>10</v>
      </c>
    </row>
    <row r="250">
      <c r="D250" s="6" t="inlineStr">
        <is>
          <t>mean</t>
        </is>
      </c>
      <c r="E250" s="6" t="inlineStr">
        <is>
          <t>Overall</t>
        </is>
      </c>
      <c r="F250" s="6" t="inlineStr">
        <is>
          <t>Basket</t>
        </is>
      </c>
      <c r="G250" s="6" t="inlineStr">
        <is>
          <t>ccl</t>
        </is>
      </c>
      <c r="H250" s="6" t="inlineStr">
        <is>
          <t>%</t>
        </is>
      </c>
      <c r="P250" s="12">
        <f>BSHARE("ccl_share",0,"Overall","mean")</f>
        <v/>
      </c>
    </row>
    <row r="251">
      <c r="D251" s="6" t="inlineStr">
        <is>
          <t>mean</t>
        </is>
      </c>
      <c r="E251" s="6" t="inlineStr">
        <is>
          <t>Overall</t>
        </is>
      </c>
      <c r="F251" s="6" t="inlineStr">
        <is>
          <t>Deciles</t>
        </is>
      </c>
      <c r="G251" s="6" t="inlineStr">
        <is>
          <t>ccl</t>
        </is>
      </c>
      <c r="H251" s="6" t="inlineStr">
        <is>
          <t>%</t>
        </is>
      </c>
      <c r="Q251" s="12">
        <f>BSHARE("ccl_share",DECILE_ARRAY,"Overall","mean")</f>
        <v/>
      </c>
    </row>
    <row r="252">
      <c r="D252" s="6" t="inlineStr">
        <is>
          <t>mean</t>
        </is>
      </c>
      <c r="E252" s="6" t="inlineStr">
        <is>
          <t>Urban</t>
        </is>
      </c>
      <c r="F252" s="6" t="inlineStr">
        <is>
          <t>Basket</t>
        </is>
      </c>
      <c r="G252" s="6" t="inlineStr">
        <is>
          <t>ccl</t>
        </is>
      </c>
      <c r="H252" s="6" t="inlineStr">
        <is>
          <t>%</t>
        </is>
      </c>
      <c r="P252" s="12">
        <f>BSHARE("ccl_share",0,"Urban","mean")</f>
        <v/>
      </c>
    </row>
    <row r="253">
      <c r="D253" s="6" t="inlineStr">
        <is>
          <t>mean</t>
        </is>
      </c>
      <c r="E253" s="6" t="inlineStr">
        <is>
          <t>Urban</t>
        </is>
      </c>
      <c r="F253" s="6" t="inlineStr">
        <is>
          <t>Deciles</t>
        </is>
      </c>
      <c r="G253" s="6" t="inlineStr">
        <is>
          <t>ccl</t>
        </is>
      </c>
      <c r="H253" s="6" t="inlineStr">
        <is>
          <t>%</t>
        </is>
      </c>
      <c r="Q253" s="12">
        <f>BSHARE("ccl_share",DECILE_ARRAY,"Urban","mean")</f>
        <v/>
      </c>
    </row>
    <row r="254">
      <c r="D254" s="6" t="inlineStr">
        <is>
          <t>mean</t>
        </is>
      </c>
      <c r="E254" s="6" t="inlineStr">
        <is>
          <t>Rural</t>
        </is>
      </c>
      <c r="F254" s="6" t="inlineStr">
        <is>
          <t>Basket</t>
        </is>
      </c>
      <c r="G254" s="6" t="inlineStr">
        <is>
          <t>ccl</t>
        </is>
      </c>
      <c r="H254" s="6" t="inlineStr">
        <is>
          <t>%</t>
        </is>
      </c>
      <c r="P254" s="12">
        <f>BSHARE("ccl_share",0,"Rural","mean")</f>
        <v/>
      </c>
    </row>
    <row r="255">
      <c r="D255" s="6" t="inlineStr">
        <is>
          <t>mean</t>
        </is>
      </c>
      <c r="E255" s="6" t="inlineStr">
        <is>
          <t>Rural</t>
        </is>
      </c>
      <c r="F255" s="6" t="inlineStr">
        <is>
          <t>Deciles</t>
        </is>
      </c>
      <c r="G255" s="6" t="inlineStr">
        <is>
          <t>ccl</t>
        </is>
      </c>
      <c r="H255" s="6" t="inlineStr">
        <is>
          <t>%</t>
        </is>
      </c>
      <c r="Q255" s="12">
        <f>BSHARE("ccl_share",DECILE_ARRAY,"Rural","mean")</f>
        <v/>
      </c>
    </row>
    <row r="256">
      <c r="D256" s="6" t="inlineStr">
        <is>
          <t>median</t>
        </is>
      </c>
      <c r="E256" s="6" t="inlineStr">
        <is>
          <t>Overall</t>
        </is>
      </c>
      <c r="F256" s="6" t="inlineStr">
        <is>
          <t>Basket</t>
        </is>
      </c>
      <c r="G256" s="6" t="inlineStr">
        <is>
          <t>ccl</t>
        </is>
      </c>
      <c r="H256" s="6" t="inlineStr">
        <is>
          <t>%</t>
        </is>
      </c>
      <c r="P256" s="12">
        <f>BSHARE("ccl_share",0,"Overall","median")</f>
        <v/>
      </c>
    </row>
    <row r="257">
      <c r="D257" s="6" t="inlineStr">
        <is>
          <t>median</t>
        </is>
      </c>
      <c r="E257" s="6" t="inlineStr">
        <is>
          <t>Overall</t>
        </is>
      </c>
      <c r="F257" s="6" t="inlineStr">
        <is>
          <t>Deciles</t>
        </is>
      </c>
      <c r="G257" s="6" t="inlineStr">
        <is>
          <t>ccl</t>
        </is>
      </c>
      <c r="H257" s="6" t="inlineStr">
        <is>
          <t>%</t>
        </is>
      </c>
      <c r="Q257" s="12">
        <f>BSHARE("ccl_share",DECILE_ARRAY,"Overall","median")</f>
        <v/>
      </c>
    </row>
    <row r="258">
      <c r="D258" s="6" t="inlineStr">
        <is>
          <t>median</t>
        </is>
      </c>
      <c r="E258" s="6" t="inlineStr">
        <is>
          <t>Urban</t>
        </is>
      </c>
      <c r="F258" s="6" t="inlineStr">
        <is>
          <t>Basket</t>
        </is>
      </c>
      <c r="G258" s="6" t="inlineStr">
        <is>
          <t>ccl</t>
        </is>
      </c>
      <c r="H258" s="6" t="inlineStr">
        <is>
          <t>%</t>
        </is>
      </c>
      <c r="P258" s="12">
        <f>BSHARE("ccl_share",0,"Urban","median")</f>
        <v/>
      </c>
    </row>
    <row r="259">
      <c r="D259" s="6" t="inlineStr">
        <is>
          <t>median</t>
        </is>
      </c>
      <c r="E259" s="6" t="inlineStr">
        <is>
          <t>Urban</t>
        </is>
      </c>
      <c r="F259" s="6" t="inlineStr">
        <is>
          <t>Deciles</t>
        </is>
      </c>
      <c r="G259" s="6" t="inlineStr">
        <is>
          <t>ccl</t>
        </is>
      </c>
      <c r="H259" s="6" t="inlineStr">
        <is>
          <t>%</t>
        </is>
      </c>
      <c r="Q259" s="12">
        <f>BSHARE("ccl_share",DECILE_ARRAY,"Urban","median")</f>
        <v/>
      </c>
    </row>
    <row r="260">
      <c r="D260" s="6" t="inlineStr">
        <is>
          <t>median</t>
        </is>
      </c>
      <c r="E260" s="6" t="inlineStr">
        <is>
          <t>Rural</t>
        </is>
      </c>
      <c r="F260" s="6" t="inlineStr">
        <is>
          <t>Basket</t>
        </is>
      </c>
      <c r="G260" s="6" t="inlineStr">
        <is>
          <t>ccl</t>
        </is>
      </c>
      <c r="H260" s="6" t="inlineStr">
        <is>
          <t>%</t>
        </is>
      </c>
      <c r="P260" s="12">
        <f>BSHARE("ccl_share",0,"Rural","median")</f>
        <v/>
      </c>
    </row>
    <row r="261">
      <c r="D261" s="6" t="inlineStr">
        <is>
          <t>median</t>
        </is>
      </c>
      <c r="E261" s="6" t="inlineStr">
        <is>
          <t>Rural</t>
        </is>
      </c>
      <c r="F261" s="6" t="inlineStr">
        <is>
          <t>Deciles</t>
        </is>
      </c>
      <c r="G261" s="6" t="inlineStr">
        <is>
          <t>ccl</t>
        </is>
      </c>
      <c r="H261" s="6" t="inlineStr">
        <is>
          <t>%</t>
        </is>
      </c>
      <c r="Q261" s="12">
        <f>BSHARE("ccl_share",DECILE_ARRAY,"Rural","median")</f>
        <v/>
      </c>
    </row>
    <row r="262">
      <c r="D262" s="6" t="inlineStr">
        <is>
          <t>p25</t>
        </is>
      </c>
      <c r="E262" s="6" t="inlineStr">
        <is>
          <t>Overall</t>
        </is>
      </c>
      <c r="F262" s="6" t="inlineStr">
        <is>
          <t>Basket</t>
        </is>
      </c>
      <c r="G262" s="6" t="inlineStr">
        <is>
          <t>ccl</t>
        </is>
      </c>
      <c r="H262" s="6" t="inlineStr">
        <is>
          <t>%</t>
        </is>
      </c>
      <c r="P262" s="12">
        <f>BSHARE("ccl_share",0,"Overall","p25")</f>
        <v/>
      </c>
    </row>
    <row r="263">
      <c r="D263" s="6" t="inlineStr">
        <is>
          <t>p25</t>
        </is>
      </c>
      <c r="E263" s="6" t="inlineStr">
        <is>
          <t>Overall</t>
        </is>
      </c>
      <c r="F263" s="6" t="inlineStr">
        <is>
          <t>Deciles</t>
        </is>
      </c>
      <c r="G263" s="6" t="inlineStr">
        <is>
          <t>ccl</t>
        </is>
      </c>
      <c r="H263" s="6" t="inlineStr">
        <is>
          <t>%</t>
        </is>
      </c>
      <c r="Q263" s="12">
        <f>BSHARE("ccl_share",DECILE_ARRAY,"Overall","p25")</f>
        <v/>
      </c>
    </row>
    <row r="264">
      <c r="D264" s="6" t="inlineStr">
        <is>
          <t>p25</t>
        </is>
      </c>
      <c r="E264" s="6" t="inlineStr">
        <is>
          <t>Urban</t>
        </is>
      </c>
      <c r="F264" s="6" t="inlineStr">
        <is>
          <t>Basket</t>
        </is>
      </c>
      <c r="G264" s="6" t="inlineStr">
        <is>
          <t>ccl</t>
        </is>
      </c>
      <c r="H264" s="6" t="inlineStr">
        <is>
          <t>%</t>
        </is>
      </c>
      <c r="P264" s="12">
        <f>BSHARE("ccl_share",0,"Urban","p25")</f>
        <v/>
      </c>
    </row>
    <row r="265">
      <c r="D265" s="6" t="inlineStr">
        <is>
          <t>p25</t>
        </is>
      </c>
      <c r="E265" s="6" t="inlineStr">
        <is>
          <t>Urban</t>
        </is>
      </c>
      <c r="F265" s="6" t="inlineStr">
        <is>
          <t>Deciles</t>
        </is>
      </c>
      <c r="G265" s="6" t="inlineStr">
        <is>
          <t>ccl</t>
        </is>
      </c>
      <c r="H265" s="6" t="inlineStr">
        <is>
          <t>%</t>
        </is>
      </c>
      <c r="Q265" s="12">
        <f>BSHARE("ccl_share",DECILE_ARRAY,"Urban","p25")</f>
        <v/>
      </c>
    </row>
    <row r="266">
      <c r="D266" s="6" t="inlineStr">
        <is>
          <t>p25</t>
        </is>
      </c>
      <c r="E266" s="6" t="inlineStr">
        <is>
          <t>Rural</t>
        </is>
      </c>
      <c r="F266" s="6" t="inlineStr">
        <is>
          <t>Basket</t>
        </is>
      </c>
      <c r="G266" s="6" t="inlineStr">
        <is>
          <t>ccl</t>
        </is>
      </c>
      <c r="H266" s="6" t="inlineStr">
        <is>
          <t>%</t>
        </is>
      </c>
      <c r="P266" s="12">
        <f>BSHARE("ccl_share",0,"Rural","p25")</f>
        <v/>
      </c>
    </row>
    <row r="267">
      <c r="D267" s="6" t="inlineStr">
        <is>
          <t>p25</t>
        </is>
      </c>
      <c r="E267" s="6" t="inlineStr">
        <is>
          <t>Rural</t>
        </is>
      </c>
      <c r="F267" s="6" t="inlineStr">
        <is>
          <t>Deciles</t>
        </is>
      </c>
      <c r="G267" s="6" t="inlineStr">
        <is>
          <t>ccl</t>
        </is>
      </c>
      <c r="H267" s="6" t="inlineStr">
        <is>
          <t>%</t>
        </is>
      </c>
      <c r="Q267" s="12">
        <f>BSHARE("ccl_share",DECILE_ARRAY,"Rural","p25")</f>
        <v/>
      </c>
    </row>
    <row r="268">
      <c r="D268" s="6" t="inlineStr">
        <is>
          <t>p75</t>
        </is>
      </c>
      <c r="E268" s="6" t="inlineStr">
        <is>
          <t>Overall</t>
        </is>
      </c>
      <c r="F268" s="6" t="inlineStr">
        <is>
          <t>Basket</t>
        </is>
      </c>
      <c r="G268" s="6" t="inlineStr">
        <is>
          <t>ccl</t>
        </is>
      </c>
      <c r="H268" s="6" t="inlineStr">
        <is>
          <t>%</t>
        </is>
      </c>
      <c r="P268" s="12">
        <f>BSHARE("ccl_share",0,"Overall","p75")</f>
        <v/>
      </c>
    </row>
    <row r="269">
      <c r="D269" s="6" t="inlineStr">
        <is>
          <t>p75</t>
        </is>
      </c>
      <c r="E269" s="6" t="inlineStr">
        <is>
          <t>Overall</t>
        </is>
      </c>
      <c r="F269" s="6" t="inlineStr">
        <is>
          <t>Deciles</t>
        </is>
      </c>
      <c r="G269" s="6" t="inlineStr">
        <is>
          <t>ccl</t>
        </is>
      </c>
      <c r="H269" s="6" t="inlineStr">
        <is>
          <t>%</t>
        </is>
      </c>
      <c r="Q269" s="12">
        <f>BSHARE("ccl_share",DECILE_ARRAY,"Overall","p75")</f>
        <v/>
      </c>
    </row>
    <row r="270">
      <c r="D270" s="6" t="inlineStr">
        <is>
          <t>p75</t>
        </is>
      </c>
      <c r="E270" s="6" t="inlineStr">
        <is>
          <t>Urban</t>
        </is>
      </c>
      <c r="F270" s="6" t="inlineStr">
        <is>
          <t>Basket</t>
        </is>
      </c>
      <c r="G270" s="6" t="inlineStr">
        <is>
          <t>ccl</t>
        </is>
      </c>
      <c r="H270" s="6" t="inlineStr">
        <is>
          <t>%</t>
        </is>
      </c>
      <c r="P270" s="12">
        <f>BSHARE("ccl_share",0,"Urban","p75")</f>
        <v/>
      </c>
    </row>
    <row r="271">
      <c r="D271" s="6" t="inlineStr">
        <is>
          <t>p75</t>
        </is>
      </c>
      <c r="E271" s="6" t="inlineStr">
        <is>
          <t>Urban</t>
        </is>
      </c>
      <c r="F271" s="6" t="inlineStr">
        <is>
          <t>Deciles</t>
        </is>
      </c>
      <c r="G271" s="6" t="inlineStr">
        <is>
          <t>ccl</t>
        </is>
      </c>
      <c r="H271" s="6" t="inlineStr">
        <is>
          <t>%</t>
        </is>
      </c>
      <c r="Q271" s="12">
        <f>BSHARE("ccl_share",DECILE_ARRAY,"Urban","p75")</f>
        <v/>
      </c>
    </row>
    <row r="272">
      <c r="D272" s="6" t="inlineStr">
        <is>
          <t>p75</t>
        </is>
      </c>
      <c r="E272" s="6" t="inlineStr">
        <is>
          <t>Rural</t>
        </is>
      </c>
      <c r="F272" s="6" t="inlineStr">
        <is>
          <t>Basket</t>
        </is>
      </c>
      <c r="G272" s="6" t="inlineStr">
        <is>
          <t>ccl</t>
        </is>
      </c>
      <c r="H272" s="6" t="inlineStr">
        <is>
          <t>%</t>
        </is>
      </c>
      <c r="P272" s="12">
        <f>BSHARE("ccl_share",0,"Rural","p75")</f>
        <v/>
      </c>
    </row>
    <row r="273">
      <c r="D273" s="6" t="inlineStr">
        <is>
          <t>p75</t>
        </is>
      </c>
      <c r="E273" s="6" t="inlineStr">
        <is>
          <t>Rural</t>
        </is>
      </c>
      <c r="F273" s="6" t="inlineStr">
        <is>
          <t>Deciles</t>
        </is>
      </c>
      <c r="G273" s="6" t="inlineStr">
        <is>
          <t>ccl</t>
        </is>
      </c>
      <c r="H273" s="6" t="inlineStr">
        <is>
          <t>%</t>
        </is>
      </c>
      <c r="Q273" s="12">
        <f>BSHARE("ccl_share",DECILE_ARRAY,"Rural","p75")</f>
        <v/>
      </c>
    </row>
    <row r="275">
      <c r="C275" s="7" t="inlineStr">
        <is>
          <t>Ethanol Budget Share (% Total Consumption)</t>
        </is>
      </c>
      <c r="G275" s="6" t="inlineStr">
        <is>
          <t>ethanol</t>
        </is>
      </c>
      <c r="O275" s="8" t="inlineStr">
        <is>
          <t>Decile --&gt;</t>
        </is>
      </c>
      <c r="Q275" s="8" t="n">
        <v>1</v>
      </c>
      <c r="R275" s="8" t="n">
        <v>2</v>
      </c>
      <c r="S275" s="8" t="n">
        <v>3</v>
      </c>
      <c r="T275" s="8" t="n">
        <v>4</v>
      </c>
      <c r="U275" s="8" t="n">
        <v>5</v>
      </c>
      <c r="V275" s="8" t="n">
        <v>6</v>
      </c>
      <c r="W275" s="8" t="n">
        <v>7</v>
      </c>
      <c r="X275" s="8" t="n">
        <v>8</v>
      </c>
      <c r="Y275" s="8" t="n">
        <v>9</v>
      </c>
      <c r="Z275" s="8" t="n">
        <v>10</v>
      </c>
    </row>
    <row r="276">
      <c r="D276" s="6" t="inlineStr">
        <is>
          <t>mean</t>
        </is>
      </c>
      <c r="E276" s="6" t="inlineStr">
        <is>
          <t>Overall</t>
        </is>
      </c>
      <c r="F276" s="6" t="inlineStr">
        <is>
          <t>Basket</t>
        </is>
      </c>
      <c r="G276" s="6" t="inlineStr">
        <is>
          <t>ethanol</t>
        </is>
      </c>
      <c r="H276" s="6" t="inlineStr">
        <is>
          <t>%</t>
        </is>
      </c>
      <c r="P276" s="12">
        <f>BSHARE("ethanol_share",0,"Overall","mean")</f>
        <v/>
      </c>
    </row>
    <row r="277">
      <c r="D277" s="6" t="inlineStr">
        <is>
          <t>mean</t>
        </is>
      </c>
      <c r="E277" s="6" t="inlineStr">
        <is>
          <t>Overall</t>
        </is>
      </c>
      <c r="F277" s="6" t="inlineStr">
        <is>
          <t>Deciles</t>
        </is>
      </c>
      <c r="G277" s="6" t="inlineStr">
        <is>
          <t>ethanol</t>
        </is>
      </c>
      <c r="H277" s="6" t="inlineStr">
        <is>
          <t>%</t>
        </is>
      </c>
      <c r="Q277" s="12">
        <f>BSHARE("ethanol_share",DECILE_ARRAY,"Overall","mean")</f>
        <v/>
      </c>
    </row>
    <row r="278">
      <c r="D278" s="6" t="inlineStr">
        <is>
          <t>mean</t>
        </is>
      </c>
      <c r="E278" s="6" t="inlineStr">
        <is>
          <t>Urban</t>
        </is>
      </c>
      <c r="F278" s="6" t="inlineStr">
        <is>
          <t>Basket</t>
        </is>
      </c>
      <c r="G278" s="6" t="inlineStr">
        <is>
          <t>ethanol</t>
        </is>
      </c>
      <c r="H278" s="6" t="inlineStr">
        <is>
          <t>%</t>
        </is>
      </c>
      <c r="P278" s="12">
        <f>BSHARE("ethanol_share",0,"Urban","mean")</f>
        <v/>
      </c>
    </row>
    <row r="279">
      <c r="D279" s="6" t="inlineStr">
        <is>
          <t>mean</t>
        </is>
      </c>
      <c r="E279" s="6" t="inlineStr">
        <is>
          <t>Urban</t>
        </is>
      </c>
      <c r="F279" s="6" t="inlineStr">
        <is>
          <t>Deciles</t>
        </is>
      </c>
      <c r="G279" s="6" t="inlineStr">
        <is>
          <t>ethanol</t>
        </is>
      </c>
      <c r="H279" s="6" t="inlineStr">
        <is>
          <t>%</t>
        </is>
      </c>
      <c r="Q279" s="12">
        <f>BSHARE("ethanol_share",DECILE_ARRAY,"Urban","mean")</f>
        <v/>
      </c>
    </row>
    <row r="280">
      <c r="D280" s="6" t="inlineStr">
        <is>
          <t>mean</t>
        </is>
      </c>
      <c r="E280" s="6" t="inlineStr">
        <is>
          <t>Rural</t>
        </is>
      </c>
      <c r="F280" s="6" t="inlineStr">
        <is>
          <t>Basket</t>
        </is>
      </c>
      <c r="G280" s="6" t="inlineStr">
        <is>
          <t>ethanol</t>
        </is>
      </c>
      <c r="H280" s="6" t="inlineStr">
        <is>
          <t>%</t>
        </is>
      </c>
      <c r="P280" s="12">
        <f>BSHARE("ethanol_share",0,"Rural","mean")</f>
        <v/>
      </c>
    </row>
    <row r="281">
      <c r="D281" s="6" t="inlineStr">
        <is>
          <t>mean</t>
        </is>
      </c>
      <c r="E281" s="6" t="inlineStr">
        <is>
          <t>Rural</t>
        </is>
      </c>
      <c r="F281" s="6" t="inlineStr">
        <is>
          <t>Deciles</t>
        </is>
      </c>
      <c r="G281" s="6" t="inlineStr">
        <is>
          <t>ethanol</t>
        </is>
      </c>
      <c r="H281" s="6" t="inlineStr">
        <is>
          <t>%</t>
        </is>
      </c>
      <c r="Q281" s="12">
        <f>BSHARE("ethanol_share",DECILE_ARRAY,"Rural","mean")</f>
        <v/>
      </c>
    </row>
    <row r="282">
      <c r="D282" s="6" t="inlineStr">
        <is>
          <t>median</t>
        </is>
      </c>
      <c r="E282" s="6" t="inlineStr">
        <is>
          <t>Overall</t>
        </is>
      </c>
      <c r="F282" s="6" t="inlineStr">
        <is>
          <t>Basket</t>
        </is>
      </c>
      <c r="G282" s="6" t="inlineStr">
        <is>
          <t>ethanol</t>
        </is>
      </c>
      <c r="H282" s="6" t="inlineStr">
        <is>
          <t>%</t>
        </is>
      </c>
      <c r="P282" s="12">
        <f>BSHARE("ethanol_share",0,"Overall","median")</f>
        <v/>
      </c>
    </row>
    <row r="283">
      <c r="D283" s="6" t="inlineStr">
        <is>
          <t>median</t>
        </is>
      </c>
      <c r="E283" s="6" t="inlineStr">
        <is>
          <t>Overall</t>
        </is>
      </c>
      <c r="F283" s="6" t="inlineStr">
        <is>
          <t>Deciles</t>
        </is>
      </c>
      <c r="G283" s="6" t="inlineStr">
        <is>
          <t>ethanol</t>
        </is>
      </c>
      <c r="H283" s="6" t="inlineStr">
        <is>
          <t>%</t>
        </is>
      </c>
      <c r="Q283" s="12">
        <f>BSHARE("ethanol_share",DECILE_ARRAY,"Overall","median")</f>
        <v/>
      </c>
    </row>
    <row r="284">
      <c r="D284" s="6" t="inlineStr">
        <is>
          <t>median</t>
        </is>
      </c>
      <c r="E284" s="6" t="inlineStr">
        <is>
          <t>Urban</t>
        </is>
      </c>
      <c r="F284" s="6" t="inlineStr">
        <is>
          <t>Basket</t>
        </is>
      </c>
      <c r="G284" s="6" t="inlineStr">
        <is>
          <t>ethanol</t>
        </is>
      </c>
      <c r="H284" s="6" t="inlineStr">
        <is>
          <t>%</t>
        </is>
      </c>
      <c r="P284" s="12">
        <f>BSHARE("ethanol_share",0,"Urban","median")</f>
        <v/>
      </c>
    </row>
    <row r="285">
      <c r="D285" s="6" t="inlineStr">
        <is>
          <t>median</t>
        </is>
      </c>
      <c r="E285" s="6" t="inlineStr">
        <is>
          <t>Urban</t>
        </is>
      </c>
      <c r="F285" s="6" t="inlineStr">
        <is>
          <t>Deciles</t>
        </is>
      </c>
      <c r="G285" s="6" t="inlineStr">
        <is>
          <t>ethanol</t>
        </is>
      </c>
      <c r="H285" s="6" t="inlineStr">
        <is>
          <t>%</t>
        </is>
      </c>
      <c r="Q285" s="12">
        <f>BSHARE("ethanol_share",DECILE_ARRAY,"Urban","median")</f>
        <v/>
      </c>
    </row>
    <row r="286">
      <c r="D286" s="6" t="inlineStr">
        <is>
          <t>median</t>
        </is>
      </c>
      <c r="E286" s="6" t="inlineStr">
        <is>
          <t>Rural</t>
        </is>
      </c>
      <c r="F286" s="6" t="inlineStr">
        <is>
          <t>Basket</t>
        </is>
      </c>
      <c r="G286" s="6" t="inlineStr">
        <is>
          <t>ethanol</t>
        </is>
      </c>
      <c r="H286" s="6" t="inlineStr">
        <is>
          <t>%</t>
        </is>
      </c>
      <c r="P286" s="12">
        <f>BSHARE("ethanol_share",0,"Rural","median")</f>
        <v/>
      </c>
    </row>
    <row r="287">
      <c r="D287" s="6" t="inlineStr">
        <is>
          <t>median</t>
        </is>
      </c>
      <c r="E287" s="6" t="inlineStr">
        <is>
          <t>Rural</t>
        </is>
      </c>
      <c r="F287" s="6" t="inlineStr">
        <is>
          <t>Deciles</t>
        </is>
      </c>
      <c r="G287" s="6" t="inlineStr">
        <is>
          <t>ethanol</t>
        </is>
      </c>
      <c r="H287" s="6" t="inlineStr">
        <is>
          <t>%</t>
        </is>
      </c>
      <c r="Q287" s="12">
        <f>BSHARE("ethanol_share",DECILE_ARRAY,"Rural","median")</f>
        <v/>
      </c>
    </row>
    <row r="288">
      <c r="D288" s="6" t="inlineStr">
        <is>
          <t>p25</t>
        </is>
      </c>
      <c r="E288" s="6" t="inlineStr">
        <is>
          <t>Overall</t>
        </is>
      </c>
      <c r="F288" s="6" t="inlineStr">
        <is>
          <t>Basket</t>
        </is>
      </c>
      <c r="G288" s="6" t="inlineStr">
        <is>
          <t>ethanol</t>
        </is>
      </c>
      <c r="H288" s="6" t="inlineStr">
        <is>
          <t>%</t>
        </is>
      </c>
      <c r="P288" s="12">
        <f>BSHARE("ethanol_share",0,"Overall","p25")</f>
        <v/>
      </c>
    </row>
    <row r="289">
      <c r="D289" s="6" t="inlineStr">
        <is>
          <t>p25</t>
        </is>
      </c>
      <c r="E289" s="6" t="inlineStr">
        <is>
          <t>Overall</t>
        </is>
      </c>
      <c r="F289" s="6" t="inlineStr">
        <is>
          <t>Deciles</t>
        </is>
      </c>
      <c r="G289" s="6" t="inlineStr">
        <is>
          <t>ethanol</t>
        </is>
      </c>
      <c r="H289" s="6" t="inlineStr">
        <is>
          <t>%</t>
        </is>
      </c>
      <c r="Q289" s="12">
        <f>BSHARE("ethanol_share",DECILE_ARRAY,"Overall","p25")</f>
        <v/>
      </c>
    </row>
    <row r="290">
      <c r="D290" s="6" t="inlineStr">
        <is>
          <t>p25</t>
        </is>
      </c>
      <c r="E290" s="6" t="inlineStr">
        <is>
          <t>Urban</t>
        </is>
      </c>
      <c r="F290" s="6" t="inlineStr">
        <is>
          <t>Basket</t>
        </is>
      </c>
      <c r="G290" s="6" t="inlineStr">
        <is>
          <t>ethanol</t>
        </is>
      </c>
      <c r="H290" s="6" t="inlineStr">
        <is>
          <t>%</t>
        </is>
      </c>
      <c r="P290" s="12">
        <f>BSHARE("ethanol_share",0,"Urban","p25")</f>
        <v/>
      </c>
    </row>
    <row r="291">
      <c r="D291" s="6" t="inlineStr">
        <is>
          <t>p25</t>
        </is>
      </c>
      <c r="E291" s="6" t="inlineStr">
        <is>
          <t>Urban</t>
        </is>
      </c>
      <c r="F291" s="6" t="inlineStr">
        <is>
          <t>Deciles</t>
        </is>
      </c>
      <c r="G291" s="6" t="inlineStr">
        <is>
          <t>ethanol</t>
        </is>
      </c>
      <c r="H291" s="6" t="inlineStr">
        <is>
          <t>%</t>
        </is>
      </c>
      <c r="Q291" s="12">
        <f>BSHARE("ethanol_share",DECILE_ARRAY,"Urban","p25")</f>
        <v/>
      </c>
    </row>
    <row r="292">
      <c r="D292" s="6" t="inlineStr">
        <is>
          <t>p25</t>
        </is>
      </c>
      <c r="E292" s="6" t="inlineStr">
        <is>
          <t>Rural</t>
        </is>
      </c>
      <c r="F292" s="6" t="inlineStr">
        <is>
          <t>Basket</t>
        </is>
      </c>
      <c r="G292" s="6" t="inlineStr">
        <is>
          <t>ethanol</t>
        </is>
      </c>
      <c r="H292" s="6" t="inlineStr">
        <is>
          <t>%</t>
        </is>
      </c>
      <c r="P292" s="12">
        <f>BSHARE("ethanol_share",0,"Rural","p25")</f>
        <v/>
      </c>
    </row>
    <row r="293">
      <c r="D293" s="6" t="inlineStr">
        <is>
          <t>p25</t>
        </is>
      </c>
      <c r="E293" s="6" t="inlineStr">
        <is>
          <t>Rural</t>
        </is>
      </c>
      <c r="F293" s="6" t="inlineStr">
        <is>
          <t>Deciles</t>
        </is>
      </c>
      <c r="G293" s="6" t="inlineStr">
        <is>
          <t>ethanol</t>
        </is>
      </c>
      <c r="H293" s="6" t="inlineStr">
        <is>
          <t>%</t>
        </is>
      </c>
      <c r="Q293" s="12">
        <f>BSHARE("ethanol_share",DECILE_ARRAY,"Rural","p25")</f>
        <v/>
      </c>
    </row>
    <row r="294">
      <c r="D294" s="6" t="inlineStr">
        <is>
          <t>p75</t>
        </is>
      </c>
      <c r="E294" s="6" t="inlineStr">
        <is>
          <t>Overall</t>
        </is>
      </c>
      <c r="F294" s="6" t="inlineStr">
        <is>
          <t>Basket</t>
        </is>
      </c>
      <c r="G294" s="6" t="inlineStr">
        <is>
          <t>ethanol</t>
        </is>
      </c>
      <c r="H294" s="6" t="inlineStr">
        <is>
          <t>%</t>
        </is>
      </c>
      <c r="P294" s="12">
        <f>BSHARE("ethanol_share",0,"Overall","p75")</f>
        <v/>
      </c>
    </row>
    <row r="295">
      <c r="D295" s="6" t="inlineStr">
        <is>
          <t>p75</t>
        </is>
      </c>
      <c r="E295" s="6" t="inlineStr">
        <is>
          <t>Overall</t>
        </is>
      </c>
      <c r="F295" s="6" t="inlineStr">
        <is>
          <t>Deciles</t>
        </is>
      </c>
      <c r="G295" s="6" t="inlineStr">
        <is>
          <t>ethanol</t>
        </is>
      </c>
      <c r="H295" s="6" t="inlineStr">
        <is>
          <t>%</t>
        </is>
      </c>
      <c r="Q295" s="12">
        <f>BSHARE("ethanol_share",DECILE_ARRAY,"Overall","p75")</f>
        <v/>
      </c>
    </row>
    <row r="296">
      <c r="D296" s="6" t="inlineStr">
        <is>
          <t>p75</t>
        </is>
      </c>
      <c r="E296" s="6" t="inlineStr">
        <is>
          <t>Urban</t>
        </is>
      </c>
      <c r="F296" s="6" t="inlineStr">
        <is>
          <t>Basket</t>
        </is>
      </c>
      <c r="G296" s="6" t="inlineStr">
        <is>
          <t>ethanol</t>
        </is>
      </c>
      <c r="H296" s="6" t="inlineStr">
        <is>
          <t>%</t>
        </is>
      </c>
      <c r="P296" s="12">
        <f>BSHARE("ethanol_share",0,"Urban","p75")</f>
        <v/>
      </c>
    </row>
    <row r="297">
      <c r="D297" s="6" t="inlineStr">
        <is>
          <t>p75</t>
        </is>
      </c>
      <c r="E297" s="6" t="inlineStr">
        <is>
          <t>Urban</t>
        </is>
      </c>
      <c r="F297" s="6" t="inlineStr">
        <is>
          <t>Deciles</t>
        </is>
      </c>
      <c r="G297" s="6" t="inlineStr">
        <is>
          <t>ethanol</t>
        </is>
      </c>
      <c r="H297" s="6" t="inlineStr">
        <is>
          <t>%</t>
        </is>
      </c>
      <c r="Q297" s="12">
        <f>BSHARE("ethanol_share",DECILE_ARRAY,"Urban","p75")</f>
        <v/>
      </c>
    </row>
    <row r="298">
      <c r="D298" s="6" t="inlineStr">
        <is>
          <t>p75</t>
        </is>
      </c>
      <c r="E298" s="6" t="inlineStr">
        <is>
          <t>Rural</t>
        </is>
      </c>
      <c r="F298" s="6" t="inlineStr">
        <is>
          <t>Basket</t>
        </is>
      </c>
      <c r="G298" s="6" t="inlineStr">
        <is>
          <t>ethanol</t>
        </is>
      </c>
      <c r="H298" s="6" t="inlineStr">
        <is>
          <t>%</t>
        </is>
      </c>
      <c r="P298" s="12">
        <f>BSHARE("ethanol_share",0,"Rural","p75")</f>
        <v/>
      </c>
    </row>
    <row r="299">
      <c r="D299" s="6" t="inlineStr">
        <is>
          <t>p75</t>
        </is>
      </c>
      <c r="E299" s="6" t="inlineStr">
        <is>
          <t>Rural</t>
        </is>
      </c>
      <c r="F299" s="6" t="inlineStr">
        <is>
          <t>Deciles</t>
        </is>
      </c>
      <c r="G299" s="6" t="inlineStr">
        <is>
          <t>ethanol</t>
        </is>
      </c>
      <c r="H299" s="6" t="inlineStr">
        <is>
          <t>%</t>
        </is>
      </c>
      <c r="Q299" s="12">
        <f>BSHARE("ethanol_share",DECILE_ARRAY,"Rural","p75")</f>
        <v/>
      </c>
    </row>
    <row r="301">
      <c r="C301" s="7" t="inlineStr">
        <is>
          <t>Firewood Budget Share (% Total Consumption)</t>
        </is>
      </c>
      <c r="G301" s="6" t="inlineStr">
        <is>
          <t>fwd</t>
        </is>
      </c>
      <c r="O301" s="8" t="inlineStr">
        <is>
          <t>Decile --&gt;</t>
        </is>
      </c>
      <c r="Q301" s="8" t="n">
        <v>1</v>
      </c>
      <c r="R301" s="8" t="n">
        <v>2</v>
      </c>
      <c r="S301" s="8" t="n">
        <v>3</v>
      </c>
      <c r="T301" s="8" t="n">
        <v>4</v>
      </c>
      <c r="U301" s="8" t="n">
        <v>5</v>
      </c>
      <c r="V301" s="8" t="n">
        <v>6</v>
      </c>
      <c r="W301" s="8" t="n">
        <v>7</v>
      </c>
      <c r="X301" s="8" t="n">
        <v>8</v>
      </c>
      <c r="Y301" s="8" t="n">
        <v>9</v>
      </c>
      <c r="Z301" s="8" t="n">
        <v>10</v>
      </c>
    </row>
    <row r="302">
      <c r="D302" s="6" t="inlineStr">
        <is>
          <t>mean</t>
        </is>
      </c>
      <c r="E302" s="6" t="inlineStr">
        <is>
          <t>Overall</t>
        </is>
      </c>
      <c r="F302" s="6" t="inlineStr">
        <is>
          <t>Basket</t>
        </is>
      </c>
      <c r="G302" s="6" t="inlineStr">
        <is>
          <t>fwd</t>
        </is>
      </c>
      <c r="H302" s="6" t="inlineStr">
        <is>
          <t>%</t>
        </is>
      </c>
      <c r="P302" s="12">
        <f>BSHARE("fwd_share",0,"Overall","mean")</f>
        <v/>
      </c>
    </row>
    <row r="303">
      <c r="D303" s="6" t="inlineStr">
        <is>
          <t>mean</t>
        </is>
      </c>
      <c r="E303" s="6" t="inlineStr">
        <is>
          <t>Overall</t>
        </is>
      </c>
      <c r="F303" s="6" t="inlineStr">
        <is>
          <t>Deciles</t>
        </is>
      </c>
      <c r="G303" s="6" t="inlineStr">
        <is>
          <t>fwd</t>
        </is>
      </c>
      <c r="H303" s="6" t="inlineStr">
        <is>
          <t>%</t>
        </is>
      </c>
      <c r="Q303" s="12">
        <f>BSHARE("fwd_share",DECILE_ARRAY,"Overall","mean")</f>
        <v/>
      </c>
    </row>
    <row r="304">
      <c r="D304" s="6" t="inlineStr">
        <is>
          <t>mean</t>
        </is>
      </c>
      <c r="E304" s="6" t="inlineStr">
        <is>
          <t>Urban</t>
        </is>
      </c>
      <c r="F304" s="6" t="inlineStr">
        <is>
          <t>Basket</t>
        </is>
      </c>
      <c r="G304" s="6" t="inlineStr">
        <is>
          <t>fwd</t>
        </is>
      </c>
      <c r="H304" s="6" t="inlineStr">
        <is>
          <t>%</t>
        </is>
      </c>
      <c r="P304" s="12">
        <f>BSHARE("fwd_share",0,"Urban","mean")</f>
        <v/>
      </c>
    </row>
    <row r="305">
      <c r="D305" s="6" t="inlineStr">
        <is>
          <t>mean</t>
        </is>
      </c>
      <c r="E305" s="6" t="inlineStr">
        <is>
          <t>Urban</t>
        </is>
      </c>
      <c r="F305" s="6" t="inlineStr">
        <is>
          <t>Deciles</t>
        </is>
      </c>
      <c r="G305" s="6" t="inlineStr">
        <is>
          <t>fwd</t>
        </is>
      </c>
      <c r="H305" s="6" t="inlineStr">
        <is>
          <t>%</t>
        </is>
      </c>
      <c r="Q305" s="12">
        <f>BSHARE("fwd_share",DECILE_ARRAY,"Urban","mean")</f>
        <v/>
      </c>
    </row>
    <row r="306">
      <c r="D306" s="6" t="inlineStr">
        <is>
          <t>mean</t>
        </is>
      </c>
      <c r="E306" s="6" t="inlineStr">
        <is>
          <t>Rural</t>
        </is>
      </c>
      <c r="F306" s="6" t="inlineStr">
        <is>
          <t>Basket</t>
        </is>
      </c>
      <c r="G306" s="6" t="inlineStr">
        <is>
          <t>fwd</t>
        </is>
      </c>
      <c r="H306" s="6" t="inlineStr">
        <is>
          <t>%</t>
        </is>
      </c>
      <c r="P306" s="12">
        <f>BSHARE("fwd_share",0,"Rural","mean")</f>
        <v/>
      </c>
    </row>
    <row r="307">
      <c r="D307" s="6" t="inlineStr">
        <is>
          <t>mean</t>
        </is>
      </c>
      <c r="E307" s="6" t="inlineStr">
        <is>
          <t>Rural</t>
        </is>
      </c>
      <c r="F307" s="6" t="inlineStr">
        <is>
          <t>Deciles</t>
        </is>
      </c>
      <c r="G307" s="6" t="inlineStr">
        <is>
          <t>fwd</t>
        </is>
      </c>
      <c r="H307" s="6" t="inlineStr">
        <is>
          <t>%</t>
        </is>
      </c>
      <c r="Q307" s="12">
        <f>BSHARE("fwd_share",DECILE_ARRAY,"Rural","mean")</f>
        <v/>
      </c>
    </row>
    <row r="308">
      <c r="D308" s="6" t="inlineStr">
        <is>
          <t>median</t>
        </is>
      </c>
      <c r="E308" s="6" t="inlineStr">
        <is>
          <t>Overall</t>
        </is>
      </c>
      <c r="F308" s="6" t="inlineStr">
        <is>
          <t>Basket</t>
        </is>
      </c>
      <c r="G308" s="6" t="inlineStr">
        <is>
          <t>fwd</t>
        </is>
      </c>
      <c r="H308" s="6" t="inlineStr">
        <is>
          <t>%</t>
        </is>
      </c>
      <c r="P308" s="12">
        <f>BSHARE("fwd_share",0,"Overall","median")</f>
        <v/>
      </c>
    </row>
    <row r="309">
      <c r="D309" s="6" t="inlineStr">
        <is>
          <t>median</t>
        </is>
      </c>
      <c r="E309" s="6" t="inlineStr">
        <is>
          <t>Overall</t>
        </is>
      </c>
      <c r="F309" s="6" t="inlineStr">
        <is>
          <t>Deciles</t>
        </is>
      </c>
      <c r="G309" s="6" t="inlineStr">
        <is>
          <t>fwd</t>
        </is>
      </c>
      <c r="H309" s="6" t="inlineStr">
        <is>
          <t>%</t>
        </is>
      </c>
      <c r="Q309" s="12">
        <f>BSHARE("fwd_share",DECILE_ARRAY,"Overall","median")</f>
        <v/>
      </c>
    </row>
    <row r="310">
      <c r="D310" s="6" t="inlineStr">
        <is>
          <t>median</t>
        </is>
      </c>
      <c r="E310" s="6" t="inlineStr">
        <is>
          <t>Urban</t>
        </is>
      </c>
      <c r="F310" s="6" t="inlineStr">
        <is>
          <t>Basket</t>
        </is>
      </c>
      <c r="G310" s="6" t="inlineStr">
        <is>
          <t>fwd</t>
        </is>
      </c>
      <c r="H310" s="6" t="inlineStr">
        <is>
          <t>%</t>
        </is>
      </c>
      <c r="P310" s="12">
        <f>BSHARE("fwd_share",0,"Urban","median")</f>
        <v/>
      </c>
    </row>
    <row r="311">
      <c r="D311" s="6" t="inlineStr">
        <is>
          <t>median</t>
        </is>
      </c>
      <c r="E311" s="6" t="inlineStr">
        <is>
          <t>Urban</t>
        </is>
      </c>
      <c r="F311" s="6" t="inlineStr">
        <is>
          <t>Deciles</t>
        </is>
      </c>
      <c r="G311" s="6" t="inlineStr">
        <is>
          <t>fwd</t>
        </is>
      </c>
      <c r="H311" s="6" t="inlineStr">
        <is>
          <t>%</t>
        </is>
      </c>
      <c r="Q311" s="12">
        <f>BSHARE("fwd_share",DECILE_ARRAY,"Urban","median")</f>
        <v/>
      </c>
    </row>
    <row r="312">
      <c r="D312" s="6" t="inlineStr">
        <is>
          <t>median</t>
        </is>
      </c>
      <c r="E312" s="6" t="inlineStr">
        <is>
          <t>Rural</t>
        </is>
      </c>
      <c r="F312" s="6" t="inlineStr">
        <is>
          <t>Basket</t>
        </is>
      </c>
      <c r="G312" s="6" t="inlineStr">
        <is>
          <t>fwd</t>
        </is>
      </c>
      <c r="H312" s="6" t="inlineStr">
        <is>
          <t>%</t>
        </is>
      </c>
      <c r="P312" s="12">
        <f>BSHARE("fwd_share",0,"Rural","median")</f>
        <v/>
      </c>
    </row>
    <row r="313">
      <c r="D313" s="6" t="inlineStr">
        <is>
          <t>median</t>
        </is>
      </c>
      <c r="E313" s="6" t="inlineStr">
        <is>
          <t>Rural</t>
        </is>
      </c>
      <c r="F313" s="6" t="inlineStr">
        <is>
          <t>Deciles</t>
        </is>
      </c>
      <c r="G313" s="6" t="inlineStr">
        <is>
          <t>fwd</t>
        </is>
      </c>
      <c r="H313" s="6" t="inlineStr">
        <is>
          <t>%</t>
        </is>
      </c>
      <c r="Q313" s="12">
        <f>BSHARE("fwd_share",DECILE_ARRAY,"Rural","median")</f>
        <v/>
      </c>
    </row>
    <row r="314">
      <c r="D314" s="6" t="inlineStr">
        <is>
          <t>p25</t>
        </is>
      </c>
      <c r="E314" s="6" t="inlineStr">
        <is>
          <t>Overall</t>
        </is>
      </c>
      <c r="F314" s="6" t="inlineStr">
        <is>
          <t>Basket</t>
        </is>
      </c>
      <c r="G314" s="6" t="inlineStr">
        <is>
          <t>fwd</t>
        </is>
      </c>
      <c r="H314" s="6" t="inlineStr">
        <is>
          <t>%</t>
        </is>
      </c>
      <c r="P314" s="12">
        <f>BSHARE("fwd_share",0,"Overall","p25")</f>
        <v/>
      </c>
    </row>
    <row r="315">
      <c r="D315" s="6" t="inlineStr">
        <is>
          <t>p25</t>
        </is>
      </c>
      <c r="E315" s="6" t="inlineStr">
        <is>
          <t>Overall</t>
        </is>
      </c>
      <c r="F315" s="6" t="inlineStr">
        <is>
          <t>Deciles</t>
        </is>
      </c>
      <c r="G315" s="6" t="inlineStr">
        <is>
          <t>fwd</t>
        </is>
      </c>
      <c r="H315" s="6" t="inlineStr">
        <is>
          <t>%</t>
        </is>
      </c>
      <c r="Q315" s="12">
        <f>BSHARE("fwd_share",DECILE_ARRAY,"Overall","p25")</f>
        <v/>
      </c>
    </row>
    <row r="316">
      <c r="D316" s="6" t="inlineStr">
        <is>
          <t>p25</t>
        </is>
      </c>
      <c r="E316" s="6" t="inlineStr">
        <is>
          <t>Urban</t>
        </is>
      </c>
      <c r="F316" s="6" t="inlineStr">
        <is>
          <t>Basket</t>
        </is>
      </c>
      <c r="G316" s="6" t="inlineStr">
        <is>
          <t>fwd</t>
        </is>
      </c>
      <c r="H316" s="6" t="inlineStr">
        <is>
          <t>%</t>
        </is>
      </c>
      <c r="P316" s="12">
        <f>BSHARE("fwd_share",0,"Urban","p25")</f>
        <v/>
      </c>
    </row>
    <row r="317">
      <c r="D317" s="6" t="inlineStr">
        <is>
          <t>p25</t>
        </is>
      </c>
      <c r="E317" s="6" t="inlineStr">
        <is>
          <t>Urban</t>
        </is>
      </c>
      <c r="F317" s="6" t="inlineStr">
        <is>
          <t>Deciles</t>
        </is>
      </c>
      <c r="G317" s="6" t="inlineStr">
        <is>
          <t>fwd</t>
        </is>
      </c>
      <c r="H317" s="6" t="inlineStr">
        <is>
          <t>%</t>
        </is>
      </c>
      <c r="Q317" s="12">
        <f>BSHARE("fwd_share",DECILE_ARRAY,"Urban","p25")</f>
        <v/>
      </c>
    </row>
    <row r="318">
      <c r="D318" s="6" t="inlineStr">
        <is>
          <t>p25</t>
        </is>
      </c>
      <c r="E318" s="6" t="inlineStr">
        <is>
          <t>Rural</t>
        </is>
      </c>
      <c r="F318" s="6" t="inlineStr">
        <is>
          <t>Basket</t>
        </is>
      </c>
      <c r="G318" s="6" t="inlineStr">
        <is>
          <t>fwd</t>
        </is>
      </c>
      <c r="H318" s="6" t="inlineStr">
        <is>
          <t>%</t>
        </is>
      </c>
      <c r="P318" s="12">
        <f>BSHARE("fwd_share",0,"Rural","p25")</f>
        <v/>
      </c>
    </row>
    <row r="319">
      <c r="D319" s="6" t="inlineStr">
        <is>
          <t>p25</t>
        </is>
      </c>
      <c r="E319" s="6" t="inlineStr">
        <is>
          <t>Rural</t>
        </is>
      </c>
      <c r="F319" s="6" t="inlineStr">
        <is>
          <t>Deciles</t>
        </is>
      </c>
      <c r="G319" s="6" t="inlineStr">
        <is>
          <t>fwd</t>
        </is>
      </c>
      <c r="H319" s="6" t="inlineStr">
        <is>
          <t>%</t>
        </is>
      </c>
      <c r="Q319" s="12">
        <f>BSHARE("fwd_share",DECILE_ARRAY,"Rural","p25")</f>
        <v/>
      </c>
    </row>
    <row r="320">
      <c r="D320" s="6" t="inlineStr">
        <is>
          <t>p75</t>
        </is>
      </c>
      <c r="E320" s="6" t="inlineStr">
        <is>
          <t>Overall</t>
        </is>
      </c>
      <c r="F320" s="6" t="inlineStr">
        <is>
          <t>Basket</t>
        </is>
      </c>
      <c r="G320" s="6" t="inlineStr">
        <is>
          <t>fwd</t>
        </is>
      </c>
      <c r="H320" s="6" t="inlineStr">
        <is>
          <t>%</t>
        </is>
      </c>
      <c r="P320" s="12">
        <f>BSHARE("fwd_share",0,"Overall","p75")</f>
        <v/>
      </c>
    </row>
    <row r="321">
      <c r="D321" s="6" t="inlineStr">
        <is>
          <t>p75</t>
        </is>
      </c>
      <c r="E321" s="6" t="inlineStr">
        <is>
          <t>Overall</t>
        </is>
      </c>
      <c r="F321" s="6" t="inlineStr">
        <is>
          <t>Deciles</t>
        </is>
      </c>
      <c r="G321" s="6" t="inlineStr">
        <is>
          <t>fwd</t>
        </is>
      </c>
      <c r="H321" s="6" t="inlineStr">
        <is>
          <t>%</t>
        </is>
      </c>
      <c r="Q321" s="12">
        <f>BSHARE("fwd_share",DECILE_ARRAY,"Overall","p75")</f>
        <v/>
      </c>
    </row>
    <row r="322">
      <c r="D322" s="6" t="inlineStr">
        <is>
          <t>p75</t>
        </is>
      </c>
      <c r="E322" s="6" t="inlineStr">
        <is>
          <t>Urban</t>
        </is>
      </c>
      <c r="F322" s="6" t="inlineStr">
        <is>
          <t>Basket</t>
        </is>
      </c>
      <c r="G322" s="6" t="inlineStr">
        <is>
          <t>fwd</t>
        </is>
      </c>
      <c r="H322" s="6" t="inlineStr">
        <is>
          <t>%</t>
        </is>
      </c>
      <c r="P322" s="12">
        <f>BSHARE("fwd_share",0,"Urban","p75")</f>
        <v/>
      </c>
    </row>
    <row r="323">
      <c r="D323" s="6" t="inlineStr">
        <is>
          <t>p75</t>
        </is>
      </c>
      <c r="E323" s="6" t="inlineStr">
        <is>
          <t>Urban</t>
        </is>
      </c>
      <c r="F323" s="6" t="inlineStr">
        <is>
          <t>Deciles</t>
        </is>
      </c>
      <c r="G323" s="6" t="inlineStr">
        <is>
          <t>fwd</t>
        </is>
      </c>
      <c r="H323" s="6" t="inlineStr">
        <is>
          <t>%</t>
        </is>
      </c>
      <c r="Q323" s="12">
        <f>BSHARE("fwd_share",DECILE_ARRAY,"Urban","p75")</f>
        <v/>
      </c>
    </row>
    <row r="324">
      <c r="D324" s="6" t="inlineStr">
        <is>
          <t>p75</t>
        </is>
      </c>
      <c r="E324" s="6" t="inlineStr">
        <is>
          <t>Rural</t>
        </is>
      </c>
      <c r="F324" s="6" t="inlineStr">
        <is>
          <t>Basket</t>
        </is>
      </c>
      <c r="G324" s="6" t="inlineStr">
        <is>
          <t>fwd</t>
        </is>
      </c>
      <c r="H324" s="6" t="inlineStr">
        <is>
          <t>%</t>
        </is>
      </c>
      <c r="P324" s="12">
        <f>BSHARE("fwd_share",0,"Rural","p75")</f>
        <v/>
      </c>
    </row>
    <row r="325">
      <c r="D325" s="6" t="inlineStr">
        <is>
          <t>p75</t>
        </is>
      </c>
      <c r="E325" s="6" t="inlineStr">
        <is>
          <t>Rural</t>
        </is>
      </c>
      <c r="F325" s="6" t="inlineStr">
        <is>
          <t>Deciles</t>
        </is>
      </c>
      <c r="G325" s="6" t="inlineStr">
        <is>
          <t>fwd</t>
        </is>
      </c>
      <c r="H325" s="6" t="inlineStr">
        <is>
          <t>%</t>
        </is>
      </c>
      <c r="Q325" s="12">
        <f>BSHARE("fwd_share",DECILE_ARRAY,"Rural","p75")</f>
        <v/>
      </c>
    </row>
    <row r="327">
      <c r="A327" s="4" t="inlineStr">
        <is>
          <t>C.IV.</t>
        </is>
      </c>
      <c r="B327" s="4" t="inlineStr">
        <is>
          <t>Household budget shares - indirect (non-fuel) consumption</t>
        </is>
      </c>
      <c r="C327" s="5" t="n"/>
      <c r="D327" s="5" t="n"/>
      <c r="E327" s="5" t="n"/>
      <c r="F327" s="5" t="n"/>
      <c r="G327" s="5" t="n"/>
      <c r="H327" s="5" t="n"/>
      <c r="I327" s="5" t="n"/>
      <c r="J327" s="5" t="n"/>
      <c r="K327" s="5" t="n"/>
      <c r="L327" s="5" t="n"/>
      <c r="M327" s="5" t="n"/>
      <c r="N327" s="5" t="n"/>
    </row>
    <row r="329">
      <c r="C329" s="7" t="inlineStr">
        <is>
          <t>Appliances Budget Share (% Total Consumption)</t>
        </is>
      </c>
      <c r="G329" s="6" t="inlineStr">
        <is>
          <t>app</t>
        </is>
      </c>
      <c r="O329" s="8" t="inlineStr">
        <is>
          <t>Decile --&gt;</t>
        </is>
      </c>
      <c r="Q329" s="8" t="n">
        <v>1</v>
      </c>
      <c r="R329" s="8" t="n">
        <v>2</v>
      </c>
      <c r="S329" s="8" t="n">
        <v>3</v>
      </c>
      <c r="T329" s="8" t="n">
        <v>4</v>
      </c>
      <c r="U329" s="8" t="n">
        <v>5</v>
      </c>
      <c r="V329" s="8" t="n">
        <v>6</v>
      </c>
      <c r="W329" s="8" t="n">
        <v>7</v>
      </c>
      <c r="X329" s="8" t="n">
        <v>8</v>
      </c>
      <c r="Y329" s="8" t="n">
        <v>9</v>
      </c>
      <c r="Z329" s="8" t="n">
        <v>10</v>
      </c>
    </row>
    <row r="330">
      <c r="D330" s="6" t="inlineStr">
        <is>
          <t>mean</t>
        </is>
      </c>
      <c r="E330" s="6" t="inlineStr">
        <is>
          <t>Overall</t>
        </is>
      </c>
      <c r="F330" s="6" t="inlineStr">
        <is>
          <t>Basket</t>
        </is>
      </c>
      <c r="G330" s="6" t="inlineStr">
        <is>
          <t>app</t>
        </is>
      </c>
      <c r="H330" s="6" t="inlineStr">
        <is>
          <t>%</t>
        </is>
      </c>
      <c r="P330" s="12">
        <f>BSHARE("appliances_share",0,"Overall","mean")</f>
        <v/>
      </c>
    </row>
    <row r="331">
      <c r="D331" s="6" t="inlineStr">
        <is>
          <t>mean</t>
        </is>
      </c>
      <c r="E331" s="6" t="inlineStr">
        <is>
          <t>Overall</t>
        </is>
      </c>
      <c r="F331" s="6" t="inlineStr">
        <is>
          <t>Deciles</t>
        </is>
      </c>
      <c r="G331" s="6" t="inlineStr">
        <is>
          <t>app</t>
        </is>
      </c>
      <c r="H331" s="6" t="inlineStr">
        <is>
          <t>%</t>
        </is>
      </c>
      <c r="Q331" s="12">
        <f>BSHARE("appliances_share",DECILE_ARRAY,"Overall","mean")</f>
        <v/>
      </c>
    </row>
    <row r="332">
      <c r="D332" s="6" t="inlineStr">
        <is>
          <t>mean</t>
        </is>
      </c>
      <c r="E332" s="6" t="inlineStr">
        <is>
          <t>Urban</t>
        </is>
      </c>
      <c r="F332" s="6" t="inlineStr">
        <is>
          <t>Basket</t>
        </is>
      </c>
      <c r="G332" s="6" t="inlineStr">
        <is>
          <t>app</t>
        </is>
      </c>
      <c r="H332" s="6" t="inlineStr">
        <is>
          <t>%</t>
        </is>
      </c>
      <c r="P332" s="12">
        <f>BSHARE("appliances_share",0,"Urban","mean")</f>
        <v/>
      </c>
    </row>
    <row r="333">
      <c r="D333" s="6" t="inlineStr">
        <is>
          <t>mean</t>
        </is>
      </c>
      <c r="E333" s="6" t="inlineStr">
        <is>
          <t>Urban</t>
        </is>
      </c>
      <c r="F333" s="6" t="inlineStr">
        <is>
          <t>Deciles</t>
        </is>
      </c>
      <c r="G333" s="6" t="inlineStr">
        <is>
          <t>app</t>
        </is>
      </c>
      <c r="H333" s="6" t="inlineStr">
        <is>
          <t>%</t>
        </is>
      </c>
      <c r="Q333" s="12">
        <f>BSHARE("appliances_share",DECILE_ARRAY,"Urban","mean")</f>
        <v/>
      </c>
    </row>
    <row r="334">
      <c r="D334" s="6" t="inlineStr">
        <is>
          <t>mean</t>
        </is>
      </c>
      <c r="E334" s="6" t="inlineStr">
        <is>
          <t>Rural</t>
        </is>
      </c>
      <c r="F334" s="6" t="inlineStr">
        <is>
          <t>Basket</t>
        </is>
      </c>
      <c r="G334" s="6" t="inlineStr">
        <is>
          <t>app</t>
        </is>
      </c>
      <c r="H334" s="6" t="inlineStr">
        <is>
          <t>%</t>
        </is>
      </c>
      <c r="P334" s="12">
        <f>BSHARE("appliances_share",0,"Rural","mean")</f>
        <v/>
      </c>
    </row>
    <row r="335">
      <c r="D335" s="6" t="inlineStr">
        <is>
          <t>mean</t>
        </is>
      </c>
      <c r="E335" s="6" t="inlineStr">
        <is>
          <t>Rural</t>
        </is>
      </c>
      <c r="F335" s="6" t="inlineStr">
        <is>
          <t>Deciles</t>
        </is>
      </c>
      <c r="G335" s="6" t="inlineStr">
        <is>
          <t>app</t>
        </is>
      </c>
      <c r="H335" s="6" t="inlineStr">
        <is>
          <t>%</t>
        </is>
      </c>
      <c r="Q335" s="12">
        <f>BSHARE("appliances_share",DECILE_ARRAY,"Rural","mean")</f>
        <v/>
      </c>
    </row>
    <row r="336">
      <c r="D336" s="6" t="inlineStr">
        <is>
          <t>median</t>
        </is>
      </c>
      <c r="E336" s="6" t="inlineStr">
        <is>
          <t>Overall</t>
        </is>
      </c>
      <c r="F336" s="6" t="inlineStr">
        <is>
          <t>Basket</t>
        </is>
      </c>
      <c r="G336" s="6" t="inlineStr">
        <is>
          <t>app</t>
        </is>
      </c>
      <c r="H336" s="6" t="inlineStr">
        <is>
          <t>%</t>
        </is>
      </c>
      <c r="P336" s="12">
        <f>BSHARE("appliances_share",0,"Overall","median")</f>
        <v/>
      </c>
    </row>
    <row r="337">
      <c r="D337" s="6" t="inlineStr">
        <is>
          <t>median</t>
        </is>
      </c>
      <c r="E337" s="6" t="inlineStr">
        <is>
          <t>Overall</t>
        </is>
      </c>
      <c r="F337" s="6" t="inlineStr">
        <is>
          <t>Deciles</t>
        </is>
      </c>
      <c r="G337" s="6" t="inlineStr">
        <is>
          <t>app</t>
        </is>
      </c>
      <c r="H337" s="6" t="inlineStr">
        <is>
          <t>%</t>
        </is>
      </c>
      <c r="Q337" s="12">
        <f>BSHARE("appliances_share",DECILE_ARRAY,"Overall","median")</f>
        <v/>
      </c>
    </row>
    <row r="338">
      <c r="D338" s="6" t="inlineStr">
        <is>
          <t>median</t>
        </is>
      </c>
      <c r="E338" s="6" t="inlineStr">
        <is>
          <t>Urban</t>
        </is>
      </c>
      <c r="F338" s="6" t="inlineStr">
        <is>
          <t>Basket</t>
        </is>
      </c>
      <c r="G338" s="6" t="inlineStr">
        <is>
          <t>app</t>
        </is>
      </c>
      <c r="H338" s="6" t="inlineStr">
        <is>
          <t>%</t>
        </is>
      </c>
      <c r="P338" s="12">
        <f>BSHARE("appliances_share",0,"Urban","median")</f>
        <v/>
      </c>
    </row>
    <row r="339">
      <c r="D339" s="6" t="inlineStr">
        <is>
          <t>median</t>
        </is>
      </c>
      <c r="E339" s="6" t="inlineStr">
        <is>
          <t>Urban</t>
        </is>
      </c>
      <c r="F339" s="6" t="inlineStr">
        <is>
          <t>Deciles</t>
        </is>
      </c>
      <c r="G339" s="6" t="inlineStr">
        <is>
          <t>app</t>
        </is>
      </c>
      <c r="H339" s="6" t="inlineStr">
        <is>
          <t>%</t>
        </is>
      </c>
      <c r="Q339" s="12">
        <f>BSHARE("appliances_share",DECILE_ARRAY,"Urban","median")</f>
        <v/>
      </c>
    </row>
    <row r="340">
      <c r="D340" s="6" t="inlineStr">
        <is>
          <t>median</t>
        </is>
      </c>
      <c r="E340" s="6" t="inlineStr">
        <is>
          <t>Rural</t>
        </is>
      </c>
      <c r="F340" s="6" t="inlineStr">
        <is>
          <t>Basket</t>
        </is>
      </c>
      <c r="G340" s="6" t="inlineStr">
        <is>
          <t>app</t>
        </is>
      </c>
      <c r="H340" s="6" t="inlineStr">
        <is>
          <t>%</t>
        </is>
      </c>
      <c r="P340" s="12">
        <f>BSHARE("appliances_share",0,"Rural","median")</f>
        <v/>
      </c>
    </row>
    <row r="341">
      <c r="D341" s="6" t="inlineStr">
        <is>
          <t>median</t>
        </is>
      </c>
      <c r="E341" s="6" t="inlineStr">
        <is>
          <t>Rural</t>
        </is>
      </c>
      <c r="F341" s="6" t="inlineStr">
        <is>
          <t>Deciles</t>
        </is>
      </c>
      <c r="G341" s="6" t="inlineStr">
        <is>
          <t>app</t>
        </is>
      </c>
      <c r="H341" s="6" t="inlineStr">
        <is>
          <t>%</t>
        </is>
      </c>
      <c r="Q341" s="12">
        <f>BSHARE("appliances_share",DECILE_ARRAY,"Rural","median")</f>
        <v/>
      </c>
    </row>
    <row r="342">
      <c r="D342" s="6" t="inlineStr">
        <is>
          <t>p25</t>
        </is>
      </c>
      <c r="E342" s="6" t="inlineStr">
        <is>
          <t>Overall</t>
        </is>
      </c>
      <c r="F342" s="6" t="inlineStr">
        <is>
          <t>Basket</t>
        </is>
      </c>
      <c r="G342" s="6" t="inlineStr">
        <is>
          <t>app</t>
        </is>
      </c>
      <c r="H342" s="6" t="inlineStr">
        <is>
          <t>%</t>
        </is>
      </c>
      <c r="P342" s="12">
        <f>BSHARE("appliances_share",0,"Overall","p25")</f>
        <v/>
      </c>
    </row>
    <row r="343">
      <c r="D343" s="6" t="inlineStr">
        <is>
          <t>p25</t>
        </is>
      </c>
      <c r="E343" s="6" t="inlineStr">
        <is>
          <t>Overall</t>
        </is>
      </c>
      <c r="F343" s="6" t="inlineStr">
        <is>
          <t>Deciles</t>
        </is>
      </c>
      <c r="G343" s="6" t="inlineStr">
        <is>
          <t>app</t>
        </is>
      </c>
      <c r="H343" s="6" t="inlineStr">
        <is>
          <t>%</t>
        </is>
      </c>
      <c r="Q343" s="12">
        <f>BSHARE("appliances_share",DECILE_ARRAY,"Overall","p25")</f>
        <v/>
      </c>
    </row>
    <row r="344">
      <c r="D344" s="6" t="inlineStr">
        <is>
          <t>p25</t>
        </is>
      </c>
      <c r="E344" s="6" t="inlineStr">
        <is>
          <t>Urban</t>
        </is>
      </c>
      <c r="F344" s="6" t="inlineStr">
        <is>
          <t>Basket</t>
        </is>
      </c>
      <c r="G344" s="6" t="inlineStr">
        <is>
          <t>app</t>
        </is>
      </c>
      <c r="H344" s="6" t="inlineStr">
        <is>
          <t>%</t>
        </is>
      </c>
      <c r="P344" s="12">
        <f>BSHARE("appliances_share",0,"Urban","p25")</f>
        <v/>
      </c>
    </row>
    <row r="345">
      <c r="D345" s="6" t="inlineStr">
        <is>
          <t>p25</t>
        </is>
      </c>
      <c r="E345" s="6" t="inlineStr">
        <is>
          <t>Urban</t>
        </is>
      </c>
      <c r="F345" s="6" t="inlineStr">
        <is>
          <t>Deciles</t>
        </is>
      </c>
      <c r="G345" s="6" t="inlineStr">
        <is>
          <t>app</t>
        </is>
      </c>
      <c r="H345" s="6" t="inlineStr">
        <is>
          <t>%</t>
        </is>
      </c>
      <c r="Q345" s="12">
        <f>BSHARE("appliances_share",DECILE_ARRAY,"Urban","p25")</f>
        <v/>
      </c>
    </row>
    <row r="346">
      <c r="D346" s="6" t="inlineStr">
        <is>
          <t>p25</t>
        </is>
      </c>
      <c r="E346" s="6" t="inlineStr">
        <is>
          <t>Rural</t>
        </is>
      </c>
      <c r="F346" s="6" t="inlineStr">
        <is>
          <t>Basket</t>
        </is>
      </c>
      <c r="G346" s="6" t="inlineStr">
        <is>
          <t>app</t>
        </is>
      </c>
      <c r="H346" s="6" t="inlineStr">
        <is>
          <t>%</t>
        </is>
      </c>
      <c r="P346" s="12">
        <f>BSHARE("appliances_share",0,"Rural","p25")</f>
        <v/>
      </c>
    </row>
    <row r="347">
      <c r="D347" s="6" t="inlineStr">
        <is>
          <t>p25</t>
        </is>
      </c>
      <c r="E347" s="6" t="inlineStr">
        <is>
          <t>Rural</t>
        </is>
      </c>
      <c r="F347" s="6" t="inlineStr">
        <is>
          <t>Deciles</t>
        </is>
      </c>
      <c r="G347" s="6" t="inlineStr">
        <is>
          <t>app</t>
        </is>
      </c>
      <c r="H347" s="6" t="inlineStr">
        <is>
          <t>%</t>
        </is>
      </c>
      <c r="Q347" s="12">
        <f>BSHARE("appliances_share",DECILE_ARRAY,"Rural","p25")</f>
        <v/>
      </c>
    </row>
    <row r="348">
      <c r="D348" s="6" t="inlineStr">
        <is>
          <t>p75</t>
        </is>
      </c>
      <c r="E348" s="6" t="inlineStr">
        <is>
          <t>Overall</t>
        </is>
      </c>
      <c r="F348" s="6" t="inlineStr">
        <is>
          <t>Basket</t>
        </is>
      </c>
      <c r="G348" s="6" t="inlineStr">
        <is>
          <t>app</t>
        </is>
      </c>
      <c r="H348" s="6" t="inlineStr">
        <is>
          <t>%</t>
        </is>
      </c>
      <c r="P348" s="12">
        <f>BSHARE("appliances_share",0,"Overall","p75")</f>
        <v/>
      </c>
    </row>
    <row r="349">
      <c r="D349" s="6" t="inlineStr">
        <is>
          <t>p75</t>
        </is>
      </c>
      <c r="E349" s="6" t="inlineStr">
        <is>
          <t>Overall</t>
        </is>
      </c>
      <c r="F349" s="6" t="inlineStr">
        <is>
          <t>Deciles</t>
        </is>
      </c>
      <c r="G349" s="6" t="inlineStr">
        <is>
          <t>app</t>
        </is>
      </c>
      <c r="H349" s="6" t="inlineStr">
        <is>
          <t>%</t>
        </is>
      </c>
      <c r="Q349" s="12">
        <f>BSHARE("appliances_share",DECILE_ARRAY,"Overall","p75")</f>
        <v/>
      </c>
    </row>
    <row r="350">
      <c r="D350" s="6" t="inlineStr">
        <is>
          <t>p75</t>
        </is>
      </c>
      <c r="E350" s="6" t="inlineStr">
        <is>
          <t>Urban</t>
        </is>
      </c>
      <c r="F350" s="6" t="inlineStr">
        <is>
          <t>Basket</t>
        </is>
      </c>
      <c r="G350" s="6" t="inlineStr">
        <is>
          <t>app</t>
        </is>
      </c>
      <c r="H350" s="6" t="inlineStr">
        <is>
          <t>%</t>
        </is>
      </c>
      <c r="P350" s="12">
        <f>BSHARE("appliances_share",0,"Urban","p75")</f>
        <v/>
      </c>
    </row>
    <row r="351">
      <c r="D351" s="6" t="inlineStr">
        <is>
          <t>p75</t>
        </is>
      </c>
      <c r="E351" s="6" t="inlineStr">
        <is>
          <t>Urban</t>
        </is>
      </c>
      <c r="F351" s="6" t="inlineStr">
        <is>
          <t>Deciles</t>
        </is>
      </c>
      <c r="G351" s="6" t="inlineStr">
        <is>
          <t>app</t>
        </is>
      </c>
      <c r="H351" s="6" t="inlineStr">
        <is>
          <t>%</t>
        </is>
      </c>
      <c r="Q351" s="12">
        <f>BSHARE("appliances_share",DECILE_ARRAY,"Urban","p75")</f>
        <v/>
      </c>
    </row>
    <row r="352">
      <c r="D352" s="6" t="inlineStr">
        <is>
          <t>p75</t>
        </is>
      </c>
      <c r="E352" s="6" t="inlineStr">
        <is>
          <t>Rural</t>
        </is>
      </c>
      <c r="F352" s="6" t="inlineStr">
        <is>
          <t>Basket</t>
        </is>
      </c>
      <c r="G352" s="6" t="inlineStr">
        <is>
          <t>app</t>
        </is>
      </c>
      <c r="H352" s="6" t="inlineStr">
        <is>
          <t>%</t>
        </is>
      </c>
      <c r="P352" s="12">
        <f>BSHARE("appliances_share",0,"Rural","p75")</f>
        <v/>
      </c>
    </row>
    <row r="353">
      <c r="D353" s="6" t="inlineStr">
        <is>
          <t>p75</t>
        </is>
      </c>
      <c r="E353" s="6" t="inlineStr">
        <is>
          <t>Rural</t>
        </is>
      </c>
      <c r="F353" s="6" t="inlineStr">
        <is>
          <t>Deciles</t>
        </is>
      </c>
      <c r="G353" s="6" t="inlineStr">
        <is>
          <t>app</t>
        </is>
      </c>
      <c r="H353" s="6" t="inlineStr">
        <is>
          <t>%</t>
        </is>
      </c>
      <c r="Q353" s="12">
        <f>BSHARE("appliances_share",DECILE_ARRAY,"Rural","p75")</f>
        <v/>
      </c>
    </row>
    <row r="355">
      <c r="C355" s="7" t="inlineStr">
        <is>
          <t>Chemicals Budget Share (% Total Consumption)</t>
        </is>
      </c>
      <c r="G355" s="6" t="inlineStr">
        <is>
          <t>che</t>
        </is>
      </c>
      <c r="O355" s="8" t="inlineStr">
        <is>
          <t>Decile --&gt;</t>
        </is>
      </c>
      <c r="Q355" s="8" t="n">
        <v>1</v>
      </c>
      <c r="R355" s="8" t="n">
        <v>2</v>
      </c>
      <c r="S355" s="8" t="n">
        <v>3</v>
      </c>
      <c r="T355" s="8" t="n">
        <v>4</v>
      </c>
      <c r="U355" s="8" t="n">
        <v>5</v>
      </c>
      <c r="V355" s="8" t="n">
        <v>6</v>
      </c>
      <c r="W355" s="8" t="n">
        <v>7</v>
      </c>
      <c r="X355" s="8" t="n">
        <v>8</v>
      </c>
      <c r="Y355" s="8" t="n">
        <v>9</v>
      </c>
      <c r="Z355" s="8" t="n">
        <v>10</v>
      </c>
    </row>
    <row r="356">
      <c r="D356" s="6" t="inlineStr">
        <is>
          <t>mean</t>
        </is>
      </c>
      <c r="E356" s="6" t="inlineStr">
        <is>
          <t>Overall</t>
        </is>
      </c>
      <c r="F356" s="6" t="inlineStr">
        <is>
          <t>Basket</t>
        </is>
      </c>
      <c r="G356" s="6" t="inlineStr">
        <is>
          <t>che</t>
        </is>
      </c>
      <c r="H356" s="6" t="inlineStr">
        <is>
          <t>%</t>
        </is>
      </c>
      <c r="P356" s="12">
        <f>BSHARE("chemicals_share",0,"Overall","mean")</f>
        <v/>
      </c>
    </row>
    <row r="357">
      <c r="D357" s="6" t="inlineStr">
        <is>
          <t>mean</t>
        </is>
      </c>
      <c r="E357" s="6" t="inlineStr">
        <is>
          <t>Overall</t>
        </is>
      </c>
      <c r="F357" s="6" t="inlineStr">
        <is>
          <t>Deciles</t>
        </is>
      </c>
      <c r="G357" s="6" t="inlineStr">
        <is>
          <t>che</t>
        </is>
      </c>
      <c r="H357" s="6" t="inlineStr">
        <is>
          <t>%</t>
        </is>
      </c>
      <c r="Q357" s="12">
        <f>BSHARE("chemicals_share",DECILE_ARRAY,"Overall","mean")</f>
        <v/>
      </c>
    </row>
    <row r="358">
      <c r="D358" s="6" t="inlineStr">
        <is>
          <t>mean</t>
        </is>
      </c>
      <c r="E358" s="6" t="inlineStr">
        <is>
          <t>Urban</t>
        </is>
      </c>
      <c r="F358" s="6" t="inlineStr">
        <is>
          <t>Basket</t>
        </is>
      </c>
      <c r="G358" s="6" t="inlineStr">
        <is>
          <t>che</t>
        </is>
      </c>
      <c r="H358" s="6" t="inlineStr">
        <is>
          <t>%</t>
        </is>
      </c>
      <c r="P358" s="12">
        <f>BSHARE("chemicals_share",0,"Urban","mean")</f>
        <v/>
      </c>
    </row>
    <row r="359">
      <c r="D359" s="6" t="inlineStr">
        <is>
          <t>mean</t>
        </is>
      </c>
      <c r="E359" s="6" t="inlineStr">
        <is>
          <t>Urban</t>
        </is>
      </c>
      <c r="F359" s="6" t="inlineStr">
        <is>
          <t>Deciles</t>
        </is>
      </c>
      <c r="G359" s="6" t="inlineStr">
        <is>
          <t>che</t>
        </is>
      </c>
      <c r="H359" s="6" t="inlineStr">
        <is>
          <t>%</t>
        </is>
      </c>
      <c r="Q359" s="12">
        <f>BSHARE("chemicals_share",DECILE_ARRAY,"Urban","mean")</f>
        <v/>
      </c>
    </row>
    <row r="360">
      <c r="D360" s="6" t="inlineStr">
        <is>
          <t>mean</t>
        </is>
      </c>
      <c r="E360" s="6" t="inlineStr">
        <is>
          <t>Rural</t>
        </is>
      </c>
      <c r="F360" s="6" t="inlineStr">
        <is>
          <t>Basket</t>
        </is>
      </c>
      <c r="G360" s="6" t="inlineStr">
        <is>
          <t>che</t>
        </is>
      </c>
      <c r="H360" s="6" t="inlineStr">
        <is>
          <t>%</t>
        </is>
      </c>
      <c r="P360" s="12">
        <f>BSHARE("chemicals_share",0,"Rural","mean")</f>
        <v/>
      </c>
    </row>
    <row r="361">
      <c r="D361" s="6" t="inlineStr">
        <is>
          <t>mean</t>
        </is>
      </c>
      <c r="E361" s="6" t="inlineStr">
        <is>
          <t>Rural</t>
        </is>
      </c>
      <c r="F361" s="6" t="inlineStr">
        <is>
          <t>Deciles</t>
        </is>
      </c>
      <c r="G361" s="6" t="inlineStr">
        <is>
          <t>che</t>
        </is>
      </c>
      <c r="H361" s="6" t="inlineStr">
        <is>
          <t>%</t>
        </is>
      </c>
      <c r="Q361" s="12">
        <f>BSHARE("chemicals_share",DECILE_ARRAY,"Rural","mean")</f>
        <v/>
      </c>
    </row>
    <row r="362">
      <c r="D362" s="6" t="inlineStr">
        <is>
          <t>median</t>
        </is>
      </c>
      <c r="E362" s="6" t="inlineStr">
        <is>
          <t>Overall</t>
        </is>
      </c>
      <c r="F362" s="6" t="inlineStr">
        <is>
          <t>Basket</t>
        </is>
      </c>
      <c r="G362" s="6" t="inlineStr">
        <is>
          <t>che</t>
        </is>
      </c>
      <c r="H362" s="6" t="inlineStr">
        <is>
          <t>%</t>
        </is>
      </c>
      <c r="P362" s="12">
        <f>BSHARE("chemicals_share",0,"Overall","median")</f>
        <v/>
      </c>
    </row>
    <row r="363">
      <c r="D363" s="6" t="inlineStr">
        <is>
          <t>median</t>
        </is>
      </c>
      <c r="E363" s="6" t="inlineStr">
        <is>
          <t>Overall</t>
        </is>
      </c>
      <c r="F363" s="6" t="inlineStr">
        <is>
          <t>Deciles</t>
        </is>
      </c>
      <c r="G363" s="6" t="inlineStr">
        <is>
          <t>che</t>
        </is>
      </c>
      <c r="H363" s="6" t="inlineStr">
        <is>
          <t>%</t>
        </is>
      </c>
      <c r="Q363" s="12">
        <f>BSHARE("chemicals_share",DECILE_ARRAY,"Overall","median")</f>
        <v/>
      </c>
    </row>
    <row r="364">
      <c r="D364" s="6" t="inlineStr">
        <is>
          <t>median</t>
        </is>
      </c>
      <c r="E364" s="6" t="inlineStr">
        <is>
          <t>Urban</t>
        </is>
      </c>
      <c r="F364" s="6" t="inlineStr">
        <is>
          <t>Basket</t>
        </is>
      </c>
      <c r="G364" s="6" t="inlineStr">
        <is>
          <t>che</t>
        </is>
      </c>
      <c r="H364" s="6" t="inlineStr">
        <is>
          <t>%</t>
        </is>
      </c>
      <c r="P364" s="12">
        <f>BSHARE("chemicals_share",0,"Urban","median")</f>
        <v/>
      </c>
    </row>
    <row r="365">
      <c r="D365" s="6" t="inlineStr">
        <is>
          <t>median</t>
        </is>
      </c>
      <c r="E365" s="6" t="inlineStr">
        <is>
          <t>Urban</t>
        </is>
      </c>
      <c r="F365" s="6" t="inlineStr">
        <is>
          <t>Deciles</t>
        </is>
      </c>
      <c r="G365" s="6" t="inlineStr">
        <is>
          <t>che</t>
        </is>
      </c>
      <c r="H365" s="6" t="inlineStr">
        <is>
          <t>%</t>
        </is>
      </c>
      <c r="Q365" s="12">
        <f>BSHARE("chemicals_share",DECILE_ARRAY,"Urban","median")</f>
        <v/>
      </c>
    </row>
    <row r="366">
      <c r="D366" s="6" t="inlineStr">
        <is>
          <t>median</t>
        </is>
      </c>
      <c r="E366" s="6" t="inlineStr">
        <is>
          <t>Rural</t>
        </is>
      </c>
      <c r="F366" s="6" t="inlineStr">
        <is>
          <t>Basket</t>
        </is>
      </c>
      <c r="G366" s="6" t="inlineStr">
        <is>
          <t>che</t>
        </is>
      </c>
      <c r="H366" s="6" t="inlineStr">
        <is>
          <t>%</t>
        </is>
      </c>
      <c r="P366" s="12">
        <f>BSHARE("chemicals_share",0,"Rural","median")</f>
        <v/>
      </c>
    </row>
    <row r="367">
      <c r="D367" s="6" t="inlineStr">
        <is>
          <t>median</t>
        </is>
      </c>
      <c r="E367" s="6" t="inlineStr">
        <is>
          <t>Rural</t>
        </is>
      </c>
      <c r="F367" s="6" t="inlineStr">
        <is>
          <t>Deciles</t>
        </is>
      </c>
      <c r="G367" s="6" t="inlineStr">
        <is>
          <t>che</t>
        </is>
      </c>
      <c r="H367" s="6" t="inlineStr">
        <is>
          <t>%</t>
        </is>
      </c>
      <c r="Q367" s="12">
        <f>BSHARE("chemicals_share",DECILE_ARRAY,"Rural","median")</f>
        <v/>
      </c>
    </row>
    <row r="368">
      <c r="D368" s="6" t="inlineStr">
        <is>
          <t>p25</t>
        </is>
      </c>
      <c r="E368" s="6" t="inlineStr">
        <is>
          <t>Overall</t>
        </is>
      </c>
      <c r="F368" s="6" t="inlineStr">
        <is>
          <t>Basket</t>
        </is>
      </c>
      <c r="G368" s="6" t="inlineStr">
        <is>
          <t>che</t>
        </is>
      </c>
      <c r="H368" s="6" t="inlineStr">
        <is>
          <t>%</t>
        </is>
      </c>
      <c r="P368" s="12">
        <f>BSHARE("chemicals_share",0,"Overall","p25")</f>
        <v/>
      </c>
    </row>
    <row r="369">
      <c r="D369" s="6" t="inlineStr">
        <is>
          <t>p25</t>
        </is>
      </c>
      <c r="E369" s="6" t="inlineStr">
        <is>
          <t>Overall</t>
        </is>
      </c>
      <c r="F369" s="6" t="inlineStr">
        <is>
          <t>Deciles</t>
        </is>
      </c>
      <c r="G369" s="6" t="inlineStr">
        <is>
          <t>che</t>
        </is>
      </c>
      <c r="H369" s="6" t="inlineStr">
        <is>
          <t>%</t>
        </is>
      </c>
      <c r="Q369" s="12">
        <f>BSHARE("chemicals_share",DECILE_ARRAY,"Overall","p25")</f>
        <v/>
      </c>
    </row>
    <row r="370">
      <c r="D370" s="6" t="inlineStr">
        <is>
          <t>p25</t>
        </is>
      </c>
      <c r="E370" s="6" t="inlineStr">
        <is>
          <t>Urban</t>
        </is>
      </c>
      <c r="F370" s="6" t="inlineStr">
        <is>
          <t>Basket</t>
        </is>
      </c>
      <c r="G370" s="6" t="inlineStr">
        <is>
          <t>che</t>
        </is>
      </c>
      <c r="H370" s="6" t="inlineStr">
        <is>
          <t>%</t>
        </is>
      </c>
      <c r="P370" s="12">
        <f>BSHARE("chemicals_share",0,"Urban","p25")</f>
        <v/>
      </c>
    </row>
    <row r="371">
      <c r="D371" s="6" t="inlineStr">
        <is>
          <t>p25</t>
        </is>
      </c>
      <c r="E371" s="6" t="inlineStr">
        <is>
          <t>Urban</t>
        </is>
      </c>
      <c r="F371" s="6" t="inlineStr">
        <is>
          <t>Deciles</t>
        </is>
      </c>
      <c r="G371" s="6" t="inlineStr">
        <is>
          <t>che</t>
        </is>
      </c>
      <c r="H371" s="6" t="inlineStr">
        <is>
          <t>%</t>
        </is>
      </c>
      <c r="Q371" s="12">
        <f>BSHARE("chemicals_share",DECILE_ARRAY,"Urban","p25")</f>
        <v/>
      </c>
    </row>
    <row r="372">
      <c r="D372" s="6" t="inlineStr">
        <is>
          <t>p25</t>
        </is>
      </c>
      <c r="E372" s="6" t="inlineStr">
        <is>
          <t>Rural</t>
        </is>
      </c>
      <c r="F372" s="6" t="inlineStr">
        <is>
          <t>Basket</t>
        </is>
      </c>
      <c r="G372" s="6" t="inlineStr">
        <is>
          <t>che</t>
        </is>
      </c>
      <c r="H372" s="6" t="inlineStr">
        <is>
          <t>%</t>
        </is>
      </c>
      <c r="P372" s="12">
        <f>BSHARE("chemicals_share",0,"Rural","p25")</f>
        <v/>
      </c>
    </row>
    <row r="373">
      <c r="D373" s="6" t="inlineStr">
        <is>
          <t>p25</t>
        </is>
      </c>
      <c r="E373" s="6" t="inlineStr">
        <is>
          <t>Rural</t>
        </is>
      </c>
      <c r="F373" s="6" t="inlineStr">
        <is>
          <t>Deciles</t>
        </is>
      </c>
      <c r="G373" s="6" t="inlineStr">
        <is>
          <t>che</t>
        </is>
      </c>
      <c r="H373" s="6" t="inlineStr">
        <is>
          <t>%</t>
        </is>
      </c>
      <c r="Q373" s="12">
        <f>BSHARE("chemicals_share",DECILE_ARRAY,"Rural","p25")</f>
        <v/>
      </c>
    </row>
    <row r="374">
      <c r="D374" s="6" t="inlineStr">
        <is>
          <t>p75</t>
        </is>
      </c>
      <c r="E374" s="6" t="inlineStr">
        <is>
          <t>Overall</t>
        </is>
      </c>
      <c r="F374" s="6" t="inlineStr">
        <is>
          <t>Basket</t>
        </is>
      </c>
      <c r="G374" s="6" t="inlineStr">
        <is>
          <t>che</t>
        </is>
      </c>
      <c r="H374" s="6" t="inlineStr">
        <is>
          <t>%</t>
        </is>
      </c>
      <c r="P374" s="12">
        <f>BSHARE("chemicals_share",0,"Overall","p75")</f>
        <v/>
      </c>
    </row>
    <row r="375">
      <c r="D375" s="6" t="inlineStr">
        <is>
          <t>p75</t>
        </is>
      </c>
      <c r="E375" s="6" t="inlineStr">
        <is>
          <t>Overall</t>
        </is>
      </c>
      <c r="F375" s="6" t="inlineStr">
        <is>
          <t>Deciles</t>
        </is>
      </c>
      <c r="G375" s="6" t="inlineStr">
        <is>
          <t>che</t>
        </is>
      </c>
      <c r="H375" s="6" t="inlineStr">
        <is>
          <t>%</t>
        </is>
      </c>
      <c r="Q375" s="12">
        <f>BSHARE("chemicals_share",DECILE_ARRAY,"Overall","p75")</f>
        <v/>
      </c>
    </row>
    <row r="376">
      <c r="D376" s="6" t="inlineStr">
        <is>
          <t>p75</t>
        </is>
      </c>
      <c r="E376" s="6" t="inlineStr">
        <is>
          <t>Urban</t>
        </is>
      </c>
      <c r="F376" s="6" t="inlineStr">
        <is>
          <t>Basket</t>
        </is>
      </c>
      <c r="G376" s="6" t="inlineStr">
        <is>
          <t>che</t>
        </is>
      </c>
      <c r="H376" s="6" t="inlineStr">
        <is>
          <t>%</t>
        </is>
      </c>
      <c r="P376" s="12">
        <f>BSHARE("chemicals_share",0,"Urban","p75")</f>
        <v/>
      </c>
    </row>
    <row r="377">
      <c r="D377" s="6" t="inlineStr">
        <is>
          <t>p75</t>
        </is>
      </c>
      <c r="E377" s="6" t="inlineStr">
        <is>
          <t>Urban</t>
        </is>
      </c>
      <c r="F377" s="6" t="inlineStr">
        <is>
          <t>Deciles</t>
        </is>
      </c>
      <c r="G377" s="6" t="inlineStr">
        <is>
          <t>che</t>
        </is>
      </c>
      <c r="H377" s="6" t="inlineStr">
        <is>
          <t>%</t>
        </is>
      </c>
      <c r="Q377" s="12">
        <f>BSHARE("chemicals_share",DECILE_ARRAY,"Urban","p75")</f>
        <v/>
      </c>
    </row>
    <row r="378">
      <c r="D378" s="6" t="inlineStr">
        <is>
          <t>p75</t>
        </is>
      </c>
      <c r="E378" s="6" t="inlineStr">
        <is>
          <t>Rural</t>
        </is>
      </c>
      <c r="F378" s="6" t="inlineStr">
        <is>
          <t>Basket</t>
        </is>
      </c>
      <c r="G378" s="6" t="inlineStr">
        <is>
          <t>che</t>
        </is>
      </c>
      <c r="H378" s="6" t="inlineStr">
        <is>
          <t>%</t>
        </is>
      </c>
      <c r="P378" s="12">
        <f>BSHARE("chemicals_share",0,"Rural","p75")</f>
        <v/>
      </c>
    </row>
    <row r="379">
      <c r="D379" s="6" t="inlineStr">
        <is>
          <t>p75</t>
        </is>
      </c>
      <c r="E379" s="6" t="inlineStr">
        <is>
          <t>Rural</t>
        </is>
      </c>
      <c r="F379" s="6" t="inlineStr">
        <is>
          <t>Deciles</t>
        </is>
      </c>
      <c r="G379" s="6" t="inlineStr">
        <is>
          <t>che</t>
        </is>
      </c>
      <c r="H379" s="6" t="inlineStr">
        <is>
          <t>%</t>
        </is>
      </c>
      <c r="Q379" s="12">
        <f>BSHARE("chemicals_share",DECILE_ARRAY,"Rural","p75")</f>
        <v/>
      </c>
    </row>
    <row r="381">
      <c r="C381" s="7" t="inlineStr">
        <is>
          <t>Clothing Budget Share (% Total Consumption)</t>
        </is>
      </c>
      <c r="G381" s="6" t="inlineStr">
        <is>
          <t>clo</t>
        </is>
      </c>
      <c r="O381" s="8" t="inlineStr">
        <is>
          <t>Decile --&gt;</t>
        </is>
      </c>
      <c r="Q381" s="8" t="n">
        <v>1</v>
      </c>
      <c r="R381" s="8" t="n">
        <v>2</v>
      </c>
      <c r="S381" s="8" t="n">
        <v>3</v>
      </c>
      <c r="T381" s="8" t="n">
        <v>4</v>
      </c>
      <c r="U381" s="8" t="n">
        <v>5</v>
      </c>
      <c r="V381" s="8" t="n">
        <v>6</v>
      </c>
      <c r="W381" s="8" t="n">
        <v>7</v>
      </c>
      <c r="X381" s="8" t="n">
        <v>8</v>
      </c>
      <c r="Y381" s="8" t="n">
        <v>9</v>
      </c>
      <c r="Z381" s="8" t="n">
        <v>10</v>
      </c>
    </row>
    <row r="382">
      <c r="D382" s="6" t="inlineStr">
        <is>
          <t>mean</t>
        </is>
      </c>
      <c r="E382" s="6" t="inlineStr">
        <is>
          <t>Overall</t>
        </is>
      </c>
      <c r="F382" s="6" t="inlineStr">
        <is>
          <t>Basket</t>
        </is>
      </c>
      <c r="G382" s="6" t="inlineStr">
        <is>
          <t>clo</t>
        </is>
      </c>
      <c r="H382" s="6" t="inlineStr">
        <is>
          <t>%</t>
        </is>
      </c>
      <c r="P382" s="12">
        <f>BSHARE("clothing_share",0,"Overall","mean")</f>
        <v/>
      </c>
    </row>
    <row r="383">
      <c r="D383" s="6" t="inlineStr">
        <is>
          <t>mean</t>
        </is>
      </c>
      <c r="E383" s="6" t="inlineStr">
        <is>
          <t>Overall</t>
        </is>
      </c>
      <c r="F383" s="6" t="inlineStr">
        <is>
          <t>Deciles</t>
        </is>
      </c>
      <c r="G383" s="6" t="inlineStr">
        <is>
          <t>clo</t>
        </is>
      </c>
      <c r="H383" s="6" t="inlineStr">
        <is>
          <t>%</t>
        </is>
      </c>
      <c r="Q383" s="12">
        <f>BSHARE("clothing_share",DECILE_ARRAY,"Overall","mean")</f>
        <v/>
      </c>
    </row>
    <row r="384">
      <c r="D384" s="6" t="inlineStr">
        <is>
          <t>mean</t>
        </is>
      </c>
      <c r="E384" s="6" t="inlineStr">
        <is>
          <t>Urban</t>
        </is>
      </c>
      <c r="F384" s="6" t="inlineStr">
        <is>
          <t>Basket</t>
        </is>
      </c>
      <c r="G384" s="6" t="inlineStr">
        <is>
          <t>clo</t>
        </is>
      </c>
      <c r="H384" s="6" t="inlineStr">
        <is>
          <t>%</t>
        </is>
      </c>
      <c r="P384" s="12">
        <f>BSHARE("clothing_share",0,"Urban","mean")</f>
        <v/>
      </c>
    </row>
    <row r="385">
      <c r="D385" s="6" t="inlineStr">
        <is>
          <t>mean</t>
        </is>
      </c>
      <c r="E385" s="6" t="inlineStr">
        <is>
          <t>Urban</t>
        </is>
      </c>
      <c r="F385" s="6" t="inlineStr">
        <is>
          <t>Deciles</t>
        </is>
      </c>
      <c r="G385" s="6" t="inlineStr">
        <is>
          <t>clo</t>
        </is>
      </c>
      <c r="H385" s="6" t="inlineStr">
        <is>
          <t>%</t>
        </is>
      </c>
      <c r="Q385" s="12">
        <f>BSHARE("clothing_share",DECILE_ARRAY,"Urban","mean")</f>
        <v/>
      </c>
    </row>
    <row r="386">
      <c r="D386" s="6" t="inlineStr">
        <is>
          <t>mean</t>
        </is>
      </c>
      <c r="E386" s="6" t="inlineStr">
        <is>
          <t>Rural</t>
        </is>
      </c>
      <c r="F386" s="6" t="inlineStr">
        <is>
          <t>Basket</t>
        </is>
      </c>
      <c r="G386" s="6" t="inlineStr">
        <is>
          <t>clo</t>
        </is>
      </c>
      <c r="H386" s="6" t="inlineStr">
        <is>
          <t>%</t>
        </is>
      </c>
      <c r="P386" s="12">
        <f>BSHARE("clothing_share",0,"Rural","mean")</f>
        <v/>
      </c>
    </row>
    <row r="387">
      <c r="D387" s="6" t="inlineStr">
        <is>
          <t>mean</t>
        </is>
      </c>
      <c r="E387" s="6" t="inlineStr">
        <is>
          <t>Rural</t>
        </is>
      </c>
      <c r="F387" s="6" t="inlineStr">
        <is>
          <t>Deciles</t>
        </is>
      </c>
      <c r="G387" s="6" t="inlineStr">
        <is>
          <t>clo</t>
        </is>
      </c>
      <c r="H387" s="6" t="inlineStr">
        <is>
          <t>%</t>
        </is>
      </c>
      <c r="Q387" s="12">
        <f>BSHARE("clothing_share",DECILE_ARRAY,"Rural","mean")</f>
        <v/>
      </c>
    </row>
    <row r="388">
      <c r="D388" s="6" t="inlineStr">
        <is>
          <t>median</t>
        </is>
      </c>
      <c r="E388" s="6" t="inlineStr">
        <is>
          <t>Overall</t>
        </is>
      </c>
      <c r="F388" s="6" t="inlineStr">
        <is>
          <t>Basket</t>
        </is>
      </c>
      <c r="G388" s="6" t="inlineStr">
        <is>
          <t>clo</t>
        </is>
      </c>
      <c r="H388" s="6" t="inlineStr">
        <is>
          <t>%</t>
        </is>
      </c>
      <c r="P388" s="12">
        <f>BSHARE("clothing_share",0,"Overall","median")</f>
        <v/>
      </c>
    </row>
    <row r="389">
      <c r="D389" s="6" t="inlineStr">
        <is>
          <t>median</t>
        </is>
      </c>
      <c r="E389" s="6" t="inlineStr">
        <is>
          <t>Overall</t>
        </is>
      </c>
      <c r="F389" s="6" t="inlineStr">
        <is>
          <t>Deciles</t>
        </is>
      </c>
      <c r="G389" s="6" t="inlineStr">
        <is>
          <t>clo</t>
        </is>
      </c>
      <c r="H389" s="6" t="inlineStr">
        <is>
          <t>%</t>
        </is>
      </c>
      <c r="Q389" s="12">
        <f>BSHARE("clothing_share",DECILE_ARRAY,"Overall","median")</f>
        <v/>
      </c>
    </row>
    <row r="390">
      <c r="D390" s="6" t="inlineStr">
        <is>
          <t>median</t>
        </is>
      </c>
      <c r="E390" s="6" t="inlineStr">
        <is>
          <t>Urban</t>
        </is>
      </c>
      <c r="F390" s="6" t="inlineStr">
        <is>
          <t>Basket</t>
        </is>
      </c>
      <c r="G390" s="6" t="inlineStr">
        <is>
          <t>clo</t>
        </is>
      </c>
      <c r="H390" s="6" t="inlineStr">
        <is>
          <t>%</t>
        </is>
      </c>
      <c r="P390" s="12">
        <f>BSHARE("clothing_share",0,"Urban","median")</f>
        <v/>
      </c>
    </row>
    <row r="391">
      <c r="D391" s="6" t="inlineStr">
        <is>
          <t>median</t>
        </is>
      </c>
      <c r="E391" s="6" t="inlineStr">
        <is>
          <t>Urban</t>
        </is>
      </c>
      <c r="F391" s="6" t="inlineStr">
        <is>
          <t>Deciles</t>
        </is>
      </c>
      <c r="G391" s="6" t="inlineStr">
        <is>
          <t>clo</t>
        </is>
      </c>
      <c r="H391" s="6" t="inlineStr">
        <is>
          <t>%</t>
        </is>
      </c>
      <c r="Q391" s="12">
        <f>BSHARE("clothing_share",DECILE_ARRAY,"Urban","median")</f>
        <v/>
      </c>
    </row>
    <row r="392">
      <c r="D392" s="6" t="inlineStr">
        <is>
          <t>median</t>
        </is>
      </c>
      <c r="E392" s="6" t="inlineStr">
        <is>
          <t>Rural</t>
        </is>
      </c>
      <c r="F392" s="6" t="inlineStr">
        <is>
          <t>Basket</t>
        </is>
      </c>
      <c r="G392" s="6" t="inlineStr">
        <is>
          <t>clo</t>
        </is>
      </c>
      <c r="H392" s="6" t="inlineStr">
        <is>
          <t>%</t>
        </is>
      </c>
      <c r="P392" s="12">
        <f>BSHARE("clothing_share",0,"Rural","median")</f>
        <v/>
      </c>
    </row>
    <row r="393">
      <c r="D393" s="6" t="inlineStr">
        <is>
          <t>median</t>
        </is>
      </c>
      <c r="E393" s="6" t="inlineStr">
        <is>
          <t>Rural</t>
        </is>
      </c>
      <c r="F393" s="6" t="inlineStr">
        <is>
          <t>Deciles</t>
        </is>
      </c>
      <c r="G393" s="6" t="inlineStr">
        <is>
          <t>clo</t>
        </is>
      </c>
      <c r="H393" s="6" t="inlineStr">
        <is>
          <t>%</t>
        </is>
      </c>
      <c r="Q393" s="12">
        <f>BSHARE("clothing_share",DECILE_ARRAY,"Rural","median")</f>
        <v/>
      </c>
    </row>
    <row r="394">
      <c r="D394" s="6" t="inlineStr">
        <is>
          <t>p25</t>
        </is>
      </c>
      <c r="E394" s="6" t="inlineStr">
        <is>
          <t>Overall</t>
        </is>
      </c>
      <c r="F394" s="6" t="inlineStr">
        <is>
          <t>Basket</t>
        </is>
      </c>
      <c r="G394" s="6" t="inlineStr">
        <is>
          <t>clo</t>
        </is>
      </c>
      <c r="H394" s="6" t="inlineStr">
        <is>
          <t>%</t>
        </is>
      </c>
      <c r="P394" s="12">
        <f>BSHARE("clothing_share",0,"Overall","p25")</f>
        <v/>
      </c>
    </row>
    <row r="395">
      <c r="D395" s="6" t="inlineStr">
        <is>
          <t>p25</t>
        </is>
      </c>
      <c r="E395" s="6" t="inlineStr">
        <is>
          <t>Overall</t>
        </is>
      </c>
      <c r="F395" s="6" t="inlineStr">
        <is>
          <t>Deciles</t>
        </is>
      </c>
      <c r="G395" s="6" t="inlineStr">
        <is>
          <t>clo</t>
        </is>
      </c>
      <c r="H395" s="6" t="inlineStr">
        <is>
          <t>%</t>
        </is>
      </c>
      <c r="Q395" s="12">
        <f>BSHARE("clothing_share",DECILE_ARRAY,"Overall","p25")</f>
        <v/>
      </c>
    </row>
    <row r="396">
      <c r="D396" s="6" t="inlineStr">
        <is>
          <t>p25</t>
        </is>
      </c>
      <c r="E396" s="6" t="inlineStr">
        <is>
          <t>Urban</t>
        </is>
      </c>
      <c r="F396" s="6" t="inlineStr">
        <is>
          <t>Basket</t>
        </is>
      </c>
      <c r="G396" s="6" t="inlineStr">
        <is>
          <t>clo</t>
        </is>
      </c>
      <c r="H396" s="6" t="inlineStr">
        <is>
          <t>%</t>
        </is>
      </c>
      <c r="P396" s="12">
        <f>BSHARE("clothing_share",0,"Urban","p25")</f>
        <v/>
      </c>
    </row>
    <row r="397">
      <c r="D397" s="6" t="inlineStr">
        <is>
          <t>p25</t>
        </is>
      </c>
      <c r="E397" s="6" t="inlineStr">
        <is>
          <t>Urban</t>
        </is>
      </c>
      <c r="F397" s="6" t="inlineStr">
        <is>
          <t>Deciles</t>
        </is>
      </c>
      <c r="G397" s="6" t="inlineStr">
        <is>
          <t>clo</t>
        </is>
      </c>
      <c r="H397" s="6" t="inlineStr">
        <is>
          <t>%</t>
        </is>
      </c>
      <c r="Q397" s="12">
        <f>BSHARE("clothing_share",DECILE_ARRAY,"Urban","p25")</f>
        <v/>
      </c>
    </row>
    <row r="398">
      <c r="D398" s="6" t="inlineStr">
        <is>
          <t>p25</t>
        </is>
      </c>
      <c r="E398" s="6" t="inlineStr">
        <is>
          <t>Rural</t>
        </is>
      </c>
      <c r="F398" s="6" t="inlineStr">
        <is>
          <t>Basket</t>
        </is>
      </c>
      <c r="G398" s="6" t="inlineStr">
        <is>
          <t>clo</t>
        </is>
      </c>
      <c r="H398" s="6" t="inlineStr">
        <is>
          <t>%</t>
        </is>
      </c>
      <c r="P398" s="12">
        <f>BSHARE("clothing_share",0,"Rural","p25")</f>
        <v/>
      </c>
    </row>
    <row r="399">
      <c r="D399" s="6" t="inlineStr">
        <is>
          <t>p25</t>
        </is>
      </c>
      <c r="E399" s="6" t="inlineStr">
        <is>
          <t>Rural</t>
        </is>
      </c>
      <c r="F399" s="6" t="inlineStr">
        <is>
          <t>Deciles</t>
        </is>
      </c>
      <c r="G399" s="6" t="inlineStr">
        <is>
          <t>clo</t>
        </is>
      </c>
      <c r="H399" s="6" t="inlineStr">
        <is>
          <t>%</t>
        </is>
      </c>
      <c r="Q399" s="12">
        <f>BSHARE("clothing_share",DECILE_ARRAY,"Rural","p25")</f>
        <v/>
      </c>
    </row>
    <row r="400">
      <c r="D400" s="6" t="inlineStr">
        <is>
          <t>p75</t>
        </is>
      </c>
      <c r="E400" s="6" t="inlineStr">
        <is>
          <t>Overall</t>
        </is>
      </c>
      <c r="F400" s="6" t="inlineStr">
        <is>
          <t>Basket</t>
        </is>
      </c>
      <c r="G400" s="6" t="inlineStr">
        <is>
          <t>clo</t>
        </is>
      </c>
      <c r="H400" s="6" t="inlineStr">
        <is>
          <t>%</t>
        </is>
      </c>
      <c r="P400" s="12">
        <f>BSHARE("clothing_share",0,"Overall","p75")</f>
        <v/>
      </c>
    </row>
    <row r="401">
      <c r="D401" s="6" t="inlineStr">
        <is>
          <t>p75</t>
        </is>
      </c>
      <c r="E401" s="6" t="inlineStr">
        <is>
          <t>Overall</t>
        </is>
      </c>
      <c r="F401" s="6" t="inlineStr">
        <is>
          <t>Deciles</t>
        </is>
      </c>
      <c r="G401" s="6" t="inlineStr">
        <is>
          <t>clo</t>
        </is>
      </c>
      <c r="H401" s="6" t="inlineStr">
        <is>
          <t>%</t>
        </is>
      </c>
      <c r="Q401" s="12">
        <f>BSHARE("clothing_share",DECILE_ARRAY,"Overall","p75")</f>
        <v/>
      </c>
    </row>
    <row r="402">
      <c r="D402" s="6" t="inlineStr">
        <is>
          <t>p75</t>
        </is>
      </c>
      <c r="E402" s="6" t="inlineStr">
        <is>
          <t>Urban</t>
        </is>
      </c>
      <c r="F402" s="6" t="inlineStr">
        <is>
          <t>Basket</t>
        </is>
      </c>
      <c r="G402" s="6" t="inlineStr">
        <is>
          <t>clo</t>
        </is>
      </c>
      <c r="H402" s="6" t="inlineStr">
        <is>
          <t>%</t>
        </is>
      </c>
      <c r="P402" s="12">
        <f>BSHARE("clothing_share",0,"Urban","p75")</f>
        <v/>
      </c>
    </row>
    <row r="403">
      <c r="D403" s="6" t="inlineStr">
        <is>
          <t>p75</t>
        </is>
      </c>
      <c r="E403" s="6" t="inlineStr">
        <is>
          <t>Urban</t>
        </is>
      </c>
      <c r="F403" s="6" t="inlineStr">
        <is>
          <t>Deciles</t>
        </is>
      </c>
      <c r="G403" s="6" t="inlineStr">
        <is>
          <t>clo</t>
        </is>
      </c>
      <c r="H403" s="6" t="inlineStr">
        <is>
          <t>%</t>
        </is>
      </c>
      <c r="Q403" s="12">
        <f>BSHARE("clothing_share",DECILE_ARRAY,"Urban","p75")</f>
        <v/>
      </c>
    </row>
    <row r="404">
      <c r="D404" s="6" t="inlineStr">
        <is>
          <t>p75</t>
        </is>
      </c>
      <c r="E404" s="6" t="inlineStr">
        <is>
          <t>Rural</t>
        </is>
      </c>
      <c r="F404" s="6" t="inlineStr">
        <is>
          <t>Basket</t>
        </is>
      </c>
      <c r="G404" s="6" t="inlineStr">
        <is>
          <t>clo</t>
        </is>
      </c>
      <c r="H404" s="6" t="inlineStr">
        <is>
          <t>%</t>
        </is>
      </c>
      <c r="P404" s="12">
        <f>BSHARE("clothing_share",0,"Rural","p75")</f>
        <v/>
      </c>
    </row>
    <row r="405">
      <c r="D405" s="6" t="inlineStr">
        <is>
          <t>p75</t>
        </is>
      </c>
      <c r="E405" s="6" t="inlineStr">
        <is>
          <t>Rural</t>
        </is>
      </c>
      <c r="F405" s="6" t="inlineStr">
        <is>
          <t>Deciles</t>
        </is>
      </c>
      <c r="G405" s="6" t="inlineStr">
        <is>
          <t>clo</t>
        </is>
      </c>
      <c r="H405" s="6" t="inlineStr">
        <is>
          <t>%</t>
        </is>
      </c>
      <c r="Q405" s="12">
        <f>BSHARE("clothing_share",DECILE_ARRAY,"Rural","p75")</f>
        <v/>
      </c>
    </row>
    <row r="407">
      <c r="C407" s="7" t="inlineStr">
        <is>
          <t>Communications Budget Share (% Total Consumption)</t>
        </is>
      </c>
      <c r="G407" s="6" t="inlineStr">
        <is>
          <t>com</t>
        </is>
      </c>
      <c r="O407" s="8" t="inlineStr">
        <is>
          <t>Decile --&gt;</t>
        </is>
      </c>
      <c r="Q407" s="8" t="n">
        <v>1</v>
      </c>
      <c r="R407" s="8" t="n">
        <v>2</v>
      </c>
      <c r="S407" s="8" t="n">
        <v>3</v>
      </c>
      <c r="T407" s="8" t="n">
        <v>4</v>
      </c>
      <c r="U407" s="8" t="n">
        <v>5</v>
      </c>
      <c r="V407" s="8" t="n">
        <v>6</v>
      </c>
      <c r="W407" s="8" t="n">
        <v>7</v>
      </c>
      <c r="X407" s="8" t="n">
        <v>8</v>
      </c>
      <c r="Y407" s="8" t="n">
        <v>9</v>
      </c>
      <c r="Z407" s="8" t="n">
        <v>10</v>
      </c>
    </row>
    <row r="408">
      <c r="D408" s="6" t="inlineStr">
        <is>
          <t>mean</t>
        </is>
      </c>
      <c r="E408" s="6" t="inlineStr">
        <is>
          <t>Overall</t>
        </is>
      </c>
      <c r="F408" s="6" t="inlineStr">
        <is>
          <t>Basket</t>
        </is>
      </c>
      <c r="G408" s="6" t="inlineStr">
        <is>
          <t>com</t>
        </is>
      </c>
      <c r="H408" s="6" t="inlineStr">
        <is>
          <t>%</t>
        </is>
      </c>
      <c r="P408" s="12">
        <f>BSHARE("communications_share",0,"Overall","mean")</f>
        <v/>
      </c>
    </row>
    <row r="409">
      <c r="D409" s="6" t="inlineStr">
        <is>
          <t>mean</t>
        </is>
      </c>
      <c r="E409" s="6" t="inlineStr">
        <is>
          <t>Overall</t>
        </is>
      </c>
      <c r="F409" s="6" t="inlineStr">
        <is>
          <t>Deciles</t>
        </is>
      </c>
      <c r="G409" s="6" t="inlineStr">
        <is>
          <t>com</t>
        </is>
      </c>
      <c r="H409" s="6" t="inlineStr">
        <is>
          <t>%</t>
        </is>
      </c>
      <c r="Q409" s="12">
        <f>BSHARE("communications_share",DECILE_ARRAY,"Overall","mean")</f>
        <v/>
      </c>
    </row>
    <row r="410">
      <c r="D410" s="6" t="inlineStr">
        <is>
          <t>mean</t>
        </is>
      </c>
      <c r="E410" s="6" t="inlineStr">
        <is>
          <t>Urban</t>
        </is>
      </c>
      <c r="F410" s="6" t="inlineStr">
        <is>
          <t>Basket</t>
        </is>
      </c>
      <c r="G410" s="6" t="inlineStr">
        <is>
          <t>com</t>
        </is>
      </c>
      <c r="H410" s="6" t="inlineStr">
        <is>
          <t>%</t>
        </is>
      </c>
      <c r="P410" s="12">
        <f>BSHARE("communications_share",0,"Urban","mean")</f>
        <v/>
      </c>
    </row>
    <row r="411">
      <c r="D411" s="6" t="inlineStr">
        <is>
          <t>mean</t>
        </is>
      </c>
      <c r="E411" s="6" t="inlineStr">
        <is>
          <t>Urban</t>
        </is>
      </c>
      <c r="F411" s="6" t="inlineStr">
        <is>
          <t>Deciles</t>
        </is>
      </c>
      <c r="G411" s="6" t="inlineStr">
        <is>
          <t>com</t>
        </is>
      </c>
      <c r="H411" s="6" t="inlineStr">
        <is>
          <t>%</t>
        </is>
      </c>
      <c r="Q411" s="12">
        <f>BSHARE("communications_share",DECILE_ARRAY,"Urban","mean")</f>
        <v/>
      </c>
    </row>
    <row r="412">
      <c r="D412" s="6" t="inlineStr">
        <is>
          <t>mean</t>
        </is>
      </c>
      <c r="E412" s="6" t="inlineStr">
        <is>
          <t>Rural</t>
        </is>
      </c>
      <c r="F412" s="6" t="inlineStr">
        <is>
          <t>Basket</t>
        </is>
      </c>
      <c r="G412" s="6" t="inlineStr">
        <is>
          <t>com</t>
        </is>
      </c>
      <c r="H412" s="6" t="inlineStr">
        <is>
          <t>%</t>
        </is>
      </c>
      <c r="P412" s="12">
        <f>BSHARE("communications_share",0,"Rural","mean")</f>
        <v/>
      </c>
    </row>
    <row r="413">
      <c r="D413" s="6" t="inlineStr">
        <is>
          <t>mean</t>
        </is>
      </c>
      <c r="E413" s="6" t="inlineStr">
        <is>
          <t>Rural</t>
        </is>
      </c>
      <c r="F413" s="6" t="inlineStr">
        <is>
          <t>Deciles</t>
        </is>
      </c>
      <c r="G413" s="6" t="inlineStr">
        <is>
          <t>com</t>
        </is>
      </c>
      <c r="H413" s="6" t="inlineStr">
        <is>
          <t>%</t>
        </is>
      </c>
      <c r="Q413" s="12">
        <f>BSHARE("communications_share",DECILE_ARRAY,"Rural","mean")</f>
        <v/>
      </c>
    </row>
    <row r="414">
      <c r="D414" s="6" t="inlineStr">
        <is>
          <t>median</t>
        </is>
      </c>
      <c r="E414" s="6" t="inlineStr">
        <is>
          <t>Overall</t>
        </is>
      </c>
      <c r="F414" s="6" t="inlineStr">
        <is>
          <t>Basket</t>
        </is>
      </c>
      <c r="G414" s="6" t="inlineStr">
        <is>
          <t>com</t>
        </is>
      </c>
      <c r="H414" s="6" t="inlineStr">
        <is>
          <t>%</t>
        </is>
      </c>
      <c r="P414" s="12">
        <f>BSHARE("communications_share",0,"Overall","median")</f>
        <v/>
      </c>
    </row>
    <row r="415">
      <c r="D415" s="6" t="inlineStr">
        <is>
          <t>median</t>
        </is>
      </c>
      <c r="E415" s="6" t="inlineStr">
        <is>
          <t>Overall</t>
        </is>
      </c>
      <c r="F415" s="6" t="inlineStr">
        <is>
          <t>Deciles</t>
        </is>
      </c>
      <c r="G415" s="6" t="inlineStr">
        <is>
          <t>com</t>
        </is>
      </c>
      <c r="H415" s="6" t="inlineStr">
        <is>
          <t>%</t>
        </is>
      </c>
      <c r="Q415" s="12">
        <f>BSHARE("communications_share",DECILE_ARRAY,"Overall","median")</f>
        <v/>
      </c>
    </row>
    <row r="416">
      <c r="D416" s="6" t="inlineStr">
        <is>
          <t>median</t>
        </is>
      </c>
      <c r="E416" s="6" t="inlineStr">
        <is>
          <t>Urban</t>
        </is>
      </c>
      <c r="F416" s="6" t="inlineStr">
        <is>
          <t>Basket</t>
        </is>
      </c>
      <c r="G416" s="6" t="inlineStr">
        <is>
          <t>com</t>
        </is>
      </c>
      <c r="H416" s="6" t="inlineStr">
        <is>
          <t>%</t>
        </is>
      </c>
      <c r="P416" s="12">
        <f>BSHARE("communications_share",0,"Urban","median")</f>
        <v/>
      </c>
    </row>
    <row r="417">
      <c r="D417" s="6" t="inlineStr">
        <is>
          <t>median</t>
        </is>
      </c>
      <c r="E417" s="6" t="inlineStr">
        <is>
          <t>Urban</t>
        </is>
      </c>
      <c r="F417" s="6" t="inlineStr">
        <is>
          <t>Deciles</t>
        </is>
      </c>
      <c r="G417" s="6" t="inlineStr">
        <is>
          <t>com</t>
        </is>
      </c>
      <c r="H417" s="6" t="inlineStr">
        <is>
          <t>%</t>
        </is>
      </c>
      <c r="Q417" s="12">
        <f>BSHARE("communications_share",DECILE_ARRAY,"Urban","median")</f>
        <v/>
      </c>
    </row>
    <row r="418">
      <c r="D418" s="6" t="inlineStr">
        <is>
          <t>median</t>
        </is>
      </c>
      <c r="E418" s="6" t="inlineStr">
        <is>
          <t>Rural</t>
        </is>
      </c>
      <c r="F418" s="6" t="inlineStr">
        <is>
          <t>Basket</t>
        </is>
      </c>
      <c r="G418" s="6" t="inlineStr">
        <is>
          <t>com</t>
        </is>
      </c>
      <c r="H418" s="6" t="inlineStr">
        <is>
          <t>%</t>
        </is>
      </c>
      <c r="P418" s="12">
        <f>BSHARE("communications_share",0,"Rural","median")</f>
        <v/>
      </c>
    </row>
    <row r="419">
      <c r="D419" s="6" t="inlineStr">
        <is>
          <t>median</t>
        </is>
      </c>
      <c r="E419" s="6" t="inlineStr">
        <is>
          <t>Rural</t>
        </is>
      </c>
      <c r="F419" s="6" t="inlineStr">
        <is>
          <t>Deciles</t>
        </is>
      </c>
      <c r="G419" s="6" t="inlineStr">
        <is>
          <t>com</t>
        </is>
      </c>
      <c r="H419" s="6" t="inlineStr">
        <is>
          <t>%</t>
        </is>
      </c>
      <c r="Q419" s="12">
        <f>BSHARE("communications_share",DECILE_ARRAY,"Rural","median")</f>
        <v/>
      </c>
    </row>
    <row r="420">
      <c r="D420" s="6" t="inlineStr">
        <is>
          <t>p25</t>
        </is>
      </c>
      <c r="E420" s="6" t="inlineStr">
        <is>
          <t>Overall</t>
        </is>
      </c>
      <c r="F420" s="6" t="inlineStr">
        <is>
          <t>Basket</t>
        </is>
      </c>
      <c r="G420" s="6" t="inlineStr">
        <is>
          <t>com</t>
        </is>
      </c>
      <c r="H420" s="6" t="inlineStr">
        <is>
          <t>%</t>
        </is>
      </c>
      <c r="P420" s="12">
        <f>BSHARE("communications_share",0,"Overall","p25")</f>
        <v/>
      </c>
    </row>
    <row r="421">
      <c r="D421" s="6" t="inlineStr">
        <is>
          <t>p25</t>
        </is>
      </c>
      <c r="E421" s="6" t="inlineStr">
        <is>
          <t>Overall</t>
        </is>
      </c>
      <c r="F421" s="6" t="inlineStr">
        <is>
          <t>Deciles</t>
        </is>
      </c>
      <c r="G421" s="6" t="inlineStr">
        <is>
          <t>com</t>
        </is>
      </c>
      <c r="H421" s="6" t="inlineStr">
        <is>
          <t>%</t>
        </is>
      </c>
      <c r="Q421" s="12">
        <f>BSHARE("communications_share",DECILE_ARRAY,"Overall","p25")</f>
        <v/>
      </c>
    </row>
    <row r="422">
      <c r="D422" s="6" t="inlineStr">
        <is>
          <t>p25</t>
        </is>
      </c>
      <c r="E422" s="6" t="inlineStr">
        <is>
          <t>Urban</t>
        </is>
      </c>
      <c r="F422" s="6" t="inlineStr">
        <is>
          <t>Basket</t>
        </is>
      </c>
      <c r="G422" s="6" t="inlineStr">
        <is>
          <t>com</t>
        </is>
      </c>
      <c r="H422" s="6" t="inlineStr">
        <is>
          <t>%</t>
        </is>
      </c>
      <c r="P422" s="12">
        <f>BSHARE("communications_share",0,"Urban","p25")</f>
        <v/>
      </c>
    </row>
    <row r="423">
      <c r="D423" s="6" t="inlineStr">
        <is>
          <t>p25</t>
        </is>
      </c>
      <c r="E423" s="6" t="inlineStr">
        <is>
          <t>Urban</t>
        </is>
      </c>
      <c r="F423" s="6" t="inlineStr">
        <is>
          <t>Deciles</t>
        </is>
      </c>
      <c r="G423" s="6" t="inlineStr">
        <is>
          <t>com</t>
        </is>
      </c>
      <c r="H423" s="6" t="inlineStr">
        <is>
          <t>%</t>
        </is>
      </c>
      <c r="Q423" s="12">
        <f>BSHARE("communications_share",DECILE_ARRAY,"Urban","p25")</f>
        <v/>
      </c>
    </row>
    <row r="424">
      <c r="D424" s="6" t="inlineStr">
        <is>
          <t>p25</t>
        </is>
      </c>
      <c r="E424" s="6" t="inlineStr">
        <is>
          <t>Rural</t>
        </is>
      </c>
      <c r="F424" s="6" t="inlineStr">
        <is>
          <t>Basket</t>
        </is>
      </c>
      <c r="G424" s="6" t="inlineStr">
        <is>
          <t>com</t>
        </is>
      </c>
      <c r="H424" s="6" t="inlineStr">
        <is>
          <t>%</t>
        </is>
      </c>
      <c r="P424" s="12">
        <f>BSHARE("communications_share",0,"Rural","p25")</f>
        <v/>
      </c>
    </row>
    <row r="425">
      <c r="D425" s="6" t="inlineStr">
        <is>
          <t>p25</t>
        </is>
      </c>
      <c r="E425" s="6" t="inlineStr">
        <is>
          <t>Rural</t>
        </is>
      </c>
      <c r="F425" s="6" t="inlineStr">
        <is>
          <t>Deciles</t>
        </is>
      </c>
      <c r="G425" s="6" t="inlineStr">
        <is>
          <t>com</t>
        </is>
      </c>
      <c r="H425" s="6" t="inlineStr">
        <is>
          <t>%</t>
        </is>
      </c>
      <c r="Q425" s="12">
        <f>BSHARE("communications_share",DECILE_ARRAY,"Rural","p25")</f>
        <v/>
      </c>
    </row>
    <row r="426">
      <c r="D426" s="6" t="inlineStr">
        <is>
          <t>p75</t>
        </is>
      </c>
      <c r="E426" s="6" t="inlineStr">
        <is>
          <t>Overall</t>
        </is>
      </c>
      <c r="F426" s="6" t="inlineStr">
        <is>
          <t>Basket</t>
        </is>
      </c>
      <c r="G426" s="6" t="inlineStr">
        <is>
          <t>com</t>
        </is>
      </c>
      <c r="H426" s="6" t="inlineStr">
        <is>
          <t>%</t>
        </is>
      </c>
      <c r="P426" s="12">
        <f>BSHARE("communications_share",0,"Overall","p75")</f>
        <v/>
      </c>
    </row>
    <row r="427">
      <c r="D427" s="6" t="inlineStr">
        <is>
          <t>p75</t>
        </is>
      </c>
      <c r="E427" s="6" t="inlineStr">
        <is>
          <t>Overall</t>
        </is>
      </c>
      <c r="F427" s="6" t="inlineStr">
        <is>
          <t>Deciles</t>
        </is>
      </c>
      <c r="G427" s="6" t="inlineStr">
        <is>
          <t>com</t>
        </is>
      </c>
      <c r="H427" s="6" t="inlineStr">
        <is>
          <t>%</t>
        </is>
      </c>
      <c r="Q427" s="12">
        <f>BSHARE("communications_share",DECILE_ARRAY,"Overall","p75")</f>
        <v/>
      </c>
    </row>
    <row r="428">
      <c r="D428" s="6" t="inlineStr">
        <is>
          <t>p75</t>
        </is>
      </c>
      <c r="E428" s="6" t="inlineStr">
        <is>
          <t>Urban</t>
        </is>
      </c>
      <c r="F428" s="6" t="inlineStr">
        <is>
          <t>Basket</t>
        </is>
      </c>
      <c r="G428" s="6" t="inlineStr">
        <is>
          <t>com</t>
        </is>
      </c>
      <c r="H428" s="6" t="inlineStr">
        <is>
          <t>%</t>
        </is>
      </c>
      <c r="P428" s="12">
        <f>BSHARE("communications_share",0,"Urban","p75")</f>
        <v/>
      </c>
    </row>
    <row r="429">
      <c r="D429" s="6" t="inlineStr">
        <is>
          <t>p75</t>
        </is>
      </c>
      <c r="E429" s="6" t="inlineStr">
        <is>
          <t>Urban</t>
        </is>
      </c>
      <c r="F429" s="6" t="inlineStr">
        <is>
          <t>Deciles</t>
        </is>
      </c>
      <c r="G429" s="6" t="inlineStr">
        <is>
          <t>com</t>
        </is>
      </c>
      <c r="H429" s="6" t="inlineStr">
        <is>
          <t>%</t>
        </is>
      </c>
      <c r="Q429" s="12">
        <f>BSHARE("communications_share",DECILE_ARRAY,"Urban","p75")</f>
        <v/>
      </c>
    </row>
    <row r="430">
      <c r="D430" s="6" t="inlineStr">
        <is>
          <t>p75</t>
        </is>
      </c>
      <c r="E430" s="6" t="inlineStr">
        <is>
          <t>Rural</t>
        </is>
      </c>
      <c r="F430" s="6" t="inlineStr">
        <is>
          <t>Basket</t>
        </is>
      </c>
      <c r="G430" s="6" t="inlineStr">
        <is>
          <t>com</t>
        </is>
      </c>
      <c r="H430" s="6" t="inlineStr">
        <is>
          <t>%</t>
        </is>
      </c>
      <c r="P430" s="12">
        <f>BSHARE("communications_share",0,"Rural","p75")</f>
        <v/>
      </c>
    </row>
    <row r="431">
      <c r="D431" s="6" t="inlineStr">
        <is>
          <t>p75</t>
        </is>
      </c>
      <c r="E431" s="6" t="inlineStr">
        <is>
          <t>Rural</t>
        </is>
      </c>
      <c r="F431" s="6" t="inlineStr">
        <is>
          <t>Deciles</t>
        </is>
      </c>
      <c r="G431" s="6" t="inlineStr">
        <is>
          <t>com</t>
        </is>
      </c>
      <c r="H431" s="6" t="inlineStr">
        <is>
          <t>%</t>
        </is>
      </c>
      <c r="Q431" s="12">
        <f>BSHARE("communications_share",DECILE_ARRAY,"Rural","p75")</f>
        <v/>
      </c>
    </row>
    <row r="433">
      <c r="C433" s="7" t="inlineStr">
        <is>
          <t>Education Budget Share (% Total Consumption)</t>
        </is>
      </c>
      <c r="G433" s="6" t="inlineStr">
        <is>
          <t>edu</t>
        </is>
      </c>
      <c r="O433" s="8" t="inlineStr">
        <is>
          <t>Decile --&gt;</t>
        </is>
      </c>
      <c r="Q433" s="8" t="n">
        <v>1</v>
      </c>
      <c r="R433" s="8" t="n">
        <v>2</v>
      </c>
      <c r="S433" s="8" t="n">
        <v>3</v>
      </c>
      <c r="T433" s="8" t="n">
        <v>4</v>
      </c>
      <c r="U433" s="8" t="n">
        <v>5</v>
      </c>
      <c r="V433" s="8" t="n">
        <v>6</v>
      </c>
      <c r="W433" s="8" t="n">
        <v>7</v>
      </c>
      <c r="X433" s="8" t="n">
        <v>8</v>
      </c>
      <c r="Y433" s="8" t="n">
        <v>9</v>
      </c>
      <c r="Z433" s="8" t="n">
        <v>10</v>
      </c>
    </row>
    <row r="434">
      <c r="D434" s="6" t="inlineStr">
        <is>
          <t>mean</t>
        </is>
      </c>
      <c r="E434" s="6" t="inlineStr">
        <is>
          <t>Overall</t>
        </is>
      </c>
      <c r="F434" s="6" t="inlineStr">
        <is>
          <t>Basket</t>
        </is>
      </c>
      <c r="G434" s="6" t="inlineStr">
        <is>
          <t>edu</t>
        </is>
      </c>
      <c r="H434" s="6" t="inlineStr">
        <is>
          <t>%</t>
        </is>
      </c>
      <c r="P434" s="12">
        <f>BSHARE("education_share",0,"Overall","mean")</f>
        <v/>
      </c>
    </row>
    <row r="435">
      <c r="D435" s="6" t="inlineStr">
        <is>
          <t>mean</t>
        </is>
      </c>
      <c r="E435" s="6" t="inlineStr">
        <is>
          <t>Overall</t>
        </is>
      </c>
      <c r="F435" s="6" t="inlineStr">
        <is>
          <t>Deciles</t>
        </is>
      </c>
      <c r="G435" s="6" t="inlineStr">
        <is>
          <t>edu</t>
        </is>
      </c>
      <c r="H435" s="6" t="inlineStr">
        <is>
          <t>%</t>
        </is>
      </c>
      <c r="Q435" s="12">
        <f>BSHARE("education_share",DECILE_ARRAY,"Overall","mean")</f>
        <v/>
      </c>
    </row>
    <row r="436">
      <c r="D436" s="6" t="inlineStr">
        <is>
          <t>mean</t>
        </is>
      </c>
      <c r="E436" s="6" t="inlineStr">
        <is>
          <t>Urban</t>
        </is>
      </c>
      <c r="F436" s="6" t="inlineStr">
        <is>
          <t>Basket</t>
        </is>
      </c>
      <c r="G436" s="6" t="inlineStr">
        <is>
          <t>edu</t>
        </is>
      </c>
      <c r="H436" s="6" t="inlineStr">
        <is>
          <t>%</t>
        </is>
      </c>
      <c r="P436" s="12">
        <f>BSHARE("education_share",0,"Urban","mean")</f>
        <v/>
      </c>
    </row>
    <row r="437">
      <c r="D437" s="6" t="inlineStr">
        <is>
          <t>mean</t>
        </is>
      </c>
      <c r="E437" s="6" t="inlineStr">
        <is>
          <t>Urban</t>
        </is>
      </c>
      <c r="F437" s="6" t="inlineStr">
        <is>
          <t>Deciles</t>
        </is>
      </c>
      <c r="G437" s="6" t="inlineStr">
        <is>
          <t>edu</t>
        </is>
      </c>
      <c r="H437" s="6" t="inlineStr">
        <is>
          <t>%</t>
        </is>
      </c>
      <c r="Q437" s="12">
        <f>BSHARE("education_share",DECILE_ARRAY,"Urban","mean")</f>
        <v/>
      </c>
    </row>
    <row r="438">
      <c r="D438" s="6" t="inlineStr">
        <is>
          <t>mean</t>
        </is>
      </c>
      <c r="E438" s="6" t="inlineStr">
        <is>
          <t>Rural</t>
        </is>
      </c>
      <c r="F438" s="6" t="inlineStr">
        <is>
          <t>Basket</t>
        </is>
      </c>
      <c r="G438" s="6" t="inlineStr">
        <is>
          <t>edu</t>
        </is>
      </c>
      <c r="H438" s="6" t="inlineStr">
        <is>
          <t>%</t>
        </is>
      </c>
      <c r="P438" s="12">
        <f>BSHARE("education_share",0,"Rural","mean")</f>
        <v/>
      </c>
    </row>
    <row r="439">
      <c r="D439" s="6" t="inlineStr">
        <is>
          <t>mean</t>
        </is>
      </c>
      <c r="E439" s="6" t="inlineStr">
        <is>
          <t>Rural</t>
        </is>
      </c>
      <c r="F439" s="6" t="inlineStr">
        <is>
          <t>Deciles</t>
        </is>
      </c>
      <c r="G439" s="6" t="inlineStr">
        <is>
          <t>edu</t>
        </is>
      </c>
      <c r="H439" s="6" t="inlineStr">
        <is>
          <t>%</t>
        </is>
      </c>
      <c r="Q439" s="12">
        <f>BSHARE("education_share",DECILE_ARRAY,"Rural","mean")</f>
        <v/>
      </c>
    </row>
    <row r="440">
      <c r="D440" s="6" t="inlineStr">
        <is>
          <t>median</t>
        </is>
      </c>
      <c r="E440" s="6" t="inlineStr">
        <is>
          <t>Overall</t>
        </is>
      </c>
      <c r="F440" s="6" t="inlineStr">
        <is>
          <t>Basket</t>
        </is>
      </c>
      <c r="G440" s="6" t="inlineStr">
        <is>
          <t>edu</t>
        </is>
      </c>
      <c r="H440" s="6" t="inlineStr">
        <is>
          <t>%</t>
        </is>
      </c>
      <c r="P440" s="12">
        <f>BSHARE("education_share",0,"Overall","median")</f>
        <v/>
      </c>
    </row>
    <row r="441">
      <c r="D441" s="6" t="inlineStr">
        <is>
          <t>median</t>
        </is>
      </c>
      <c r="E441" s="6" t="inlineStr">
        <is>
          <t>Overall</t>
        </is>
      </c>
      <c r="F441" s="6" t="inlineStr">
        <is>
          <t>Deciles</t>
        </is>
      </c>
      <c r="G441" s="6" t="inlineStr">
        <is>
          <t>edu</t>
        </is>
      </c>
      <c r="H441" s="6" t="inlineStr">
        <is>
          <t>%</t>
        </is>
      </c>
      <c r="Q441" s="12">
        <f>BSHARE("education_share",DECILE_ARRAY,"Overall","median")</f>
        <v/>
      </c>
    </row>
    <row r="442">
      <c r="D442" s="6" t="inlineStr">
        <is>
          <t>median</t>
        </is>
      </c>
      <c r="E442" s="6" t="inlineStr">
        <is>
          <t>Urban</t>
        </is>
      </c>
      <c r="F442" s="6" t="inlineStr">
        <is>
          <t>Basket</t>
        </is>
      </c>
      <c r="G442" s="6" t="inlineStr">
        <is>
          <t>edu</t>
        </is>
      </c>
      <c r="H442" s="6" t="inlineStr">
        <is>
          <t>%</t>
        </is>
      </c>
      <c r="P442" s="12">
        <f>BSHARE("education_share",0,"Urban","median")</f>
        <v/>
      </c>
    </row>
    <row r="443">
      <c r="D443" s="6" t="inlineStr">
        <is>
          <t>median</t>
        </is>
      </c>
      <c r="E443" s="6" t="inlineStr">
        <is>
          <t>Urban</t>
        </is>
      </c>
      <c r="F443" s="6" t="inlineStr">
        <is>
          <t>Deciles</t>
        </is>
      </c>
      <c r="G443" s="6" t="inlineStr">
        <is>
          <t>edu</t>
        </is>
      </c>
      <c r="H443" s="6" t="inlineStr">
        <is>
          <t>%</t>
        </is>
      </c>
      <c r="Q443" s="12">
        <f>BSHARE("education_share",DECILE_ARRAY,"Urban","median")</f>
        <v/>
      </c>
    </row>
    <row r="444">
      <c r="D444" s="6" t="inlineStr">
        <is>
          <t>median</t>
        </is>
      </c>
      <c r="E444" s="6" t="inlineStr">
        <is>
          <t>Rural</t>
        </is>
      </c>
      <c r="F444" s="6" t="inlineStr">
        <is>
          <t>Basket</t>
        </is>
      </c>
      <c r="G444" s="6" t="inlineStr">
        <is>
          <t>edu</t>
        </is>
      </c>
      <c r="H444" s="6" t="inlineStr">
        <is>
          <t>%</t>
        </is>
      </c>
      <c r="P444" s="12">
        <f>BSHARE("education_share",0,"Rural","median")</f>
        <v/>
      </c>
    </row>
    <row r="445">
      <c r="D445" s="6" t="inlineStr">
        <is>
          <t>median</t>
        </is>
      </c>
      <c r="E445" s="6" t="inlineStr">
        <is>
          <t>Rural</t>
        </is>
      </c>
      <c r="F445" s="6" t="inlineStr">
        <is>
          <t>Deciles</t>
        </is>
      </c>
      <c r="G445" s="6" t="inlineStr">
        <is>
          <t>edu</t>
        </is>
      </c>
      <c r="H445" s="6" t="inlineStr">
        <is>
          <t>%</t>
        </is>
      </c>
      <c r="Q445" s="12">
        <f>BSHARE("education_share",DECILE_ARRAY,"Rural","median")</f>
        <v/>
      </c>
    </row>
    <row r="446">
      <c r="D446" s="6" t="inlineStr">
        <is>
          <t>p25</t>
        </is>
      </c>
      <c r="E446" s="6" t="inlineStr">
        <is>
          <t>Overall</t>
        </is>
      </c>
      <c r="F446" s="6" t="inlineStr">
        <is>
          <t>Basket</t>
        </is>
      </c>
      <c r="G446" s="6" t="inlineStr">
        <is>
          <t>edu</t>
        </is>
      </c>
      <c r="H446" s="6" t="inlineStr">
        <is>
          <t>%</t>
        </is>
      </c>
      <c r="P446" s="12">
        <f>BSHARE("education_share",0,"Overall","p25")</f>
        <v/>
      </c>
    </row>
    <row r="447">
      <c r="D447" s="6" t="inlineStr">
        <is>
          <t>p25</t>
        </is>
      </c>
      <c r="E447" s="6" t="inlineStr">
        <is>
          <t>Overall</t>
        </is>
      </c>
      <c r="F447" s="6" t="inlineStr">
        <is>
          <t>Deciles</t>
        </is>
      </c>
      <c r="G447" s="6" t="inlineStr">
        <is>
          <t>edu</t>
        </is>
      </c>
      <c r="H447" s="6" t="inlineStr">
        <is>
          <t>%</t>
        </is>
      </c>
      <c r="Q447" s="12">
        <f>BSHARE("education_share",DECILE_ARRAY,"Overall","p25")</f>
        <v/>
      </c>
    </row>
    <row r="448">
      <c r="D448" s="6" t="inlineStr">
        <is>
          <t>p25</t>
        </is>
      </c>
      <c r="E448" s="6" t="inlineStr">
        <is>
          <t>Urban</t>
        </is>
      </c>
      <c r="F448" s="6" t="inlineStr">
        <is>
          <t>Basket</t>
        </is>
      </c>
      <c r="G448" s="6" t="inlineStr">
        <is>
          <t>edu</t>
        </is>
      </c>
      <c r="H448" s="6" t="inlineStr">
        <is>
          <t>%</t>
        </is>
      </c>
      <c r="P448" s="12">
        <f>BSHARE("education_share",0,"Urban","p25")</f>
        <v/>
      </c>
    </row>
    <row r="449">
      <c r="D449" s="6" t="inlineStr">
        <is>
          <t>p25</t>
        </is>
      </c>
      <c r="E449" s="6" t="inlineStr">
        <is>
          <t>Urban</t>
        </is>
      </c>
      <c r="F449" s="6" t="inlineStr">
        <is>
          <t>Deciles</t>
        </is>
      </c>
      <c r="G449" s="6" t="inlineStr">
        <is>
          <t>edu</t>
        </is>
      </c>
      <c r="H449" s="6" t="inlineStr">
        <is>
          <t>%</t>
        </is>
      </c>
      <c r="Q449" s="12">
        <f>BSHARE("education_share",DECILE_ARRAY,"Urban","p25")</f>
        <v/>
      </c>
    </row>
    <row r="450">
      <c r="D450" s="6" t="inlineStr">
        <is>
          <t>p25</t>
        </is>
      </c>
      <c r="E450" s="6" t="inlineStr">
        <is>
          <t>Rural</t>
        </is>
      </c>
      <c r="F450" s="6" t="inlineStr">
        <is>
          <t>Basket</t>
        </is>
      </c>
      <c r="G450" s="6" t="inlineStr">
        <is>
          <t>edu</t>
        </is>
      </c>
      <c r="H450" s="6" t="inlineStr">
        <is>
          <t>%</t>
        </is>
      </c>
      <c r="P450" s="12">
        <f>BSHARE("education_share",0,"Rural","p25")</f>
        <v/>
      </c>
    </row>
    <row r="451">
      <c r="D451" s="6" t="inlineStr">
        <is>
          <t>p25</t>
        </is>
      </c>
      <c r="E451" s="6" t="inlineStr">
        <is>
          <t>Rural</t>
        </is>
      </c>
      <c r="F451" s="6" t="inlineStr">
        <is>
          <t>Deciles</t>
        </is>
      </c>
      <c r="G451" s="6" t="inlineStr">
        <is>
          <t>edu</t>
        </is>
      </c>
      <c r="H451" s="6" t="inlineStr">
        <is>
          <t>%</t>
        </is>
      </c>
      <c r="Q451" s="12">
        <f>BSHARE("education_share",DECILE_ARRAY,"Rural","p25")</f>
        <v/>
      </c>
    </row>
    <row r="452">
      <c r="D452" s="6" t="inlineStr">
        <is>
          <t>p75</t>
        </is>
      </c>
      <c r="E452" s="6" t="inlineStr">
        <is>
          <t>Overall</t>
        </is>
      </c>
      <c r="F452" s="6" t="inlineStr">
        <is>
          <t>Basket</t>
        </is>
      </c>
      <c r="G452" s="6" t="inlineStr">
        <is>
          <t>edu</t>
        </is>
      </c>
      <c r="H452" s="6" t="inlineStr">
        <is>
          <t>%</t>
        </is>
      </c>
      <c r="P452" s="12">
        <f>BSHARE("education_share",0,"Overall","p75")</f>
        <v/>
      </c>
    </row>
    <row r="453">
      <c r="D453" s="6" t="inlineStr">
        <is>
          <t>p75</t>
        </is>
      </c>
      <c r="E453" s="6" t="inlineStr">
        <is>
          <t>Overall</t>
        </is>
      </c>
      <c r="F453" s="6" t="inlineStr">
        <is>
          <t>Deciles</t>
        </is>
      </c>
      <c r="G453" s="6" t="inlineStr">
        <is>
          <t>edu</t>
        </is>
      </c>
      <c r="H453" s="6" t="inlineStr">
        <is>
          <t>%</t>
        </is>
      </c>
      <c r="Q453" s="12">
        <f>BSHARE("education_share",DECILE_ARRAY,"Overall","p75")</f>
        <v/>
      </c>
    </row>
    <row r="454">
      <c r="D454" s="6" t="inlineStr">
        <is>
          <t>p75</t>
        </is>
      </c>
      <c r="E454" s="6" t="inlineStr">
        <is>
          <t>Urban</t>
        </is>
      </c>
      <c r="F454" s="6" t="inlineStr">
        <is>
          <t>Basket</t>
        </is>
      </c>
      <c r="G454" s="6" t="inlineStr">
        <is>
          <t>edu</t>
        </is>
      </c>
      <c r="H454" s="6" t="inlineStr">
        <is>
          <t>%</t>
        </is>
      </c>
      <c r="P454" s="12">
        <f>BSHARE("education_share",0,"Urban","p75")</f>
        <v/>
      </c>
    </row>
    <row r="455">
      <c r="D455" s="6" t="inlineStr">
        <is>
          <t>p75</t>
        </is>
      </c>
      <c r="E455" s="6" t="inlineStr">
        <is>
          <t>Urban</t>
        </is>
      </c>
      <c r="F455" s="6" t="inlineStr">
        <is>
          <t>Deciles</t>
        </is>
      </c>
      <c r="G455" s="6" t="inlineStr">
        <is>
          <t>edu</t>
        </is>
      </c>
      <c r="H455" s="6" t="inlineStr">
        <is>
          <t>%</t>
        </is>
      </c>
      <c r="Q455" s="12">
        <f>BSHARE("education_share",DECILE_ARRAY,"Urban","p75")</f>
        <v/>
      </c>
    </row>
    <row r="456">
      <c r="D456" s="6" t="inlineStr">
        <is>
          <t>p75</t>
        </is>
      </c>
      <c r="E456" s="6" t="inlineStr">
        <is>
          <t>Rural</t>
        </is>
      </c>
      <c r="F456" s="6" t="inlineStr">
        <is>
          <t>Basket</t>
        </is>
      </c>
      <c r="G456" s="6" t="inlineStr">
        <is>
          <t>edu</t>
        </is>
      </c>
      <c r="H456" s="6" t="inlineStr">
        <is>
          <t>%</t>
        </is>
      </c>
      <c r="P456" s="12">
        <f>BSHARE("education_share",0,"Rural","p75")</f>
        <v/>
      </c>
    </row>
    <row r="457">
      <c r="D457" s="6" t="inlineStr">
        <is>
          <t>p75</t>
        </is>
      </c>
      <c r="E457" s="6" t="inlineStr">
        <is>
          <t>Rural</t>
        </is>
      </c>
      <c r="F457" s="6" t="inlineStr">
        <is>
          <t>Deciles</t>
        </is>
      </c>
      <c r="G457" s="6" t="inlineStr">
        <is>
          <t>edu</t>
        </is>
      </c>
      <c r="H457" s="6" t="inlineStr">
        <is>
          <t>%</t>
        </is>
      </c>
      <c r="Q457" s="12">
        <f>BSHARE("education_share",DECILE_ARRAY,"Rural","p75")</f>
        <v/>
      </c>
    </row>
    <row r="459">
      <c r="C459" s="7" t="inlineStr">
        <is>
          <t>Food Budget Share (% Total Consumption)</t>
        </is>
      </c>
      <c r="G459" s="6" t="inlineStr">
        <is>
          <t>food</t>
        </is>
      </c>
      <c r="O459" s="8" t="inlineStr">
        <is>
          <t>Decile --&gt;</t>
        </is>
      </c>
      <c r="Q459" s="8" t="n">
        <v>1</v>
      </c>
      <c r="R459" s="8" t="n">
        <v>2</v>
      </c>
      <c r="S459" s="8" t="n">
        <v>3</v>
      </c>
      <c r="T459" s="8" t="n">
        <v>4</v>
      </c>
      <c r="U459" s="8" t="n">
        <v>5</v>
      </c>
      <c r="V459" s="8" t="n">
        <v>6</v>
      </c>
      <c r="W459" s="8" t="n">
        <v>7</v>
      </c>
      <c r="X459" s="8" t="n">
        <v>8</v>
      </c>
      <c r="Y459" s="8" t="n">
        <v>9</v>
      </c>
      <c r="Z459" s="8" t="n">
        <v>10</v>
      </c>
    </row>
    <row r="460">
      <c r="D460" s="6" t="inlineStr">
        <is>
          <t>mean</t>
        </is>
      </c>
      <c r="E460" s="6" t="inlineStr">
        <is>
          <t>Overall</t>
        </is>
      </c>
      <c r="F460" s="6" t="inlineStr">
        <is>
          <t>Basket</t>
        </is>
      </c>
      <c r="G460" s="6" t="inlineStr">
        <is>
          <t>food</t>
        </is>
      </c>
      <c r="H460" s="6" t="inlineStr">
        <is>
          <t>%</t>
        </is>
      </c>
      <c r="P460" s="12">
        <f>BSHARE("food_share",0,"Overall","mean")</f>
        <v/>
      </c>
    </row>
    <row r="461">
      <c r="D461" s="6" t="inlineStr">
        <is>
          <t>mean</t>
        </is>
      </c>
      <c r="E461" s="6" t="inlineStr">
        <is>
          <t>Overall</t>
        </is>
      </c>
      <c r="F461" s="6" t="inlineStr">
        <is>
          <t>Deciles</t>
        </is>
      </c>
      <c r="G461" s="6" t="inlineStr">
        <is>
          <t>food</t>
        </is>
      </c>
      <c r="H461" s="6" t="inlineStr">
        <is>
          <t>%</t>
        </is>
      </c>
      <c r="Q461" s="12">
        <f>BSHARE("food_share",DECILE_ARRAY,"Overall","mean")</f>
        <v/>
      </c>
    </row>
    <row r="462">
      <c r="D462" s="6" t="inlineStr">
        <is>
          <t>mean</t>
        </is>
      </c>
      <c r="E462" s="6" t="inlineStr">
        <is>
          <t>Urban</t>
        </is>
      </c>
      <c r="F462" s="6" t="inlineStr">
        <is>
          <t>Basket</t>
        </is>
      </c>
      <c r="G462" s="6" t="inlineStr">
        <is>
          <t>food</t>
        </is>
      </c>
      <c r="H462" s="6" t="inlineStr">
        <is>
          <t>%</t>
        </is>
      </c>
      <c r="P462" s="12">
        <f>BSHARE("food_share",0,"Urban","mean")</f>
        <v/>
      </c>
    </row>
    <row r="463">
      <c r="D463" s="6" t="inlineStr">
        <is>
          <t>mean</t>
        </is>
      </c>
      <c r="E463" s="6" t="inlineStr">
        <is>
          <t>Urban</t>
        </is>
      </c>
      <c r="F463" s="6" t="inlineStr">
        <is>
          <t>Deciles</t>
        </is>
      </c>
      <c r="G463" s="6" t="inlineStr">
        <is>
          <t>food</t>
        </is>
      </c>
      <c r="H463" s="6" t="inlineStr">
        <is>
          <t>%</t>
        </is>
      </c>
      <c r="Q463" s="12">
        <f>BSHARE("food_share",DECILE_ARRAY,"Urban","mean")</f>
        <v/>
      </c>
    </row>
    <row r="464">
      <c r="D464" s="6" t="inlineStr">
        <is>
          <t>mean</t>
        </is>
      </c>
      <c r="E464" s="6" t="inlineStr">
        <is>
          <t>Rural</t>
        </is>
      </c>
      <c r="F464" s="6" t="inlineStr">
        <is>
          <t>Basket</t>
        </is>
      </c>
      <c r="G464" s="6" t="inlineStr">
        <is>
          <t>food</t>
        </is>
      </c>
      <c r="H464" s="6" t="inlineStr">
        <is>
          <t>%</t>
        </is>
      </c>
      <c r="P464" s="12">
        <f>BSHARE("food_share",0,"Rural","mean")</f>
        <v/>
      </c>
    </row>
    <row r="465">
      <c r="D465" s="6" t="inlineStr">
        <is>
          <t>mean</t>
        </is>
      </c>
      <c r="E465" s="6" t="inlineStr">
        <is>
          <t>Rural</t>
        </is>
      </c>
      <c r="F465" s="6" t="inlineStr">
        <is>
          <t>Deciles</t>
        </is>
      </c>
      <c r="G465" s="6" t="inlineStr">
        <is>
          <t>food</t>
        </is>
      </c>
      <c r="H465" s="6" t="inlineStr">
        <is>
          <t>%</t>
        </is>
      </c>
      <c r="Q465" s="12">
        <f>BSHARE("food_share",DECILE_ARRAY,"Rural","mean")</f>
        <v/>
      </c>
    </row>
    <row r="466">
      <c r="D466" s="6" t="inlineStr">
        <is>
          <t>median</t>
        </is>
      </c>
      <c r="E466" s="6" t="inlineStr">
        <is>
          <t>Overall</t>
        </is>
      </c>
      <c r="F466" s="6" t="inlineStr">
        <is>
          <t>Basket</t>
        </is>
      </c>
      <c r="G466" s="6" t="inlineStr">
        <is>
          <t>food</t>
        </is>
      </c>
      <c r="H466" s="6" t="inlineStr">
        <is>
          <t>%</t>
        </is>
      </c>
      <c r="P466" s="12">
        <f>BSHARE("food_share",0,"Overall","median")</f>
        <v/>
      </c>
    </row>
    <row r="467">
      <c r="D467" s="6" t="inlineStr">
        <is>
          <t>median</t>
        </is>
      </c>
      <c r="E467" s="6" t="inlineStr">
        <is>
          <t>Overall</t>
        </is>
      </c>
      <c r="F467" s="6" t="inlineStr">
        <is>
          <t>Deciles</t>
        </is>
      </c>
      <c r="G467" s="6" t="inlineStr">
        <is>
          <t>food</t>
        </is>
      </c>
      <c r="H467" s="6" t="inlineStr">
        <is>
          <t>%</t>
        </is>
      </c>
      <c r="Q467" s="12">
        <f>BSHARE("food_share",DECILE_ARRAY,"Overall","median")</f>
        <v/>
      </c>
    </row>
    <row r="468">
      <c r="D468" s="6" t="inlineStr">
        <is>
          <t>median</t>
        </is>
      </c>
      <c r="E468" s="6" t="inlineStr">
        <is>
          <t>Urban</t>
        </is>
      </c>
      <c r="F468" s="6" t="inlineStr">
        <is>
          <t>Basket</t>
        </is>
      </c>
      <c r="G468" s="6" t="inlineStr">
        <is>
          <t>food</t>
        </is>
      </c>
      <c r="H468" s="6" t="inlineStr">
        <is>
          <t>%</t>
        </is>
      </c>
      <c r="P468" s="12">
        <f>BSHARE("food_share",0,"Urban","median")</f>
        <v/>
      </c>
    </row>
    <row r="469">
      <c r="D469" s="6" t="inlineStr">
        <is>
          <t>median</t>
        </is>
      </c>
      <c r="E469" s="6" t="inlineStr">
        <is>
          <t>Urban</t>
        </is>
      </c>
      <c r="F469" s="6" t="inlineStr">
        <is>
          <t>Deciles</t>
        </is>
      </c>
      <c r="G469" s="6" t="inlineStr">
        <is>
          <t>food</t>
        </is>
      </c>
      <c r="H469" s="6" t="inlineStr">
        <is>
          <t>%</t>
        </is>
      </c>
      <c r="Q469" s="12">
        <f>BSHARE("food_share",DECILE_ARRAY,"Urban","median")</f>
        <v/>
      </c>
    </row>
    <row r="470">
      <c r="D470" s="6" t="inlineStr">
        <is>
          <t>median</t>
        </is>
      </c>
      <c r="E470" s="6" t="inlineStr">
        <is>
          <t>Rural</t>
        </is>
      </c>
      <c r="F470" s="6" t="inlineStr">
        <is>
          <t>Basket</t>
        </is>
      </c>
      <c r="G470" s="6" t="inlineStr">
        <is>
          <t>food</t>
        </is>
      </c>
      <c r="H470" s="6" t="inlineStr">
        <is>
          <t>%</t>
        </is>
      </c>
      <c r="P470" s="12">
        <f>BSHARE("food_share",0,"Rural","median")</f>
        <v/>
      </c>
    </row>
    <row r="471">
      <c r="D471" s="6" t="inlineStr">
        <is>
          <t>median</t>
        </is>
      </c>
      <c r="E471" s="6" t="inlineStr">
        <is>
          <t>Rural</t>
        </is>
      </c>
      <c r="F471" s="6" t="inlineStr">
        <is>
          <t>Deciles</t>
        </is>
      </c>
      <c r="G471" s="6" t="inlineStr">
        <is>
          <t>food</t>
        </is>
      </c>
      <c r="H471" s="6" t="inlineStr">
        <is>
          <t>%</t>
        </is>
      </c>
      <c r="Q471" s="12">
        <f>BSHARE("food_share",DECILE_ARRAY,"Rural","median")</f>
        <v/>
      </c>
    </row>
    <row r="472">
      <c r="D472" s="6" t="inlineStr">
        <is>
          <t>p25</t>
        </is>
      </c>
      <c r="E472" s="6" t="inlineStr">
        <is>
          <t>Overall</t>
        </is>
      </c>
      <c r="F472" s="6" t="inlineStr">
        <is>
          <t>Basket</t>
        </is>
      </c>
      <c r="G472" s="6" t="inlineStr">
        <is>
          <t>food</t>
        </is>
      </c>
      <c r="H472" s="6" t="inlineStr">
        <is>
          <t>%</t>
        </is>
      </c>
      <c r="P472" s="12">
        <f>BSHARE("food_share",0,"Overall","p25")</f>
        <v/>
      </c>
    </row>
    <row r="473">
      <c r="D473" s="6" t="inlineStr">
        <is>
          <t>p25</t>
        </is>
      </c>
      <c r="E473" s="6" t="inlineStr">
        <is>
          <t>Overall</t>
        </is>
      </c>
      <c r="F473" s="6" t="inlineStr">
        <is>
          <t>Deciles</t>
        </is>
      </c>
      <c r="G473" s="6" t="inlineStr">
        <is>
          <t>food</t>
        </is>
      </c>
      <c r="H473" s="6" t="inlineStr">
        <is>
          <t>%</t>
        </is>
      </c>
      <c r="Q473" s="12">
        <f>BSHARE("food_share",DECILE_ARRAY,"Overall","p25")</f>
        <v/>
      </c>
    </row>
    <row r="474">
      <c r="D474" s="6" t="inlineStr">
        <is>
          <t>p25</t>
        </is>
      </c>
      <c r="E474" s="6" t="inlineStr">
        <is>
          <t>Urban</t>
        </is>
      </c>
      <c r="F474" s="6" t="inlineStr">
        <is>
          <t>Basket</t>
        </is>
      </c>
      <c r="G474" s="6" t="inlineStr">
        <is>
          <t>food</t>
        </is>
      </c>
      <c r="H474" s="6" t="inlineStr">
        <is>
          <t>%</t>
        </is>
      </c>
      <c r="P474" s="12">
        <f>BSHARE("food_share",0,"Urban","p25")</f>
        <v/>
      </c>
    </row>
    <row r="475">
      <c r="D475" s="6" t="inlineStr">
        <is>
          <t>p25</t>
        </is>
      </c>
      <c r="E475" s="6" t="inlineStr">
        <is>
          <t>Urban</t>
        </is>
      </c>
      <c r="F475" s="6" t="inlineStr">
        <is>
          <t>Deciles</t>
        </is>
      </c>
      <c r="G475" s="6" t="inlineStr">
        <is>
          <t>food</t>
        </is>
      </c>
      <c r="H475" s="6" t="inlineStr">
        <is>
          <t>%</t>
        </is>
      </c>
      <c r="Q475" s="12">
        <f>BSHARE("food_share",DECILE_ARRAY,"Urban","p25")</f>
        <v/>
      </c>
    </row>
    <row r="476">
      <c r="D476" s="6" t="inlineStr">
        <is>
          <t>p25</t>
        </is>
      </c>
      <c r="E476" s="6" t="inlineStr">
        <is>
          <t>Rural</t>
        </is>
      </c>
      <c r="F476" s="6" t="inlineStr">
        <is>
          <t>Basket</t>
        </is>
      </c>
      <c r="G476" s="6" t="inlineStr">
        <is>
          <t>food</t>
        </is>
      </c>
      <c r="H476" s="6" t="inlineStr">
        <is>
          <t>%</t>
        </is>
      </c>
      <c r="P476" s="12">
        <f>BSHARE("food_share",0,"Rural","p25")</f>
        <v/>
      </c>
    </row>
    <row r="477">
      <c r="D477" s="6" t="inlineStr">
        <is>
          <t>p25</t>
        </is>
      </c>
      <c r="E477" s="6" t="inlineStr">
        <is>
          <t>Rural</t>
        </is>
      </c>
      <c r="F477" s="6" t="inlineStr">
        <is>
          <t>Deciles</t>
        </is>
      </c>
      <c r="G477" s="6" t="inlineStr">
        <is>
          <t>food</t>
        </is>
      </c>
      <c r="H477" s="6" t="inlineStr">
        <is>
          <t>%</t>
        </is>
      </c>
      <c r="Q477" s="12">
        <f>BSHARE("food_share",DECILE_ARRAY,"Rural","p25")</f>
        <v/>
      </c>
    </row>
    <row r="478">
      <c r="D478" s="6" t="inlineStr">
        <is>
          <t>p75</t>
        </is>
      </c>
      <c r="E478" s="6" t="inlineStr">
        <is>
          <t>Overall</t>
        </is>
      </c>
      <c r="F478" s="6" t="inlineStr">
        <is>
          <t>Basket</t>
        </is>
      </c>
      <c r="G478" s="6" t="inlineStr">
        <is>
          <t>food</t>
        </is>
      </c>
      <c r="H478" s="6" t="inlineStr">
        <is>
          <t>%</t>
        </is>
      </c>
      <c r="P478" s="12">
        <f>BSHARE("food_share",0,"Overall","p75")</f>
        <v/>
      </c>
    </row>
    <row r="479">
      <c r="D479" s="6" t="inlineStr">
        <is>
          <t>p75</t>
        </is>
      </c>
      <c r="E479" s="6" t="inlineStr">
        <is>
          <t>Overall</t>
        </is>
      </c>
      <c r="F479" s="6" t="inlineStr">
        <is>
          <t>Deciles</t>
        </is>
      </c>
      <c r="G479" s="6" t="inlineStr">
        <is>
          <t>food</t>
        </is>
      </c>
      <c r="H479" s="6" t="inlineStr">
        <is>
          <t>%</t>
        </is>
      </c>
      <c r="Q479" s="12">
        <f>BSHARE("food_share",DECILE_ARRAY,"Overall","p75")</f>
        <v/>
      </c>
    </row>
    <row r="480">
      <c r="D480" s="6" t="inlineStr">
        <is>
          <t>p75</t>
        </is>
      </c>
      <c r="E480" s="6" t="inlineStr">
        <is>
          <t>Urban</t>
        </is>
      </c>
      <c r="F480" s="6" t="inlineStr">
        <is>
          <t>Basket</t>
        </is>
      </c>
      <c r="G480" s="6" t="inlineStr">
        <is>
          <t>food</t>
        </is>
      </c>
      <c r="H480" s="6" t="inlineStr">
        <is>
          <t>%</t>
        </is>
      </c>
      <c r="P480" s="12">
        <f>BSHARE("food_share",0,"Urban","p75")</f>
        <v/>
      </c>
    </row>
    <row r="481">
      <c r="D481" s="6" t="inlineStr">
        <is>
          <t>p75</t>
        </is>
      </c>
      <c r="E481" s="6" t="inlineStr">
        <is>
          <t>Urban</t>
        </is>
      </c>
      <c r="F481" s="6" t="inlineStr">
        <is>
          <t>Deciles</t>
        </is>
      </c>
      <c r="G481" s="6" t="inlineStr">
        <is>
          <t>food</t>
        </is>
      </c>
      <c r="H481" s="6" t="inlineStr">
        <is>
          <t>%</t>
        </is>
      </c>
      <c r="Q481" s="12">
        <f>BSHARE("food_share",DECILE_ARRAY,"Urban","p75")</f>
        <v/>
      </c>
    </row>
    <row r="482">
      <c r="D482" s="6" t="inlineStr">
        <is>
          <t>p75</t>
        </is>
      </c>
      <c r="E482" s="6" t="inlineStr">
        <is>
          <t>Rural</t>
        </is>
      </c>
      <c r="F482" s="6" t="inlineStr">
        <is>
          <t>Basket</t>
        </is>
      </c>
      <c r="G482" s="6" t="inlineStr">
        <is>
          <t>food</t>
        </is>
      </c>
      <c r="H482" s="6" t="inlineStr">
        <is>
          <t>%</t>
        </is>
      </c>
      <c r="P482" s="12">
        <f>BSHARE("food_share",0,"Rural","p75")</f>
        <v/>
      </c>
    </row>
    <row r="483">
      <c r="D483" s="6" t="inlineStr">
        <is>
          <t>p75</t>
        </is>
      </c>
      <c r="E483" s="6" t="inlineStr">
        <is>
          <t>Rural</t>
        </is>
      </c>
      <c r="F483" s="6" t="inlineStr">
        <is>
          <t>Deciles</t>
        </is>
      </c>
      <c r="G483" s="6" t="inlineStr">
        <is>
          <t>food</t>
        </is>
      </c>
      <c r="H483" s="6" t="inlineStr">
        <is>
          <t>%</t>
        </is>
      </c>
      <c r="Q483" s="12">
        <f>BSHARE("food_share",DECILE_ARRAY,"Rural","p75")</f>
        <v/>
      </c>
    </row>
    <row r="485">
      <c r="C485" s="7" t="inlineStr">
        <is>
          <t>Health Services Budget Share (% Total Consumption)</t>
        </is>
      </c>
      <c r="G485" s="6" t="inlineStr">
        <is>
          <t>hea</t>
        </is>
      </c>
      <c r="O485" s="8" t="inlineStr">
        <is>
          <t>Decile --&gt;</t>
        </is>
      </c>
      <c r="Q485" s="8" t="n">
        <v>1</v>
      </c>
      <c r="R485" s="8" t="n">
        <v>2</v>
      </c>
      <c r="S485" s="8" t="n">
        <v>3</v>
      </c>
      <c r="T485" s="8" t="n">
        <v>4</v>
      </c>
      <c r="U485" s="8" t="n">
        <v>5</v>
      </c>
      <c r="V485" s="8" t="n">
        <v>6</v>
      </c>
      <c r="W485" s="8" t="n">
        <v>7</v>
      </c>
      <c r="X485" s="8" t="n">
        <v>8</v>
      </c>
      <c r="Y485" s="8" t="n">
        <v>9</v>
      </c>
      <c r="Z485" s="8" t="n">
        <v>10</v>
      </c>
    </row>
    <row r="486">
      <c r="D486" s="6" t="inlineStr">
        <is>
          <t>mean</t>
        </is>
      </c>
      <c r="E486" s="6" t="inlineStr">
        <is>
          <t>Overall</t>
        </is>
      </c>
      <c r="F486" s="6" t="inlineStr">
        <is>
          <t>Basket</t>
        </is>
      </c>
      <c r="G486" s="6" t="inlineStr">
        <is>
          <t>hea</t>
        </is>
      </c>
      <c r="H486" s="6" t="inlineStr">
        <is>
          <t>%</t>
        </is>
      </c>
      <c r="P486" s="12">
        <f>BSHARE("health_srv_share",0,"Overall","mean")</f>
        <v/>
      </c>
    </row>
    <row r="487">
      <c r="D487" s="6" t="inlineStr">
        <is>
          <t>mean</t>
        </is>
      </c>
      <c r="E487" s="6" t="inlineStr">
        <is>
          <t>Overall</t>
        </is>
      </c>
      <c r="F487" s="6" t="inlineStr">
        <is>
          <t>Deciles</t>
        </is>
      </c>
      <c r="G487" s="6" t="inlineStr">
        <is>
          <t>hea</t>
        </is>
      </c>
      <c r="H487" s="6" t="inlineStr">
        <is>
          <t>%</t>
        </is>
      </c>
      <c r="Q487" s="12">
        <f>BSHARE("health_srv_share",DECILE_ARRAY,"Overall","mean")</f>
        <v/>
      </c>
    </row>
    <row r="488">
      <c r="D488" s="6" t="inlineStr">
        <is>
          <t>mean</t>
        </is>
      </c>
      <c r="E488" s="6" t="inlineStr">
        <is>
          <t>Urban</t>
        </is>
      </c>
      <c r="F488" s="6" t="inlineStr">
        <is>
          <t>Basket</t>
        </is>
      </c>
      <c r="G488" s="6" t="inlineStr">
        <is>
          <t>hea</t>
        </is>
      </c>
      <c r="H488" s="6" t="inlineStr">
        <is>
          <t>%</t>
        </is>
      </c>
      <c r="P488" s="12">
        <f>BSHARE("health_srv_share",0,"Urban","mean")</f>
        <v/>
      </c>
    </row>
    <row r="489">
      <c r="D489" s="6" t="inlineStr">
        <is>
          <t>mean</t>
        </is>
      </c>
      <c r="E489" s="6" t="inlineStr">
        <is>
          <t>Urban</t>
        </is>
      </c>
      <c r="F489" s="6" t="inlineStr">
        <is>
          <t>Deciles</t>
        </is>
      </c>
      <c r="G489" s="6" t="inlineStr">
        <is>
          <t>hea</t>
        </is>
      </c>
      <c r="H489" s="6" t="inlineStr">
        <is>
          <t>%</t>
        </is>
      </c>
      <c r="Q489" s="12">
        <f>BSHARE("health_srv_share",DECILE_ARRAY,"Urban","mean")</f>
        <v/>
      </c>
    </row>
    <row r="490">
      <c r="D490" s="6" t="inlineStr">
        <is>
          <t>mean</t>
        </is>
      </c>
      <c r="E490" s="6" t="inlineStr">
        <is>
          <t>Rural</t>
        </is>
      </c>
      <c r="F490" s="6" t="inlineStr">
        <is>
          <t>Basket</t>
        </is>
      </c>
      <c r="G490" s="6" t="inlineStr">
        <is>
          <t>hea</t>
        </is>
      </c>
      <c r="H490" s="6" t="inlineStr">
        <is>
          <t>%</t>
        </is>
      </c>
      <c r="P490" s="12">
        <f>BSHARE("health_srv_share",0,"Rural","mean")</f>
        <v/>
      </c>
    </row>
    <row r="491">
      <c r="D491" s="6" t="inlineStr">
        <is>
          <t>mean</t>
        </is>
      </c>
      <c r="E491" s="6" t="inlineStr">
        <is>
          <t>Rural</t>
        </is>
      </c>
      <c r="F491" s="6" t="inlineStr">
        <is>
          <t>Deciles</t>
        </is>
      </c>
      <c r="G491" s="6" t="inlineStr">
        <is>
          <t>hea</t>
        </is>
      </c>
      <c r="H491" s="6" t="inlineStr">
        <is>
          <t>%</t>
        </is>
      </c>
      <c r="Q491" s="12">
        <f>BSHARE("health_srv_share",DECILE_ARRAY,"Rural","mean")</f>
        <v/>
      </c>
    </row>
    <row r="492">
      <c r="D492" s="6" t="inlineStr">
        <is>
          <t>median</t>
        </is>
      </c>
      <c r="E492" s="6" t="inlineStr">
        <is>
          <t>Overall</t>
        </is>
      </c>
      <c r="F492" s="6" t="inlineStr">
        <is>
          <t>Basket</t>
        </is>
      </c>
      <c r="G492" s="6" t="inlineStr">
        <is>
          <t>hea</t>
        </is>
      </c>
      <c r="H492" s="6" t="inlineStr">
        <is>
          <t>%</t>
        </is>
      </c>
      <c r="P492" s="12">
        <f>BSHARE("health_srv_share",0,"Overall","median")</f>
        <v/>
      </c>
    </row>
    <row r="493">
      <c r="D493" s="6" t="inlineStr">
        <is>
          <t>median</t>
        </is>
      </c>
      <c r="E493" s="6" t="inlineStr">
        <is>
          <t>Overall</t>
        </is>
      </c>
      <c r="F493" s="6" t="inlineStr">
        <is>
          <t>Deciles</t>
        </is>
      </c>
      <c r="G493" s="6" t="inlineStr">
        <is>
          <t>hea</t>
        </is>
      </c>
      <c r="H493" s="6" t="inlineStr">
        <is>
          <t>%</t>
        </is>
      </c>
      <c r="Q493" s="12">
        <f>BSHARE("health_srv_share",DECILE_ARRAY,"Overall","median")</f>
        <v/>
      </c>
    </row>
    <row r="494">
      <c r="D494" s="6" t="inlineStr">
        <is>
          <t>median</t>
        </is>
      </c>
      <c r="E494" s="6" t="inlineStr">
        <is>
          <t>Urban</t>
        </is>
      </c>
      <c r="F494" s="6" t="inlineStr">
        <is>
          <t>Basket</t>
        </is>
      </c>
      <c r="G494" s="6" t="inlineStr">
        <is>
          <t>hea</t>
        </is>
      </c>
      <c r="H494" s="6" t="inlineStr">
        <is>
          <t>%</t>
        </is>
      </c>
      <c r="P494" s="12">
        <f>BSHARE("health_srv_share",0,"Urban","median")</f>
        <v/>
      </c>
    </row>
    <row r="495">
      <c r="D495" s="6" t="inlineStr">
        <is>
          <t>median</t>
        </is>
      </c>
      <c r="E495" s="6" t="inlineStr">
        <is>
          <t>Urban</t>
        </is>
      </c>
      <c r="F495" s="6" t="inlineStr">
        <is>
          <t>Deciles</t>
        </is>
      </c>
      <c r="G495" s="6" t="inlineStr">
        <is>
          <t>hea</t>
        </is>
      </c>
      <c r="H495" s="6" t="inlineStr">
        <is>
          <t>%</t>
        </is>
      </c>
      <c r="Q495" s="12">
        <f>BSHARE("health_srv_share",DECILE_ARRAY,"Urban","median")</f>
        <v/>
      </c>
    </row>
    <row r="496">
      <c r="D496" s="6" t="inlineStr">
        <is>
          <t>median</t>
        </is>
      </c>
      <c r="E496" s="6" t="inlineStr">
        <is>
          <t>Rural</t>
        </is>
      </c>
      <c r="F496" s="6" t="inlineStr">
        <is>
          <t>Basket</t>
        </is>
      </c>
      <c r="G496" s="6" t="inlineStr">
        <is>
          <t>hea</t>
        </is>
      </c>
      <c r="H496" s="6" t="inlineStr">
        <is>
          <t>%</t>
        </is>
      </c>
      <c r="P496" s="12">
        <f>BSHARE("health_srv_share",0,"Rural","median")</f>
        <v/>
      </c>
    </row>
    <row r="497">
      <c r="D497" s="6" t="inlineStr">
        <is>
          <t>median</t>
        </is>
      </c>
      <c r="E497" s="6" t="inlineStr">
        <is>
          <t>Rural</t>
        </is>
      </c>
      <c r="F497" s="6" t="inlineStr">
        <is>
          <t>Deciles</t>
        </is>
      </c>
      <c r="G497" s="6" t="inlineStr">
        <is>
          <t>hea</t>
        </is>
      </c>
      <c r="H497" s="6" t="inlineStr">
        <is>
          <t>%</t>
        </is>
      </c>
      <c r="Q497" s="12">
        <f>BSHARE("health_srv_share",DECILE_ARRAY,"Rural","median")</f>
        <v/>
      </c>
    </row>
    <row r="498">
      <c r="D498" s="6" t="inlineStr">
        <is>
          <t>p25</t>
        </is>
      </c>
      <c r="E498" s="6" t="inlineStr">
        <is>
          <t>Overall</t>
        </is>
      </c>
      <c r="F498" s="6" t="inlineStr">
        <is>
          <t>Basket</t>
        </is>
      </c>
      <c r="G498" s="6" t="inlineStr">
        <is>
          <t>hea</t>
        </is>
      </c>
      <c r="H498" s="6" t="inlineStr">
        <is>
          <t>%</t>
        </is>
      </c>
      <c r="P498" s="12">
        <f>BSHARE("health_srv_share",0,"Overall","p25")</f>
        <v/>
      </c>
    </row>
    <row r="499">
      <c r="D499" s="6" t="inlineStr">
        <is>
          <t>p25</t>
        </is>
      </c>
      <c r="E499" s="6" t="inlineStr">
        <is>
          <t>Overall</t>
        </is>
      </c>
      <c r="F499" s="6" t="inlineStr">
        <is>
          <t>Deciles</t>
        </is>
      </c>
      <c r="G499" s="6" t="inlineStr">
        <is>
          <t>hea</t>
        </is>
      </c>
      <c r="H499" s="6" t="inlineStr">
        <is>
          <t>%</t>
        </is>
      </c>
      <c r="Q499" s="12">
        <f>BSHARE("health_srv_share",DECILE_ARRAY,"Overall","p25")</f>
        <v/>
      </c>
    </row>
    <row r="500">
      <c r="D500" s="6" t="inlineStr">
        <is>
          <t>p25</t>
        </is>
      </c>
      <c r="E500" s="6" t="inlineStr">
        <is>
          <t>Urban</t>
        </is>
      </c>
      <c r="F500" s="6" t="inlineStr">
        <is>
          <t>Basket</t>
        </is>
      </c>
      <c r="G500" s="6" t="inlineStr">
        <is>
          <t>hea</t>
        </is>
      </c>
      <c r="H500" s="6" t="inlineStr">
        <is>
          <t>%</t>
        </is>
      </c>
      <c r="P500" s="12">
        <f>BSHARE("health_srv_share",0,"Urban","p25")</f>
        <v/>
      </c>
    </row>
    <row r="501">
      <c r="D501" s="6" t="inlineStr">
        <is>
          <t>p25</t>
        </is>
      </c>
      <c r="E501" s="6" t="inlineStr">
        <is>
          <t>Urban</t>
        </is>
      </c>
      <c r="F501" s="6" t="inlineStr">
        <is>
          <t>Deciles</t>
        </is>
      </c>
      <c r="G501" s="6" t="inlineStr">
        <is>
          <t>hea</t>
        </is>
      </c>
      <c r="H501" s="6" t="inlineStr">
        <is>
          <t>%</t>
        </is>
      </c>
      <c r="Q501" s="12">
        <f>BSHARE("health_srv_share",DECILE_ARRAY,"Urban","p25")</f>
        <v/>
      </c>
    </row>
    <row r="502">
      <c r="D502" s="6" t="inlineStr">
        <is>
          <t>p25</t>
        </is>
      </c>
      <c r="E502" s="6" t="inlineStr">
        <is>
          <t>Rural</t>
        </is>
      </c>
      <c r="F502" s="6" t="inlineStr">
        <is>
          <t>Basket</t>
        </is>
      </c>
      <c r="G502" s="6" t="inlineStr">
        <is>
          <t>hea</t>
        </is>
      </c>
      <c r="H502" s="6" t="inlineStr">
        <is>
          <t>%</t>
        </is>
      </c>
      <c r="P502" s="12">
        <f>BSHARE("health_srv_share",0,"Rural","p25")</f>
        <v/>
      </c>
    </row>
    <row r="503">
      <c r="D503" s="6" t="inlineStr">
        <is>
          <t>p25</t>
        </is>
      </c>
      <c r="E503" s="6" t="inlineStr">
        <is>
          <t>Rural</t>
        </is>
      </c>
      <c r="F503" s="6" t="inlineStr">
        <is>
          <t>Deciles</t>
        </is>
      </c>
      <c r="G503" s="6" t="inlineStr">
        <is>
          <t>hea</t>
        </is>
      </c>
      <c r="H503" s="6" t="inlineStr">
        <is>
          <t>%</t>
        </is>
      </c>
      <c r="Q503" s="12">
        <f>BSHARE("health_srv_share",DECILE_ARRAY,"Rural","p25")</f>
        <v/>
      </c>
    </row>
    <row r="504">
      <c r="D504" s="6" t="inlineStr">
        <is>
          <t>p75</t>
        </is>
      </c>
      <c r="E504" s="6" t="inlineStr">
        <is>
          <t>Overall</t>
        </is>
      </c>
      <c r="F504" s="6" t="inlineStr">
        <is>
          <t>Basket</t>
        </is>
      </c>
      <c r="G504" s="6" t="inlineStr">
        <is>
          <t>hea</t>
        </is>
      </c>
      <c r="H504" s="6" t="inlineStr">
        <is>
          <t>%</t>
        </is>
      </c>
      <c r="P504" s="12">
        <f>BSHARE("health_srv_share",0,"Overall","p75")</f>
        <v/>
      </c>
    </row>
    <row r="505">
      <c r="D505" s="6" t="inlineStr">
        <is>
          <t>p75</t>
        </is>
      </c>
      <c r="E505" s="6" t="inlineStr">
        <is>
          <t>Overall</t>
        </is>
      </c>
      <c r="F505" s="6" t="inlineStr">
        <is>
          <t>Deciles</t>
        </is>
      </c>
      <c r="G505" s="6" t="inlineStr">
        <is>
          <t>hea</t>
        </is>
      </c>
      <c r="H505" s="6" t="inlineStr">
        <is>
          <t>%</t>
        </is>
      </c>
      <c r="Q505" s="12">
        <f>BSHARE("health_srv_share",DECILE_ARRAY,"Overall","p75")</f>
        <v/>
      </c>
    </row>
    <row r="506">
      <c r="D506" s="6" t="inlineStr">
        <is>
          <t>p75</t>
        </is>
      </c>
      <c r="E506" s="6" t="inlineStr">
        <is>
          <t>Urban</t>
        </is>
      </c>
      <c r="F506" s="6" t="inlineStr">
        <is>
          <t>Basket</t>
        </is>
      </c>
      <c r="G506" s="6" t="inlineStr">
        <is>
          <t>hea</t>
        </is>
      </c>
      <c r="H506" s="6" t="inlineStr">
        <is>
          <t>%</t>
        </is>
      </c>
      <c r="P506" s="12">
        <f>BSHARE("health_srv_share",0,"Urban","p75")</f>
        <v/>
      </c>
    </row>
    <row r="507">
      <c r="D507" s="6" t="inlineStr">
        <is>
          <t>p75</t>
        </is>
      </c>
      <c r="E507" s="6" t="inlineStr">
        <is>
          <t>Urban</t>
        </is>
      </c>
      <c r="F507" s="6" t="inlineStr">
        <is>
          <t>Deciles</t>
        </is>
      </c>
      <c r="G507" s="6" t="inlineStr">
        <is>
          <t>hea</t>
        </is>
      </c>
      <c r="H507" s="6" t="inlineStr">
        <is>
          <t>%</t>
        </is>
      </c>
      <c r="Q507" s="12">
        <f>BSHARE("health_srv_share",DECILE_ARRAY,"Urban","p75")</f>
        <v/>
      </c>
    </row>
    <row r="508">
      <c r="D508" s="6" t="inlineStr">
        <is>
          <t>p75</t>
        </is>
      </c>
      <c r="E508" s="6" t="inlineStr">
        <is>
          <t>Rural</t>
        </is>
      </c>
      <c r="F508" s="6" t="inlineStr">
        <is>
          <t>Basket</t>
        </is>
      </c>
      <c r="G508" s="6" t="inlineStr">
        <is>
          <t>hea</t>
        </is>
      </c>
      <c r="H508" s="6" t="inlineStr">
        <is>
          <t>%</t>
        </is>
      </c>
      <c r="P508" s="12">
        <f>BSHARE("health_srv_share",0,"Rural","p75")</f>
        <v/>
      </c>
    </row>
    <row r="509">
      <c r="D509" s="6" t="inlineStr">
        <is>
          <t>p75</t>
        </is>
      </c>
      <c r="E509" s="6" t="inlineStr">
        <is>
          <t>Rural</t>
        </is>
      </c>
      <c r="F509" s="6" t="inlineStr">
        <is>
          <t>Deciles</t>
        </is>
      </c>
      <c r="G509" s="6" t="inlineStr">
        <is>
          <t>hea</t>
        </is>
      </c>
      <c r="H509" s="6" t="inlineStr">
        <is>
          <t>%</t>
        </is>
      </c>
      <c r="Q509" s="12">
        <f>BSHARE("health_srv_share",DECILE_ARRAY,"Rural","p75")</f>
        <v/>
      </c>
    </row>
    <row r="511">
      <c r="C511" s="7" t="inlineStr">
        <is>
          <t>Housing Budget Share (% Total Consumption)</t>
        </is>
      </c>
      <c r="G511" s="6" t="inlineStr">
        <is>
          <t>hou</t>
        </is>
      </c>
      <c r="O511" s="8" t="inlineStr">
        <is>
          <t>Decile --&gt;</t>
        </is>
      </c>
      <c r="Q511" s="8" t="n">
        <v>1</v>
      </c>
      <c r="R511" s="8" t="n">
        <v>2</v>
      </c>
      <c r="S511" s="8" t="n">
        <v>3</v>
      </c>
      <c r="T511" s="8" t="n">
        <v>4</v>
      </c>
      <c r="U511" s="8" t="n">
        <v>5</v>
      </c>
      <c r="V511" s="8" t="n">
        <v>6</v>
      </c>
      <c r="W511" s="8" t="n">
        <v>7</v>
      </c>
      <c r="X511" s="8" t="n">
        <v>8</v>
      </c>
      <c r="Y511" s="8" t="n">
        <v>9</v>
      </c>
      <c r="Z511" s="8" t="n">
        <v>10</v>
      </c>
    </row>
    <row r="512">
      <c r="D512" s="6" t="inlineStr">
        <is>
          <t>mean</t>
        </is>
      </c>
      <c r="E512" s="6" t="inlineStr">
        <is>
          <t>Overall</t>
        </is>
      </c>
      <c r="F512" s="6" t="inlineStr">
        <is>
          <t>Basket</t>
        </is>
      </c>
      <c r="G512" s="6" t="inlineStr">
        <is>
          <t>hou</t>
        </is>
      </c>
      <c r="H512" s="6" t="inlineStr">
        <is>
          <t>%</t>
        </is>
      </c>
      <c r="P512" s="12">
        <f>BSHARE("housing_share",0,"Overall","mean")</f>
        <v/>
      </c>
    </row>
    <row r="513">
      <c r="D513" s="6" t="inlineStr">
        <is>
          <t>mean</t>
        </is>
      </c>
      <c r="E513" s="6" t="inlineStr">
        <is>
          <t>Overall</t>
        </is>
      </c>
      <c r="F513" s="6" t="inlineStr">
        <is>
          <t>Deciles</t>
        </is>
      </c>
      <c r="G513" s="6" t="inlineStr">
        <is>
          <t>hou</t>
        </is>
      </c>
      <c r="H513" s="6" t="inlineStr">
        <is>
          <t>%</t>
        </is>
      </c>
      <c r="Q513" s="12">
        <f>BSHARE("housing_share",DECILE_ARRAY,"Overall","mean")</f>
        <v/>
      </c>
    </row>
    <row r="514">
      <c r="D514" s="6" t="inlineStr">
        <is>
          <t>mean</t>
        </is>
      </c>
      <c r="E514" s="6" t="inlineStr">
        <is>
          <t>Urban</t>
        </is>
      </c>
      <c r="F514" s="6" t="inlineStr">
        <is>
          <t>Basket</t>
        </is>
      </c>
      <c r="G514" s="6" t="inlineStr">
        <is>
          <t>hou</t>
        </is>
      </c>
      <c r="H514" s="6" t="inlineStr">
        <is>
          <t>%</t>
        </is>
      </c>
      <c r="P514" s="12">
        <f>BSHARE("housing_share",0,"Urban","mean")</f>
        <v/>
      </c>
    </row>
    <row r="515">
      <c r="D515" s="6" t="inlineStr">
        <is>
          <t>mean</t>
        </is>
      </c>
      <c r="E515" s="6" t="inlineStr">
        <is>
          <t>Urban</t>
        </is>
      </c>
      <c r="F515" s="6" t="inlineStr">
        <is>
          <t>Deciles</t>
        </is>
      </c>
      <c r="G515" s="6" t="inlineStr">
        <is>
          <t>hou</t>
        </is>
      </c>
      <c r="H515" s="6" t="inlineStr">
        <is>
          <t>%</t>
        </is>
      </c>
      <c r="Q515" s="12">
        <f>BSHARE("housing_share",DECILE_ARRAY,"Urban","mean")</f>
        <v/>
      </c>
    </row>
    <row r="516">
      <c r="D516" s="6" t="inlineStr">
        <is>
          <t>mean</t>
        </is>
      </c>
      <c r="E516" s="6" t="inlineStr">
        <is>
          <t>Rural</t>
        </is>
      </c>
      <c r="F516" s="6" t="inlineStr">
        <is>
          <t>Basket</t>
        </is>
      </c>
      <c r="G516" s="6" t="inlineStr">
        <is>
          <t>hou</t>
        </is>
      </c>
      <c r="H516" s="6" t="inlineStr">
        <is>
          <t>%</t>
        </is>
      </c>
      <c r="P516" s="12">
        <f>BSHARE("housing_share",0,"Rural","mean")</f>
        <v/>
      </c>
    </row>
    <row r="517">
      <c r="D517" s="6" t="inlineStr">
        <is>
          <t>mean</t>
        </is>
      </c>
      <c r="E517" s="6" t="inlineStr">
        <is>
          <t>Rural</t>
        </is>
      </c>
      <c r="F517" s="6" t="inlineStr">
        <is>
          <t>Deciles</t>
        </is>
      </c>
      <c r="G517" s="6" t="inlineStr">
        <is>
          <t>hou</t>
        </is>
      </c>
      <c r="H517" s="6" t="inlineStr">
        <is>
          <t>%</t>
        </is>
      </c>
      <c r="Q517" s="12">
        <f>BSHARE("housing_share",DECILE_ARRAY,"Rural","mean")</f>
        <v/>
      </c>
    </row>
    <row r="518">
      <c r="D518" s="6" t="inlineStr">
        <is>
          <t>median</t>
        </is>
      </c>
      <c r="E518" s="6" t="inlineStr">
        <is>
          <t>Overall</t>
        </is>
      </c>
      <c r="F518" s="6" t="inlineStr">
        <is>
          <t>Basket</t>
        </is>
      </c>
      <c r="G518" s="6" t="inlineStr">
        <is>
          <t>hou</t>
        </is>
      </c>
      <c r="H518" s="6" t="inlineStr">
        <is>
          <t>%</t>
        </is>
      </c>
      <c r="P518" s="12">
        <f>BSHARE("housing_share",0,"Overall","median")</f>
        <v/>
      </c>
    </row>
    <row r="519">
      <c r="D519" s="6" t="inlineStr">
        <is>
          <t>median</t>
        </is>
      </c>
      <c r="E519" s="6" t="inlineStr">
        <is>
          <t>Overall</t>
        </is>
      </c>
      <c r="F519" s="6" t="inlineStr">
        <is>
          <t>Deciles</t>
        </is>
      </c>
      <c r="G519" s="6" t="inlineStr">
        <is>
          <t>hou</t>
        </is>
      </c>
      <c r="H519" s="6" t="inlineStr">
        <is>
          <t>%</t>
        </is>
      </c>
      <c r="Q519" s="12">
        <f>BSHARE("housing_share",DECILE_ARRAY,"Overall","median")</f>
        <v/>
      </c>
    </row>
    <row r="520">
      <c r="D520" s="6" t="inlineStr">
        <is>
          <t>median</t>
        </is>
      </c>
      <c r="E520" s="6" t="inlineStr">
        <is>
          <t>Urban</t>
        </is>
      </c>
      <c r="F520" s="6" t="inlineStr">
        <is>
          <t>Basket</t>
        </is>
      </c>
      <c r="G520" s="6" t="inlineStr">
        <is>
          <t>hou</t>
        </is>
      </c>
      <c r="H520" s="6" t="inlineStr">
        <is>
          <t>%</t>
        </is>
      </c>
      <c r="P520" s="12">
        <f>BSHARE("housing_share",0,"Urban","median")</f>
        <v/>
      </c>
    </row>
    <row r="521">
      <c r="D521" s="6" t="inlineStr">
        <is>
          <t>median</t>
        </is>
      </c>
      <c r="E521" s="6" t="inlineStr">
        <is>
          <t>Urban</t>
        </is>
      </c>
      <c r="F521" s="6" t="inlineStr">
        <is>
          <t>Deciles</t>
        </is>
      </c>
      <c r="G521" s="6" t="inlineStr">
        <is>
          <t>hou</t>
        </is>
      </c>
      <c r="H521" s="6" t="inlineStr">
        <is>
          <t>%</t>
        </is>
      </c>
      <c r="Q521" s="12">
        <f>BSHARE("housing_share",DECILE_ARRAY,"Urban","median")</f>
        <v/>
      </c>
    </row>
    <row r="522">
      <c r="D522" s="6" t="inlineStr">
        <is>
          <t>median</t>
        </is>
      </c>
      <c r="E522" s="6" t="inlineStr">
        <is>
          <t>Rural</t>
        </is>
      </c>
      <c r="F522" s="6" t="inlineStr">
        <is>
          <t>Basket</t>
        </is>
      </c>
      <c r="G522" s="6" t="inlineStr">
        <is>
          <t>hou</t>
        </is>
      </c>
      <c r="H522" s="6" t="inlineStr">
        <is>
          <t>%</t>
        </is>
      </c>
      <c r="P522" s="12">
        <f>BSHARE("housing_share",0,"Rural","median")</f>
        <v/>
      </c>
    </row>
    <row r="523">
      <c r="D523" s="6" t="inlineStr">
        <is>
          <t>median</t>
        </is>
      </c>
      <c r="E523" s="6" t="inlineStr">
        <is>
          <t>Rural</t>
        </is>
      </c>
      <c r="F523" s="6" t="inlineStr">
        <is>
          <t>Deciles</t>
        </is>
      </c>
      <c r="G523" s="6" t="inlineStr">
        <is>
          <t>hou</t>
        </is>
      </c>
      <c r="H523" s="6" t="inlineStr">
        <is>
          <t>%</t>
        </is>
      </c>
      <c r="Q523" s="12">
        <f>BSHARE("housing_share",DECILE_ARRAY,"Rural","median")</f>
        <v/>
      </c>
    </row>
    <row r="524">
      <c r="D524" s="6" t="inlineStr">
        <is>
          <t>p25</t>
        </is>
      </c>
      <c r="E524" s="6" t="inlineStr">
        <is>
          <t>Overall</t>
        </is>
      </c>
      <c r="F524" s="6" t="inlineStr">
        <is>
          <t>Basket</t>
        </is>
      </c>
      <c r="G524" s="6" t="inlineStr">
        <is>
          <t>hou</t>
        </is>
      </c>
      <c r="H524" s="6" t="inlineStr">
        <is>
          <t>%</t>
        </is>
      </c>
      <c r="P524" s="12">
        <f>BSHARE("housing_share",0,"Overall","p25")</f>
        <v/>
      </c>
    </row>
    <row r="525">
      <c r="D525" s="6" t="inlineStr">
        <is>
          <t>p25</t>
        </is>
      </c>
      <c r="E525" s="6" t="inlineStr">
        <is>
          <t>Overall</t>
        </is>
      </c>
      <c r="F525" s="6" t="inlineStr">
        <is>
          <t>Deciles</t>
        </is>
      </c>
      <c r="G525" s="6" t="inlineStr">
        <is>
          <t>hou</t>
        </is>
      </c>
      <c r="H525" s="6" t="inlineStr">
        <is>
          <t>%</t>
        </is>
      </c>
      <c r="Q525" s="12">
        <f>BSHARE("housing_share",DECILE_ARRAY,"Overall","p25")</f>
        <v/>
      </c>
    </row>
    <row r="526">
      <c r="D526" s="6" t="inlineStr">
        <is>
          <t>p25</t>
        </is>
      </c>
      <c r="E526" s="6" t="inlineStr">
        <is>
          <t>Urban</t>
        </is>
      </c>
      <c r="F526" s="6" t="inlineStr">
        <is>
          <t>Basket</t>
        </is>
      </c>
      <c r="G526" s="6" t="inlineStr">
        <is>
          <t>hou</t>
        </is>
      </c>
      <c r="H526" s="6" t="inlineStr">
        <is>
          <t>%</t>
        </is>
      </c>
      <c r="P526" s="12">
        <f>BSHARE("housing_share",0,"Urban","p25")</f>
        <v/>
      </c>
    </row>
    <row r="527">
      <c r="D527" s="6" t="inlineStr">
        <is>
          <t>p25</t>
        </is>
      </c>
      <c r="E527" s="6" t="inlineStr">
        <is>
          <t>Urban</t>
        </is>
      </c>
      <c r="F527" s="6" t="inlineStr">
        <is>
          <t>Deciles</t>
        </is>
      </c>
      <c r="G527" s="6" t="inlineStr">
        <is>
          <t>hou</t>
        </is>
      </c>
      <c r="H527" s="6" t="inlineStr">
        <is>
          <t>%</t>
        </is>
      </c>
      <c r="Q527" s="12">
        <f>BSHARE("housing_share",DECILE_ARRAY,"Urban","p25")</f>
        <v/>
      </c>
    </row>
    <row r="528">
      <c r="D528" s="6" t="inlineStr">
        <is>
          <t>p25</t>
        </is>
      </c>
      <c r="E528" s="6" t="inlineStr">
        <is>
          <t>Rural</t>
        </is>
      </c>
      <c r="F528" s="6" t="inlineStr">
        <is>
          <t>Basket</t>
        </is>
      </c>
      <c r="G528" s="6" t="inlineStr">
        <is>
          <t>hou</t>
        </is>
      </c>
      <c r="H528" s="6" t="inlineStr">
        <is>
          <t>%</t>
        </is>
      </c>
      <c r="P528" s="12">
        <f>BSHARE("housing_share",0,"Rural","p25")</f>
        <v/>
      </c>
    </row>
    <row r="529">
      <c r="D529" s="6" t="inlineStr">
        <is>
          <t>p25</t>
        </is>
      </c>
      <c r="E529" s="6" t="inlineStr">
        <is>
          <t>Rural</t>
        </is>
      </c>
      <c r="F529" s="6" t="inlineStr">
        <is>
          <t>Deciles</t>
        </is>
      </c>
      <c r="G529" s="6" t="inlineStr">
        <is>
          <t>hou</t>
        </is>
      </c>
      <c r="H529" s="6" t="inlineStr">
        <is>
          <t>%</t>
        </is>
      </c>
      <c r="Q529" s="12">
        <f>BSHARE("housing_share",DECILE_ARRAY,"Rural","p25")</f>
        <v/>
      </c>
    </row>
    <row r="530">
      <c r="D530" s="6" t="inlineStr">
        <is>
          <t>p75</t>
        </is>
      </c>
      <c r="E530" s="6" t="inlineStr">
        <is>
          <t>Overall</t>
        </is>
      </c>
      <c r="F530" s="6" t="inlineStr">
        <is>
          <t>Basket</t>
        </is>
      </c>
      <c r="G530" s="6" t="inlineStr">
        <is>
          <t>hou</t>
        </is>
      </c>
      <c r="H530" s="6" t="inlineStr">
        <is>
          <t>%</t>
        </is>
      </c>
      <c r="P530" s="12">
        <f>BSHARE("housing_share",0,"Overall","p75")</f>
        <v/>
      </c>
    </row>
    <row r="531">
      <c r="D531" s="6" t="inlineStr">
        <is>
          <t>p75</t>
        </is>
      </c>
      <c r="E531" s="6" t="inlineStr">
        <is>
          <t>Overall</t>
        </is>
      </c>
      <c r="F531" s="6" t="inlineStr">
        <is>
          <t>Deciles</t>
        </is>
      </c>
      <c r="G531" s="6" t="inlineStr">
        <is>
          <t>hou</t>
        </is>
      </c>
      <c r="H531" s="6" t="inlineStr">
        <is>
          <t>%</t>
        </is>
      </c>
      <c r="Q531" s="12">
        <f>BSHARE("housing_share",DECILE_ARRAY,"Overall","p75")</f>
        <v/>
      </c>
    </row>
    <row r="532">
      <c r="D532" s="6" t="inlineStr">
        <is>
          <t>p75</t>
        </is>
      </c>
      <c r="E532" s="6" t="inlineStr">
        <is>
          <t>Urban</t>
        </is>
      </c>
      <c r="F532" s="6" t="inlineStr">
        <is>
          <t>Basket</t>
        </is>
      </c>
      <c r="G532" s="6" t="inlineStr">
        <is>
          <t>hou</t>
        </is>
      </c>
      <c r="H532" s="6" t="inlineStr">
        <is>
          <t>%</t>
        </is>
      </c>
      <c r="P532" s="12">
        <f>BSHARE("housing_share",0,"Urban","p75")</f>
        <v/>
      </c>
    </row>
    <row r="533">
      <c r="D533" s="6" t="inlineStr">
        <is>
          <t>p75</t>
        </is>
      </c>
      <c r="E533" s="6" t="inlineStr">
        <is>
          <t>Urban</t>
        </is>
      </c>
      <c r="F533" s="6" t="inlineStr">
        <is>
          <t>Deciles</t>
        </is>
      </c>
      <c r="G533" s="6" t="inlineStr">
        <is>
          <t>hou</t>
        </is>
      </c>
      <c r="H533" s="6" t="inlineStr">
        <is>
          <t>%</t>
        </is>
      </c>
      <c r="Q533" s="12">
        <f>BSHARE("housing_share",DECILE_ARRAY,"Urban","p75")</f>
        <v/>
      </c>
    </row>
    <row r="534">
      <c r="D534" s="6" t="inlineStr">
        <is>
          <t>p75</t>
        </is>
      </c>
      <c r="E534" s="6" t="inlineStr">
        <is>
          <t>Rural</t>
        </is>
      </c>
      <c r="F534" s="6" t="inlineStr">
        <is>
          <t>Basket</t>
        </is>
      </c>
      <c r="G534" s="6" t="inlineStr">
        <is>
          <t>hou</t>
        </is>
      </c>
      <c r="H534" s="6" t="inlineStr">
        <is>
          <t>%</t>
        </is>
      </c>
      <c r="P534" s="12">
        <f>BSHARE("housing_share",0,"Rural","p75")</f>
        <v/>
      </c>
    </row>
    <row r="535">
      <c r="D535" s="6" t="inlineStr">
        <is>
          <t>p75</t>
        </is>
      </c>
      <c r="E535" s="6" t="inlineStr">
        <is>
          <t>Rural</t>
        </is>
      </c>
      <c r="F535" s="6" t="inlineStr">
        <is>
          <t>Deciles</t>
        </is>
      </c>
      <c r="G535" s="6" t="inlineStr">
        <is>
          <t>hou</t>
        </is>
      </c>
      <c r="H535" s="6" t="inlineStr">
        <is>
          <t>%</t>
        </is>
      </c>
      <c r="Q535" s="12">
        <f>BSHARE("housing_share",DECILE_ARRAY,"Rural","p75")</f>
        <v/>
      </c>
    </row>
    <row r="537">
      <c r="C537" s="7" t="inlineStr">
        <is>
          <t>Other Budget Share (% Total Consumption)</t>
        </is>
      </c>
      <c r="G537" s="6" t="inlineStr">
        <is>
          <t>oth</t>
        </is>
      </c>
      <c r="O537" s="8" t="inlineStr">
        <is>
          <t>Decile --&gt;</t>
        </is>
      </c>
      <c r="Q537" s="8" t="n">
        <v>1</v>
      </c>
      <c r="R537" s="8" t="n">
        <v>2</v>
      </c>
      <c r="S537" s="8" t="n">
        <v>3</v>
      </c>
      <c r="T537" s="8" t="n">
        <v>4</v>
      </c>
      <c r="U537" s="8" t="n">
        <v>5</v>
      </c>
      <c r="V537" s="8" t="n">
        <v>6</v>
      </c>
      <c r="W537" s="8" t="n">
        <v>7</v>
      </c>
      <c r="X537" s="8" t="n">
        <v>8</v>
      </c>
      <c r="Y537" s="8" t="n">
        <v>9</v>
      </c>
      <c r="Z537" s="8" t="n">
        <v>10</v>
      </c>
    </row>
    <row r="538">
      <c r="D538" s="6" t="inlineStr">
        <is>
          <t>mean</t>
        </is>
      </c>
      <c r="E538" s="6" t="inlineStr">
        <is>
          <t>Overall</t>
        </is>
      </c>
      <c r="F538" s="6" t="inlineStr">
        <is>
          <t>Basket</t>
        </is>
      </c>
      <c r="G538" s="6" t="inlineStr">
        <is>
          <t>oth</t>
        </is>
      </c>
      <c r="H538" s="6" t="inlineStr">
        <is>
          <t>%</t>
        </is>
      </c>
      <c r="P538" s="12">
        <f>BSHARE("other_share",0,"Overall","mean")</f>
        <v/>
      </c>
    </row>
    <row r="539">
      <c r="D539" s="6" t="inlineStr">
        <is>
          <t>mean</t>
        </is>
      </c>
      <c r="E539" s="6" t="inlineStr">
        <is>
          <t>Overall</t>
        </is>
      </c>
      <c r="F539" s="6" t="inlineStr">
        <is>
          <t>Deciles</t>
        </is>
      </c>
      <c r="G539" s="6" t="inlineStr">
        <is>
          <t>oth</t>
        </is>
      </c>
      <c r="H539" s="6" t="inlineStr">
        <is>
          <t>%</t>
        </is>
      </c>
      <c r="Q539" s="12">
        <f>BSHARE("other_share",DECILE_ARRAY,"Overall","mean")</f>
        <v/>
      </c>
    </row>
    <row r="540">
      <c r="D540" s="6" t="inlineStr">
        <is>
          <t>mean</t>
        </is>
      </c>
      <c r="E540" s="6" t="inlineStr">
        <is>
          <t>Urban</t>
        </is>
      </c>
      <c r="F540" s="6" t="inlineStr">
        <is>
          <t>Basket</t>
        </is>
      </c>
      <c r="G540" s="6" t="inlineStr">
        <is>
          <t>oth</t>
        </is>
      </c>
      <c r="H540" s="6" t="inlineStr">
        <is>
          <t>%</t>
        </is>
      </c>
      <c r="P540" s="12">
        <f>BSHARE("other_share",0,"Urban","mean")</f>
        <v/>
      </c>
    </row>
    <row r="541">
      <c r="D541" s="6" t="inlineStr">
        <is>
          <t>mean</t>
        </is>
      </c>
      <c r="E541" s="6" t="inlineStr">
        <is>
          <t>Urban</t>
        </is>
      </c>
      <c r="F541" s="6" t="inlineStr">
        <is>
          <t>Deciles</t>
        </is>
      </c>
      <c r="G541" s="6" t="inlineStr">
        <is>
          <t>oth</t>
        </is>
      </c>
      <c r="H541" s="6" t="inlineStr">
        <is>
          <t>%</t>
        </is>
      </c>
      <c r="Q541" s="12">
        <f>BSHARE("other_share",DECILE_ARRAY,"Urban","mean")</f>
        <v/>
      </c>
    </row>
    <row r="542">
      <c r="D542" s="6" t="inlineStr">
        <is>
          <t>mean</t>
        </is>
      </c>
      <c r="E542" s="6" t="inlineStr">
        <is>
          <t>Rural</t>
        </is>
      </c>
      <c r="F542" s="6" t="inlineStr">
        <is>
          <t>Basket</t>
        </is>
      </c>
      <c r="G542" s="6" t="inlineStr">
        <is>
          <t>oth</t>
        </is>
      </c>
      <c r="H542" s="6" t="inlineStr">
        <is>
          <t>%</t>
        </is>
      </c>
      <c r="P542" s="12">
        <f>BSHARE("other_share",0,"Rural","mean")</f>
        <v/>
      </c>
    </row>
    <row r="543">
      <c r="D543" s="6" t="inlineStr">
        <is>
          <t>mean</t>
        </is>
      </c>
      <c r="E543" s="6" t="inlineStr">
        <is>
          <t>Rural</t>
        </is>
      </c>
      <c r="F543" s="6" t="inlineStr">
        <is>
          <t>Deciles</t>
        </is>
      </c>
      <c r="G543" s="6" t="inlineStr">
        <is>
          <t>oth</t>
        </is>
      </c>
      <c r="H543" s="6" t="inlineStr">
        <is>
          <t>%</t>
        </is>
      </c>
      <c r="Q543" s="12">
        <f>BSHARE("other_share",DECILE_ARRAY,"Rural","mean")</f>
        <v/>
      </c>
    </row>
    <row r="544">
      <c r="D544" s="6" t="inlineStr">
        <is>
          <t>median</t>
        </is>
      </c>
      <c r="E544" s="6" t="inlineStr">
        <is>
          <t>Overall</t>
        </is>
      </c>
      <c r="F544" s="6" t="inlineStr">
        <is>
          <t>Basket</t>
        </is>
      </c>
      <c r="G544" s="6" t="inlineStr">
        <is>
          <t>oth</t>
        </is>
      </c>
      <c r="H544" s="6" t="inlineStr">
        <is>
          <t>%</t>
        </is>
      </c>
      <c r="P544" s="12">
        <f>BSHARE("other_share",0,"Overall","median")</f>
        <v/>
      </c>
    </row>
    <row r="545">
      <c r="D545" s="6" t="inlineStr">
        <is>
          <t>median</t>
        </is>
      </c>
      <c r="E545" s="6" t="inlineStr">
        <is>
          <t>Overall</t>
        </is>
      </c>
      <c r="F545" s="6" t="inlineStr">
        <is>
          <t>Deciles</t>
        </is>
      </c>
      <c r="G545" s="6" t="inlineStr">
        <is>
          <t>oth</t>
        </is>
      </c>
      <c r="H545" s="6" t="inlineStr">
        <is>
          <t>%</t>
        </is>
      </c>
      <c r="Q545" s="12">
        <f>BSHARE("other_share",DECILE_ARRAY,"Overall","median")</f>
        <v/>
      </c>
    </row>
    <row r="546">
      <c r="D546" s="6" t="inlineStr">
        <is>
          <t>median</t>
        </is>
      </c>
      <c r="E546" s="6" t="inlineStr">
        <is>
          <t>Urban</t>
        </is>
      </c>
      <c r="F546" s="6" t="inlineStr">
        <is>
          <t>Basket</t>
        </is>
      </c>
      <c r="G546" s="6" t="inlineStr">
        <is>
          <t>oth</t>
        </is>
      </c>
      <c r="H546" s="6" t="inlineStr">
        <is>
          <t>%</t>
        </is>
      </c>
      <c r="P546" s="12">
        <f>BSHARE("other_share",0,"Urban","median")</f>
        <v/>
      </c>
    </row>
    <row r="547">
      <c r="D547" s="6" t="inlineStr">
        <is>
          <t>median</t>
        </is>
      </c>
      <c r="E547" s="6" t="inlineStr">
        <is>
          <t>Urban</t>
        </is>
      </c>
      <c r="F547" s="6" t="inlineStr">
        <is>
          <t>Deciles</t>
        </is>
      </c>
      <c r="G547" s="6" t="inlineStr">
        <is>
          <t>oth</t>
        </is>
      </c>
      <c r="H547" s="6" t="inlineStr">
        <is>
          <t>%</t>
        </is>
      </c>
      <c r="Q547" s="12">
        <f>BSHARE("other_share",DECILE_ARRAY,"Urban","median")</f>
        <v/>
      </c>
    </row>
    <row r="548">
      <c r="D548" s="6" t="inlineStr">
        <is>
          <t>median</t>
        </is>
      </c>
      <c r="E548" s="6" t="inlineStr">
        <is>
          <t>Rural</t>
        </is>
      </c>
      <c r="F548" s="6" t="inlineStr">
        <is>
          <t>Basket</t>
        </is>
      </c>
      <c r="G548" s="6" t="inlineStr">
        <is>
          <t>oth</t>
        </is>
      </c>
      <c r="H548" s="6" t="inlineStr">
        <is>
          <t>%</t>
        </is>
      </c>
      <c r="P548" s="12">
        <f>BSHARE("other_share",0,"Rural","median")</f>
        <v/>
      </c>
    </row>
    <row r="549">
      <c r="D549" s="6" t="inlineStr">
        <is>
          <t>median</t>
        </is>
      </c>
      <c r="E549" s="6" t="inlineStr">
        <is>
          <t>Rural</t>
        </is>
      </c>
      <c r="F549" s="6" t="inlineStr">
        <is>
          <t>Deciles</t>
        </is>
      </c>
      <c r="G549" s="6" t="inlineStr">
        <is>
          <t>oth</t>
        </is>
      </c>
      <c r="H549" s="6" t="inlineStr">
        <is>
          <t>%</t>
        </is>
      </c>
      <c r="Q549" s="12">
        <f>BSHARE("other_share",DECILE_ARRAY,"Rural","median")</f>
        <v/>
      </c>
    </row>
    <row r="550">
      <c r="D550" s="6" t="inlineStr">
        <is>
          <t>p25</t>
        </is>
      </c>
      <c r="E550" s="6" t="inlineStr">
        <is>
          <t>Overall</t>
        </is>
      </c>
      <c r="F550" s="6" t="inlineStr">
        <is>
          <t>Basket</t>
        </is>
      </c>
      <c r="G550" s="6" t="inlineStr">
        <is>
          <t>oth</t>
        </is>
      </c>
      <c r="H550" s="6" t="inlineStr">
        <is>
          <t>%</t>
        </is>
      </c>
      <c r="P550" s="12">
        <f>BSHARE("other_share",0,"Overall","p25")</f>
        <v/>
      </c>
    </row>
    <row r="551">
      <c r="D551" s="6" t="inlineStr">
        <is>
          <t>p25</t>
        </is>
      </c>
      <c r="E551" s="6" t="inlineStr">
        <is>
          <t>Overall</t>
        </is>
      </c>
      <c r="F551" s="6" t="inlineStr">
        <is>
          <t>Deciles</t>
        </is>
      </c>
      <c r="G551" s="6" t="inlineStr">
        <is>
          <t>oth</t>
        </is>
      </c>
      <c r="H551" s="6" t="inlineStr">
        <is>
          <t>%</t>
        </is>
      </c>
      <c r="Q551" s="12">
        <f>BSHARE("other_share",DECILE_ARRAY,"Overall","p25")</f>
        <v/>
      </c>
    </row>
    <row r="552">
      <c r="D552" s="6" t="inlineStr">
        <is>
          <t>p25</t>
        </is>
      </c>
      <c r="E552" s="6" t="inlineStr">
        <is>
          <t>Urban</t>
        </is>
      </c>
      <c r="F552" s="6" t="inlineStr">
        <is>
          <t>Basket</t>
        </is>
      </c>
      <c r="G552" s="6" t="inlineStr">
        <is>
          <t>oth</t>
        </is>
      </c>
      <c r="H552" s="6" t="inlineStr">
        <is>
          <t>%</t>
        </is>
      </c>
      <c r="P552" s="12">
        <f>BSHARE("other_share",0,"Urban","p25")</f>
        <v/>
      </c>
    </row>
    <row r="553">
      <c r="D553" s="6" t="inlineStr">
        <is>
          <t>p25</t>
        </is>
      </c>
      <c r="E553" s="6" t="inlineStr">
        <is>
          <t>Urban</t>
        </is>
      </c>
      <c r="F553" s="6" t="inlineStr">
        <is>
          <t>Deciles</t>
        </is>
      </c>
      <c r="G553" s="6" t="inlineStr">
        <is>
          <t>oth</t>
        </is>
      </c>
      <c r="H553" s="6" t="inlineStr">
        <is>
          <t>%</t>
        </is>
      </c>
      <c r="Q553" s="12">
        <f>BSHARE("other_share",DECILE_ARRAY,"Urban","p25")</f>
        <v/>
      </c>
    </row>
    <row r="554">
      <c r="D554" s="6" t="inlineStr">
        <is>
          <t>p25</t>
        </is>
      </c>
      <c r="E554" s="6" t="inlineStr">
        <is>
          <t>Rural</t>
        </is>
      </c>
      <c r="F554" s="6" t="inlineStr">
        <is>
          <t>Basket</t>
        </is>
      </c>
      <c r="G554" s="6" t="inlineStr">
        <is>
          <t>oth</t>
        </is>
      </c>
      <c r="H554" s="6" t="inlineStr">
        <is>
          <t>%</t>
        </is>
      </c>
      <c r="P554" s="12">
        <f>BSHARE("other_share",0,"Rural","p25")</f>
        <v/>
      </c>
    </row>
    <row r="555">
      <c r="D555" s="6" t="inlineStr">
        <is>
          <t>p25</t>
        </is>
      </c>
      <c r="E555" s="6" t="inlineStr">
        <is>
          <t>Rural</t>
        </is>
      </c>
      <c r="F555" s="6" t="inlineStr">
        <is>
          <t>Deciles</t>
        </is>
      </c>
      <c r="G555" s="6" t="inlineStr">
        <is>
          <t>oth</t>
        </is>
      </c>
      <c r="H555" s="6" t="inlineStr">
        <is>
          <t>%</t>
        </is>
      </c>
      <c r="Q555" s="12">
        <f>BSHARE("other_share",DECILE_ARRAY,"Rural","p25")</f>
        <v/>
      </c>
    </row>
    <row r="556">
      <c r="D556" s="6" t="inlineStr">
        <is>
          <t>p75</t>
        </is>
      </c>
      <c r="E556" s="6" t="inlineStr">
        <is>
          <t>Overall</t>
        </is>
      </c>
      <c r="F556" s="6" t="inlineStr">
        <is>
          <t>Basket</t>
        </is>
      </c>
      <c r="G556" s="6" t="inlineStr">
        <is>
          <t>oth</t>
        </is>
      </c>
      <c r="H556" s="6" t="inlineStr">
        <is>
          <t>%</t>
        </is>
      </c>
      <c r="P556" s="12">
        <f>BSHARE("other_share",0,"Overall","p75")</f>
        <v/>
      </c>
    </row>
    <row r="557">
      <c r="D557" s="6" t="inlineStr">
        <is>
          <t>p75</t>
        </is>
      </c>
      <c r="E557" s="6" t="inlineStr">
        <is>
          <t>Overall</t>
        </is>
      </c>
      <c r="F557" s="6" t="inlineStr">
        <is>
          <t>Deciles</t>
        </is>
      </c>
      <c r="G557" s="6" t="inlineStr">
        <is>
          <t>oth</t>
        </is>
      </c>
      <c r="H557" s="6" t="inlineStr">
        <is>
          <t>%</t>
        </is>
      </c>
      <c r="Q557" s="12">
        <f>BSHARE("other_share",DECILE_ARRAY,"Overall","p75")</f>
        <v/>
      </c>
    </row>
    <row r="558">
      <c r="D558" s="6" t="inlineStr">
        <is>
          <t>p75</t>
        </is>
      </c>
      <c r="E558" s="6" t="inlineStr">
        <is>
          <t>Urban</t>
        </is>
      </c>
      <c r="F558" s="6" t="inlineStr">
        <is>
          <t>Basket</t>
        </is>
      </c>
      <c r="G558" s="6" t="inlineStr">
        <is>
          <t>oth</t>
        </is>
      </c>
      <c r="H558" s="6" t="inlineStr">
        <is>
          <t>%</t>
        </is>
      </c>
      <c r="P558" s="12">
        <f>BSHARE("other_share",0,"Urban","p75")</f>
        <v/>
      </c>
    </row>
    <row r="559">
      <c r="D559" s="6" t="inlineStr">
        <is>
          <t>p75</t>
        </is>
      </c>
      <c r="E559" s="6" t="inlineStr">
        <is>
          <t>Urban</t>
        </is>
      </c>
      <c r="F559" s="6" t="inlineStr">
        <is>
          <t>Deciles</t>
        </is>
      </c>
      <c r="G559" s="6" t="inlineStr">
        <is>
          <t>oth</t>
        </is>
      </c>
      <c r="H559" s="6" t="inlineStr">
        <is>
          <t>%</t>
        </is>
      </c>
      <c r="Q559" s="12">
        <f>BSHARE("other_share",DECILE_ARRAY,"Urban","p75")</f>
        <v/>
      </c>
    </row>
    <row r="560">
      <c r="D560" s="6" t="inlineStr">
        <is>
          <t>p75</t>
        </is>
      </c>
      <c r="E560" s="6" t="inlineStr">
        <is>
          <t>Rural</t>
        </is>
      </c>
      <c r="F560" s="6" t="inlineStr">
        <is>
          <t>Basket</t>
        </is>
      </c>
      <c r="G560" s="6" t="inlineStr">
        <is>
          <t>oth</t>
        </is>
      </c>
      <c r="H560" s="6" t="inlineStr">
        <is>
          <t>%</t>
        </is>
      </c>
      <c r="P560" s="12">
        <f>BSHARE("other_share",0,"Rural","p75")</f>
        <v/>
      </c>
    </row>
    <row r="561">
      <c r="D561" s="6" t="inlineStr">
        <is>
          <t>p75</t>
        </is>
      </c>
      <c r="E561" s="6" t="inlineStr">
        <is>
          <t>Rural</t>
        </is>
      </c>
      <c r="F561" s="6" t="inlineStr">
        <is>
          <t>Deciles</t>
        </is>
      </c>
      <c r="G561" s="6" t="inlineStr">
        <is>
          <t>oth</t>
        </is>
      </c>
      <c r="H561" s="6" t="inlineStr">
        <is>
          <t>%</t>
        </is>
      </c>
      <c r="Q561" s="12">
        <f>BSHARE("other_share",DECILE_ARRAY,"Rural","p75")</f>
        <v/>
      </c>
    </row>
    <row r="563">
      <c r="C563" s="7" t="inlineStr">
        <is>
          <t>Paper Budget Share (% Total Consumption)</t>
        </is>
      </c>
      <c r="G563" s="6" t="inlineStr">
        <is>
          <t>pap</t>
        </is>
      </c>
      <c r="O563" s="8" t="inlineStr">
        <is>
          <t>Decile --&gt;</t>
        </is>
      </c>
      <c r="Q563" s="8" t="n">
        <v>1</v>
      </c>
      <c r="R563" s="8" t="n">
        <v>2</v>
      </c>
      <c r="S563" s="8" t="n">
        <v>3</v>
      </c>
      <c r="T563" s="8" t="n">
        <v>4</v>
      </c>
      <c r="U563" s="8" t="n">
        <v>5</v>
      </c>
      <c r="V563" s="8" t="n">
        <v>6</v>
      </c>
      <c r="W563" s="8" t="n">
        <v>7</v>
      </c>
      <c r="X563" s="8" t="n">
        <v>8</v>
      </c>
      <c r="Y563" s="8" t="n">
        <v>9</v>
      </c>
      <c r="Z563" s="8" t="n">
        <v>10</v>
      </c>
    </row>
    <row r="564">
      <c r="D564" s="6" t="inlineStr">
        <is>
          <t>mean</t>
        </is>
      </c>
      <c r="E564" s="6" t="inlineStr">
        <is>
          <t>Overall</t>
        </is>
      </c>
      <c r="F564" s="6" t="inlineStr">
        <is>
          <t>Basket</t>
        </is>
      </c>
      <c r="G564" s="6" t="inlineStr">
        <is>
          <t>pap</t>
        </is>
      </c>
      <c r="H564" s="6" t="inlineStr">
        <is>
          <t>%</t>
        </is>
      </c>
      <c r="P564" s="12">
        <f>BSHARE("paper_share",0,"Overall","mean")</f>
        <v/>
      </c>
    </row>
    <row r="565">
      <c r="D565" s="6" t="inlineStr">
        <is>
          <t>mean</t>
        </is>
      </c>
      <c r="E565" s="6" t="inlineStr">
        <is>
          <t>Overall</t>
        </is>
      </c>
      <c r="F565" s="6" t="inlineStr">
        <is>
          <t>Deciles</t>
        </is>
      </c>
      <c r="G565" s="6" t="inlineStr">
        <is>
          <t>pap</t>
        </is>
      </c>
      <c r="H565" s="6" t="inlineStr">
        <is>
          <t>%</t>
        </is>
      </c>
      <c r="Q565" s="12">
        <f>BSHARE("paper_share",DECILE_ARRAY,"Overall","mean")</f>
        <v/>
      </c>
    </row>
    <row r="566">
      <c r="D566" s="6" t="inlineStr">
        <is>
          <t>mean</t>
        </is>
      </c>
      <c r="E566" s="6" t="inlineStr">
        <is>
          <t>Urban</t>
        </is>
      </c>
      <c r="F566" s="6" t="inlineStr">
        <is>
          <t>Basket</t>
        </is>
      </c>
      <c r="G566" s="6" t="inlineStr">
        <is>
          <t>pap</t>
        </is>
      </c>
      <c r="H566" s="6" t="inlineStr">
        <is>
          <t>%</t>
        </is>
      </c>
      <c r="P566" s="12">
        <f>BSHARE("paper_share",0,"Urban","mean")</f>
        <v/>
      </c>
    </row>
    <row r="567">
      <c r="D567" s="6" t="inlineStr">
        <is>
          <t>mean</t>
        </is>
      </c>
      <c r="E567" s="6" t="inlineStr">
        <is>
          <t>Urban</t>
        </is>
      </c>
      <c r="F567" s="6" t="inlineStr">
        <is>
          <t>Deciles</t>
        </is>
      </c>
      <c r="G567" s="6" t="inlineStr">
        <is>
          <t>pap</t>
        </is>
      </c>
      <c r="H567" s="6" t="inlineStr">
        <is>
          <t>%</t>
        </is>
      </c>
      <c r="Q567" s="12">
        <f>BSHARE("paper_share",DECILE_ARRAY,"Urban","mean")</f>
        <v/>
      </c>
    </row>
    <row r="568">
      <c r="D568" s="6" t="inlineStr">
        <is>
          <t>mean</t>
        </is>
      </c>
      <c r="E568" s="6" t="inlineStr">
        <is>
          <t>Rural</t>
        </is>
      </c>
      <c r="F568" s="6" t="inlineStr">
        <is>
          <t>Basket</t>
        </is>
      </c>
      <c r="G568" s="6" t="inlineStr">
        <is>
          <t>pap</t>
        </is>
      </c>
      <c r="H568" s="6" t="inlineStr">
        <is>
          <t>%</t>
        </is>
      </c>
      <c r="P568" s="12">
        <f>BSHARE("paper_share",0,"Rural","mean")</f>
        <v/>
      </c>
    </row>
    <row r="569">
      <c r="D569" s="6" t="inlineStr">
        <is>
          <t>mean</t>
        </is>
      </c>
      <c r="E569" s="6" t="inlineStr">
        <is>
          <t>Rural</t>
        </is>
      </c>
      <c r="F569" s="6" t="inlineStr">
        <is>
          <t>Deciles</t>
        </is>
      </c>
      <c r="G569" s="6" t="inlineStr">
        <is>
          <t>pap</t>
        </is>
      </c>
      <c r="H569" s="6" t="inlineStr">
        <is>
          <t>%</t>
        </is>
      </c>
      <c r="Q569" s="12">
        <f>BSHARE("paper_share",DECILE_ARRAY,"Rural","mean")</f>
        <v/>
      </c>
    </row>
    <row r="570">
      <c r="D570" s="6" t="inlineStr">
        <is>
          <t>median</t>
        </is>
      </c>
      <c r="E570" s="6" t="inlineStr">
        <is>
          <t>Overall</t>
        </is>
      </c>
      <c r="F570" s="6" t="inlineStr">
        <is>
          <t>Basket</t>
        </is>
      </c>
      <c r="G570" s="6" t="inlineStr">
        <is>
          <t>pap</t>
        </is>
      </c>
      <c r="H570" s="6" t="inlineStr">
        <is>
          <t>%</t>
        </is>
      </c>
      <c r="P570" s="12">
        <f>BSHARE("paper_share",0,"Overall","median")</f>
        <v/>
      </c>
    </row>
    <row r="571">
      <c r="D571" s="6" t="inlineStr">
        <is>
          <t>median</t>
        </is>
      </c>
      <c r="E571" s="6" t="inlineStr">
        <is>
          <t>Overall</t>
        </is>
      </c>
      <c r="F571" s="6" t="inlineStr">
        <is>
          <t>Deciles</t>
        </is>
      </c>
      <c r="G571" s="6" t="inlineStr">
        <is>
          <t>pap</t>
        </is>
      </c>
      <c r="H571" s="6" t="inlineStr">
        <is>
          <t>%</t>
        </is>
      </c>
      <c r="Q571" s="12">
        <f>BSHARE("paper_share",DECILE_ARRAY,"Overall","median")</f>
        <v/>
      </c>
    </row>
    <row r="572">
      <c r="D572" s="6" t="inlineStr">
        <is>
          <t>median</t>
        </is>
      </c>
      <c r="E572" s="6" t="inlineStr">
        <is>
          <t>Urban</t>
        </is>
      </c>
      <c r="F572" s="6" t="inlineStr">
        <is>
          <t>Basket</t>
        </is>
      </c>
      <c r="G572" s="6" t="inlineStr">
        <is>
          <t>pap</t>
        </is>
      </c>
      <c r="H572" s="6" t="inlineStr">
        <is>
          <t>%</t>
        </is>
      </c>
      <c r="P572" s="12">
        <f>BSHARE("paper_share",0,"Urban","median")</f>
        <v/>
      </c>
    </row>
    <row r="573">
      <c r="D573" s="6" t="inlineStr">
        <is>
          <t>median</t>
        </is>
      </c>
      <c r="E573" s="6" t="inlineStr">
        <is>
          <t>Urban</t>
        </is>
      </c>
      <c r="F573" s="6" t="inlineStr">
        <is>
          <t>Deciles</t>
        </is>
      </c>
      <c r="G573" s="6" t="inlineStr">
        <is>
          <t>pap</t>
        </is>
      </c>
      <c r="H573" s="6" t="inlineStr">
        <is>
          <t>%</t>
        </is>
      </c>
      <c r="Q573" s="12">
        <f>BSHARE("paper_share",DECILE_ARRAY,"Urban","median")</f>
        <v/>
      </c>
    </row>
    <row r="574">
      <c r="D574" s="6" t="inlineStr">
        <is>
          <t>median</t>
        </is>
      </c>
      <c r="E574" s="6" t="inlineStr">
        <is>
          <t>Rural</t>
        </is>
      </c>
      <c r="F574" s="6" t="inlineStr">
        <is>
          <t>Basket</t>
        </is>
      </c>
      <c r="G574" s="6" t="inlineStr">
        <is>
          <t>pap</t>
        </is>
      </c>
      <c r="H574" s="6" t="inlineStr">
        <is>
          <t>%</t>
        </is>
      </c>
      <c r="P574" s="12">
        <f>BSHARE("paper_share",0,"Rural","median")</f>
        <v/>
      </c>
    </row>
    <row r="575">
      <c r="D575" s="6" t="inlineStr">
        <is>
          <t>median</t>
        </is>
      </c>
      <c r="E575" s="6" t="inlineStr">
        <is>
          <t>Rural</t>
        </is>
      </c>
      <c r="F575" s="6" t="inlineStr">
        <is>
          <t>Deciles</t>
        </is>
      </c>
      <c r="G575" s="6" t="inlineStr">
        <is>
          <t>pap</t>
        </is>
      </c>
      <c r="H575" s="6" t="inlineStr">
        <is>
          <t>%</t>
        </is>
      </c>
      <c r="Q575" s="12">
        <f>BSHARE("paper_share",DECILE_ARRAY,"Rural","median")</f>
        <v/>
      </c>
    </row>
    <row r="576">
      <c r="D576" s="6" t="inlineStr">
        <is>
          <t>p25</t>
        </is>
      </c>
      <c r="E576" s="6" t="inlineStr">
        <is>
          <t>Overall</t>
        </is>
      </c>
      <c r="F576" s="6" t="inlineStr">
        <is>
          <t>Basket</t>
        </is>
      </c>
      <c r="G576" s="6" t="inlineStr">
        <is>
          <t>pap</t>
        </is>
      </c>
      <c r="H576" s="6" t="inlineStr">
        <is>
          <t>%</t>
        </is>
      </c>
      <c r="P576" s="12">
        <f>BSHARE("paper_share",0,"Overall","p25")</f>
        <v/>
      </c>
    </row>
    <row r="577">
      <c r="D577" s="6" t="inlineStr">
        <is>
          <t>p25</t>
        </is>
      </c>
      <c r="E577" s="6" t="inlineStr">
        <is>
          <t>Overall</t>
        </is>
      </c>
      <c r="F577" s="6" t="inlineStr">
        <is>
          <t>Deciles</t>
        </is>
      </c>
      <c r="G577" s="6" t="inlineStr">
        <is>
          <t>pap</t>
        </is>
      </c>
      <c r="H577" s="6" t="inlineStr">
        <is>
          <t>%</t>
        </is>
      </c>
      <c r="Q577" s="12">
        <f>BSHARE("paper_share",DECILE_ARRAY,"Overall","p25")</f>
        <v/>
      </c>
    </row>
    <row r="578">
      <c r="D578" s="6" t="inlineStr">
        <is>
          <t>p25</t>
        </is>
      </c>
      <c r="E578" s="6" t="inlineStr">
        <is>
          <t>Urban</t>
        </is>
      </c>
      <c r="F578" s="6" t="inlineStr">
        <is>
          <t>Basket</t>
        </is>
      </c>
      <c r="G578" s="6" t="inlineStr">
        <is>
          <t>pap</t>
        </is>
      </c>
      <c r="H578" s="6" t="inlineStr">
        <is>
          <t>%</t>
        </is>
      </c>
      <c r="P578" s="12">
        <f>BSHARE("paper_share",0,"Urban","p25")</f>
        <v/>
      </c>
    </row>
    <row r="579">
      <c r="D579" s="6" t="inlineStr">
        <is>
          <t>p25</t>
        </is>
      </c>
      <c r="E579" s="6" t="inlineStr">
        <is>
          <t>Urban</t>
        </is>
      </c>
      <c r="F579" s="6" t="inlineStr">
        <is>
          <t>Deciles</t>
        </is>
      </c>
      <c r="G579" s="6" t="inlineStr">
        <is>
          <t>pap</t>
        </is>
      </c>
      <c r="H579" s="6" t="inlineStr">
        <is>
          <t>%</t>
        </is>
      </c>
      <c r="Q579" s="12">
        <f>BSHARE("paper_share",DECILE_ARRAY,"Urban","p25")</f>
        <v/>
      </c>
    </row>
    <row r="580">
      <c r="D580" s="6" t="inlineStr">
        <is>
          <t>p25</t>
        </is>
      </c>
      <c r="E580" s="6" t="inlineStr">
        <is>
          <t>Rural</t>
        </is>
      </c>
      <c r="F580" s="6" t="inlineStr">
        <is>
          <t>Basket</t>
        </is>
      </c>
      <c r="G580" s="6" t="inlineStr">
        <is>
          <t>pap</t>
        </is>
      </c>
      <c r="H580" s="6" t="inlineStr">
        <is>
          <t>%</t>
        </is>
      </c>
      <c r="P580" s="12">
        <f>BSHARE("paper_share",0,"Rural","p25")</f>
        <v/>
      </c>
    </row>
    <row r="581">
      <c r="D581" s="6" t="inlineStr">
        <is>
          <t>p25</t>
        </is>
      </c>
      <c r="E581" s="6" t="inlineStr">
        <is>
          <t>Rural</t>
        </is>
      </c>
      <c r="F581" s="6" t="inlineStr">
        <is>
          <t>Deciles</t>
        </is>
      </c>
      <c r="G581" s="6" t="inlineStr">
        <is>
          <t>pap</t>
        </is>
      </c>
      <c r="H581" s="6" t="inlineStr">
        <is>
          <t>%</t>
        </is>
      </c>
      <c r="Q581" s="12">
        <f>BSHARE("paper_share",DECILE_ARRAY,"Rural","p25")</f>
        <v/>
      </c>
    </row>
    <row r="582">
      <c r="D582" s="6" t="inlineStr">
        <is>
          <t>p75</t>
        </is>
      </c>
      <c r="E582" s="6" t="inlineStr">
        <is>
          <t>Overall</t>
        </is>
      </c>
      <c r="F582" s="6" t="inlineStr">
        <is>
          <t>Basket</t>
        </is>
      </c>
      <c r="G582" s="6" t="inlineStr">
        <is>
          <t>pap</t>
        </is>
      </c>
      <c r="H582" s="6" t="inlineStr">
        <is>
          <t>%</t>
        </is>
      </c>
      <c r="P582" s="12">
        <f>BSHARE("paper_share",0,"Overall","p75")</f>
        <v/>
      </c>
    </row>
    <row r="583">
      <c r="D583" s="6" t="inlineStr">
        <is>
          <t>p75</t>
        </is>
      </c>
      <c r="E583" s="6" t="inlineStr">
        <is>
          <t>Overall</t>
        </is>
      </c>
      <c r="F583" s="6" t="inlineStr">
        <is>
          <t>Deciles</t>
        </is>
      </c>
      <c r="G583" s="6" t="inlineStr">
        <is>
          <t>pap</t>
        </is>
      </c>
      <c r="H583" s="6" t="inlineStr">
        <is>
          <t>%</t>
        </is>
      </c>
      <c r="Q583" s="12">
        <f>BSHARE("paper_share",DECILE_ARRAY,"Overall","p75")</f>
        <v/>
      </c>
    </row>
    <row r="584">
      <c r="D584" s="6" t="inlineStr">
        <is>
          <t>p75</t>
        </is>
      </c>
      <c r="E584" s="6" t="inlineStr">
        <is>
          <t>Urban</t>
        </is>
      </c>
      <c r="F584" s="6" t="inlineStr">
        <is>
          <t>Basket</t>
        </is>
      </c>
      <c r="G584" s="6" t="inlineStr">
        <is>
          <t>pap</t>
        </is>
      </c>
      <c r="H584" s="6" t="inlineStr">
        <is>
          <t>%</t>
        </is>
      </c>
      <c r="P584" s="12">
        <f>BSHARE("paper_share",0,"Urban","p75")</f>
        <v/>
      </c>
    </row>
    <row r="585">
      <c r="D585" s="6" t="inlineStr">
        <is>
          <t>p75</t>
        </is>
      </c>
      <c r="E585" s="6" t="inlineStr">
        <is>
          <t>Urban</t>
        </is>
      </c>
      <c r="F585" s="6" t="inlineStr">
        <is>
          <t>Deciles</t>
        </is>
      </c>
      <c r="G585" s="6" t="inlineStr">
        <is>
          <t>pap</t>
        </is>
      </c>
      <c r="H585" s="6" t="inlineStr">
        <is>
          <t>%</t>
        </is>
      </c>
      <c r="Q585" s="12">
        <f>BSHARE("paper_share",DECILE_ARRAY,"Urban","p75")</f>
        <v/>
      </c>
    </row>
    <row r="586">
      <c r="D586" s="6" t="inlineStr">
        <is>
          <t>p75</t>
        </is>
      </c>
      <c r="E586" s="6" t="inlineStr">
        <is>
          <t>Rural</t>
        </is>
      </c>
      <c r="F586" s="6" t="inlineStr">
        <is>
          <t>Basket</t>
        </is>
      </c>
      <c r="G586" s="6" t="inlineStr">
        <is>
          <t>pap</t>
        </is>
      </c>
      <c r="H586" s="6" t="inlineStr">
        <is>
          <t>%</t>
        </is>
      </c>
      <c r="P586" s="12">
        <f>BSHARE("paper_share",0,"Rural","p75")</f>
        <v/>
      </c>
    </row>
    <row r="587">
      <c r="D587" s="6" t="inlineStr">
        <is>
          <t>p75</t>
        </is>
      </c>
      <c r="E587" s="6" t="inlineStr">
        <is>
          <t>Rural</t>
        </is>
      </c>
      <c r="F587" s="6" t="inlineStr">
        <is>
          <t>Deciles</t>
        </is>
      </c>
      <c r="G587" s="6" t="inlineStr">
        <is>
          <t>pap</t>
        </is>
      </c>
      <c r="H587" s="6" t="inlineStr">
        <is>
          <t>%</t>
        </is>
      </c>
      <c r="Q587" s="12">
        <f>BSHARE("paper_share",DECILE_ARRAY,"Rural","p75")</f>
        <v/>
      </c>
    </row>
    <row r="589">
      <c r="C589" s="7" t="inlineStr">
        <is>
          <t>Pharmaceuticals Budget Share (% Total Consumption)</t>
        </is>
      </c>
      <c r="G589" s="6" t="inlineStr">
        <is>
          <t>pha</t>
        </is>
      </c>
      <c r="O589" s="8" t="inlineStr">
        <is>
          <t>Decile --&gt;</t>
        </is>
      </c>
      <c r="Q589" s="8" t="n">
        <v>1</v>
      </c>
      <c r="R589" s="8" t="n">
        <v>2</v>
      </c>
      <c r="S589" s="8" t="n">
        <v>3</v>
      </c>
      <c r="T589" s="8" t="n">
        <v>4</v>
      </c>
      <c r="U589" s="8" t="n">
        <v>5</v>
      </c>
      <c r="V589" s="8" t="n">
        <v>6</v>
      </c>
      <c r="W589" s="8" t="n">
        <v>7</v>
      </c>
      <c r="X589" s="8" t="n">
        <v>8</v>
      </c>
      <c r="Y589" s="8" t="n">
        <v>9</v>
      </c>
      <c r="Z589" s="8" t="n">
        <v>10</v>
      </c>
    </row>
    <row r="590">
      <c r="D590" s="6" t="inlineStr">
        <is>
          <t>mean</t>
        </is>
      </c>
      <c r="E590" s="6" t="inlineStr">
        <is>
          <t>Overall</t>
        </is>
      </c>
      <c r="F590" s="6" t="inlineStr">
        <is>
          <t>Basket</t>
        </is>
      </c>
      <c r="G590" s="6" t="inlineStr">
        <is>
          <t>pha</t>
        </is>
      </c>
      <c r="H590" s="6" t="inlineStr">
        <is>
          <t>%</t>
        </is>
      </c>
      <c r="P590" s="12">
        <f>BSHARE("pharma_share",0,"Overall","mean")</f>
        <v/>
      </c>
    </row>
    <row r="591">
      <c r="D591" s="6" t="inlineStr">
        <is>
          <t>mean</t>
        </is>
      </c>
      <c r="E591" s="6" t="inlineStr">
        <is>
          <t>Overall</t>
        </is>
      </c>
      <c r="F591" s="6" t="inlineStr">
        <is>
          <t>Deciles</t>
        </is>
      </c>
      <c r="G591" s="6" t="inlineStr">
        <is>
          <t>pha</t>
        </is>
      </c>
      <c r="H591" s="6" t="inlineStr">
        <is>
          <t>%</t>
        </is>
      </c>
      <c r="Q591" s="12">
        <f>BSHARE("pharma_share",DECILE_ARRAY,"Overall","mean")</f>
        <v/>
      </c>
    </row>
    <row r="592">
      <c r="D592" s="6" t="inlineStr">
        <is>
          <t>mean</t>
        </is>
      </c>
      <c r="E592" s="6" t="inlineStr">
        <is>
          <t>Urban</t>
        </is>
      </c>
      <c r="F592" s="6" t="inlineStr">
        <is>
          <t>Basket</t>
        </is>
      </c>
      <c r="G592" s="6" t="inlineStr">
        <is>
          <t>pha</t>
        </is>
      </c>
      <c r="H592" s="6" t="inlineStr">
        <is>
          <t>%</t>
        </is>
      </c>
      <c r="P592" s="12">
        <f>BSHARE("pharma_share",0,"Urban","mean")</f>
        <v/>
      </c>
    </row>
    <row r="593">
      <c r="D593" s="6" t="inlineStr">
        <is>
          <t>mean</t>
        </is>
      </c>
      <c r="E593" s="6" t="inlineStr">
        <is>
          <t>Urban</t>
        </is>
      </c>
      <c r="F593" s="6" t="inlineStr">
        <is>
          <t>Deciles</t>
        </is>
      </c>
      <c r="G593" s="6" t="inlineStr">
        <is>
          <t>pha</t>
        </is>
      </c>
      <c r="H593" s="6" t="inlineStr">
        <is>
          <t>%</t>
        </is>
      </c>
      <c r="Q593" s="12">
        <f>BSHARE("pharma_share",DECILE_ARRAY,"Urban","mean")</f>
        <v/>
      </c>
    </row>
    <row r="594">
      <c r="D594" s="6" t="inlineStr">
        <is>
          <t>mean</t>
        </is>
      </c>
      <c r="E594" s="6" t="inlineStr">
        <is>
          <t>Rural</t>
        </is>
      </c>
      <c r="F594" s="6" t="inlineStr">
        <is>
          <t>Basket</t>
        </is>
      </c>
      <c r="G594" s="6" t="inlineStr">
        <is>
          <t>pha</t>
        </is>
      </c>
      <c r="H594" s="6" t="inlineStr">
        <is>
          <t>%</t>
        </is>
      </c>
      <c r="P594" s="12">
        <f>BSHARE("pharma_share",0,"Rural","mean")</f>
        <v/>
      </c>
    </row>
    <row r="595">
      <c r="D595" s="6" t="inlineStr">
        <is>
          <t>mean</t>
        </is>
      </c>
      <c r="E595" s="6" t="inlineStr">
        <is>
          <t>Rural</t>
        </is>
      </c>
      <c r="F595" s="6" t="inlineStr">
        <is>
          <t>Deciles</t>
        </is>
      </c>
      <c r="G595" s="6" t="inlineStr">
        <is>
          <t>pha</t>
        </is>
      </c>
      <c r="H595" s="6" t="inlineStr">
        <is>
          <t>%</t>
        </is>
      </c>
      <c r="Q595" s="12">
        <f>BSHARE("pharma_share",DECILE_ARRAY,"Rural","mean")</f>
        <v/>
      </c>
    </row>
    <row r="596">
      <c r="D596" s="6" t="inlineStr">
        <is>
          <t>median</t>
        </is>
      </c>
      <c r="E596" s="6" t="inlineStr">
        <is>
          <t>Overall</t>
        </is>
      </c>
      <c r="F596" s="6" t="inlineStr">
        <is>
          <t>Basket</t>
        </is>
      </c>
      <c r="G596" s="6" t="inlineStr">
        <is>
          <t>pha</t>
        </is>
      </c>
      <c r="H596" s="6" t="inlineStr">
        <is>
          <t>%</t>
        </is>
      </c>
      <c r="P596" s="12">
        <f>BSHARE("pharma_share",0,"Overall","median")</f>
        <v/>
      </c>
    </row>
    <row r="597">
      <c r="D597" s="6" t="inlineStr">
        <is>
          <t>median</t>
        </is>
      </c>
      <c r="E597" s="6" t="inlineStr">
        <is>
          <t>Overall</t>
        </is>
      </c>
      <c r="F597" s="6" t="inlineStr">
        <is>
          <t>Deciles</t>
        </is>
      </c>
      <c r="G597" s="6" t="inlineStr">
        <is>
          <t>pha</t>
        </is>
      </c>
      <c r="H597" s="6" t="inlineStr">
        <is>
          <t>%</t>
        </is>
      </c>
      <c r="Q597" s="12">
        <f>BSHARE("pharma_share",DECILE_ARRAY,"Overall","median")</f>
        <v/>
      </c>
    </row>
    <row r="598">
      <c r="D598" s="6" t="inlineStr">
        <is>
          <t>median</t>
        </is>
      </c>
      <c r="E598" s="6" t="inlineStr">
        <is>
          <t>Urban</t>
        </is>
      </c>
      <c r="F598" s="6" t="inlineStr">
        <is>
          <t>Basket</t>
        </is>
      </c>
      <c r="G598" s="6" t="inlineStr">
        <is>
          <t>pha</t>
        </is>
      </c>
      <c r="H598" s="6" t="inlineStr">
        <is>
          <t>%</t>
        </is>
      </c>
      <c r="P598" s="12">
        <f>BSHARE("pharma_share",0,"Urban","median")</f>
        <v/>
      </c>
    </row>
    <row r="599">
      <c r="D599" s="6" t="inlineStr">
        <is>
          <t>median</t>
        </is>
      </c>
      <c r="E599" s="6" t="inlineStr">
        <is>
          <t>Urban</t>
        </is>
      </c>
      <c r="F599" s="6" t="inlineStr">
        <is>
          <t>Deciles</t>
        </is>
      </c>
      <c r="G599" s="6" t="inlineStr">
        <is>
          <t>pha</t>
        </is>
      </c>
      <c r="H599" s="6" t="inlineStr">
        <is>
          <t>%</t>
        </is>
      </c>
      <c r="Q599" s="12">
        <f>BSHARE("pharma_share",DECILE_ARRAY,"Urban","median")</f>
        <v/>
      </c>
    </row>
    <row r="600">
      <c r="D600" s="6" t="inlineStr">
        <is>
          <t>median</t>
        </is>
      </c>
      <c r="E600" s="6" t="inlineStr">
        <is>
          <t>Rural</t>
        </is>
      </c>
      <c r="F600" s="6" t="inlineStr">
        <is>
          <t>Basket</t>
        </is>
      </c>
      <c r="G600" s="6" t="inlineStr">
        <is>
          <t>pha</t>
        </is>
      </c>
      <c r="H600" s="6" t="inlineStr">
        <is>
          <t>%</t>
        </is>
      </c>
      <c r="P600" s="12">
        <f>BSHARE("pharma_share",0,"Rural","median")</f>
        <v/>
      </c>
    </row>
    <row r="601">
      <c r="D601" s="6" t="inlineStr">
        <is>
          <t>median</t>
        </is>
      </c>
      <c r="E601" s="6" t="inlineStr">
        <is>
          <t>Rural</t>
        </is>
      </c>
      <c r="F601" s="6" t="inlineStr">
        <is>
          <t>Deciles</t>
        </is>
      </c>
      <c r="G601" s="6" t="inlineStr">
        <is>
          <t>pha</t>
        </is>
      </c>
      <c r="H601" s="6" t="inlineStr">
        <is>
          <t>%</t>
        </is>
      </c>
      <c r="Q601" s="12">
        <f>BSHARE("pharma_share",DECILE_ARRAY,"Rural","median")</f>
        <v/>
      </c>
    </row>
    <row r="602">
      <c r="D602" s="6" t="inlineStr">
        <is>
          <t>p25</t>
        </is>
      </c>
      <c r="E602" s="6" t="inlineStr">
        <is>
          <t>Overall</t>
        </is>
      </c>
      <c r="F602" s="6" t="inlineStr">
        <is>
          <t>Basket</t>
        </is>
      </c>
      <c r="G602" s="6" t="inlineStr">
        <is>
          <t>pha</t>
        </is>
      </c>
      <c r="H602" s="6" t="inlineStr">
        <is>
          <t>%</t>
        </is>
      </c>
      <c r="P602" s="12">
        <f>BSHARE("pharma_share",0,"Overall","p25")</f>
        <v/>
      </c>
    </row>
    <row r="603">
      <c r="D603" s="6" t="inlineStr">
        <is>
          <t>p25</t>
        </is>
      </c>
      <c r="E603" s="6" t="inlineStr">
        <is>
          <t>Overall</t>
        </is>
      </c>
      <c r="F603" s="6" t="inlineStr">
        <is>
          <t>Deciles</t>
        </is>
      </c>
      <c r="G603" s="6" t="inlineStr">
        <is>
          <t>pha</t>
        </is>
      </c>
      <c r="H603" s="6" t="inlineStr">
        <is>
          <t>%</t>
        </is>
      </c>
      <c r="Q603" s="12">
        <f>BSHARE("pharma_share",DECILE_ARRAY,"Overall","p25")</f>
        <v/>
      </c>
    </row>
    <row r="604">
      <c r="D604" s="6" t="inlineStr">
        <is>
          <t>p25</t>
        </is>
      </c>
      <c r="E604" s="6" t="inlineStr">
        <is>
          <t>Urban</t>
        </is>
      </c>
      <c r="F604" s="6" t="inlineStr">
        <is>
          <t>Basket</t>
        </is>
      </c>
      <c r="G604" s="6" t="inlineStr">
        <is>
          <t>pha</t>
        </is>
      </c>
      <c r="H604" s="6" t="inlineStr">
        <is>
          <t>%</t>
        </is>
      </c>
      <c r="P604" s="12">
        <f>BSHARE("pharma_share",0,"Urban","p25")</f>
        <v/>
      </c>
    </row>
    <row r="605">
      <c r="D605" s="6" t="inlineStr">
        <is>
          <t>p25</t>
        </is>
      </c>
      <c r="E605" s="6" t="inlineStr">
        <is>
          <t>Urban</t>
        </is>
      </c>
      <c r="F605" s="6" t="inlineStr">
        <is>
          <t>Deciles</t>
        </is>
      </c>
      <c r="G605" s="6" t="inlineStr">
        <is>
          <t>pha</t>
        </is>
      </c>
      <c r="H605" s="6" t="inlineStr">
        <is>
          <t>%</t>
        </is>
      </c>
      <c r="Q605" s="12">
        <f>BSHARE("pharma_share",DECILE_ARRAY,"Urban","p25")</f>
        <v/>
      </c>
    </row>
    <row r="606">
      <c r="D606" s="6" t="inlineStr">
        <is>
          <t>p25</t>
        </is>
      </c>
      <c r="E606" s="6" t="inlineStr">
        <is>
          <t>Rural</t>
        </is>
      </c>
      <c r="F606" s="6" t="inlineStr">
        <is>
          <t>Basket</t>
        </is>
      </c>
      <c r="G606" s="6" t="inlineStr">
        <is>
          <t>pha</t>
        </is>
      </c>
      <c r="H606" s="6" t="inlineStr">
        <is>
          <t>%</t>
        </is>
      </c>
      <c r="P606" s="12">
        <f>BSHARE("pharma_share",0,"Rural","p25")</f>
        <v/>
      </c>
    </row>
    <row r="607">
      <c r="D607" s="6" t="inlineStr">
        <is>
          <t>p25</t>
        </is>
      </c>
      <c r="E607" s="6" t="inlineStr">
        <is>
          <t>Rural</t>
        </is>
      </c>
      <c r="F607" s="6" t="inlineStr">
        <is>
          <t>Deciles</t>
        </is>
      </c>
      <c r="G607" s="6" t="inlineStr">
        <is>
          <t>pha</t>
        </is>
      </c>
      <c r="H607" s="6" t="inlineStr">
        <is>
          <t>%</t>
        </is>
      </c>
      <c r="Q607" s="12">
        <f>BSHARE("pharma_share",DECILE_ARRAY,"Rural","p25")</f>
        <v/>
      </c>
    </row>
    <row r="608">
      <c r="D608" s="6" t="inlineStr">
        <is>
          <t>p75</t>
        </is>
      </c>
      <c r="E608" s="6" t="inlineStr">
        <is>
          <t>Overall</t>
        </is>
      </c>
      <c r="F608" s="6" t="inlineStr">
        <is>
          <t>Basket</t>
        </is>
      </c>
      <c r="G608" s="6" t="inlineStr">
        <is>
          <t>pha</t>
        </is>
      </c>
      <c r="H608" s="6" t="inlineStr">
        <is>
          <t>%</t>
        </is>
      </c>
      <c r="P608" s="12">
        <f>BSHARE("pharma_share",0,"Overall","p75")</f>
        <v/>
      </c>
    </row>
    <row r="609">
      <c r="D609" s="6" t="inlineStr">
        <is>
          <t>p75</t>
        </is>
      </c>
      <c r="E609" s="6" t="inlineStr">
        <is>
          <t>Overall</t>
        </is>
      </c>
      <c r="F609" s="6" t="inlineStr">
        <is>
          <t>Deciles</t>
        </is>
      </c>
      <c r="G609" s="6" t="inlineStr">
        <is>
          <t>pha</t>
        </is>
      </c>
      <c r="H609" s="6" t="inlineStr">
        <is>
          <t>%</t>
        </is>
      </c>
      <c r="Q609" s="12">
        <f>BSHARE("pharma_share",DECILE_ARRAY,"Overall","p75")</f>
        <v/>
      </c>
    </row>
    <row r="610">
      <c r="D610" s="6" t="inlineStr">
        <is>
          <t>p75</t>
        </is>
      </c>
      <c r="E610" s="6" t="inlineStr">
        <is>
          <t>Urban</t>
        </is>
      </c>
      <c r="F610" s="6" t="inlineStr">
        <is>
          <t>Basket</t>
        </is>
      </c>
      <c r="G610" s="6" t="inlineStr">
        <is>
          <t>pha</t>
        </is>
      </c>
      <c r="H610" s="6" t="inlineStr">
        <is>
          <t>%</t>
        </is>
      </c>
      <c r="P610" s="12">
        <f>BSHARE("pharma_share",0,"Urban","p75")</f>
        <v/>
      </c>
    </row>
    <row r="611">
      <c r="D611" s="6" t="inlineStr">
        <is>
          <t>p75</t>
        </is>
      </c>
      <c r="E611" s="6" t="inlineStr">
        <is>
          <t>Urban</t>
        </is>
      </c>
      <c r="F611" s="6" t="inlineStr">
        <is>
          <t>Deciles</t>
        </is>
      </c>
      <c r="G611" s="6" t="inlineStr">
        <is>
          <t>pha</t>
        </is>
      </c>
      <c r="H611" s="6" t="inlineStr">
        <is>
          <t>%</t>
        </is>
      </c>
      <c r="Q611" s="12">
        <f>BSHARE("pharma_share",DECILE_ARRAY,"Urban","p75")</f>
        <v/>
      </c>
    </row>
    <row r="612">
      <c r="D612" s="6" t="inlineStr">
        <is>
          <t>p75</t>
        </is>
      </c>
      <c r="E612" s="6" t="inlineStr">
        <is>
          <t>Rural</t>
        </is>
      </c>
      <c r="F612" s="6" t="inlineStr">
        <is>
          <t>Basket</t>
        </is>
      </c>
      <c r="G612" s="6" t="inlineStr">
        <is>
          <t>pha</t>
        </is>
      </c>
      <c r="H612" s="6" t="inlineStr">
        <is>
          <t>%</t>
        </is>
      </c>
      <c r="P612" s="12">
        <f>BSHARE("pharma_share",0,"Rural","p75")</f>
        <v/>
      </c>
    </row>
    <row r="613">
      <c r="D613" s="6" t="inlineStr">
        <is>
          <t>p75</t>
        </is>
      </c>
      <c r="E613" s="6" t="inlineStr">
        <is>
          <t>Rural</t>
        </is>
      </c>
      <c r="F613" s="6" t="inlineStr">
        <is>
          <t>Deciles</t>
        </is>
      </c>
      <c r="G613" s="6" t="inlineStr">
        <is>
          <t>pha</t>
        </is>
      </c>
      <c r="H613" s="6" t="inlineStr">
        <is>
          <t>%</t>
        </is>
      </c>
      <c r="Q613" s="12">
        <f>BSHARE("pharma_share",DECILE_ARRAY,"Rural","p75")</f>
        <v/>
      </c>
    </row>
    <row r="615">
      <c r="C615" s="7" t="inlineStr">
        <is>
          <t>Recreation/Tourism Budget Share (% Total Consumption)</t>
        </is>
      </c>
      <c r="G615" s="6" t="inlineStr">
        <is>
          <t>ret</t>
        </is>
      </c>
      <c r="O615" s="8" t="inlineStr">
        <is>
          <t>Decile --&gt;</t>
        </is>
      </c>
      <c r="Q615" s="8" t="n">
        <v>1</v>
      </c>
      <c r="R615" s="8" t="n">
        <v>2</v>
      </c>
      <c r="S615" s="8" t="n">
        <v>3</v>
      </c>
      <c r="T615" s="8" t="n">
        <v>4</v>
      </c>
      <c r="U615" s="8" t="n">
        <v>5</v>
      </c>
      <c r="V615" s="8" t="n">
        <v>6</v>
      </c>
      <c r="W615" s="8" t="n">
        <v>7</v>
      </c>
      <c r="X615" s="8" t="n">
        <v>8</v>
      </c>
      <c r="Y615" s="8" t="n">
        <v>9</v>
      </c>
      <c r="Z615" s="8" t="n">
        <v>10</v>
      </c>
    </row>
    <row r="616">
      <c r="D616" s="6" t="inlineStr">
        <is>
          <t>mean</t>
        </is>
      </c>
      <c r="E616" s="6" t="inlineStr">
        <is>
          <t>Overall</t>
        </is>
      </c>
      <c r="F616" s="6" t="inlineStr">
        <is>
          <t>Basket</t>
        </is>
      </c>
      <c r="G616" s="6" t="inlineStr">
        <is>
          <t>ret</t>
        </is>
      </c>
      <c r="H616" s="6" t="inlineStr">
        <is>
          <t>%</t>
        </is>
      </c>
      <c r="P616" s="12">
        <f>BSHARE("rectourism_share",0,"Overall","mean")</f>
        <v/>
      </c>
    </row>
    <row r="617">
      <c r="D617" s="6" t="inlineStr">
        <is>
          <t>mean</t>
        </is>
      </c>
      <c r="E617" s="6" t="inlineStr">
        <is>
          <t>Overall</t>
        </is>
      </c>
      <c r="F617" s="6" t="inlineStr">
        <is>
          <t>Deciles</t>
        </is>
      </c>
      <c r="G617" s="6" t="inlineStr">
        <is>
          <t>ret</t>
        </is>
      </c>
      <c r="H617" s="6" t="inlineStr">
        <is>
          <t>%</t>
        </is>
      </c>
      <c r="Q617" s="12">
        <f>BSHARE("rectourism_share",DECILE_ARRAY,"Overall","mean")</f>
        <v/>
      </c>
    </row>
    <row r="618">
      <c r="D618" s="6" t="inlineStr">
        <is>
          <t>mean</t>
        </is>
      </c>
      <c r="E618" s="6" t="inlineStr">
        <is>
          <t>Urban</t>
        </is>
      </c>
      <c r="F618" s="6" t="inlineStr">
        <is>
          <t>Basket</t>
        </is>
      </c>
      <c r="G618" s="6" t="inlineStr">
        <is>
          <t>ret</t>
        </is>
      </c>
      <c r="H618" s="6" t="inlineStr">
        <is>
          <t>%</t>
        </is>
      </c>
      <c r="P618" s="12">
        <f>BSHARE("rectourism_share",0,"Urban","mean")</f>
        <v/>
      </c>
    </row>
    <row r="619">
      <c r="D619" s="6" t="inlineStr">
        <is>
          <t>mean</t>
        </is>
      </c>
      <c r="E619" s="6" t="inlineStr">
        <is>
          <t>Urban</t>
        </is>
      </c>
      <c r="F619" s="6" t="inlineStr">
        <is>
          <t>Deciles</t>
        </is>
      </c>
      <c r="G619" s="6" t="inlineStr">
        <is>
          <t>ret</t>
        </is>
      </c>
      <c r="H619" s="6" t="inlineStr">
        <is>
          <t>%</t>
        </is>
      </c>
      <c r="Q619" s="12">
        <f>BSHARE("rectourism_share",DECILE_ARRAY,"Urban","mean")</f>
        <v/>
      </c>
    </row>
    <row r="620">
      <c r="D620" s="6" t="inlineStr">
        <is>
          <t>mean</t>
        </is>
      </c>
      <c r="E620" s="6" t="inlineStr">
        <is>
          <t>Rural</t>
        </is>
      </c>
      <c r="F620" s="6" t="inlineStr">
        <is>
          <t>Basket</t>
        </is>
      </c>
      <c r="G620" s="6" t="inlineStr">
        <is>
          <t>ret</t>
        </is>
      </c>
      <c r="H620" s="6" t="inlineStr">
        <is>
          <t>%</t>
        </is>
      </c>
      <c r="P620" s="12">
        <f>BSHARE("rectourism_share",0,"Rural","mean")</f>
        <v/>
      </c>
    </row>
    <row r="621">
      <c r="D621" s="6" t="inlineStr">
        <is>
          <t>mean</t>
        </is>
      </c>
      <c r="E621" s="6" t="inlineStr">
        <is>
          <t>Rural</t>
        </is>
      </c>
      <c r="F621" s="6" t="inlineStr">
        <is>
          <t>Deciles</t>
        </is>
      </c>
      <c r="G621" s="6" t="inlineStr">
        <is>
          <t>ret</t>
        </is>
      </c>
      <c r="H621" s="6" t="inlineStr">
        <is>
          <t>%</t>
        </is>
      </c>
      <c r="Q621" s="12">
        <f>BSHARE("rectourism_share",DECILE_ARRAY,"Rural","mean")</f>
        <v/>
      </c>
    </row>
    <row r="622">
      <c r="D622" s="6" t="inlineStr">
        <is>
          <t>median</t>
        </is>
      </c>
      <c r="E622" s="6" t="inlineStr">
        <is>
          <t>Overall</t>
        </is>
      </c>
      <c r="F622" s="6" t="inlineStr">
        <is>
          <t>Basket</t>
        </is>
      </c>
      <c r="G622" s="6" t="inlineStr">
        <is>
          <t>ret</t>
        </is>
      </c>
      <c r="H622" s="6" t="inlineStr">
        <is>
          <t>%</t>
        </is>
      </c>
      <c r="P622" s="12">
        <f>BSHARE("rectourism_share",0,"Overall","median")</f>
        <v/>
      </c>
    </row>
    <row r="623">
      <c r="D623" s="6" t="inlineStr">
        <is>
          <t>median</t>
        </is>
      </c>
      <c r="E623" s="6" t="inlineStr">
        <is>
          <t>Overall</t>
        </is>
      </c>
      <c r="F623" s="6" t="inlineStr">
        <is>
          <t>Deciles</t>
        </is>
      </c>
      <c r="G623" s="6" t="inlineStr">
        <is>
          <t>ret</t>
        </is>
      </c>
      <c r="H623" s="6" t="inlineStr">
        <is>
          <t>%</t>
        </is>
      </c>
      <c r="Q623" s="12">
        <f>BSHARE("rectourism_share",DECILE_ARRAY,"Overall","median")</f>
        <v/>
      </c>
    </row>
    <row r="624">
      <c r="D624" s="6" t="inlineStr">
        <is>
          <t>median</t>
        </is>
      </c>
      <c r="E624" s="6" t="inlineStr">
        <is>
          <t>Urban</t>
        </is>
      </c>
      <c r="F624" s="6" t="inlineStr">
        <is>
          <t>Basket</t>
        </is>
      </c>
      <c r="G624" s="6" t="inlineStr">
        <is>
          <t>ret</t>
        </is>
      </c>
      <c r="H624" s="6" t="inlineStr">
        <is>
          <t>%</t>
        </is>
      </c>
      <c r="P624" s="12">
        <f>BSHARE("rectourism_share",0,"Urban","median")</f>
        <v/>
      </c>
    </row>
    <row r="625">
      <c r="D625" s="6" t="inlineStr">
        <is>
          <t>median</t>
        </is>
      </c>
      <c r="E625" s="6" t="inlineStr">
        <is>
          <t>Urban</t>
        </is>
      </c>
      <c r="F625" s="6" t="inlineStr">
        <is>
          <t>Deciles</t>
        </is>
      </c>
      <c r="G625" s="6" t="inlineStr">
        <is>
          <t>ret</t>
        </is>
      </c>
      <c r="H625" s="6" t="inlineStr">
        <is>
          <t>%</t>
        </is>
      </c>
      <c r="Q625" s="12">
        <f>BSHARE("rectourism_share",DECILE_ARRAY,"Urban","median")</f>
        <v/>
      </c>
    </row>
    <row r="626">
      <c r="D626" s="6" t="inlineStr">
        <is>
          <t>median</t>
        </is>
      </c>
      <c r="E626" s="6" t="inlineStr">
        <is>
          <t>Rural</t>
        </is>
      </c>
      <c r="F626" s="6" t="inlineStr">
        <is>
          <t>Basket</t>
        </is>
      </c>
      <c r="G626" s="6" t="inlineStr">
        <is>
          <t>ret</t>
        </is>
      </c>
      <c r="H626" s="6" t="inlineStr">
        <is>
          <t>%</t>
        </is>
      </c>
      <c r="P626" s="12">
        <f>BSHARE("rectourism_share",0,"Rural","median")</f>
        <v/>
      </c>
    </row>
    <row r="627">
      <c r="D627" s="6" t="inlineStr">
        <is>
          <t>median</t>
        </is>
      </c>
      <c r="E627" s="6" t="inlineStr">
        <is>
          <t>Rural</t>
        </is>
      </c>
      <c r="F627" s="6" t="inlineStr">
        <is>
          <t>Deciles</t>
        </is>
      </c>
      <c r="G627" s="6" t="inlineStr">
        <is>
          <t>ret</t>
        </is>
      </c>
      <c r="H627" s="6" t="inlineStr">
        <is>
          <t>%</t>
        </is>
      </c>
      <c r="Q627" s="12">
        <f>BSHARE("rectourism_share",DECILE_ARRAY,"Rural","median")</f>
        <v/>
      </c>
    </row>
    <row r="628">
      <c r="D628" s="6" t="inlineStr">
        <is>
          <t>p25</t>
        </is>
      </c>
      <c r="E628" s="6" t="inlineStr">
        <is>
          <t>Overall</t>
        </is>
      </c>
      <c r="F628" s="6" t="inlineStr">
        <is>
          <t>Basket</t>
        </is>
      </c>
      <c r="G628" s="6" t="inlineStr">
        <is>
          <t>ret</t>
        </is>
      </c>
      <c r="H628" s="6" t="inlineStr">
        <is>
          <t>%</t>
        </is>
      </c>
      <c r="P628" s="12">
        <f>BSHARE("rectourism_share",0,"Overall","p25")</f>
        <v/>
      </c>
    </row>
    <row r="629">
      <c r="D629" s="6" t="inlineStr">
        <is>
          <t>p25</t>
        </is>
      </c>
      <c r="E629" s="6" t="inlineStr">
        <is>
          <t>Overall</t>
        </is>
      </c>
      <c r="F629" s="6" t="inlineStr">
        <is>
          <t>Deciles</t>
        </is>
      </c>
      <c r="G629" s="6" t="inlineStr">
        <is>
          <t>ret</t>
        </is>
      </c>
      <c r="H629" s="6" t="inlineStr">
        <is>
          <t>%</t>
        </is>
      </c>
      <c r="Q629" s="12">
        <f>BSHARE("rectourism_share",DECILE_ARRAY,"Overall","p25")</f>
        <v/>
      </c>
    </row>
    <row r="630">
      <c r="D630" s="6" t="inlineStr">
        <is>
          <t>p25</t>
        </is>
      </c>
      <c r="E630" s="6" t="inlineStr">
        <is>
          <t>Urban</t>
        </is>
      </c>
      <c r="F630" s="6" t="inlineStr">
        <is>
          <t>Basket</t>
        </is>
      </c>
      <c r="G630" s="6" t="inlineStr">
        <is>
          <t>ret</t>
        </is>
      </c>
      <c r="H630" s="6" t="inlineStr">
        <is>
          <t>%</t>
        </is>
      </c>
      <c r="P630" s="12">
        <f>BSHARE("rectourism_share",0,"Urban","p25")</f>
        <v/>
      </c>
    </row>
    <row r="631">
      <c r="D631" s="6" t="inlineStr">
        <is>
          <t>p25</t>
        </is>
      </c>
      <c r="E631" s="6" t="inlineStr">
        <is>
          <t>Urban</t>
        </is>
      </c>
      <c r="F631" s="6" t="inlineStr">
        <is>
          <t>Deciles</t>
        </is>
      </c>
      <c r="G631" s="6" t="inlineStr">
        <is>
          <t>ret</t>
        </is>
      </c>
      <c r="H631" s="6" t="inlineStr">
        <is>
          <t>%</t>
        </is>
      </c>
      <c r="Q631" s="12">
        <f>BSHARE("rectourism_share",DECILE_ARRAY,"Urban","p25")</f>
        <v/>
      </c>
    </row>
    <row r="632">
      <c r="D632" s="6" t="inlineStr">
        <is>
          <t>p25</t>
        </is>
      </c>
      <c r="E632" s="6" t="inlineStr">
        <is>
          <t>Rural</t>
        </is>
      </c>
      <c r="F632" s="6" t="inlineStr">
        <is>
          <t>Basket</t>
        </is>
      </c>
      <c r="G632" s="6" t="inlineStr">
        <is>
          <t>ret</t>
        </is>
      </c>
      <c r="H632" s="6" t="inlineStr">
        <is>
          <t>%</t>
        </is>
      </c>
      <c r="P632" s="12">
        <f>BSHARE("rectourism_share",0,"Rural","p25")</f>
        <v/>
      </c>
    </row>
    <row r="633">
      <c r="D633" s="6" t="inlineStr">
        <is>
          <t>p25</t>
        </is>
      </c>
      <c r="E633" s="6" t="inlineStr">
        <is>
          <t>Rural</t>
        </is>
      </c>
      <c r="F633" s="6" t="inlineStr">
        <is>
          <t>Deciles</t>
        </is>
      </c>
      <c r="G633" s="6" t="inlineStr">
        <is>
          <t>ret</t>
        </is>
      </c>
      <c r="H633" s="6" t="inlineStr">
        <is>
          <t>%</t>
        </is>
      </c>
      <c r="Q633" s="12">
        <f>BSHARE("rectourism_share",DECILE_ARRAY,"Rural","p25")</f>
        <v/>
      </c>
    </row>
    <row r="634">
      <c r="D634" s="6" t="inlineStr">
        <is>
          <t>p75</t>
        </is>
      </c>
      <c r="E634" s="6" t="inlineStr">
        <is>
          <t>Overall</t>
        </is>
      </c>
      <c r="F634" s="6" t="inlineStr">
        <is>
          <t>Basket</t>
        </is>
      </c>
      <c r="G634" s="6" t="inlineStr">
        <is>
          <t>ret</t>
        </is>
      </c>
      <c r="H634" s="6" t="inlineStr">
        <is>
          <t>%</t>
        </is>
      </c>
      <c r="P634" s="12">
        <f>BSHARE("rectourism_share",0,"Overall","p75")</f>
        <v/>
      </c>
    </row>
    <row r="635">
      <c r="D635" s="6" t="inlineStr">
        <is>
          <t>p75</t>
        </is>
      </c>
      <c r="E635" s="6" t="inlineStr">
        <is>
          <t>Overall</t>
        </is>
      </c>
      <c r="F635" s="6" t="inlineStr">
        <is>
          <t>Deciles</t>
        </is>
      </c>
      <c r="G635" s="6" t="inlineStr">
        <is>
          <t>ret</t>
        </is>
      </c>
      <c r="H635" s="6" t="inlineStr">
        <is>
          <t>%</t>
        </is>
      </c>
      <c r="Q635" s="12">
        <f>BSHARE("rectourism_share",DECILE_ARRAY,"Overall","p75")</f>
        <v/>
      </c>
    </row>
    <row r="636">
      <c r="D636" s="6" t="inlineStr">
        <is>
          <t>p75</t>
        </is>
      </c>
      <c r="E636" s="6" t="inlineStr">
        <is>
          <t>Urban</t>
        </is>
      </c>
      <c r="F636" s="6" t="inlineStr">
        <is>
          <t>Basket</t>
        </is>
      </c>
      <c r="G636" s="6" t="inlineStr">
        <is>
          <t>ret</t>
        </is>
      </c>
      <c r="H636" s="6" t="inlineStr">
        <is>
          <t>%</t>
        </is>
      </c>
      <c r="P636" s="12">
        <f>BSHARE("rectourism_share",0,"Urban","p75")</f>
        <v/>
      </c>
    </row>
    <row r="637">
      <c r="D637" s="6" t="inlineStr">
        <is>
          <t>p75</t>
        </is>
      </c>
      <c r="E637" s="6" t="inlineStr">
        <is>
          <t>Urban</t>
        </is>
      </c>
      <c r="F637" s="6" t="inlineStr">
        <is>
          <t>Deciles</t>
        </is>
      </c>
      <c r="G637" s="6" t="inlineStr">
        <is>
          <t>ret</t>
        </is>
      </c>
      <c r="H637" s="6" t="inlineStr">
        <is>
          <t>%</t>
        </is>
      </c>
      <c r="Q637" s="12">
        <f>BSHARE("rectourism_share",DECILE_ARRAY,"Urban","p75")</f>
        <v/>
      </c>
    </row>
    <row r="638">
      <c r="D638" s="6" t="inlineStr">
        <is>
          <t>p75</t>
        </is>
      </c>
      <c r="E638" s="6" t="inlineStr">
        <is>
          <t>Rural</t>
        </is>
      </c>
      <c r="F638" s="6" t="inlineStr">
        <is>
          <t>Basket</t>
        </is>
      </c>
      <c r="G638" s="6" t="inlineStr">
        <is>
          <t>ret</t>
        </is>
      </c>
      <c r="H638" s="6" t="inlineStr">
        <is>
          <t>%</t>
        </is>
      </c>
      <c r="P638" s="12">
        <f>BSHARE("rectourism_share",0,"Rural","p75")</f>
        <v/>
      </c>
    </row>
    <row r="639">
      <c r="D639" s="6" t="inlineStr">
        <is>
          <t>p75</t>
        </is>
      </c>
      <c r="E639" s="6" t="inlineStr">
        <is>
          <t>Rural</t>
        </is>
      </c>
      <c r="F639" s="6" t="inlineStr">
        <is>
          <t>Deciles</t>
        </is>
      </c>
      <c r="G639" s="6" t="inlineStr">
        <is>
          <t>ret</t>
        </is>
      </c>
      <c r="H639" s="6" t="inlineStr">
        <is>
          <t>%</t>
        </is>
      </c>
      <c r="Q639" s="12">
        <f>BSHARE("rectourism_share",DECILE_ARRAY,"Rural","p75")</f>
        <v/>
      </c>
    </row>
    <row r="641">
      <c r="C641" s="7" t="inlineStr">
        <is>
          <t>Transportation Equipment Budget Share (% Total Consumption)</t>
        </is>
      </c>
      <c r="G641" s="6" t="inlineStr">
        <is>
          <t>teq</t>
        </is>
      </c>
      <c r="O641" s="8" t="inlineStr">
        <is>
          <t>Decile --&gt;</t>
        </is>
      </c>
      <c r="Q641" s="8" t="n">
        <v>1</v>
      </c>
      <c r="R641" s="8" t="n">
        <v>2</v>
      </c>
      <c r="S641" s="8" t="n">
        <v>3</v>
      </c>
      <c r="T641" s="8" t="n">
        <v>4</v>
      </c>
      <c r="U641" s="8" t="n">
        <v>5</v>
      </c>
      <c r="V641" s="8" t="n">
        <v>6</v>
      </c>
      <c r="W641" s="8" t="n">
        <v>7</v>
      </c>
      <c r="X641" s="8" t="n">
        <v>8</v>
      </c>
      <c r="Y641" s="8" t="n">
        <v>9</v>
      </c>
      <c r="Z641" s="8" t="n">
        <v>10</v>
      </c>
    </row>
    <row r="642">
      <c r="D642" s="6" t="inlineStr">
        <is>
          <t>mean</t>
        </is>
      </c>
      <c r="E642" s="6" t="inlineStr">
        <is>
          <t>Overall</t>
        </is>
      </c>
      <c r="F642" s="6" t="inlineStr">
        <is>
          <t>Basket</t>
        </is>
      </c>
      <c r="G642" s="6" t="inlineStr">
        <is>
          <t>teq</t>
        </is>
      </c>
      <c r="H642" s="6" t="inlineStr">
        <is>
          <t>%</t>
        </is>
      </c>
      <c r="P642" s="12">
        <f>BSHARE("transp_eqt_share",0,"Overall","mean")</f>
        <v/>
      </c>
    </row>
    <row r="643">
      <c r="D643" s="6" t="inlineStr">
        <is>
          <t>mean</t>
        </is>
      </c>
      <c r="E643" s="6" t="inlineStr">
        <is>
          <t>Overall</t>
        </is>
      </c>
      <c r="F643" s="6" t="inlineStr">
        <is>
          <t>Deciles</t>
        </is>
      </c>
      <c r="G643" s="6" t="inlineStr">
        <is>
          <t>teq</t>
        </is>
      </c>
      <c r="H643" s="6" t="inlineStr">
        <is>
          <t>%</t>
        </is>
      </c>
      <c r="Q643" s="12">
        <f>BSHARE("transp_eqt_share",DECILE_ARRAY,"Overall","mean")</f>
        <v/>
      </c>
    </row>
    <row r="644">
      <c r="D644" s="6" t="inlineStr">
        <is>
          <t>mean</t>
        </is>
      </c>
      <c r="E644" s="6" t="inlineStr">
        <is>
          <t>Urban</t>
        </is>
      </c>
      <c r="F644" s="6" t="inlineStr">
        <is>
          <t>Basket</t>
        </is>
      </c>
      <c r="G644" s="6" t="inlineStr">
        <is>
          <t>teq</t>
        </is>
      </c>
      <c r="H644" s="6" t="inlineStr">
        <is>
          <t>%</t>
        </is>
      </c>
      <c r="P644" s="12">
        <f>BSHARE("transp_eqt_share",0,"Urban","mean")</f>
        <v/>
      </c>
    </row>
    <row r="645">
      <c r="D645" s="6" t="inlineStr">
        <is>
          <t>mean</t>
        </is>
      </c>
      <c r="E645" s="6" t="inlineStr">
        <is>
          <t>Urban</t>
        </is>
      </c>
      <c r="F645" s="6" t="inlineStr">
        <is>
          <t>Deciles</t>
        </is>
      </c>
      <c r="G645" s="6" t="inlineStr">
        <is>
          <t>teq</t>
        </is>
      </c>
      <c r="H645" s="6" t="inlineStr">
        <is>
          <t>%</t>
        </is>
      </c>
      <c r="Q645" s="12">
        <f>BSHARE("transp_eqt_share",DECILE_ARRAY,"Urban","mean")</f>
        <v/>
      </c>
    </row>
    <row r="646">
      <c r="D646" s="6" t="inlineStr">
        <is>
          <t>mean</t>
        </is>
      </c>
      <c r="E646" s="6" t="inlineStr">
        <is>
          <t>Rural</t>
        </is>
      </c>
      <c r="F646" s="6" t="inlineStr">
        <is>
          <t>Basket</t>
        </is>
      </c>
      <c r="G646" s="6" t="inlineStr">
        <is>
          <t>teq</t>
        </is>
      </c>
      <c r="H646" s="6" t="inlineStr">
        <is>
          <t>%</t>
        </is>
      </c>
      <c r="P646" s="12">
        <f>BSHARE("transp_eqt_share",0,"Rural","mean")</f>
        <v/>
      </c>
    </row>
    <row r="647">
      <c r="D647" s="6" t="inlineStr">
        <is>
          <t>mean</t>
        </is>
      </c>
      <c r="E647" s="6" t="inlineStr">
        <is>
          <t>Rural</t>
        </is>
      </c>
      <c r="F647" s="6" t="inlineStr">
        <is>
          <t>Deciles</t>
        </is>
      </c>
      <c r="G647" s="6" t="inlineStr">
        <is>
          <t>teq</t>
        </is>
      </c>
      <c r="H647" s="6" t="inlineStr">
        <is>
          <t>%</t>
        </is>
      </c>
      <c r="Q647" s="12">
        <f>BSHARE("transp_eqt_share",DECILE_ARRAY,"Rural","mean")</f>
        <v/>
      </c>
    </row>
    <row r="648">
      <c r="D648" s="6" t="inlineStr">
        <is>
          <t>median</t>
        </is>
      </c>
      <c r="E648" s="6" t="inlineStr">
        <is>
          <t>Overall</t>
        </is>
      </c>
      <c r="F648" s="6" t="inlineStr">
        <is>
          <t>Basket</t>
        </is>
      </c>
      <c r="G648" s="6" t="inlineStr">
        <is>
          <t>teq</t>
        </is>
      </c>
      <c r="H648" s="6" t="inlineStr">
        <is>
          <t>%</t>
        </is>
      </c>
      <c r="P648" s="12">
        <f>BSHARE("transp_eqt_share",0,"Overall","median")</f>
        <v/>
      </c>
    </row>
    <row r="649">
      <c r="D649" s="6" t="inlineStr">
        <is>
          <t>median</t>
        </is>
      </c>
      <c r="E649" s="6" t="inlineStr">
        <is>
          <t>Overall</t>
        </is>
      </c>
      <c r="F649" s="6" t="inlineStr">
        <is>
          <t>Deciles</t>
        </is>
      </c>
      <c r="G649" s="6" t="inlineStr">
        <is>
          <t>teq</t>
        </is>
      </c>
      <c r="H649" s="6" t="inlineStr">
        <is>
          <t>%</t>
        </is>
      </c>
      <c r="Q649" s="12">
        <f>BSHARE("transp_eqt_share",DECILE_ARRAY,"Overall","median")</f>
        <v/>
      </c>
    </row>
    <row r="650">
      <c r="D650" s="6" t="inlineStr">
        <is>
          <t>median</t>
        </is>
      </c>
      <c r="E650" s="6" t="inlineStr">
        <is>
          <t>Urban</t>
        </is>
      </c>
      <c r="F650" s="6" t="inlineStr">
        <is>
          <t>Basket</t>
        </is>
      </c>
      <c r="G650" s="6" t="inlineStr">
        <is>
          <t>teq</t>
        </is>
      </c>
      <c r="H650" s="6" t="inlineStr">
        <is>
          <t>%</t>
        </is>
      </c>
      <c r="P650" s="12">
        <f>BSHARE("transp_eqt_share",0,"Urban","median")</f>
        <v/>
      </c>
    </row>
    <row r="651">
      <c r="D651" s="6" t="inlineStr">
        <is>
          <t>median</t>
        </is>
      </c>
      <c r="E651" s="6" t="inlineStr">
        <is>
          <t>Urban</t>
        </is>
      </c>
      <c r="F651" s="6" t="inlineStr">
        <is>
          <t>Deciles</t>
        </is>
      </c>
      <c r="G651" s="6" t="inlineStr">
        <is>
          <t>teq</t>
        </is>
      </c>
      <c r="H651" s="6" t="inlineStr">
        <is>
          <t>%</t>
        </is>
      </c>
      <c r="Q651" s="12">
        <f>BSHARE("transp_eqt_share",DECILE_ARRAY,"Urban","median")</f>
        <v/>
      </c>
    </row>
    <row r="652">
      <c r="D652" s="6" t="inlineStr">
        <is>
          <t>median</t>
        </is>
      </c>
      <c r="E652" s="6" t="inlineStr">
        <is>
          <t>Rural</t>
        </is>
      </c>
      <c r="F652" s="6" t="inlineStr">
        <is>
          <t>Basket</t>
        </is>
      </c>
      <c r="G652" s="6" t="inlineStr">
        <is>
          <t>teq</t>
        </is>
      </c>
      <c r="H652" s="6" t="inlineStr">
        <is>
          <t>%</t>
        </is>
      </c>
      <c r="P652" s="12">
        <f>BSHARE("transp_eqt_share",0,"Rural","median")</f>
        <v/>
      </c>
    </row>
    <row r="653">
      <c r="D653" s="6" t="inlineStr">
        <is>
          <t>median</t>
        </is>
      </c>
      <c r="E653" s="6" t="inlineStr">
        <is>
          <t>Rural</t>
        </is>
      </c>
      <c r="F653" s="6" t="inlineStr">
        <is>
          <t>Deciles</t>
        </is>
      </c>
      <c r="G653" s="6" t="inlineStr">
        <is>
          <t>teq</t>
        </is>
      </c>
      <c r="H653" s="6" t="inlineStr">
        <is>
          <t>%</t>
        </is>
      </c>
      <c r="Q653" s="12">
        <f>BSHARE("transp_eqt_share",DECILE_ARRAY,"Rural","median")</f>
        <v/>
      </c>
    </row>
    <row r="654">
      <c r="D654" s="6" t="inlineStr">
        <is>
          <t>p25</t>
        </is>
      </c>
      <c r="E654" s="6" t="inlineStr">
        <is>
          <t>Overall</t>
        </is>
      </c>
      <c r="F654" s="6" t="inlineStr">
        <is>
          <t>Basket</t>
        </is>
      </c>
      <c r="G654" s="6" t="inlineStr">
        <is>
          <t>teq</t>
        </is>
      </c>
      <c r="H654" s="6" t="inlineStr">
        <is>
          <t>%</t>
        </is>
      </c>
      <c r="P654" s="12">
        <f>BSHARE("transp_eqt_share",0,"Overall","p25")</f>
        <v/>
      </c>
    </row>
    <row r="655">
      <c r="D655" s="6" t="inlineStr">
        <is>
          <t>p25</t>
        </is>
      </c>
      <c r="E655" s="6" t="inlineStr">
        <is>
          <t>Overall</t>
        </is>
      </c>
      <c r="F655" s="6" t="inlineStr">
        <is>
          <t>Deciles</t>
        </is>
      </c>
      <c r="G655" s="6" t="inlineStr">
        <is>
          <t>teq</t>
        </is>
      </c>
      <c r="H655" s="6" t="inlineStr">
        <is>
          <t>%</t>
        </is>
      </c>
      <c r="Q655" s="12">
        <f>BSHARE("transp_eqt_share",DECILE_ARRAY,"Overall","p25")</f>
        <v/>
      </c>
    </row>
    <row r="656">
      <c r="D656" s="6" t="inlineStr">
        <is>
          <t>p25</t>
        </is>
      </c>
      <c r="E656" s="6" t="inlineStr">
        <is>
          <t>Urban</t>
        </is>
      </c>
      <c r="F656" s="6" t="inlineStr">
        <is>
          <t>Basket</t>
        </is>
      </c>
      <c r="G656" s="6" t="inlineStr">
        <is>
          <t>teq</t>
        </is>
      </c>
      <c r="H656" s="6" t="inlineStr">
        <is>
          <t>%</t>
        </is>
      </c>
      <c r="P656" s="12">
        <f>BSHARE("transp_eqt_share",0,"Urban","p25")</f>
        <v/>
      </c>
    </row>
    <row r="657">
      <c r="D657" s="6" t="inlineStr">
        <is>
          <t>p25</t>
        </is>
      </c>
      <c r="E657" s="6" t="inlineStr">
        <is>
          <t>Urban</t>
        </is>
      </c>
      <c r="F657" s="6" t="inlineStr">
        <is>
          <t>Deciles</t>
        </is>
      </c>
      <c r="G657" s="6" t="inlineStr">
        <is>
          <t>teq</t>
        </is>
      </c>
      <c r="H657" s="6" t="inlineStr">
        <is>
          <t>%</t>
        </is>
      </c>
      <c r="Q657" s="12">
        <f>BSHARE("transp_eqt_share",DECILE_ARRAY,"Urban","p25")</f>
        <v/>
      </c>
    </row>
    <row r="658">
      <c r="D658" s="6" t="inlineStr">
        <is>
          <t>p25</t>
        </is>
      </c>
      <c r="E658" s="6" t="inlineStr">
        <is>
          <t>Rural</t>
        </is>
      </c>
      <c r="F658" s="6" t="inlineStr">
        <is>
          <t>Basket</t>
        </is>
      </c>
      <c r="G658" s="6" t="inlineStr">
        <is>
          <t>teq</t>
        </is>
      </c>
      <c r="H658" s="6" t="inlineStr">
        <is>
          <t>%</t>
        </is>
      </c>
      <c r="P658" s="12">
        <f>BSHARE("transp_eqt_share",0,"Rural","p25")</f>
        <v/>
      </c>
    </row>
    <row r="659">
      <c r="D659" s="6" t="inlineStr">
        <is>
          <t>p25</t>
        </is>
      </c>
      <c r="E659" s="6" t="inlineStr">
        <is>
          <t>Rural</t>
        </is>
      </c>
      <c r="F659" s="6" t="inlineStr">
        <is>
          <t>Deciles</t>
        </is>
      </c>
      <c r="G659" s="6" t="inlineStr">
        <is>
          <t>teq</t>
        </is>
      </c>
      <c r="H659" s="6" t="inlineStr">
        <is>
          <t>%</t>
        </is>
      </c>
      <c r="Q659" s="12">
        <f>BSHARE("transp_eqt_share",DECILE_ARRAY,"Rural","p25")</f>
        <v/>
      </c>
    </row>
    <row r="660">
      <c r="D660" s="6" t="inlineStr">
        <is>
          <t>p75</t>
        </is>
      </c>
      <c r="E660" s="6" t="inlineStr">
        <is>
          <t>Overall</t>
        </is>
      </c>
      <c r="F660" s="6" t="inlineStr">
        <is>
          <t>Basket</t>
        </is>
      </c>
      <c r="G660" s="6" t="inlineStr">
        <is>
          <t>teq</t>
        </is>
      </c>
      <c r="H660" s="6" t="inlineStr">
        <is>
          <t>%</t>
        </is>
      </c>
      <c r="P660" s="12">
        <f>BSHARE("transp_eqt_share",0,"Overall","p75")</f>
        <v/>
      </c>
    </row>
    <row r="661">
      <c r="D661" s="6" t="inlineStr">
        <is>
          <t>p75</t>
        </is>
      </c>
      <c r="E661" s="6" t="inlineStr">
        <is>
          <t>Overall</t>
        </is>
      </c>
      <c r="F661" s="6" t="inlineStr">
        <is>
          <t>Deciles</t>
        </is>
      </c>
      <c r="G661" s="6" t="inlineStr">
        <is>
          <t>teq</t>
        </is>
      </c>
      <c r="H661" s="6" t="inlineStr">
        <is>
          <t>%</t>
        </is>
      </c>
      <c r="Q661" s="12">
        <f>BSHARE("transp_eqt_share",DECILE_ARRAY,"Overall","p75")</f>
        <v/>
      </c>
    </row>
    <row r="662">
      <c r="D662" s="6" t="inlineStr">
        <is>
          <t>p75</t>
        </is>
      </c>
      <c r="E662" s="6" t="inlineStr">
        <is>
          <t>Urban</t>
        </is>
      </c>
      <c r="F662" s="6" t="inlineStr">
        <is>
          <t>Basket</t>
        </is>
      </c>
      <c r="G662" s="6" t="inlineStr">
        <is>
          <t>teq</t>
        </is>
      </c>
      <c r="H662" s="6" t="inlineStr">
        <is>
          <t>%</t>
        </is>
      </c>
      <c r="P662" s="12">
        <f>BSHARE("transp_eqt_share",0,"Urban","p75")</f>
        <v/>
      </c>
    </row>
    <row r="663">
      <c r="D663" s="6" t="inlineStr">
        <is>
          <t>p75</t>
        </is>
      </c>
      <c r="E663" s="6" t="inlineStr">
        <is>
          <t>Urban</t>
        </is>
      </c>
      <c r="F663" s="6" t="inlineStr">
        <is>
          <t>Deciles</t>
        </is>
      </c>
      <c r="G663" s="6" t="inlineStr">
        <is>
          <t>teq</t>
        </is>
      </c>
      <c r="H663" s="6" t="inlineStr">
        <is>
          <t>%</t>
        </is>
      </c>
      <c r="Q663" s="12">
        <f>BSHARE("transp_eqt_share",DECILE_ARRAY,"Urban","p75")</f>
        <v/>
      </c>
    </row>
    <row r="664">
      <c r="D664" s="6" t="inlineStr">
        <is>
          <t>p75</t>
        </is>
      </c>
      <c r="E664" s="6" t="inlineStr">
        <is>
          <t>Rural</t>
        </is>
      </c>
      <c r="F664" s="6" t="inlineStr">
        <is>
          <t>Basket</t>
        </is>
      </c>
      <c r="G664" s="6" t="inlineStr">
        <is>
          <t>teq</t>
        </is>
      </c>
      <c r="H664" s="6" t="inlineStr">
        <is>
          <t>%</t>
        </is>
      </c>
      <c r="P664" s="12">
        <f>BSHARE("transp_eqt_share",0,"Rural","p75")</f>
        <v/>
      </c>
    </row>
    <row r="665">
      <c r="D665" s="6" t="inlineStr">
        <is>
          <t>p75</t>
        </is>
      </c>
      <c r="E665" s="6" t="inlineStr">
        <is>
          <t>Rural</t>
        </is>
      </c>
      <c r="F665" s="6" t="inlineStr">
        <is>
          <t>Deciles</t>
        </is>
      </c>
      <c r="G665" s="6" t="inlineStr">
        <is>
          <t>teq</t>
        </is>
      </c>
      <c r="H665" s="6" t="inlineStr">
        <is>
          <t>%</t>
        </is>
      </c>
      <c r="Q665" s="12">
        <f>BSHARE("transp_eqt_share",DECILE_ARRAY,"Rural","p75")</f>
        <v/>
      </c>
    </row>
    <row r="667">
      <c r="C667" s="7" t="inlineStr">
        <is>
          <t>Public Transportation Budget Share (% Total Consumption)</t>
        </is>
      </c>
      <c r="G667" s="6" t="inlineStr">
        <is>
          <t>tpu</t>
        </is>
      </c>
      <c r="O667" s="8" t="inlineStr">
        <is>
          <t>Decile --&gt;</t>
        </is>
      </c>
      <c r="Q667" s="8" t="n">
        <v>1</v>
      </c>
      <c r="R667" s="8" t="n">
        <v>2</v>
      </c>
      <c r="S667" s="8" t="n">
        <v>3</v>
      </c>
      <c r="T667" s="8" t="n">
        <v>4</v>
      </c>
      <c r="U667" s="8" t="n">
        <v>5</v>
      </c>
      <c r="V667" s="8" t="n">
        <v>6</v>
      </c>
      <c r="W667" s="8" t="n">
        <v>7</v>
      </c>
      <c r="X667" s="8" t="n">
        <v>8</v>
      </c>
      <c r="Y667" s="8" t="n">
        <v>9</v>
      </c>
      <c r="Z667" s="8" t="n">
        <v>10</v>
      </c>
    </row>
    <row r="668">
      <c r="D668" s="6" t="inlineStr">
        <is>
          <t>mean</t>
        </is>
      </c>
      <c r="E668" s="6" t="inlineStr">
        <is>
          <t>Overall</t>
        </is>
      </c>
      <c r="F668" s="6" t="inlineStr">
        <is>
          <t>Basket</t>
        </is>
      </c>
      <c r="G668" s="6" t="inlineStr">
        <is>
          <t>tpu</t>
        </is>
      </c>
      <c r="H668" s="6" t="inlineStr">
        <is>
          <t>%</t>
        </is>
      </c>
      <c r="P668" s="12">
        <f>BSHARE("transp_pub_share",0,"Overall","mean")</f>
        <v/>
      </c>
    </row>
    <row r="669">
      <c r="D669" s="6" t="inlineStr">
        <is>
          <t>mean</t>
        </is>
      </c>
      <c r="E669" s="6" t="inlineStr">
        <is>
          <t>Overall</t>
        </is>
      </c>
      <c r="F669" s="6" t="inlineStr">
        <is>
          <t>Deciles</t>
        </is>
      </c>
      <c r="G669" s="6" t="inlineStr">
        <is>
          <t>tpu</t>
        </is>
      </c>
      <c r="H669" s="6" t="inlineStr">
        <is>
          <t>%</t>
        </is>
      </c>
      <c r="Q669" s="12">
        <f>BSHARE("transp_pub_share",DECILE_ARRAY,"Overall","mean")</f>
        <v/>
      </c>
    </row>
    <row r="670">
      <c r="D670" s="6" t="inlineStr">
        <is>
          <t>mean</t>
        </is>
      </c>
      <c r="E670" s="6" t="inlineStr">
        <is>
          <t>Urban</t>
        </is>
      </c>
      <c r="F670" s="6" t="inlineStr">
        <is>
          <t>Basket</t>
        </is>
      </c>
      <c r="G670" s="6" t="inlineStr">
        <is>
          <t>tpu</t>
        </is>
      </c>
      <c r="H670" s="6" t="inlineStr">
        <is>
          <t>%</t>
        </is>
      </c>
      <c r="P670" s="12">
        <f>BSHARE("transp_pub_share",0,"Urban","mean")</f>
        <v/>
      </c>
    </row>
    <row r="671">
      <c r="D671" s="6" t="inlineStr">
        <is>
          <t>mean</t>
        </is>
      </c>
      <c r="E671" s="6" t="inlineStr">
        <is>
          <t>Urban</t>
        </is>
      </c>
      <c r="F671" s="6" t="inlineStr">
        <is>
          <t>Deciles</t>
        </is>
      </c>
      <c r="G671" s="6" t="inlineStr">
        <is>
          <t>tpu</t>
        </is>
      </c>
      <c r="H671" s="6" t="inlineStr">
        <is>
          <t>%</t>
        </is>
      </c>
      <c r="Q671" s="12">
        <f>BSHARE("transp_pub_share",DECILE_ARRAY,"Urban","mean")</f>
        <v/>
      </c>
    </row>
    <row r="672">
      <c r="D672" s="6" t="inlineStr">
        <is>
          <t>mean</t>
        </is>
      </c>
      <c r="E672" s="6" t="inlineStr">
        <is>
          <t>Rural</t>
        </is>
      </c>
      <c r="F672" s="6" t="inlineStr">
        <is>
          <t>Basket</t>
        </is>
      </c>
      <c r="G672" s="6" t="inlineStr">
        <is>
          <t>tpu</t>
        </is>
      </c>
      <c r="H672" s="6" t="inlineStr">
        <is>
          <t>%</t>
        </is>
      </c>
      <c r="P672" s="12">
        <f>BSHARE("transp_pub_share",0,"Rural","mean")</f>
        <v/>
      </c>
    </row>
    <row r="673">
      <c r="D673" s="6" t="inlineStr">
        <is>
          <t>mean</t>
        </is>
      </c>
      <c r="E673" s="6" t="inlineStr">
        <is>
          <t>Rural</t>
        </is>
      </c>
      <c r="F673" s="6" t="inlineStr">
        <is>
          <t>Deciles</t>
        </is>
      </c>
      <c r="G673" s="6" t="inlineStr">
        <is>
          <t>tpu</t>
        </is>
      </c>
      <c r="H673" s="6" t="inlineStr">
        <is>
          <t>%</t>
        </is>
      </c>
      <c r="Q673" s="12">
        <f>BSHARE("transp_pub_share",DECILE_ARRAY,"Rural","mean")</f>
        <v/>
      </c>
    </row>
    <row r="674">
      <c r="D674" s="6" t="inlineStr">
        <is>
          <t>median</t>
        </is>
      </c>
      <c r="E674" s="6" t="inlineStr">
        <is>
          <t>Overall</t>
        </is>
      </c>
      <c r="F674" s="6" t="inlineStr">
        <is>
          <t>Basket</t>
        </is>
      </c>
      <c r="G674" s="6" t="inlineStr">
        <is>
          <t>tpu</t>
        </is>
      </c>
      <c r="H674" s="6" t="inlineStr">
        <is>
          <t>%</t>
        </is>
      </c>
      <c r="P674" s="12">
        <f>BSHARE("transp_pub_share",0,"Overall","median")</f>
        <v/>
      </c>
    </row>
    <row r="675">
      <c r="D675" s="6" t="inlineStr">
        <is>
          <t>median</t>
        </is>
      </c>
      <c r="E675" s="6" t="inlineStr">
        <is>
          <t>Overall</t>
        </is>
      </c>
      <c r="F675" s="6" t="inlineStr">
        <is>
          <t>Deciles</t>
        </is>
      </c>
      <c r="G675" s="6" t="inlineStr">
        <is>
          <t>tpu</t>
        </is>
      </c>
      <c r="H675" s="6" t="inlineStr">
        <is>
          <t>%</t>
        </is>
      </c>
      <c r="Q675" s="12">
        <f>BSHARE("transp_pub_share",DECILE_ARRAY,"Overall","median")</f>
        <v/>
      </c>
    </row>
    <row r="676">
      <c r="D676" s="6" t="inlineStr">
        <is>
          <t>median</t>
        </is>
      </c>
      <c r="E676" s="6" t="inlineStr">
        <is>
          <t>Urban</t>
        </is>
      </c>
      <c r="F676" s="6" t="inlineStr">
        <is>
          <t>Basket</t>
        </is>
      </c>
      <c r="G676" s="6" t="inlineStr">
        <is>
          <t>tpu</t>
        </is>
      </c>
      <c r="H676" s="6" t="inlineStr">
        <is>
          <t>%</t>
        </is>
      </c>
      <c r="P676" s="12">
        <f>BSHARE("transp_pub_share",0,"Urban","median")</f>
        <v/>
      </c>
    </row>
    <row r="677">
      <c r="D677" s="6" t="inlineStr">
        <is>
          <t>median</t>
        </is>
      </c>
      <c r="E677" s="6" t="inlineStr">
        <is>
          <t>Urban</t>
        </is>
      </c>
      <c r="F677" s="6" t="inlineStr">
        <is>
          <t>Deciles</t>
        </is>
      </c>
      <c r="G677" s="6" t="inlineStr">
        <is>
          <t>tpu</t>
        </is>
      </c>
      <c r="H677" s="6" t="inlineStr">
        <is>
          <t>%</t>
        </is>
      </c>
      <c r="Q677" s="12">
        <f>BSHARE("transp_pub_share",DECILE_ARRAY,"Urban","median")</f>
        <v/>
      </c>
    </row>
    <row r="678">
      <c r="D678" s="6" t="inlineStr">
        <is>
          <t>median</t>
        </is>
      </c>
      <c r="E678" s="6" t="inlineStr">
        <is>
          <t>Rural</t>
        </is>
      </c>
      <c r="F678" s="6" t="inlineStr">
        <is>
          <t>Basket</t>
        </is>
      </c>
      <c r="G678" s="6" t="inlineStr">
        <is>
          <t>tpu</t>
        </is>
      </c>
      <c r="H678" s="6" t="inlineStr">
        <is>
          <t>%</t>
        </is>
      </c>
      <c r="P678" s="12">
        <f>BSHARE("transp_pub_share",0,"Rural","median")</f>
        <v/>
      </c>
    </row>
    <row r="679">
      <c r="D679" s="6" t="inlineStr">
        <is>
          <t>median</t>
        </is>
      </c>
      <c r="E679" s="6" t="inlineStr">
        <is>
          <t>Rural</t>
        </is>
      </c>
      <c r="F679" s="6" t="inlineStr">
        <is>
          <t>Deciles</t>
        </is>
      </c>
      <c r="G679" s="6" t="inlineStr">
        <is>
          <t>tpu</t>
        </is>
      </c>
      <c r="H679" s="6" t="inlineStr">
        <is>
          <t>%</t>
        </is>
      </c>
      <c r="Q679" s="12">
        <f>BSHARE("transp_pub_share",DECILE_ARRAY,"Rural","median")</f>
        <v/>
      </c>
    </row>
    <row r="680">
      <c r="D680" s="6" t="inlineStr">
        <is>
          <t>p25</t>
        </is>
      </c>
      <c r="E680" s="6" t="inlineStr">
        <is>
          <t>Overall</t>
        </is>
      </c>
      <c r="F680" s="6" t="inlineStr">
        <is>
          <t>Basket</t>
        </is>
      </c>
      <c r="G680" s="6" t="inlineStr">
        <is>
          <t>tpu</t>
        </is>
      </c>
      <c r="H680" s="6" t="inlineStr">
        <is>
          <t>%</t>
        </is>
      </c>
      <c r="P680" s="12">
        <f>BSHARE("transp_pub_share",0,"Overall","p25")</f>
        <v/>
      </c>
    </row>
    <row r="681">
      <c r="D681" s="6" t="inlineStr">
        <is>
          <t>p25</t>
        </is>
      </c>
      <c r="E681" s="6" t="inlineStr">
        <is>
          <t>Overall</t>
        </is>
      </c>
      <c r="F681" s="6" t="inlineStr">
        <is>
          <t>Deciles</t>
        </is>
      </c>
      <c r="G681" s="6" t="inlineStr">
        <is>
          <t>tpu</t>
        </is>
      </c>
      <c r="H681" s="6" t="inlineStr">
        <is>
          <t>%</t>
        </is>
      </c>
      <c r="Q681" s="12">
        <f>BSHARE("transp_pub_share",DECILE_ARRAY,"Overall","p25")</f>
        <v/>
      </c>
    </row>
    <row r="682">
      <c r="D682" s="6" t="inlineStr">
        <is>
          <t>p25</t>
        </is>
      </c>
      <c r="E682" s="6" t="inlineStr">
        <is>
          <t>Urban</t>
        </is>
      </c>
      <c r="F682" s="6" t="inlineStr">
        <is>
          <t>Basket</t>
        </is>
      </c>
      <c r="G682" s="6" t="inlineStr">
        <is>
          <t>tpu</t>
        </is>
      </c>
      <c r="H682" s="6" t="inlineStr">
        <is>
          <t>%</t>
        </is>
      </c>
      <c r="P682" s="12">
        <f>BSHARE("transp_pub_share",0,"Urban","p25")</f>
        <v/>
      </c>
    </row>
    <row r="683">
      <c r="D683" s="6" t="inlineStr">
        <is>
          <t>p25</t>
        </is>
      </c>
      <c r="E683" s="6" t="inlineStr">
        <is>
          <t>Urban</t>
        </is>
      </c>
      <c r="F683" s="6" t="inlineStr">
        <is>
          <t>Deciles</t>
        </is>
      </c>
      <c r="G683" s="6" t="inlineStr">
        <is>
          <t>tpu</t>
        </is>
      </c>
      <c r="H683" s="6" t="inlineStr">
        <is>
          <t>%</t>
        </is>
      </c>
      <c r="Q683" s="12">
        <f>BSHARE("transp_pub_share",DECILE_ARRAY,"Urban","p25")</f>
        <v/>
      </c>
    </row>
    <row r="684">
      <c r="D684" s="6" t="inlineStr">
        <is>
          <t>p25</t>
        </is>
      </c>
      <c r="E684" s="6" t="inlineStr">
        <is>
          <t>Rural</t>
        </is>
      </c>
      <c r="F684" s="6" t="inlineStr">
        <is>
          <t>Basket</t>
        </is>
      </c>
      <c r="G684" s="6" t="inlineStr">
        <is>
          <t>tpu</t>
        </is>
      </c>
      <c r="H684" s="6" t="inlineStr">
        <is>
          <t>%</t>
        </is>
      </c>
      <c r="P684" s="12">
        <f>BSHARE("transp_pub_share",0,"Rural","p25")</f>
        <v/>
      </c>
    </row>
    <row r="685">
      <c r="D685" s="6" t="inlineStr">
        <is>
          <t>p25</t>
        </is>
      </c>
      <c r="E685" s="6" t="inlineStr">
        <is>
          <t>Rural</t>
        </is>
      </c>
      <c r="F685" s="6" t="inlineStr">
        <is>
          <t>Deciles</t>
        </is>
      </c>
      <c r="G685" s="6" t="inlineStr">
        <is>
          <t>tpu</t>
        </is>
      </c>
      <c r="H685" s="6" t="inlineStr">
        <is>
          <t>%</t>
        </is>
      </c>
      <c r="Q685" s="12">
        <f>BSHARE("transp_pub_share",DECILE_ARRAY,"Rural","p25")</f>
        <v/>
      </c>
    </row>
    <row r="686">
      <c r="D686" s="6" t="inlineStr">
        <is>
          <t>p75</t>
        </is>
      </c>
      <c r="E686" s="6" t="inlineStr">
        <is>
          <t>Overall</t>
        </is>
      </c>
      <c r="F686" s="6" t="inlineStr">
        <is>
          <t>Basket</t>
        </is>
      </c>
      <c r="G686" s="6" t="inlineStr">
        <is>
          <t>tpu</t>
        </is>
      </c>
      <c r="H686" s="6" t="inlineStr">
        <is>
          <t>%</t>
        </is>
      </c>
      <c r="P686" s="12">
        <f>BSHARE("transp_pub_share",0,"Overall","p75")</f>
        <v/>
      </c>
    </row>
    <row r="687">
      <c r="D687" s="6" t="inlineStr">
        <is>
          <t>p75</t>
        </is>
      </c>
      <c r="E687" s="6" t="inlineStr">
        <is>
          <t>Overall</t>
        </is>
      </c>
      <c r="F687" s="6" t="inlineStr">
        <is>
          <t>Deciles</t>
        </is>
      </c>
      <c r="G687" s="6" t="inlineStr">
        <is>
          <t>tpu</t>
        </is>
      </c>
      <c r="H687" s="6" t="inlineStr">
        <is>
          <t>%</t>
        </is>
      </c>
      <c r="Q687" s="12">
        <f>BSHARE("transp_pub_share",DECILE_ARRAY,"Overall","p75")</f>
        <v/>
      </c>
    </row>
    <row r="688">
      <c r="D688" s="6" t="inlineStr">
        <is>
          <t>p75</t>
        </is>
      </c>
      <c r="E688" s="6" t="inlineStr">
        <is>
          <t>Urban</t>
        </is>
      </c>
      <c r="F688" s="6" t="inlineStr">
        <is>
          <t>Basket</t>
        </is>
      </c>
      <c r="G688" s="6" t="inlineStr">
        <is>
          <t>tpu</t>
        </is>
      </c>
      <c r="H688" s="6" t="inlineStr">
        <is>
          <t>%</t>
        </is>
      </c>
      <c r="P688" s="12">
        <f>BSHARE("transp_pub_share",0,"Urban","p75")</f>
        <v/>
      </c>
    </row>
    <row r="689">
      <c r="D689" s="6" t="inlineStr">
        <is>
          <t>p75</t>
        </is>
      </c>
      <c r="E689" s="6" t="inlineStr">
        <is>
          <t>Urban</t>
        </is>
      </c>
      <c r="F689" s="6" t="inlineStr">
        <is>
          <t>Deciles</t>
        </is>
      </c>
      <c r="G689" s="6" t="inlineStr">
        <is>
          <t>tpu</t>
        </is>
      </c>
      <c r="H689" s="6" t="inlineStr">
        <is>
          <t>%</t>
        </is>
      </c>
      <c r="Q689" s="12">
        <f>BSHARE("transp_pub_share",DECILE_ARRAY,"Urban","p75")</f>
        <v/>
      </c>
    </row>
    <row r="690">
      <c r="D690" s="6" t="inlineStr">
        <is>
          <t>p75</t>
        </is>
      </c>
      <c r="E690" s="6" t="inlineStr">
        <is>
          <t>Rural</t>
        </is>
      </c>
      <c r="F690" s="6" t="inlineStr">
        <is>
          <t>Basket</t>
        </is>
      </c>
      <c r="G690" s="6" t="inlineStr">
        <is>
          <t>tpu</t>
        </is>
      </c>
      <c r="H690" s="6" t="inlineStr">
        <is>
          <t>%</t>
        </is>
      </c>
      <c r="P690" s="12">
        <f>BSHARE("transp_pub_share",0,"Rural","p75")</f>
        <v/>
      </c>
    </row>
    <row r="691">
      <c r="D691" s="6" t="inlineStr">
        <is>
          <t>p75</t>
        </is>
      </c>
      <c r="E691" s="6" t="inlineStr">
        <is>
          <t>Rural</t>
        </is>
      </c>
      <c r="F691" s="6" t="inlineStr">
        <is>
          <t>Deciles</t>
        </is>
      </c>
      <c r="G691" s="6" t="inlineStr">
        <is>
          <t>tpu</t>
        </is>
      </c>
      <c r="H691" s="6" t="inlineStr">
        <is>
          <t>%</t>
        </is>
      </c>
      <c r="Q691" s="12">
        <f>BSHARE("transp_pub_share",DECILE_ARRAY,"Rural","p75")</f>
        <v/>
      </c>
    </row>
    <row r="693">
      <c r="A693" s="4" t="inlineStr">
        <is>
          <t>C.V.</t>
        </is>
      </c>
      <c r="B693" s="4" t="inlineStr">
        <is>
          <t>Consumption losses - direct effect</t>
        </is>
      </c>
      <c r="C693" s="5" t="n"/>
      <c r="D693" s="5" t="n"/>
      <c r="E693" s="5" t="n"/>
      <c r="F693" s="5" t="n"/>
      <c r="G693" s="5" t="n"/>
      <c r="H693" s="5" t="n"/>
      <c r="I693" s="5" t="n"/>
      <c r="J693" s="5" t="n"/>
      <c r="K693" s="5" t="n"/>
      <c r="L693" s="5" t="n"/>
      <c r="M693" s="5" t="n"/>
      <c r="N693" s="5" t="n"/>
    </row>
    <row r="695">
      <c r="C695" s="7" t="inlineStr">
        <is>
          <t>Direct Effect - Coal (% Total Consumption)</t>
        </is>
      </c>
      <c r="G695" s="6" t="inlineStr">
        <is>
          <t>coa</t>
        </is>
      </c>
      <c r="O695" s="8" t="inlineStr">
        <is>
          <t>Decile --&gt;</t>
        </is>
      </c>
      <c r="Q695" s="8" t="n">
        <v>1</v>
      </c>
      <c r="R695" s="8" t="n">
        <v>2</v>
      </c>
      <c r="S695" s="8" t="n">
        <v>3</v>
      </c>
      <c r="T695" s="8" t="n">
        <v>4</v>
      </c>
      <c r="U695" s="8" t="n">
        <v>5</v>
      </c>
      <c r="V695" s="8" t="n">
        <v>6</v>
      </c>
      <c r="W695" s="8" t="n">
        <v>7</v>
      </c>
      <c r="X695" s="8" t="n">
        <v>8</v>
      </c>
      <c r="Y695" s="8" t="n">
        <v>9</v>
      </c>
      <c r="Z695" s="8" t="n">
        <v>10</v>
      </c>
    </row>
    <row r="696">
      <c r="D696" s="6" t="inlineStr">
        <is>
          <t>mean</t>
        </is>
      </c>
      <c r="E696" s="6" t="inlineStr">
        <is>
          <t>Overall</t>
        </is>
      </c>
      <c r="F696" s="6" t="inlineStr">
        <is>
          <t>Basket</t>
        </is>
      </c>
      <c r="G696" s="6" t="inlineStr">
        <is>
          <t>coa</t>
        </is>
      </c>
      <c r="H696" s="6" t="inlineStr">
        <is>
          <t>%</t>
        </is>
      </c>
      <c r="P696" s="12">
        <f>DIRECT_EFFECT("coa","Coal","coa_share","coa_elasticity",0,"Overall","mean")</f>
        <v/>
      </c>
    </row>
    <row r="697">
      <c r="D697" s="6" t="inlineStr">
        <is>
          <t>mean</t>
        </is>
      </c>
      <c r="E697" s="6" t="inlineStr">
        <is>
          <t>Overall</t>
        </is>
      </c>
      <c r="F697" s="6" t="inlineStr">
        <is>
          <t>Deciles</t>
        </is>
      </c>
      <c r="G697" s="6" t="inlineStr">
        <is>
          <t>coa</t>
        </is>
      </c>
      <c r="H697" s="6" t="inlineStr">
        <is>
          <t>%</t>
        </is>
      </c>
      <c r="Q697" s="12">
        <f>DIRECT_EFFECT("coa","Coal","coa_share","coa_elasticity",DECILE_ARRAY,"Overall","mean")</f>
        <v/>
      </c>
    </row>
    <row r="698">
      <c r="D698" s="6" t="inlineStr">
        <is>
          <t>mean</t>
        </is>
      </c>
      <c r="E698" s="6" t="inlineStr">
        <is>
          <t>Urban</t>
        </is>
      </c>
      <c r="F698" s="6" t="inlineStr">
        <is>
          <t>Basket</t>
        </is>
      </c>
      <c r="G698" s="6" t="inlineStr">
        <is>
          <t>coa</t>
        </is>
      </c>
      <c r="H698" s="6" t="inlineStr">
        <is>
          <t>%</t>
        </is>
      </c>
      <c r="P698" s="12">
        <f>DIRECT_EFFECT("coa","Coal","coa_share","coa_elasticity",0,"Urban","mean")</f>
        <v/>
      </c>
    </row>
    <row r="699">
      <c r="D699" s="6" t="inlineStr">
        <is>
          <t>mean</t>
        </is>
      </c>
      <c r="E699" s="6" t="inlineStr">
        <is>
          <t>Urban</t>
        </is>
      </c>
      <c r="F699" s="6" t="inlineStr">
        <is>
          <t>Deciles</t>
        </is>
      </c>
      <c r="G699" s="6" t="inlineStr">
        <is>
          <t>coa</t>
        </is>
      </c>
      <c r="H699" s="6" t="inlineStr">
        <is>
          <t>%</t>
        </is>
      </c>
      <c r="Q699" s="12">
        <f>DIRECT_EFFECT("coa","Coal","coa_share","coa_elasticity",DECILE_ARRAY,"Urban","mean")</f>
        <v/>
      </c>
    </row>
    <row r="700">
      <c r="D700" s="6" t="inlineStr">
        <is>
          <t>mean</t>
        </is>
      </c>
      <c r="E700" s="6" t="inlineStr">
        <is>
          <t>Rural</t>
        </is>
      </c>
      <c r="F700" s="6" t="inlineStr">
        <is>
          <t>Basket</t>
        </is>
      </c>
      <c r="G700" s="6" t="inlineStr">
        <is>
          <t>coa</t>
        </is>
      </c>
      <c r="H700" s="6" t="inlineStr">
        <is>
          <t>%</t>
        </is>
      </c>
      <c r="P700" s="12">
        <f>DIRECT_EFFECT("coa","Coal","coa_share","coa_elasticity",0,"Rural","mean")</f>
        <v/>
      </c>
    </row>
    <row r="701">
      <c r="D701" s="6" t="inlineStr">
        <is>
          <t>mean</t>
        </is>
      </c>
      <c r="E701" s="6" t="inlineStr">
        <is>
          <t>Rural</t>
        </is>
      </c>
      <c r="F701" s="6" t="inlineStr">
        <is>
          <t>Deciles</t>
        </is>
      </c>
      <c r="G701" s="6" t="inlineStr">
        <is>
          <t>coa</t>
        </is>
      </c>
      <c r="H701" s="6" t="inlineStr">
        <is>
          <t>%</t>
        </is>
      </c>
      <c r="Q701" s="12">
        <f>DIRECT_EFFECT("coa","Coal","coa_share","coa_elasticity",DECILE_ARRAY,"Rural","mean")</f>
        <v/>
      </c>
    </row>
    <row r="702">
      <c r="D702" s="6" t="inlineStr">
        <is>
          <t>median</t>
        </is>
      </c>
      <c r="E702" s="6" t="inlineStr">
        <is>
          <t>Overall</t>
        </is>
      </c>
      <c r="F702" s="6" t="inlineStr">
        <is>
          <t>Basket</t>
        </is>
      </c>
      <c r="G702" s="6" t="inlineStr">
        <is>
          <t>coa</t>
        </is>
      </c>
      <c r="H702" s="6" t="inlineStr">
        <is>
          <t>%</t>
        </is>
      </c>
      <c r="P702" s="12">
        <f>DIRECT_EFFECT("coa","Coal","coa_share","coa_elasticity",0,"Overall","median")</f>
        <v/>
      </c>
    </row>
    <row r="703">
      <c r="D703" s="6" t="inlineStr">
        <is>
          <t>median</t>
        </is>
      </c>
      <c r="E703" s="6" t="inlineStr">
        <is>
          <t>Overall</t>
        </is>
      </c>
      <c r="F703" s="6" t="inlineStr">
        <is>
          <t>Deciles</t>
        </is>
      </c>
      <c r="G703" s="6" t="inlineStr">
        <is>
          <t>coa</t>
        </is>
      </c>
      <c r="H703" s="6" t="inlineStr">
        <is>
          <t>%</t>
        </is>
      </c>
      <c r="Q703" s="12">
        <f>DIRECT_EFFECT("coa","Coal","coa_share","coa_elasticity",DECILE_ARRAY,"Overall","median")</f>
        <v/>
      </c>
    </row>
    <row r="704">
      <c r="D704" s="6" t="inlineStr">
        <is>
          <t>median</t>
        </is>
      </c>
      <c r="E704" s="6" t="inlineStr">
        <is>
          <t>Urban</t>
        </is>
      </c>
      <c r="F704" s="6" t="inlineStr">
        <is>
          <t>Basket</t>
        </is>
      </c>
      <c r="G704" s="6" t="inlineStr">
        <is>
          <t>coa</t>
        </is>
      </c>
      <c r="H704" s="6" t="inlineStr">
        <is>
          <t>%</t>
        </is>
      </c>
      <c r="P704" s="12">
        <f>DIRECT_EFFECT("coa","Coal","coa_share","coa_elasticity",0,"Urban","median")</f>
        <v/>
      </c>
    </row>
    <row r="705">
      <c r="D705" s="6" t="inlineStr">
        <is>
          <t>median</t>
        </is>
      </c>
      <c r="E705" s="6" t="inlineStr">
        <is>
          <t>Urban</t>
        </is>
      </c>
      <c r="F705" s="6" t="inlineStr">
        <is>
          <t>Deciles</t>
        </is>
      </c>
      <c r="G705" s="6" t="inlineStr">
        <is>
          <t>coa</t>
        </is>
      </c>
      <c r="H705" s="6" t="inlineStr">
        <is>
          <t>%</t>
        </is>
      </c>
      <c r="Q705" s="12">
        <f>DIRECT_EFFECT("coa","Coal","coa_share","coa_elasticity",DECILE_ARRAY,"Urban","median")</f>
        <v/>
      </c>
    </row>
    <row r="706">
      <c r="D706" s="6" t="inlineStr">
        <is>
          <t>median</t>
        </is>
      </c>
      <c r="E706" s="6" t="inlineStr">
        <is>
          <t>Rural</t>
        </is>
      </c>
      <c r="F706" s="6" t="inlineStr">
        <is>
          <t>Basket</t>
        </is>
      </c>
      <c r="G706" s="6" t="inlineStr">
        <is>
          <t>coa</t>
        </is>
      </c>
      <c r="H706" s="6" t="inlineStr">
        <is>
          <t>%</t>
        </is>
      </c>
      <c r="P706" s="12">
        <f>DIRECT_EFFECT("coa","Coal","coa_share","coa_elasticity",0,"Rural","median")</f>
        <v/>
      </c>
    </row>
    <row r="707">
      <c r="D707" s="6" t="inlineStr">
        <is>
          <t>median</t>
        </is>
      </c>
      <c r="E707" s="6" t="inlineStr">
        <is>
          <t>Rural</t>
        </is>
      </c>
      <c r="F707" s="6" t="inlineStr">
        <is>
          <t>Deciles</t>
        </is>
      </c>
      <c r="G707" s="6" t="inlineStr">
        <is>
          <t>coa</t>
        </is>
      </c>
      <c r="H707" s="6" t="inlineStr">
        <is>
          <t>%</t>
        </is>
      </c>
      <c r="Q707" s="12">
        <f>DIRECT_EFFECT("coa","Coal","coa_share","coa_elasticity",DECILE_ARRAY,"Rural","median")</f>
        <v/>
      </c>
    </row>
    <row r="708">
      <c r="D708" s="6" t="inlineStr">
        <is>
          <t>p25</t>
        </is>
      </c>
      <c r="E708" s="6" t="inlineStr">
        <is>
          <t>Overall</t>
        </is>
      </c>
      <c r="F708" s="6" t="inlineStr">
        <is>
          <t>Basket</t>
        </is>
      </c>
      <c r="G708" s="6" t="inlineStr">
        <is>
          <t>coa</t>
        </is>
      </c>
      <c r="H708" s="6" t="inlineStr">
        <is>
          <t>%</t>
        </is>
      </c>
      <c r="P708" s="12">
        <f>DIRECT_EFFECT("coa","Coal","coa_share","coa_elasticity",0,"Overall","p25")</f>
        <v/>
      </c>
    </row>
    <row r="709">
      <c r="D709" s="6" t="inlineStr">
        <is>
          <t>p25</t>
        </is>
      </c>
      <c r="E709" s="6" t="inlineStr">
        <is>
          <t>Overall</t>
        </is>
      </c>
      <c r="F709" s="6" t="inlineStr">
        <is>
          <t>Deciles</t>
        </is>
      </c>
      <c r="G709" s="6" t="inlineStr">
        <is>
          <t>coa</t>
        </is>
      </c>
      <c r="H709" s="6" t="inlineStr">
        <is>
          <t>%</t>
        </is>
      </c>
      <c r="Q709" s="12">
        <f>DIRECT_EFFECT("coa","Coal","coa_share","coa_elasticity",DECILE_ARRAY,"Overall","p25")</f>
        <v/>
      </c>
    </row>
    <row r="710">
      <c r="D710" s="6" t="inlineStr">
        <is>
          <t>p25</t>
        </is>
      </c>
      <c r="E710" s="6" t="inlineStr">
        <is>
          <t>Urban</t>
        </is>
      </c>
      <c r="F710" s="6" t="inlineStr">
        <is>
          <t>Basket</t>
        </is>
      </c>
      <c r="G710" s="6" t="inlineStr">
        <is>
          <t>coa</t>
        </is>
      </c>
      <c r="H710" s="6" t="inlineStr">
        <is>
          <t>%</t>
        </is>
      </c>
      <c r="P710" s="12">
        <f>DIRECT_EFFECT("coa","Coal","coa_share","coa_elasticity",0,"Urban","p25")</f>
        <v/>
      </c>
    </row>
    <row r="711">
      <c r="D711" s="6" t="inlineStr">
        <is>
          <t>p25</t>
        </is>
      </c>
      <c r="E711" s="6" t="inlineStr">
        <is>
          <t>Urban</t>
        </is>
      </c>
      <c r="F711" s="6" t="inlineStr">
        <is>
          <t>Deciles</t>
        </is>
      </c>
      <c r="G711" s="6" t="inlineStr">
        <is>
          <t>coa</t>
        </is>
      </c>
      <c r="H711" s="6" t="inlineStr">
        <is>
          <t>%</t>
        </is>
      </c>
      <c r="Q711" s="12">
        <f>DIRECT_EFFECT("coa","Coal","coa_share","coa_elasticity",DECILE_ARRAY,"Urban","p25")</f>
        <v/>
      </c>
    </row>
    <row r="712">
      <c r="D712" s="6" t="inlineStr">
        <is>
          <t>p25</t>
        </is>
      </c>
      <c r="E712" s="6" t="inlineStr">
        <is>
          <t>Rural</t>
        </is>
      </c>
      <c r="F712" s="6" t="inlineStr">
        <is>
          <t>Basket</t>
        </is>
      </c>
      <c r="G712" s="6" t="inlineStr">
        <is>
          <t>coa</t>
        </is>
      </c>
      <c r="H712" s="6" t="inlineStr">
        <is>
          <t>%</t>
        </is>
      </c>
      <c r="P712" s="12">
        <f>DIRECT_EFFECT("coa","Coal","coa_share","coa_elasticity",0,"Rural","p25")</f>
        <v/>
      </c>
    </row>
    <row r="713">
      <c r="D713" s="6" t="inlineStr">
        <is>
          <t>p25</t>
        </is>
      </c>
      <c r="E713" s="6" t="inlineStr">
        <is>
          <t>Rural</t>
        </is>
      </c>
      <c r="F713" s="6" t="inlineStr">
        <is>
          <t>Deciles</t>
        </is>
      </c>
      <c r="G713" s="6" t="inlineStr">
        <is>
          <t>coa</t>
        </is>
      </c>
      <c r="H713" s="6" t="inlineStr">
        <is>
          <t>%</t>
        </is>
      </c>
      <c r="Q713" s="12">
        <f>DIRECT_EFFECT("coa","Coal","coa_share","coa_elasticity",DECILE_ARRAY,"Rural","p25")</f>
        <v/>
      </c>
    </row>
    <row r="714">
      <c r="D714" s="6" t="inlineStr">
        <is>
          <t>p75</t>
        </is>
      </c>
      <c r="E714" s="6" t="inlineStr">
        <is>
          <t>Overall</t>
        </is>
      </c>
      <c r="F714" s="6" t="inlineStr">
        <is>
          <t>Basket</t>
        </is>
      </c>
      <c r="G714" s="6" t="inlineStr">
        <is>
          <t>coa</t>
        </is>
      </c>
      <c r="H714" s="6" t="inlineStr">
        <is>
          <t>%</t>
        </is>
      </c>
      <c r="P714" s="12">
        <f>DIRECT_EFFECT("coa","Coal","coa_share","coa_elasticity",0,"Overall","p75")</f>
        <v/>
      </c>
    </row>
    <row r="715">
      <c r="D715" s="6" t="inlineStr">
        <is>
          <t>p75</t>
        </is>
      </c>
      <c r="E715" s="6" t="inlineStr">
        <is>
          <t>Overall</t>
        </is>
      </c>
      <c r="F715" s="6" t="inlineStr">
        <is>
          <t>Deciles</t>
        </is>
      </c>
      <c r="G715" s="6" t="inlineStr">
        <is>
          <t>coa</t>
        </is>
      </c>
      <c r="H715" s="6" t="inlineStr">
        <is>
          <t>%</t>
        </is>
      </c>
      <c r="Q715" s="12">
        <f>DIRECT_EFFECT("coa","Coal","coa_share","coa_elasticity",DECILE_ARRAY,"Overall","p75")</f>
        <v/>
      </c>
    </row>
    <row r="716">
      <c r="D716" s="6" t="inlineStr">
        <is>
          <t>p75</t>
        </is>
      </c>
      <c r="E716" s="6" t="inlineStr">
        <is>
          <t>Urban</t>
        </is>
      </c>
      <c r="F716" s="6" t="inlineStr">
        <is>
          <t>Basket</t>
        </is>
      </c>
      <c r="G716" s="6" t="inlineStr">
        <is>
          <t>coa</t>
        </is>
      </c>
      <c r="H716" s="6" t="inlineStr">
        <is>
          <t>%</t>
        </is>
      </c>
      <c r="P716" s="12">
        <f>DIRECT_EFFECT("coa","Coal","coa_share","coa_elasticity",0,"Urban","p75")</f>
        <v/>
      </c>
    </row>
    <row r="717">
      <c r="D717" s="6" t="inlineStr">
        <is>
          <t>p75</t>
        </is>
      </c>
      <c r="E717" s="6" t="inlineStr">
        <is>
          <t>Urban</t>
        </is>
      </c>
      <c r="F717" s="6" t="inlineStr">
        <is>
          <t>Deciles</t>
        </is>
      </c>
      <c r="G717" s="6" t="inlineStr">
        <is>
          <t>coa</t>
        </is>
      </c>
      <c r="H717" s="6" t="inlineStr">
        <is>
          <t>%</t>
        </is>
      </c>
      <c r="Q717" s="12">
        <f>DIRECT_EFFECT("coa","Coal","coa_share","coa_elasticity",DECILE_ARRAY,"Urban","p75")</f>
        <v/>
      </c>
    </row>
    <row r="718">
      <c r="D718" s="6" t="inlineStr">
        <is>
          <t>p75</t>
        </is>
      </c>
      <c r="E718" s="6" t="inlineStr">
        <is>
          <t>Rural</t>
        </is>
      </c>
      <c r="F718" s="6" t="inlineStr">
        <is>
          <t>Basket</t>
        </is>
      </c>
      <c r="G718" s="6" t="inlineStr">
        <is>
          <t>coa</t>
        </is>
      </c>
      <c r="H718" s="6" t="inlineStr">
        <is>
          <t>%</t>
        </is>
      </c>
      <c r="P718" s="12">
        <f>DIRECT_EFFECT("coa","Coal","coa_share","coa_elasticity",0,"Rural","p75")</f>
        <v/>
      </c>
    </row>
    <row r="719">
      <c r="D719" s="6" t="inlineStr">
        <is>
          <t>p75</t>
        </is>
      </c>
      <c r="E719" s="6" t="inlineStr">
        <is>
          <t>Rural</t>
        </is>
      </c>
      <c r="F719" s="6" t="inlineStr">
        <is>
          <t>Deciles</t>
        </is>
      </c>
      <c r="G719" s="6" t="inlineStr">
        <is>
          <t>coa</t>
        </is>
      </c>
      <c r="H719" s="6" t="inlineStr">
        <is>
          <t>%</t>
        </is>
      </c>
      <c r="Q719" s="12">
        <f>DIRECT_EFFECT("coa","Coal","coa_share","coa_elasticity",DECILE_ARRAY,"Rural","p75")</f>
        <v/>
      </c>
    </row>
    <row r="721">
      <c r="C721" s="7" t="inlineStr">
        <is>
          <t>Direct Effect - Electricity (% Total Consumption)</t>
        </is>
      </c>
      <c r="G721" s="6" t="inlineStr">
        <is>
          <t>ely</t>
        </is>
      </c>
      <c r="O721" s="8" t="inlineStr">
        <is>
          <t>Decile --&gt;</t>
        </is>
      </c>
      <c r="Q721" s="8" t="n">
        <v>1</v>
      </c>
      <c r="R721" s="8" t="n">
        <v>2</v>
      </c>
      <c r="S721" s="8" t="n">
        <v>3</v>
      </c>
      <c r="T721" s="8" t="n">
        <v>4</v>
      </c>
      <c r="U721" s="8" t="n">
        <v>5</v>
      </c>
      <c r="V721" s="8" t="n">
        <v>6</v>
      </c>
      <c r="W721" s="8" t="n">
        <v>7</v>
      </c>
      <c r="X721" s="8" t="n">
        <v>8</v>
      </c>
      <c r="Y721" s="8" t="n">
        <v>9</v>
      </c>
      <c r="Z721" s="8" t="n">
        <v>10</v>
      </c>
    </row>
    <row r="722">
      <c r="D722" s="6" t="inlineStr">
        <is>
          <t>mean</t>
        </is>
      </c>
      <c r="E722" s="6" t="inlineStr">
        <is>
          <t>Overall</t>
        </is>
      </c>
      <c r="F722" s="6" t="inlineStr">
        <is>
          <t>Basket</t>
        </is>
      </c>
      <c r="G722" s="6" t="inlineStr">
        <is>
          <t>ely</t>
        </is>
      </c>
      <c r="H722" s="6" t="inlineStr">
        <is>
          <t>%</t>
        </is>
      </c>
      <c r="P722" s="12">
        <f>DIRECT_EFFECT("ely","Electricity","ely_share","ely_elasticity",0,"Overall","mean")</f>
        <v/>
      </c>
    </row>
    <row r="723">
      <c r="D723" s="6" t="inlineStr">
        <is>
          <t>mean</t>
        </is>
      </c>
      <c r="E723" s="6" t="inlineStr">
        <is>
          <t>Overall</t>
        </is>
      </c>
      <c r="F723" s="6" t="inlineStr">
        <is>
          <t>Deciles</t>
        </is>
      </c>
      <c r="G723" s="6" t="inlineStr">
        <is>
          <t>ely</t>
        </is>
      </c>
      <c r="H723" s="6" t="inlineStr">
        <is>
          <t>%</t>
        </is>
      </c>
      <c r="Q723" s="12">
        <f>DIRECT_EFFECT("ely","Electricity","ely_share","ely_elasticity",DECILE_ARRAY,"Overall","mean")</f>
        <v/>
      </c>
    </row>
    <row r="724">
      <c r="D724" s="6" t="inlineStr">
        <is>
          <t>mean</t>
        </is>
      </c>
      <c r="E724" s="6" t="inlineStr">
        <is>
          <t>Urban</t>
        </is>
      </c>
      <c r="F724" s="6" t="inlineStr">
        <is>
          <t>Basket</t>
        </is>
      </c>
      <c r="G724" s="6" t="inlineStr">
        <is>
          <t>ely</t>
        </is>
      </c>
      <c r="H724" s="6" t="inlineStr">
        <is>
          <t>%</t>
        </is>
      </c>
      <c r="P724" s="12">
        <f>DIRECT_EFFECT("ely","Electricity","ely_share","ely_elasticity",0,"Urban","mean")</f>
        <v/>
      </c>
    </row>
    <row r="725">
      <c r="D725" s="6" t="inlineStr">
        <is>
          <t>mean</t>
        </is>
      </c>
      <c r="E725" s="6" t="inlineStr">
        <is>
          <t>Urban</t>
        </is>
      </c>
      <c r="F725" s="6" t="inlineStr">
        <is>
          <t>Deciles</t>
        </is>
      </c>
      <c r="G725" s="6" t="inlineStr">
        <is>
          <t>ely</t>
        </is>
      </c>
      <c r="H725" s="6" t="inlineStr">
        <is>
          <t>%</t>
        </is>
      </c>
      <c r="Q725" s="12">
        <f>DIRECT_EFFECT("ely","Electricity","ely_share","ely_elasticity",DECILE_ARRAY,"Urban","mean")</f>
        <v/>
      </c>
    </row>
    <row r="726">
      <c r="D726" s="6" t="inlineStr">
        <is>
          <t>mean</t>
        </is>
      </c>
      <c r="E726" s="6" t="inlineStr">
        <is>
          <t>Rural</t>
        </is>
      </c>
      <c r="F726" s="6" t="inlineStr">
        <is>
          <t>Basket</t>
        </is>
      </c>
      <c r="G726" s="6" t="inlineStr">
        <is>
          <t>ely</t>
        </is>
      </c>
      <c r="H726" s="6" t="inlineStr">
        <is>
          <t>%</t>
        </is>
      </c>
      <c r="P726" s="12">
        <f>DIRECT_EFFECT("ely","Electricity","ely_share","ely_elasticity",0,"Rural","mean")</f>
        <v/>
      </c>
    </row>
    <row r="727">
      <c r="D727" s="6" t="inlineStr">
        <is>
          <t>mean</t>
        </is>
      </c>
      <c r="E727" s="6" t="inlineStr">
        <is>
          <t>Rural</t>
        </is>
      </c>
      <c r="F727" s="6" t="inlineStr">
        <is>
          <t>Deciles</t>
        </is>
      </c>
      <c r="G727" s="6" t="inlineStr">
        <is>
          <t>ely</t>
        </is>
      </c>
      <c r="H727" s="6" t="inlineStr">
        <is>
          <t>%</t>
        </is>
      </c>
      <c r="Q727" s="12">
        <f>DIRECT_EFFECT("ely","Electricity","ely_share","ely_elasticity",DECILE_ARRAY,"Rural","mean")</f>
        <v/>
      </c>
    </row>
    <row r="728">
      <c r="D728" s="6" t="inlineStr">
        <is>
          <t>median</t>
        </is>
      </c>
      <c r="E728" s="6" t="inlineStr">
        <is>
          <t>Overall</t>
        </is>
      </c>
      <c r="F728" s="6" t="inlineStr">
        <is>
          <t>Basket</t>
        </is>
      </c>
      <c r="G728" s="6" t="inlineStr">
        <is>
          <t>ely</t>
        </is>
      </c>
      <c r="H728" s="6" t="inlineStr">
        <is>
          <t>%</t>
        </is>
      </c>
      <c r="P728" s="12">
        <f>DIRECT_EFFECT("ely","Electricity","ely_share","ely_elasticity",0,"Overall","median")</f>
        <v/>
      </c>
    </row>
    <row r="729">
      <c r="D729" s="6" t="inlineStr">
        <is>
          <t>median</t>
        </is>
      </c>
      <c r="E729" s="6" t="inlineStr">
        <is>
          <t>Overall</t>
        </is>
      </c>
      <c r="F729" s="6" t="inlineStr">
        <is>
          <t>Deciles</t>
        </is>
      </c>
      <c r="G729" s="6" t="inlineStr">
        <is>
          <t>ely</t>
        </is>
      </c>
      <c r="H729" s="6" t="inlineStr">
        <is>
          <t>%</t>
        </is>
      </c>
      <c r="Q729" s="12">
        <f>DIRECT_EFFECT("ely","Electricity","ely_share","ely_elasticity",DECILE_ARRAY,"Overall","median")</f>
        <v/>
      </c>
    </row>
    <row r="730">
      <c r="D730" s="6" t="inlineStr">
        <is>
          <t>median</t>
        </is>
      </c>
      <c r="E730" s="6" t="inlineStr">
        <is>
          <t>Urban</t>
        </is>
      </c>
      <c r="F730" s="6" t="inlineStr">
        <is>
          <t>Basket</t>
        </is>
      </c>
      <c r="G730" s="6" t="inlineStr">
        <is>
          <t>ely</t>
        </is>
      </c>
      <c r="H730" s="6" t="inlineStr">
        <is>
          <t>%</t>
        </is>
      </c>
      <c r="P730" s="12">
        <f>DIRECT_EFFECT("ely","Electricity","ely_share","ely_elasticity",0,"Urban","median")</f>
        <v/>
      </c>
    </row>
    <row r="731">
      <c r="D731" s="6" t="inlineStr">
        <is>
          <t>median</t>
        </is>
      </c>
      <c r="E731" s="6" t="inlineStr">
        <is>
          <t>Urban</t>
        </is>
      </c>
      <c r="F731" s="6" t="inlineStr">
        <is>
          <t>Deciles</t>
        </is>
      </c>
      <c r="G731" s="6" t="inlineStr">
        <is>
          <t>ely</t>
        </is>
      </c>
      <c r="H731" s="6" t="inlineStr">
        <is>
          <t>%</t>
        </is>
      </c>
      <c r="Q731" s="12">
        <f>DIRECT_EFFECT("ely","Electricity","ely_share","ely_elasticity",DECILE_ARRAY,"Urban","median")</f>
        <v/>
      </c>
    </row>
    <row r="732">
      <c r="D732" s="6" t="inlineStr">
        <is>
          <t>median</t>
        </is>
      </c>
      <c r="E732" s="6" t="inlineStr">
        <is>
          <t>Rural</t>
        </is>
      </c>
      <c r="F732" s="6" t="inlineStr">
        <is>
          <t>Basket</t>
        </is>
      </c>
      <c r="G732" s="6" t="inlineStr">
        <is>
          <t>ely</t>
        </is>
      </c>
      <c r="H732" s="6" t="inlineStr">
        <is>
          <t>%</t>
        </is>
      </c>
      <c r="P732" s="12">
        <f>DIRECT_EFFECT("ely","Electricity","ely_share","ely_elasticity",0,"Rural","median")</f>
        <v/>
      </c>
    </row>
    <row r="733">
      <c r="D733" s="6" t="inlineStr">
        <is>
          <t>median</t>
        </is>
      </c>
      <c r="E733" s="6" t="inlineStr">
        <is>
          <t>Rural</t>
        </is>
      </c>
      <c r="F733" s="6" t="inlineStr">
        <is>
          <t>Deciles</t>
        </is>
      </c>
      <c r="G733" s="6" t="inlineStr">
        <is>
          <t>ely</t>
        </is>
      </c>
      <c r="H733" s="6" t="inlineStr">
        <is>
          <t>%</t>
        </is>
      </c>
      <c r="Q733" s="12">
        <f>DIRECT_EFFECT("ely","Electricity","ely_share","ely_elasticity",DECILE_ARRAY,"Rural","median")</f>
        <v/>
      </c>
    </row>
    <row r="734">
      <c r="D734" s="6" t="inlineStr">
        <is>
          <t>p25</t>
        </is>
      </c>
      <c r="E734" s="6" t="inlineStr">
        <is>
          <t>Overall</t>
        </is>
      </c>
      <c r="F734" s="6" t="inlineStr">
        <is>
          <t>Basket</t>
        </is>
      </c>
      <c r="G734" s="6" t="inlineStr">
        <is>
          <t>ely</t>
        </is>
      </c>
      <c r="H734" s="6" t="inlineStr">
        <is>
          <t>%</t>
        </is>
      </c>
      <c r="P734" s="12">
        <f>DIRECT_EFFECT("ely","Electricity","ely_share","ely_elasticity",0,"Overall","p25")</f>
        <v/>
      </c>
    </row>
    <row r="735">
      <c r="D735" s="6" t="inlineStr">
        <is>
          <t>p25</t>
        </is>
      </c>
      <c r="E735" s="6" t="inlineStr">
        <is>
          <t>Overall</t>
        </is>
      </c>
      <c r="F735" s="6" t="inlineStr">
        <is>
          <t>Deciles</t>
        </is>
      </c>
      <c r="G735" s="6" t="inlineStr">
        <is>
          <t>ely</t>
        </is>
      </c>
      <c r="H735" s="6" t="inlineStr">
        <is>
          <t>%</t>
        </is>
      </c>
      <c r="Q735" s="12">
        <f>DIRECT_EFFECT("ely","Electricity","ely_share","ely_elasticity",DECILE_ARRAY,"Overall","p25")</f>
        <v/>
      </c>
    </row>
    <row r="736">
      <c r="D736" s="6" t="inlineStr">
        <is>
          <t>p25</t>
        </is>
      </c>
      <c r="E736" s="6" t="inlineStr">
        <is>
          <t>Urban</t>
        </is>
      </c>
      <c r="F736" s="6" t="inlineStr">
        <is>
          <t>Basket</t>
        </is>
      </c>
      <c r="G736" s="6" t="inlineStr">
        <is>
          <t>ely</t>
        </is>
      </c>
      <c r="H736" s="6" t="inlineStr">
        <is>
          <t>%</t>
        </is>
      </c>
      <c r="P736" s="12">
        <f>DIRECT_EFFECT("ely","Electricity","ely_share","ely_elasticity",0,"Urban","p25")</f>
        <v/>
      </c>
    </row>
    <row r="737">
      <c r="D737" s="6" t="inlineStr">
        <is>
          <t>p25</t>
        </is>
      </c>
      <c r="E737" s="6" t="inlineStr">
        <is>
          <t>Urban</t>
        </is>
      </c>
      <c r="F737" s="6" t="inlineStr">
        <is>
          <t>Deciles</t>
        </is>
      </c>
      <c r="G737" s="6" t="inlineStr">
        <is>
          <t>ely</t>
        </is>
      </c>
      <c r="H737" s="6" t="inlineStr">
        <is>
          <t>%</t>
        </is>
      </c>
      <c r="Q737" s="12">
        <f>DIRECT_EFFECT("ely","Electricity","ely_share","ely_elasticity",DECILE_ARRAY,"Urban","p25")</f>
        <v/>
      </c>
    </row>
    <row r="738">
      <c r="D738" s="6" t="inlineStr">
        <is>
          <t>p25</t>
        </is>
      </c>
      <c r="E738" s="6" t="inlineStr">
        <is>
          <t>Rural</t>
        </is>
      </c>
      <c r="F738" s="6" t="inlineStr">
        <is>
          <t>Basket</t>
        </is>
      </c>
      <c r="G738" s="6" t="inlineStr">
        <is>
          <t>ely</t>
        </is>
      </c>
      <c r="H738" s="6" t="inlineStr">
        <is>
          <t>%</t>
        </is>
      </c>
      <c r="P738" s="12">
        <f>DIRECT_EFFECT("ely","Electricity","ely_share","ely_elasticity",0,"Rural","p25")</f>
        <v/>
      </c>
    </row>
    <row r="739">
      <c r="D739" s="6" t="inlineStr">
        <is>
          <t>p25</t>
        </is>
      </c>
      <c r="E739" s="6" t="inlineStr">
        <is>
          <t>Rural</t>
        </is>
      </c>
      <c r="F739" s="6" t="inlineStr">
        <is>
          <t>Deciles</t>
        </is>
      </c>
      <c r="G739" s="6" t="inlineStr">
        <is>
          <t>ely</t>
        </is>
      </c>
      <c r="H739" s="6" t="inlineStr">
        <is>
          <t>%</t>
        </is>
      </c>
      <c r="Q739" s="12">
        <f>DIRECT_EFFECT("ely","Electricity","ely_share","ely_elasticity",DECILE_ARRAY,"Rural","p25")</f>
        <v/>
      </c>
    </row>
    <row r="740">
      <c r="D740" s="6" t="inlineStr">
        <is>
          <t>p75</t>
        </is>
      </c>
      <c r="E740" s="6" t="inlineStr">
        <is>
          <t>Overall</t>
        </is>
      </c>
      <c r="F740" s="6" t="inlineStr">
        <is>
          <t>Basket</t>
        </is>
      </c>
      <c r="G740" s="6" t="inlineStr">
        <is>
          <t>ely</t>
        </is>
      </c>
      <c r="H740" s="6" t="inlineStr">
        <is>
          <t>%</t>
        </is>
      </c>
      <c r="P740" s="12">
        <f>DIRECT_EFFECT("ely","Electricity","ely_share","ely_elasticity",0,"Overall","p75")</f>
        <v/>
      </c>
    </row>
    <row r="741">
      <c r="D741" s="6" t="inlineStr">
        <is>
          <t>p75</t>
        </is>
      </c>
      <c r="E741" s="6" t="inlineStr">
        <is>
          <t>Overall</t>
        </is>
      </c>
      <c r="F741" s="6" t="inlineStr">
        <is>
          <t>Deciles</t>
        </is>
      </c>
      <c r="G741" s="6" t="inlineStr">
        <is>
          <t>ely</t>
        </is>
      </c>
      <c r="H741" s="6" t="inlineStr">
        <is>
          <t>%</t>
        </is>
      </c>
      <c r="Q741" s="12">
        <f>DIRECT_EFFECT("ely","Electricity","ely_share","ely_elasticity",DECILE_ARRAY,"Overall","p75")</f>
        <v/>
      </c>
    </row>
    <row r="742">
      <c r="D742" s="6" t="inlineStr">
        <is>
          <t>p75</t>
        </is>
      </c>
      <c r="E742" s="6" t="inlineStr">
        <is>
          <t>Urban</t>
        </is>
      </c>
      <c r="F742" s="6" t="inlineStr">
        <is>
          <t>Basket</t>
        </is>
      </c>
      <c r="G742" s="6" t="inlineStr">
        <is>
          <t>ely</t>
        </is>
      </c>
      <c r="H742" s="6" t="inlineStr">
        <is>
          <t>%</t>
        </is>
      </c>
      <c r="P742" s="12">
        <f>DIRECT_EFFECT("ely","Electricity","ely_share","ely_elasticity",0,"Urban","p75")</f>
        <v/>
      </c>
    </row>
    <row r="743">
      <c r="D743" s="6" t="inlineStr">
        <is>
          <t>p75</t>
        </is>
      </c>
      <c r="E743" s="6" t="inlineStr">
        <is>
          <t>Urban</t>
        </is>
      </c>
      <c r="F743" s="6" t="inlineStr">
        <is>
          <t>Deciles</t>
        </is>
      </c>
      <c r="G743" s="6" t="inlineStr">
        <is>
          <t>ely</t>
        </is>
      </c>
      <c r="H743" s="6" t="inlineStr">
        <is>
          <t>%</t>
        </is>
      </c>
      <c r="Q743" s="12">
        <f>DIRECT_EFFECT("ely","Electricity","ely_share","ely_elasticity",DECILE_ARRAY,"Urban","p75")</f>
        <v/>
      </c>
    </row>
    <row r="744">
      <c r="D744" s="6" t="inlineStr">
        <is>
          <t>p75</t>
        </is>
      </c>
      <c r="E744" s="6" t="inlineStr">
        <is>
          <t>Rural</t>
        </is>
      </c>
      <c r="F744" s="6" t="inlineStr">
        <is>
          <t>Basket</t>
        </is>
      </c>
      <c r="G744" s="6" t="inlineStr">
        <is>
          <t>ely</t>
        </is>
      </c>
      <c r="H744" s="6" t="inlineStr">
        <is>
          <t>%</t>
        </is>
      </c>
      <c r="P744" s="12">
        <f>DIRECT_EFFECT("ely","Electricity","ely_share","ely_elasticity",0,"Rural","p75")</f>
        <v/>
      </c>
    </row>
    <row r="745">
      <c r="D745" s="6" t="inlineStr">
        <is>
          <t>p75</t>
        </is>
      </c>
      <c r="E745" s="6" t="inlineStr">
        <is>
          <t>Rural</t>
        </is>
      </c>
      <c r="F745" s="6" t="inlineStr">
        <is>
          <t>Deciles</t>
        </is>
      </c>
      <c r="G745" s="6" t="inlineStr">
        <is>
          <t>ely</t>
        </is>
      </c>
      <c r="H745" s="6" t="inlineStr">
        <is>
          <t>%</t>
        </is>
      </c>
      <c r="Q745" s="12">
        <f>DIRECT_EFFECT("ely","Electricity","ely_share","ely_elasticity",DECILE_ARRAY,"Rural","p75")</f>
        <v/>
      </c>
    </row>
    <row r="747">
      <c r="C747" s="7" t="inlineStr">
        <is>
          <t>Direct Effect - Natural Gas (% Total Consumption)</t>
        </is>
      </c>
      <c r="G747" s="6" t="inlineStr">
        <is>
          <t>nga</t>
        </is>
      </c>
      <c r="O747" s="8" t="inlineStr">
        <is>
          <t>Decile --&gt;</t>
        </is>
      </c>
      <c r="Q747" s="8" t="n">
        <v>1</v>
      </c>
      <c r="R747" s="8" t="n">
        <v>2</v>
      </c>
      <c r="S747" s="8" t="n">
        <v>3</v>
      </c>
      <c r="T747" s="8" t="n">
        <v>4</v>
      </c>
      <c r="U747" s="8" t="n">
        <v>5</v>
      </c>
      <c r="V747" s="8" t="n">
        <v>6</v>
      </c>
      <c r="W747" s="8" t="n">
        <v>7</v>
      </c>
      <c r="X747" s="8" t="n">
        <v>8</v>
      </c>
      <c r="Y747" s="8" t="n">
        <v>9</v>
      </c>
      <c r="Z747" s="8" t="n">
        <v>10</v>
      </c>
    </row>
    <row r="748">
      <c r="D748" s="6" t="inlineStr">
        <is>
          <t>mean</t>
        </is>
      </c>
      <c r="E748" s="6" t="inlineStr">
        <is>
          <t>Overall</t>
        </is>
      </c>
      <c r="F748" s="6" t="inlineStr">
        <is>
          <t>Basket</t>
        </is>
      </c>
      <c r="G748" s="6" t="inlineStr">
        <is>
          <t>nga</t>
        </is>
      </c>
      <c r="H748" s="6" t="inlineStr">
        <is>
          <t>%</t>
        </is>
      </c>
      <c r="P748" s="12">
        <f>DIRECT_EFFECT("nga","Natural Gas","nga_share","nga_elasticity",0,"Overall","mean")</f>
        <v/>
      </c>
    </row>
    <row r="749">
      <c r="D749" s="6" t="inlineStr">
        <is>
          <t>mean</t>
        </is>
      </c>
      <c r="E749" s="6" t="inlineStr">
        <is>
          <t>Overall</t>
        </is>
      </c>
      <c r="F749" s="6" t="inlineStr">
        <is>
          <t>Deciles</t>
        </is>
      </c>
      <c r="G749" s="6" t="inlineStr">
        <is>
          <t>nga</t>
        </is>
      </c>
      <c r="H749" s="6" t="inlineStr">
        <is>
          <t>%</t>
        </is>
      </c>
      <c r="Q749" s="12">
        <f>DIRECT_EFFECT("nga","Natural Gas","nga_share","nga_elasticity",DECILE_ARRAY,"Overall","mean")</f>
        <v/>
      </c>
    </row>
    <row r="750">
      <c r="D750" s="6" t="inlineStr">
        <is>
          <t>mean</t>
        </is>
      </c>
      <c r="E750" s="6" t="inlineStr">
        <is>
          <t>Urban</t>
        </is>
      </c>
      <c r="F750" s="6" t="inlineStr">
        <is>
          <t>Basket</t>
        </is>
      </c>
      <c r="G750" s="6" t="inlineStr">
        <is>
          <t>nga</t>
        </is>
      </c>
      <c r="H750" s="6" t="inlineStr">
        <is>
          <t>%</t>
        </is>
      </c>
      <c r="P750" s="12">
        <f>DIRECT_EFFECT("nga","Natural Gas","nga_share","nga_elasticity",0,"Urban","mean")</f>
        <v/>
      </c>
    </row>
    <row r="751">
      <c r="D751" s="6" t="inlineStr">
        <is>
          <t>mean</t>
        </is>
      </c>
      <c r="E751" s="6" t="inlineStr">
        <is>
          <t>Urban</t>
        </is>
      </c>
      <c r="F751" s="6" t="inlineStr">
        <is>
          <t>Deciles</t>
        </is>
      </c>
      <c r="G751" s="6" t="inlineStr">
        <is>
          <t>nga</t>
        </is>
      </c>
      <c r="H751" s="6" t="inlineStr">
        <is>
          <t>%</t>
        </is>
      </c>
      <c r="Q751" s="12">
        <f>DIRECT_EFFECT("nga","Natural Gas","nga_share","nga_elasticity",DECILE_ARRAY,"Urban","mean")</f>
        <v/>
      </c>
    </row>
    <row r="752">
      <c r="D752" s="6" t="inlineStr">
        <is>
          <t>mean</t>
        </is>
      </c>
      <c r="E752" s="6" t="inlineStr">
        <is>
          <t>Rural</t>
        </is>
      </c>
      <c r="F752" s="6" t="inlineStr">
        <is>
          <t>Basket</t>
        </is>
      </c>
      <c r="G752" s="6" t="inlineStr">
        <is>
          <t>nga</t>
        </is>
      </c>
      <c r="H752" s="6" t="inlineStr">
        <is>
          <t>%</t>
        </is>
      </c>
      <c r="P752" s="12">
        <f>DIRECT_EFFECT("nga","Natural Gas","nga_share","nga_elasticity",0,"Rural","mean")</f>
        <v/>
      </c>
    </row>
    <row r="753">
      <c r="D753" s="6" t="inlineStr">
        <is>
          <t>mean</t>
        </is>
      </c>
      <c r="E753" s="6" t="inlineStr">
        <is>
          <t>Rural</t>
        </is>
      </c>
      <c r="F753" s="6" t="inlineStr">
        <is>
          <t>Deciles</t>
        </is>
      </c>
      <c r="G753" s="6" t="inlineStr">
        <is>
          <t>nga</t>
        </is>
      </c>
      <c r="H753" s="6" t="inlineStr">
        <is>
          <t>%</t>
        </is>
      </c>
      <c r="Q753" s="12">
        <f>DIRECT_EFFECT("nga","Natural Gas","nga_share","nga_elasticity",DECILE_ARRAY,"Rural","mean")</f>
        <v/>
      </c>
    </row>
    <row r="754">
      <c r="D754" s="6" t="inlineStr">
        <is>
          <t>median</t>
        </is>
      </c>
      <c r="E754" s="6" t="inlineStr">
        <is>
          <t>Overall</t>
        </is>
      </c>
      <c r="F754" s="6" t="inlineStr">
        <is>
          <t>Basket</t>
        </is>
      </c>
      <c r="G754" s="6" t="inlineStr">
        <is>
          <t>nga</t>
        </is>
      </c>
      <c r="H754" s="6" t="inlineStr">
        <is>
          <t>%</t>
        </is>
      </c>
      <c r="P754" s="12">
        <f>DIRECT_EFFECT("nga","Natural Gas","nga_share","nga_elasticity",0,"Overall","median")</f>
        <v/>
      </c>
    </row>
    <row r="755">
      <c r="D755" s="6" t="inlineStr">
        <is>
          <t>median</t>
        </is>
      </c>
      <c r="E755" s="6" t="inlineStr">
        <is>
          <t>Overall</t>
        </is>
      </c>
      <c r="F755" s="6" t="inlineStr">
        <is>
          <t>Deciles</t>
        </is>
      </c>
      <c r="G755" s="6" t="inlineStr">
        <is>
          <t>nga</t>
        </is>
      </c>
      <c r="H755" s="6" t="inlineStr">
        <is>
          <t>%</t>
        </is>
      </c>
      <c r="Q755" s="12">
        <f>DIRECT_EFFECT("nga","Natural Gas","nga_share","nga_elasticity",DECILE_ARRAY,"Overall","median")</f>
        <v/>
      </c>
    </row>
    <row r="756">
      <c r="D756" s="6" t="inlineStr">
        <is>
          <t>median</t>
        </is>
      </c>
      <c r="E756" s="6" t="inlineStr">
        <is>
          <t>Urban</t>
        </is>
      </c>
      <c r="F756" s="6" t="inlineStr">
        <is>
          <t>Basket</t>
        </is>
      </c>
      <c r="G756" s="6" t="inlineStr">
        <is>
          <t>nga</t>
        </is>
      </c>
      <c r="H756" s="6" t="inlineStr">
        <is>
          <t>%</t>
        </is>
      </c>
      <c r="P756" s="12">
        <f>DIRECT_EFFECT("nga","Natural Gas","nga_share","nga_elasticity",0,"Urban","median")</f>
        <v/>
      </c>
    </row>
    <row r="757">
      <c r="D757" s="6" t="inlineStr">
        <is>
          <t>median</t>
        </is>
      </c>
      <c r="E757" s="6" t="inlineStr">
        <is>
          <t>Urban</t>
        </is>
      </c>
      <c r="F757" s="6" t="inlineStr">
        <is>
          <t>Deciles</t>
        </is>
      </c>
      <c r="G757" s="6" t="inlineStr">
        <is>
          <t>nga</t>
        </is>
      </c>
      <c r="H757" s="6" t="inlineStr">
        <is>
          <t>%</t>
        </is>
      </c>
      <c r="Q757" s="12">
        <f>DIRECT_EFFECT("nga","Natural Gas","nga_share","nga_elasticity",DECILE_ARRAY,"Urban","median")</f>
        <v/>
      </c>
    </row>
    <row r="758">
      <c r="D758" s="6" t="inlineStr">
        <is>
          <t>median</t>
        </is>
      </c>
      <c r="E758" s="6" t="inlineStr">
        <is>
          <t>Rural</t>
        </is>
      </c>
      <c r="F758" s="6" t="inlineStr">
        <is>
          <t>Basket</t>
        </is>
      </c>
      <c r="G758" s="6" t="inlineStr">
        <is>
          <t>nga</t>
        </is>
      </c>
      <c r="H758" s="6" t="inlineStr">
        <is>
          <t>%</t>
        </is>
      </c>
      <c r="P758" s="12">
        <f>DIRECT_EFFECT("nga","Natural Gas","nga_share","nga_elasticity",0,"Rural","median")</f>
        <v/>
      </c>
    </row>
    <row r="759">
      <c r="D759" s="6" t="inlineStr">
        <is>
          <t>median</t>
        </is>
      </c>
      <c r="E759" s="6" t="inlineStr">
        <is>
          <t>Rural</t>
        </is>
      </c>
      <c r="F759" s="6" t="inlineStr">
        <is>
          <t>Deciles</t>
        </is>
      </c>
      <c r="G759" s="6" t="inlineStr">
        <is>
          <t>nga</t>
        </is>
      </c>
      <c r="H759" s="6" t="inlineStr">
        <is>
          <t>%</t>
        </is>
      </c>
      <c r="Q759" s="12">
        <f>DIRECT_EFFECT("nga","Natural Gas","nga_share","nga_elasticity",DECILE_ARRAY,"Rural","median")</f>
        <v/>
      </c>
    </row>
    <row r="760">
      <c r="D760" s="6" t="inlineStr">
        <is>
          <t>p25</t>
        </is>
      </c>
      <c r="E760" s="6" t="inlineStr">
        <is>
          <t>Overall</t>
        </is>
      </c>
      <c r="F760" s="6" t="inlineStr">
        <is>
          <t>Basket</t>
        </is>
      </c>
      <c r="G760" s="6" t="inlineStr">
        <is>
          <t>nga</t>
        </is>
      </c>
      <c r="H760" s="6" t="inlineStr">
        <is>
          <t>%</t>
        </is>
      </c>
      <c r="P760" s="12">
        <f>DIRECT_EFFECT("nga","Natural Gas","nga_share","nga_elasticity",0,"Overall","p25")</f>
        <v/>
      </c>
    </row>
    <row r="761">
      <c r="D761" s="6" t="inlineStr">
        <is>
          <t>p25</t>
        </is>
      </c>
      <c r="E761" s="6" t="inlineStr">
        <is>
          <t>Overall</t>
        </is>
      </c>
      <c r="F761" s="6" t="inlineStr">
        <is>
          <t>Deciles</t>
        </is>
      </c>
      <c r="G761" s="6" t="inlineStr">
        <is>
          <t>nga</t>
        </is>
      </c>
      <c r="H761" s="6" t="inlineStr">
        <is>
          <t>%</t>
        </is>
      </c>
      <c r="Q761" s="12">
        <f>DIRECT_EFFECT("nga","Natural Gas","nga_share","nga_elasticity",DECILE_ARRAY,"Overall","p25")</f>
        <v/>
      </c>
    </row>
    <row r="762">
      <c r="D762" s="6" t="inlineStr">
        <is>
          <t>p25</t>
        </is>
      </c>
      <c r="E762" s="6" t="inlineStr">
        <is>
          <t>Urban</t>
        </is>
      </c>
      <c r="F762" s="6" t="inlineStr">
        <is>
          <t>Basket</t>
        </is>
      </c>
      <c r="G762" s="6" t="inlineStr">
        <is>
          <t>nga</t>
        </is>
      </c>
      <c r="H762" s="6" t="inlineStr">
        <is>
          <t>%</t>
        </is>
      </c>
      <c r="P762" s="12">
        <f>DIRECT_EFFECT("nga","Natural Gas","nga_share","nga_elasticity",0,"Urban","p25")</f>
        <v/>
      </c>
    </row>
    <row r="763">
      <c r="D763" s="6" t="inlineStr">
        <is>
          <t>p25</t>
        </is>
      </c>
      <c r="E763" s="6" t="inlineStr">
        <is>
          <t>Urban</t>
        </is>
      </c>
      <c r="F763" s="6" t="inlineStr">
        <is>
          <t>Deciles</t>
        </is>
      </c>
      <c r="G763" s="6" t="inlineStr">
        <is>
          <t>nga</t>
        </is>
      </c>
      <c r="H763" s="6" t="inlineStr">
        <is>
          <t>%</t>
        </is>
      </c>
      <c r="Q763" s="12">
        <f>DIRECT_EFFECT("nga","Natural Gas","nga_share","nga_elasticity",DECILE_ARRAY,"Urban","p25")</f>
        <v/>
      </c>
    </row>
    <row r="764">
      <c r="D764" s="6" t="inlineStr">
        <is>
          <t>p25</t>
        </is>
      </c>
      <c r="E764" s="6" t="inlineStr">
        <is>
          <t>Rural</t>
        </is>
      </c>
      <c r="F764" s="6" t="inlineStr">
        <is>
          <t>Basket</t>
        </is>
      </c>
      <c r="G764" s="6" t="inlineStr">
        <is>
          <t>nga</t>
        </is>
      </c>
      <c r="H764" s="6" t="inlineStr">
        <is>
          <t>%</t>
        </is>
      </c>
      <c r="P764" s="12">
        <f>DIRECT_EFFECT("nga","Natural Gas","nga_share","nga_elasticity",0,"Rural","p25")</f>
        <v/>
      </c>
    </row>
    <row r="765">
      <c r="D765" s="6" t="inlineStr">
        <is>
          <t>p25</t>
        </is>
      </c>
      <c r="E765" s="6" t="inlineStr">
        <is>
          <t>Rural</t>
        </is>
      </c>
      <c r="F765" s="6" t="inlineStr">
        <is>
          <t>Deciles</t>
        </is>
      </c>
      <c r="G765" s="6" t="inlineStr">
        <is>
          <t>nga</t>
        </is>
      </c>
      <c r="H765" s="6" t="inlineStr">
        <is>
          <t>%</t>
        </is>
      </c>
      <c r="Q765" s="12">
        <f>DIRECT_EFFECT("nga","Natural Gas","nga_share","nga_elasticity",DECILE_ARRAY,"Rural","p25")</f>
        <v/>
      </c>
    </row>
    <row r="766">
      <c r="D766" s="6" t="inlineStr">
        <is>
          <t>p75</t>
        </is>
      </c>
      <c r="E766" s="6" t="inlineStr">
        <is>
          <t>Overall</t>
        </is>
      </c>
      <c r="F766" s="6" t="inlineStr">
        <is>
          <t>Basket</t>
        </is>
      </c>
      <c r="G766" s="6" t="inlineStr">
        <is>
          <t>nga</t>
        </is>
      </c>
      <c r="H766" s="6" t="inlineStr">
        <is>
          <t>%</t>
        </is>
      </c>
      <c r="P766" s="12">
        <f>DIRECT_EFFECT("nga","Natural Gas","nga_share","nga_elasticity",0,"Overall","p75")</f>
        <v/>
      </c>
    </row>
    <row r="767">
      <c r="D767" s="6" t="inlineStr">
        <is>
          <t>p75</t>
        </is>
      </c>
      <c r="E767" s="6" t="inlineStr">
        <is>
          <t>Overall</t>
        </is>
      </c>
      <c r="F767" s="6" t="inlineStr">
        <is>
          <t>Deciles</t>
        </is>
      </c>
      <c r="G767" s="6" t="inlineStr">
        <is>
          <t>nga</t>
        </is>
      </c>
      <c r="H767" s="6" t="inlineStr">
        <is>
          <t>%</t>
        </is>
      </c>
      <c r="Q767" s="12">
        <f>DIRECT_EFFECT("nga","Natural Gas","nga_share","nga_elasticity",DECILE_ARRAY,"Overall","p75")</f>
        <v/>
      </c>
    </row>
    <row r="768">
      <c r="D768" s="6" t="inlineStr">
        <is>
          <t>p75</t>
        </is>
      </c>
      <c r="E768" s="6" t="inlineStr">
        <is>
          <t>Urban</t>
        </is>
      </c>
      <c r="F768" s="6" t="inlineStr">
        <is>
          <t>Basket</t>
        </is>
      </c>
      <c r="G768" s="6" t="inlineStr">
        <is>
          <t>nga</t>
        </is>
      </c>
      <c r="H768" s="6" t="inlineStr">
        <is>
          <t>%</t>
        </is>
      </c>
      <c r="P768" s="12">
        <f>DIRECT_EFFECT("nga","Natural Gas","nga_share","nga_elasticity",0,"Urban","p75")</f>
        <v/>
      </c>
    </row>
    <row r="769">
      <c r="D769" s="6" t="inlineStr">
        <is>
          <t>p75</t>
        </is>
      </c>
      <c r="E769" s="6" t="inlineStr">
        <is>
          <t>Urban</t>
        </is>
      </c>
      <c r="F769" s="6" t="inlineStr">
        <is>
          <t>Deciles</t>
        </is>
      </c>
      <c r="G769" s="6" t="inlineStr">
        <is>
          <t>nga</t>
        </is>
      </c>
      <c r="H769" s="6" t="inlineStr">
        <is>
          <t>%</t>
        </is>
      </c>
      <c r="Q769" s="12">
        <f>DIRECT_EFFECT("nga","Natural Gas","nga_share","nga_elasticity",DECILE_ARRAY,"Urban","p75")</f>
        <v/>
      </c>
    </row>
    <row r="770">
      <c r="D770" s="6" t="inlineStr">
        <is>
          <t>p75</t>
        </is>
      </c>
      <c r="E770" s="6" t="inlineStr">
        <is>
          <t>Rural</t>
        </is>
      </c>
      <c r="F770" s="6" t="inlineStr">
        <is>
          <t>Basket</t>
        </is>
      </c>
      <c r="G770" s="6" t="inlineStr">
        <is>
          <t>nga</t>
        </is>
      </c>
      <c r="H770" s="6" t="inlineStr">
        <is>
          <t>%</t>
        </is>
      </c>
      <c r="P770" s="12">
        <f>DIRECT_EFFECT("nga","Natural Gas","nga_share","nga_elasticity",0,"Rural","p75")</f>
        <v/>
      </c>
    </row>
    <row r="771">
      <c r="D771" s="6" t="inlineStr">
        <is>
          <t>p75</t>
        </is>
      </c>
      <c r="E771" s="6" t="inlineStr">
        <is>
          <t>Rural</t>
        </is>
      </c>
      <c r="F771" s="6" t="inlineStr">
        <is>
          <t>Deciles</t>
        </is>
      </c>
      <c r="G771" s="6" t="inlineStr">
        <is>
          <t>nga</t>
        </is>
      </c>
      <c r="H771" s="6" t="inlineStr">
        <is>
          <t>%</t>
        </is>
      </c>
      <c r="Q771" s="12">
        <f>DIRECT_EFFECT("nga","Natural Gas","nga_share","nga_elasticity",DECILE_ARRAY,"Rural","p75")</f>
        <v/>
      </c>
    </row>
    <row r="773">
      <c r="C773" s="7" t="inlineStr">
        <is>
          <t>Direct Effect - Non-Road Oil (% Total Consumption)</t>
        </is>
      </c>
      <c r="G773" s="6" t="inlineStr">
        <is>
          <t>oil</t>
        </is>
      </c>
      <c r="O773" s="8" t="inlineStr">
        <is>
          <t>Decile --&gt;</t>
        </is>
      </c>
      <c r="Q773" s="8" t="n">
        <v>1</v>
      </c>
      <c r="R773" s="8" t="n">
        <v>2</v>
      </c>
      <c r="S773" s="8" t="n">
        <v>3</v>
      </c>
      <c r="T773" s="8" t="n">
        <v>4</v>
      </c>
      <c r="U773" s="8" t="n">
        <v>5</v>
      </c>
      <c r="V773" s="8" t="n">
        <v>6</v>
      </c>
      <c r="W773" s="8" t="n">
        <v>7</v>
      </c>
      <c r="X773" s="8" t="n">
        <v>8</v>
      </c>
      <c r="Y773" s="8" t="n">
        <v>9</v>
      </c>
      <c r="Z773" s="8" t="n">
        <v>10</v>
      </c>
    </row>
    <row r="774">
      <c r="D774" s="6" t="inlineStr">
        <is>
          <t>mean</t>
        </is>
      </c>
      <c r="E774" s="6" t="inlineStr">
        <is>
          <t>Overall</t>
        </is>
      </c>
      <c r="F774" s="6" t="inlineStr">
        <is>
          <t>Basket</t>
        </is>
      </c>
      <c r="G774" s="6" t="inlineStr">
        <is>
          <t>oil</t>
        </is>
      </c>
      <c r="H774" s="6" t="inlineStr">
        <is>
          <t>%</t>
        </is>
      </c>
      <c r="P774" s="12">
        <f>DIRECT_EFFECT("oil","Non-Road Oil","oil_share","oil_elasticity",0,"Overall","mean")</f>
        <v/>
      </c>
    </row>
    <row r="775">
      <c r="D775" s="6" t="inlineStr">
        <is>
          <t>mean</t>
        </is>
      </c>
      <c r="E775" s="6" t="inlineStr">
        <is>
          <t>Overall</t>
        </is>
      </c>
      <c r="F775" s="6" t="inlineStr">
        <is>
          <t>Deciles</t>
        </is>
      </c>
      <c r="G775" s="6" t="inlineStr">
        <is>
          <t>oil</t>
        </is>
      </c>
      <c r="H775" s="6" t="inlineStr">
        <is>
          <t>%</t>
        </is>
      </c>
      <c r="Q775" s="12">
        <f>DIRECT_EFFECT("oil","Non-Road Oil","oil_share","oil_elasticity",DECILE_ARRAY,"Overall","mean")</f>
        <v/>
      </c>
    </row>
    <row r="776">
      <c r="D776" s="6" t="inlineStr">
        <is>
          <t>mean</t>
        </is>
      </c>
      <c r="E776" s="6" t="inlineStr">
        <is>
          <t>Urban</t>
        </is>
      </c>
      <c r="F776" s="6" t="inlineStr">
        <is>
          <t>Basket</t>
        </is>
      </c>
      <c r="G776" s="6" t="inlineStr">
        <is>
          <t>oil</t>
        </is>
      </c>
      <c r="H776" s="6" t="inlineStr">
        <is>
          <t>%</t>
        </is>
      </c>
      <c r="P776" s="12">
        <f>DIRECT_EFFECT("oil","Non-Road Oil","oil_share","oil_elasticity",0,"Urban","mean")</f>
        <v/>
      </c>
    </row>
    <row r="777">
      <c r="D777" s="6" t="inlineStr">
        <is>
          <t>mean</t>
        </is>
      </c>
      <c r="E777" s="6" t="inlineStr">
        <is>
          <t>Urban</t>
        </is>
      </c>
      <c r="F777" s="6" t="inlineStr">
        <is>
          <t>Deciles</t>
        </is>
      </c>
      <c r="G777" s="6" t="inlineStr">
        <is>
          <t>oil</t>
        </is>
      </c>
      <c r="H777" s="6" t="inlineStr">
        <is>
          <t>%</t>
        </is>
      </c>
      <c r="Q777" s="12">
        <f>DIRECT_EFFECT("oil","Non-Road Oil","oil_share","oil_elasticity",DECILE_ARRAY,"Urban","mean")</f>
        <v/>
      </c>
    </row>
    <row r="778">
      <c r="D778" s="6" t="inlineStr">
        <is>
          <t>mean</t>
        </is>
      </c>
      <c r="E778" s="6" t="inlineStr">
        <is>
          <t>Rural</t>
        </is>
      </c>
      <c r="F778" s="6" t="inlineStr">
        <is>
          <t>Basket</t>
        </is>
      </c>
      <c r="G778" s="6" t="inlineStr">
        <is>
          <t>oil</t>
        </is>
      </c>
      <c r="H778" s="6" t="inlineStr">
        <is>
          <t>%</t>
        </is>
      </c>
      <c r="P778" s="12">
        <f>DIRECT_EFFECT("oil","Non-Road Oil","oil_share","oil_elasticity",0,"Rural","mean")</f>
        <v/>
      </c>
    </row>
    <row r="779">
      <c r="D779" s="6" t="inlineStr">
        <is>
          <t>mean</t>
        </is>
      </c>
      <c r="E779" s="6" t="inlineStr">
        <is>
          <t>Rural</t>
        </is>
      </c>
      <c r="F779" s="6" t="inlineStr">
        <is>
          <t>Deciles</t>
        </is>
      </c>
      <c r="G779" s="6" t="inlineStr">
        <is>
          <t>oil</t>
        </is>
      </c>
      <c r="H779" s="6" t="inlineStr">
        <is>
          <t>%</t>
        </is>
      </c>
      <c r="Q779" s="12">
        <f>DIRECT_EFFECT("oil","Non-Road Oil","oil_share","oil_elasticity",DECILE_ARRAY,"Rural","mean")</f>
        <v/>
      </c>
    </row>
    <row r="780">
      <c r="D780" s="6" t="inlineStr">
        <is>
          <t>median</t>
        </is>
      </c>
      <c r="E780" s="6" t="inlineStr">
        <is>
          <t>Overall</t>
        </is>
      </c>
      <c r="F780" s="6" t="inlineStr">
        <is>
          <t>Basket</t>
        </is>
      </c>
      <c r="G780" s="6" t="inlineStr">
        <is>
          <t>oil</t>
        </is>
      </c>
      <c r="H780" s="6" t="inlineStr">
        <is>
          <t>%</t>
        </is>
      </c>
      <c r="P780" s="12">
        <f>DIRECT_EFFECT("oil","Non-Road Oil","oil_share","oil_elasticity",0,"Overall","median")</f>
        <v/>
      </c>
    </row>
    <row r="781">
      <c r="D781" s="6" t="inlineStr">
        <is>
          <t>median</t>
        </is>
      </c>
      <c r="E781" s="6" t="inlineStr">
        <is>
          <t>Overall</t>
        </is>
      </c>
      <c r="F781" s="6" t="inlineStr">
        <is>
          <t>Deciles</t>
        </is>
      </c>
      <c r="G781" s="6" t="inlineStr">
        <is>
          <t>oil</t>
        </is>
      </c>
      <c r="H781" s="6" t="inlineStr">
        <is>
          <t>%</t>
        </is>
      </c>
      <c r="Q781" s="12">
        <f>DIRECT_EFFECT("oil","Non-Road Oil","oil_share","oil_elasticity",DECILE_ARRAY,"Overall","median")</f>
        <v/>
      </c>
    </row>
    <row r="782">
      <c r="D782" s="6" t="inlineStr">
        <is>
          <t>median</t>
        </is>
      </c>
      <c r="E782" s="6" t="inlineStr">
        <is>
          <t>Urban</t>
        </is>
      </c>
      <c r="F782" s="6" t="inlineStr">
        <is>
          <t>Basket</t>
        </is>
      </c>
      <c r="G782" s="6" t="inlineStr">
        <is>
          <t>oil</t>
        </is>
      </c>
      <c r="H782" s="6" t="inlineStr">
        <is>
          <t>%</t>
        </is>
      </c>
      <c r="P782" s="12">
        <f>DIRECT_EFFECT("oil","Non-Road Oil","oil_share","oil_elasticity",0,"Urban","median")</f>
        <v/>
      </c>
    </row>
    <row r="783">
      <c r="D783" s="6" t="inlineStr">
        <is>
          <t>median</t>
        </is>
      </c>
      <c r="E783" s="6" t="inlineStr">
        <is>
          <t>Urban</t>
        </is>
      </c>
      <c r="F783" s="6" t="inlineStr">
        <is>
          <t>Deciles</t>
        </is>
      </c>
      <c r="G783" s="6" t="inlineStr">
        <is>
          <t>oil</t>
        </is>
      </c>
      <c r="H783" s="6" t="inlineStr">
        <is>
          <t>%</t>
        </is>
      </c>
      <c r="Q783" s="12">
        <f>DIRECT_EFFECT("oil","Non-Road Oil","oil_share","oil_elasticity",DECILE_ARRAY,"Urban","median")</f>
        <v/>
      </c>
    </row>
    <row r="784">
      <c r="D784" s="6" t="inlineStr">
        <is>
          <t>median</t>
        </is>
      </c>
      <c r="E784" s="6" t="inlineStr">
        <is>
          <t>Rural</t>
        </is>
      </c>
      <c r="F784" s="6" t="inlineStr">
        <is>
          <t>Basket</t>
        </is>
      </c>
      <c r="G784" s="6" t="inlineStr">
        <is>
          <t>oil</t>
        </is>
      </c>
      <c r="H784" s="6" t="inlineStr">
        <is>
          <t>%</t>
        </is>
      </c>
      <c r="P784" s="12">
        <f>DIRECT_EFFECT("oil","Non-Road Oil","oil_share","oil_elasticity",0,"Rural","median")</f>
        <v/>
      </c>
    </row>
    <row r="785">
      <c r="D785" s="6" t="inlineStr">
        <is>
          <t>median</t>
        </is>
      </c>
      <c r="E785" s="6" t="inlineStr">
        <is>
          <t>Rural</t>
        </is>
      </c>
      <c r="F785" s="6" t="inlineStr">
        <is>
          <t>Deciles</t>
        </is>
      </c>
      <c r="G785" s="6" t="inlineStr">
        <is>
          <t>oil</t>
        </is>
      </c>
      <c r="H785" s="6" t="inlineStr">
        <is>
          <t>%</t>
        </is>
      </c>
      <c r="Q785" s="12">
        <f>DIRECT_EFFECT("oil","Non-Road Oil","oil_share","oil_elasticity",DECILE_ARRAY,"Rural","median")</f>
        <v/>
      </c>
    </row>
    <row r="786">
      <c r="D786" s="6" t="inlineStr">
        <is>
          <t>p25</t>
        </is>
      </c>
      <c r="E786" s="6" t="inlineStr">
        <is>
          <t>Overall</t>
        </is>
      </c>
      <c r="F786" s="6" t="inlineStr">
        <is>
          <t>Basket</t>
        </is>
      </c>
      <c r="G786" s="6" t="inlineStr">
        <is>
          <t>oil</t>
        </is>
      </c>
      <c r="H786" s="6" t="inlineStr">
        <is>
          <t>%</t>
        </is>
      </c>
      <c r="P786" s="12">
        <f>DIRECT_EFFECT("oil","Non-Road Oil","oil_share","oil_elasticity",0,"Overall","p25")</f>
        <v/>
      </c>
    </row>
    <row r="787">
      <c r="D787" s="6" t="inlineStr">
        <is>
          <t>p25</t>
        </is>
      </c>
      <c r="E787" s="6" t="inlineStr">
        <is>
          <t>Overall</t>
        </is>
      </c>
      <c r="F787" s="6" t="inlineStr">
        <is>
          <t>Deciles</t>
        </is>
      </c>
      <c r="G787" s="6" t="inlineStr">
        <is>
          <t>oil</t>
        </is>
      </c>
      <c r="H787" s="6" t="inlineStr">
        <is>
          <t>%</t>
        </is>
      </c>
      <c r="Q787" s="12">
        <f>DIRECT_EFFECT("oil","Non-Road Oil","oil_share","oil_elasticity",DECILE_ARRAY,"Overall","p25")</f>
        <v/>
      </c>
    </row>
    <row r="788">
      <c r="D788" s="6" t="inlineStr">
        <is>
          <t>p25</t>
        </is>
      </c>
      <c r="E788" s="6" t="inlineStr">
        <is>
          <t>Urban</t>
        </is>
      </c>
      <c r="F788" s="6" t="inlineStr">
        <is>
          <t>Basket</t>
        </is>
      </c>
      <c r="G788" s="6" t="inlineStr">
        <is>
          <t>oil</t>
        </is>
      </c>
      <c r="H788" s="6" t="inlineStr">
        <is>
          <t>%</t>
        </is>
      </c>
      <c r="P788" s="12">
        <f>DIRECT_EFFECT("oil","Non-Road Oil","oil_share","oil_elasticity",0,"Urban","p25")</f>
        <v/>
      </c>
    </row>
    <row r="789">
      <c r="D789" s="6" t="inlineStr">
        <is>
          <t>p25</t>
        </is>
      </c>
      <c r="E789" s="6" t="inlineStr">
        <is>
          <t>Urban</t>
        </is>
      </c>
      <c r="F789" s="6" t="inlineStr">
        <is>
          <t>Deciles</t>
        </is>
      </c>
      <c r="G789" s="6" t="inlineStr">
        <is>
          <t>oil</t>
        </is>
      </c>
      <c r="H789" s="6" t="inlineStr">
        <is>
          <t>%</t>
        </is>
      </c>
      <c r="Q789" s="12">
        <f>DIRECT_EFFECT("oil","Non-Road Oil","oil_share","oil_elasticity",DECILE_ARRAY,"Urban","p25")</f>
        <v/>
      </c>
    </row>
    <row r="790">
      <c r="D790" s="6" t="inlineStr">
        <is>
          <t>p25</t>
        </is>
      </c>
      <c r="E790" s="6" t="inlineStr">
        <is>
          <t>Rural</t>
        </is>
      </c>
      <c r="F790" s="6" t="inlineStr">
        <is>
          <t>Basket</t>
        </is>
      </c>
      <c r="G790" s="6" t="inlineStr">
        <is>
          <t>oil</t>
        </is>
      </c>
      <c r="H790" s="6" t="inlineStr">
        <is>
          <t>%</t>
        </is>
      </c>
      <c r="P790" s="12">
        <f>DIRECT_EFFECT("oil","Non-Road Oil","oil_share","oil_elasticity",0,"Rural","p25")</f>
        <v/>
      </c>
    </row>
    <row r="791">
      <c r="D791" s="6" t="inlineStr">
        <is>
          <t>p25</t>
        </is>
      </c>
      <c r="E791" s="6" t="inlineStr">
        <is>
          <t>Rural</t>
        </is>
      </c>
      <c r="F791" s="6" t="inlineStr">
        <is>
          <t>Deciles</t>
        </is>
      </c>
      <c r="G791" s="6" t="inlineStr">
        <is>
          <t>oil</t>
        </is>
      </c>
      <c r="H791" s="6" t="inlineStr">
        <is>
          <t>%</t>
        </is>
      </c>
      <c r="Q791" s="12">
        <f>DIRECT_EFFECT("oil","Non-Road Oil","oil_share","oil_elasticity",DECILE_ARRAY,"Rural","p25")</f>
        <v/>
      </c>
    </row>
    <row r="792">
      <c r="D792" s="6" t="inlineStr">
        <is>
          <t>p75</t>
        </is>
      </c>
      <c r="E792" s="6" t="inlineStr">
        <is>
          <t>Overall</t>
        </is>
      </c>
      <c r="F792" s="6" t="inlineStr">
        <is>
          <t>Basket</t>
        </is>
      </c>
      <c r="G792" s="6" t="inlineStr">
        <is>
          <t>oil</t>
        </is>
      </c>
      <c r="H792" s="6" t="inlineStr">
        <is>
          <t>%</t>
        </is>
      </c>
      <c r="P792" s="12">
        <f>DIRECT_EFFECT("oil","Non-Road Oil","oil_share","oil_elasticity",0,"Overall","p75")</f>
        <v/>
      </c>
    </row>
    <row r="793">
      <c r="D793" s="6" t="inlineStr">
        <is>
          <t>p75</t>
        </is>
      </c>
      <c r="E793" s="6" t="inlineStr">
        <is>
          <t>Overall</t>
        </is>
      </c>
      <c r="F793" s="6" t="inlineStr">
        <is>
          <t>Deciles</t>
        </is>
      </c>
      <c r="G793" s="6" t="inlineStr">
        <is>
          <t>oil</t>
        </is>
      </c>
      <c r="H793" s="6" t="inlineStr">
        <is>
          <t>%</t>
        </is>
      </c>
      <c r="Q793" s="12">
        <f>DIRECT_EFFECT("oil","Non-Road Oil","oil_share","oil_elasticity",DECILE_ARRAY,"Overall","p75")</f>
        <v/>
      </c>
    </row>
    <row r="794">
      <c r="D794" s="6" t="inlineStr">
        <is>
          <t>p75</t>
        </is>
      </c>
      <c r="E794" s="6" t="inlineStr">
        <is>
          <t>Urban</t>
        </is>
      </c>
      <c r="F794" s="6" t="inlineStr">
        <is>
          <t>Basket</t>
        </is>
      </c>
      <c r="G794" s="6" t="inlineStr">
        <is>
          <t>oil</t>
        </is>
      </c>
      <c r="H794" s="6" t="inlineStr">
        <is>
          <t>%</t>
        </is>
      </c>
      <c r="P794" s="12">
        <f>DIRECT_EFFECT("oil","Non-Road Oil","oil_share","oil_elasticity",0,"Urban","p75")</f>
        <v/>
      </c>
    </row>
    <row r="795">
      <c r="D795" s="6" t="inlineStr">
        <is>
          <t>p75</t>
        </is>
      </c>
      <c r="E795" s="6" t="inlineStr">
        <is>
          <t>Urban</t>
        </is>
      </c>
      <c r="F795" s="6" t="inlineStr">
        <is>
          <t>Deciles</t>
        </is>
      </c>
      <c r="G795" s="6" t="inlineStr">
        <is>
          <t>oil</t>
        </is>
      </c>
      <c r="H795" s="6" t="inlineStr">
        <is>
          <t>%</t>
        </is>
      </c>
      <c r="Q795" s="12">
        <f>DIRECT_EFFECT("oil","Non-Road Oil","oil_share","oil_elasticity",DECILE_ARRAY,"Urban","p75")</f>
        <v/>
      </c>
    </row>
    <row r="796">
      <c r="D796" s="6" t="inlineStr">
        <is>
          <t>p75</t>
        </is>
      </c>
      <c r="E796" s="6" t="inlineStr">
        <is>
          <t>Rural</t>
        </is>
      </c>
      <c r="F796" s="6" t="inlineStr">
        <is>
          <t>Basket</t>
        </is>
      </c>
      <c r="G796" s="6" t="inlineStr">
        <is>
          <t>oil</t>
        </is>
      </c>
      <c r="H796" s="6" t="inlineStr">
        <is>
          <t>%</t>
        </is>
      </c>
      <c r="P796" s="12">
        <f>DIRECT_EFFECT("oil","Non-Road Oil","oil_share","oil_elasticity",0,"Rural","p75")</f>
        <v/>
      </c>
    </row>
    <row r="797">
      <c r="D797" s="6" t="inlineStr">
        <is>
          <t>p75</t>
        </is>
      </c>
      <c r="E797" s="6" t="inlineStr">
        <is>
          <t>Rural</t>
        </is>
      </c>
      <c r="F797" s="6" t="inlineStr">
        <is>
          <t>Deciles</t>
        </is>
      </c>
      <c r="G797" s="6" t="inlineStr">
        <is>
          <t>oil</t>
        </is>
      </c>
      <c r="H797" s="6" t="inlineStr">
        <is>
          <t>%</t>
        </is>
      </c>
      <c r="Q797" s="12">
        <f>DIRECT_EFFECT("oil","Non-Road Oil","oil_share","oil_elasticity",DECILE_ARRAY,"Rural","p75")</f>
        <v/>
      </c>
    </row>
    <row r="799">
      <c r="C799" s="7" t="inlineStr">
        <is>
          <t>Direct Effect - Gasoline (% Total Consumption)</t>
        </is>
      </c>
      <c r="G799" s="6" t="inlineStr">
        <is>
          <t>gso</t>
        </is>
      </c>
      <c r="O799" s="8" t="inlineStr">
        <is>
          <t>Decile --&gt;</t>
        </is>
      </c>
      <c r="Q799" s="8" t="n">
        <v>1</v>
      </c>
      <c r="R799" s="8" t="n">
        <v>2</v>
      </c>
      <c r="S799" s="8" t="n">
        <v>3</v>
      </c>
      <c r="T799" s="8" t="n">
        <v>4</v>
      </c>
      <c r="U799" s="8" t="n">
        <v>5</v>
      </c>
      <c r="V799" s="8" t="n">
        <v>6</v>
      </c>
      <c r="W799" s="8" t="n">
        <v>7</v>
      </c>
      <c r="X799" s="8" t="n">
        <v>8</v>
      </c>
      <c r="Y799" s="8" t="n">
        <v>9</v>
      </c>
      <c r="Z799" s="8" t="n">
        <v>10</v>
      </c>
    </row>
    <row r="800">
      <c r="D800" s="6" t="inlineStr">
        <is>
          <t>mean</t>
        </is>
      </c>
      <c r="E800" s="6" t="inlineStr">
        <is>
          <t>Overall</t>
        </is>
      </c>
      <c r="F800" s="6" t="inlineStr">
        <is>
          <t>Basket</t>
        </is>
      </c>
      <c r="G800" s="6" t="inlineStr">
        <is>
          <t>gso</t>
        </is>
      </c>
      <c r="H800" s="6" t="inlineStr">
        <is>
          <t>%</t>
        </is>
      </c>
      <c r="P800" s="12">
        <f>DIRECT_EFFECT("gso","Gasoline","gso_share","gso_elasticity",0,"Overall","mean")</f>
        <v/>
      </c>
    </row>
    <row r="801">
      <c r="D801" s="6" t="inlineStr">
        <is>
          <t>mean</t>
        </is>
      </c>
      <c r="E801" s="6" t="inlineStr">
        <is>
          <t>Overall</t>
        </is>
      </c>
      <c r="F801" s="6" t="inlineStr">
        <is>
          <t>Deciles</t>
        </is>
      </c>
      <c r="G801" s="6" t="inlineStr">
        <is>
          <t>gso</t>
        </is>
      </c>
      <c r="H801" s="6" t="inlineStr">
        <is>
          <t>%</t>
        </is>
      </c>
      <c r="Q801" s="12">
        <f>DIRECT_EFFECT("gso","Gasoline","gso_share","gso_elasticity",DECILE_ARRAY,"Overall","mean")</f>
        <v/>
      </c>
    </row>
    <row r="802">
      <c r="D802" s="6" t="inlineStr">
        <is>
          <t>mean</t>
        </is>
      </c>
      <c r="E802" s="6" t="inlineStr">
        <is>
          <t>Urban</t>
        </is>
      </c>
      <c r="F802" s="6" t="inlineStr">
        <is>
          <t>Basket</t>
        </is>
      </c>
      <c r="G802" s="6" t="inlineStr">
        <is>
          <t>gso</t>
        </is>
      </c>
      <c r="H802" s="6" t="inlineStr">
        <is>
          <t>%</t>
        </is>
      </c>
      <c r="P802" s="12">
        <f>DIRECT_EFFECT("gso","Gasoline","gso_share","gso_elasticity",0,"Urban","mean")</f>
        <v/>
      </c>
    </row>
    <row r="803">
      <c r="D803" s="6" t="inlineStr">
        <is>
          <t>mean</t>
        </is>
      </c>
      <c r="E803" s="6" t="inlineStr">
        <is>
          <t>Urban</t>
        </is>
      </c>
      <c r="F803" s="6" t="inlineStr">
        <is>
          <t>Deciles</t>
        </is>
      </c>
      <c r="G803" s="6" t="inlineStr">
        <is>
          <t>gso</t>
        </is>
      </c>
      <c r="H803" s="6" t="inlineStr">
        <is>
          <t>%</t>
        </is>
      </c>
      <c r="Q803" s="12">
        <f>DIRECT_EFFECT("gso","Gasoline","gso_share","gso_elasticity",DECILE_ARRAY,"Urban","mean")</f>
        <v/>
      </c>
    </row>
    <row r="804">
      <c r="D804" s="6" t="inlineStr">
        <is>
          <t>mean</t>
        </is>
      </c>
      <c r="E804" s="6" t="inlineStr">
        <is>
          <t>Rural</t>
        </is>
      </c>
      <c r="F804" s="6" t="inlineStr">
        <is>
          <t>Basket</t>
        </is>
      </c>
      <c r="G804" s="6" t="inlineStr">
        <is>
          <t>gso</t>
        </is>
      </c>
      <c r="H804" s="6" t="inlineStr">
        <is>
          <t>%</t>
        </is>
      </c>
      <c r="P804" s="12">
        <f>DIRECT_EFFECT("gso","Gasoline","gso_share","gso_elasticity",0,"Rural","mean")</f>
        <v/>
      </c>
    </row>
    <row r="805">
      <c r="D805" s="6" t="inlineStr">
        <is>
          <t>mean</t>
        </is>
      </c>
      <c r="E805" s="6" t="inlineStr">
        <is>
          <t>Rural</t>
        </is>
      </c>
      <c r="F805" s="6" t="inlineStr">
        <is>
          <t>Deciles</t>
        </is>
      </c>
      <c r="G805" s="6" t="inlineStr">
        <is>
          <t>gso</t>
        </is>
      </c>
      <c r="H805" s="6" t="inlineStr">
        <is>
          <t>%</t>
        </is>
      </c>
      <c r="Q805" s="12">
        <f>DIRECT_EFFECT("gso","Gasoline","gso_share","gso_elasticity",DECILE_ARRAY,"Rural","mean")</f>
        <v/>
      </c>
    </row>
    <row r="806">
      <c r="D806" s="6" t="inlineStr">
        <is>
          <t>median</t>
        </is>
      </c>
      <c r="E806" s="6" t="inlineStr">
        <is>
          <t>Overall</t>
        </is>
      </c>
      <c r="F806" s="6" t="inlineStr">
        <is>
          <t>Basket</t>
        </is>
      </c>
      <c r="G806" s="6" t="inlineStr">
        <is>
          <t>gso</t>
        </is>
      </c>
      <c r="H806" s="6" t="inlineStr">
        <is>
          <t>%</t>
        </is>
      </c>
      <c r="P806" s="12">
        <f>DIRECT_EFFECT("gso","Gasoline","gso_share","gso_elasticity",0,"Overall","median")</f>
        <v/>
      </c>
    </row>
    <row r="807">
      <c r="D807" s="6" t="inlineStr">
        <is>
          <t>median</t>
        </is>
      </c>
      <c r="E807" s="6" t="inlineStr">
        <is>
          <t>Overall</t>
        </is>
      </c>
      <c r="F807" s="6" t="inlineStr">
        <is>
          <t>Deciles</t>
        </is>
      </c>
      <c r="G807" s="6" t="inlineStr">
        <is>
          <t>gso</t>
        </is>
      </c>
      <c r="H807" s="6" t="inlineStr">
        <is>
          <t>%</t>
        </is>
      </c>
      <c r="Q807" s="12">
        <f>DIRECT_EFFECT("gso","Gasoline","gso_share","gso_elasticity",DECILE_ARRAY,"Overall","median")</f>
        <v/>
      </c>
    </row>
    <row r="808">
      <c r="D808" s="6" t="inlineStr">
        <is>
          <t>median</t>
        </is>
      </c>
      <c r="E808" s="6" t="inlineStr">
        <is>
          <t>Urban</t>
        </is>
      </c>
      <c r="F808" s="6" t="inlineStr">
        <is>
          <t>Basket</t>
        </is>
      </c>
      <c r="G808" s="6" t="inlineStr">
        <is>
          <t>gso</t>
        </is>
      </c>
      <c r="H808" s="6" t="inlineStr">
        <is>
          <t>%</t>
        </is>
      </c>
      <c r="P808" s="12">
        <f>DIRECT_EFFECT("gso","Gasoline","gso_share","gso_elasticity",0,"Urban","median")</f>
        <v/>
      </c>
    </row>
    <row r="809">
      <c r="D809" s="6" t="inlineStr">
        <is>
          <t>median</t>
        </is>
      </c>
      <c r="E809" s="6" t="inlineStr">
        <is>
          <t>Urban</t>
        </is>
      </c>
      <c r="F809" s="6" t="inlineStr">
        <is>
          <t>Deciles</t>
        </is>
      </c>
      <c r="G809" s="6" t="inlineStr">
        <is>
          <t>gso</t>
        </is>
      </c>
      <c r="H809" s="6" t="inlineStr">
        <is>
          <t>%</t>
        </is>
      </c>
      <c r="Q809" s="12">
        <f>DIRECT_EFFECT("gso","Gasoline","gso_share","gso_elasticity",DECILE_ARRAY,"Urban","median")</f>
        <v/>
      </c>
    </row>
    <row r="810">
      <c r="D810" s="6" t="inlineStr">
        <is>
          <t>median</t>
        </is>
      </c>
      <c r="E810" s="6" t="inlineStr">
        <is>
          <t>Rural</t>
        </is>
      </c>
      <c r="F810" s="6" t="inlineStr">
        <is>
          <t>Basket</t>
        </is>
      </c>
      <c r="G810" s="6" t="inlineStr">
        <is>
          <t>gso</t>
        </is>
      </c>
      <c r="H810" s="6" t="inlineStr">
        <is>
          <t>%</t>
        </is>
      </c>
      <c r="P810" s="12">
        <f>DIRECT_EFFECT("gso","Gasoline","gso_share","gso_elasticity",0,"Rural","median")</f>
        <v/>
      </c>
    </row>
    <row r="811">
      <c r="D811" s="6" t="inlineStr">
        <is>
          <t>median</t>
        </is>
      </c>
      <c r="E811" s="6" t="inlineStr">
        <is>
          <t>Rural</t>
        </is>
      </c>
      <c r="F811" s="6" t="inlineStr">
        <is>
          <t>Deciles</t>
        </is>
      </c>
      <c r="G811" s="6" t="inlineStr">
        <is>
          <t>gso</t>
        </is>
      </c>
      <c r="H811" s="6" t="inlineStr">
        <is>
          <t>%</t>
        </is>
      </c>
      <c r="Q811" s="12">
        <f>DIRECT_EFFECT("gso","Gasoline","gso_share","gso_elasticity",DECILE_ARRAY,"Rural","median")</f>
        <v/>
      </c>
    </row>
    <row r="812">
      <c r="D812" s="6" t="inlineStr">
        <is>
          <t>p25</t>
        </is>
      </c>
      <c r="E812" s="6" t="inlineStr">
        <is>
          <t>Overall</t>
        </is>
      </c>
      <c r="F812" s="6" t="inlineStr">
        <is>
          <t>Basket</t>
        </is>
      </c>
      <c r="G812" s="6" t="inlineStr">
        <is>
          <t>gso</t>
        </is>
      </c>
      <c r="H812" s="6" t="inlineStr">
        <is>
          <t>%</t>
        </is>
      </c>
      <c r="P812" s="12">
        <f>DIRECT_EFFECT("gso","Gasoline","gso_share","gso_elasticity",0,"Overall","p25")</f>
        <v/>
      </c>
    </row>
    <row r="813">
      <c r="D813" s="6" t="inlineStr">
        <is>
          <t>p25</t>
        </is>
      </c>
      <c r="E813" s="6" t="inlineStr">
        <is>
          <t>Overall</t>
        </is>
      </c>
      <c r="F813" s="6" t="inlineStr">
        <is>
          <t>Deciles</t>
        </is>
      </c>
      <c r="G813" s="6" t="inlineStr">
        <is>
          <t>gso</t>
        </is>
      </c>
      <c r="H813" s="6" t="inlineStr">
        <is>
          <t>%</t>
        </is>
      </c>
      <c r="Q813" s="12">
        <f>DIRECT_EFFECT("gso","Gasoline","gso_share","gso_elasticity",DECILE_ARRAY,"Overall","p25")</f>
        <v/>
      </c>
    </row>
    <row r="814">
      <c r="D814" s="6" t="inlineStr">
        <is>
          <t>p25</t>
        </is>
      </c>
      <c r="E814" s="6" t="inlineStr">
        <is>
          <t>Urban</t>
        </is>
      </c>
      <c r="F814" s="6" t="inlineStr">
        <is>
          <t>Basket</t>
        </is>
      </c>
      <c r="G814" s="6" t="inlineStr">
        <is>
          <t>gso</t>
        </is>
      </c>
      <c r="H814" s="6" t="inlineStr">
        <is>
          <t>%</t>
        </is>
      </c>
      <c r="P814" s="12">
        <f>DIRECT_EFFECT("gso","Gasoline","gso_share","gso_elasticity",0,"Urban","p25")</f>
        <v/>
      </c>
    </row>
    <row r="815">
      <c r="D815" s="6" t="inlineStr">
        <is>
          <t>p25</t>
        </is>
      </c>
      <c r="E815" s="6" t="inlineStr">
        <is>
          <t>Urban</t>
        </is>
      </c>
      <c r="F815" s="6" t="inlineStr">
        <is>
          <t>Deciles</t>
        </is>
      </c>
      <c r="G815" s="6" t="inlineStr">
        <is>
          <t>gso</t>
        </is>
      </c>
      <c r="H815" s="6" t="inlineStr">
        <is>
          <t>%</t>
        </is>
      </c>
      <c r="Q815" s="12">
        <f>DIRECT_EFFECT("gso","Gasoline","gso_share","gso_elasticity",DECILE_ARRAY,"Urban","p25")</f>
        <v/>
      </c>
    </row>
    <row r="816">
      <c r="D816" s="6" t="inlineStr">
        <is>
          <t>p25</t>
        </is>
      </c>
      <c r="E816" s="6" t="inlineStr">
        <is>
          <t>Rural</t>
        </is>
      </c>
      <c r="F816" s="6" t="inlineStr">
        <is>
          <t>Basket</t>
        </is>
      </c>
      <c r="G816" s="6" t="inlineStr">
        <is>
          <t>gso</t>
        </is>
      </c>
      <c r="H816" s="6" t="inlineStr">
        <is>
          <t>%</t>
        </is>
      </c>
      <c r="P816" s="12">
        <f>DIRECT_EFFECT("gso","Gasoline","gso_share","gso_elasticity",0,"Rural","p25")</f>
        <v/>
      </c>
    </row>
    <row r="817">
      <c r="D817" s="6" t="inlineStr">
        <is>
          <t>p25</t>
        </is>
      </c>
      <c r="E817" s="6" t="inlineStr">
        <is>
          <t>Rural</t>
        </is>
      </c>
      <c r="F817" s="6" t="inlineStr">
        <is>
          <t>Deciles</t>
        </is>
      </c>
      <c r="G817" s="6" t="inlineStr">
        <is>
          <t>gso</t>
        </is>
      </c>
      <c r="H817" s="6" t="inlineStr">
        <is>
          <t>%</t>
        </is>
      </c>
      <c r="Q817" s="12">
        <f>DIRECT_EFFECT("gso","Gasoline","gso_share","gso_elasticity",DECILE_ARRAY,"Rural","p25")</f>
        <v/>
      </c>
    </row>
    <row r="818">
      <c r="D818" s="6" t="inlineStr">
        <is>
          <t>p75</t>
        </is>
      </c>
      <c r="E818" s="6" t="inlineStr">
        <is>
          <t>Overall</t>
        </is>
      </c>
      <c r="F818" s="6" t="inlineStr">
        <is>
          <t>Basket</t>
        </is>
      </c>
      <c r="G818" s="6" t="inlineStr">
        <is>
          <t>gso</t>
        </is>
      </c>
      <c r="H818" s="6" t="inlineStr">
        <is>
          <t>%</t>
        </is>
      </c>
      <c r="P818" s="12">
        <f>DIRECT_EFFECT("gso","Gasoline","gso_share","gso_elasticity",0,"Overall","p75")</f>
        <v/>
      </c>
    </row>
    <row r="819">
      <c r="D819" s="6" t="inlineStr">
        <is>
          <t>p75</t>
        </is>
      </c>
      <c r="E819" s="6" t="inlineStr">
        <is>
          <t>Overall</t>
        </is>
      </c>
      <c r="F819" s="6" t="inlineStr">
        <is>
          <t>Deciles</t>
        </is>
      </c>
      <c r="G819" s="6" t="inlineStr">
        <is>
          <t>gso</t>
        </is>
      </c>
      <c r="H819" s="6" t="inlineStr">
        <is>
          <t>%</t>
        </is>
      </c>
      <c r="Q819" s="12">
        <f>DIRECT_EFFECT("gso","Gasoline","gso_share","gso_elasticity",DECILE_ARRAY,"Overall","p75")</f>
        <v/>
      </c>
    </row>
    <row r="820">
      <c r="D820" s="6" t="inlineStr">
        <is>
          <t>p75</t>
        </is>
      </c>
      <c r="E820" s="6" t="inlineStr">
        <is>
          <t>Urban</t>
        </is>
      </c>
      <c r="F820" s="6" t="inlineStr">
        <is>
          <t>Basket</t>
        </is>
      </c>
      <c r="G820" s="6" t="inlineStr">
        <is>
          <t>gso</t>
        </is>
      </c>
      <c r="H820" s="6" t="inlineStr">
        <is>
          <t>%</t>
        </is>
      </c>
      <c r="P820" s="12">
        <f>DIRECT_EFFECT("gso","Gasoline","gso_share","gso_elasticity",0,"Urban","p75")</f>
        <v/>
      </c>
    </row>
    <row r="821">
      <c r="D821" s="6" t="inlineStr">
        <is>
          <t>p75</t>
        </is>
      </c>
      <c r="E821" s="6" t="inlineStr">
        <is>
          <t>Urban</t>
        </is>
      </c>
      <c r="F821" s="6" t="inlineStr">
        <is>
          <t>Deciles</t>
        </is>
      </c>
      <c r="G821" s="6" t="inlineStr">
        <is>
          <t>gso</t>
        </is>
      </c>
      <c r="H821" s="6" t="inlineStr">
        <is>
          <t>%</t>
        </is>
      </c>
      <c r="Q821" s="12">
        <f>DIRECT_EFFECT("gso","Gasoline","gso_share","gso_elasticity",DECILE_ARRAY,"Urban","p75")</f>
        <v/>
      </c>
    </row>
    <row r="822">
      <c r="D822" s="6" t="inlineStr">
        <is>
          <t>p75</t>
        </is>
      </c>
      <c r="E822" s="6" t="inlineStr">
        <is>
          <t>Rural</t>
        </is>
      </c>
      <c r="F822" s="6" t="inlineStr">
        <is>
          <t>Basket</t>
        </is>
      </c>
      <c r="G822" s="6" t="inlineStr">
        <is>
          <t>gso</t>
        </is>
      </c>
      <c r="H822" s="6" t="inlineStr">
        <is>
          <t>%</t>
        </is>
      </c>
      <c r="P822" s="12">
        <f>DIRECT_EFFECT("gso","Gasoline","gso_share","gso_elasticity",0,"Rural","p75")</f>
        <v/>
      </c>
    </row>
    <row r="823">
      <c r="D823" s="6" t="inlineStr">
        <is>
          <t>p75</t>
        </is>
      </c>
      <c r="E823" s="6" t="inlineStr">
        <is>
          <t>Rural</t>
        </is>
      </c>
      <c r="F823" s="6" t="inlineStr">
        <is>
          <t>Deciles</t>
        </is>
      </c>
      <c r="G823" s="6" t="inlineStr">
        <is>
          <t>gso</t>
        </is>
      </c>
      <c r="H823" s="6" t="inlineStr">
        <is>
          <t>%</t>
        </is>
      </c>
      <c r="Q823" s="12">
        <f>DIRECT_EFFECT("gso","Gasoline","gso_share","gso_elasticity",DECILE_ARRAY,"Rural","p75")</f>
        <v/>
      </c>
    </row>
    <row r="825">
      <c r="C825" s="7" t="inlineStr">
        <is>
          <t>Direct Effect - Diesel (% Total Consumption)</t>
        </is>
      </c>
      <c r="G825" s="6" t="inlineStr">
        <is>
          <t>die</t>
        </is>
      </c>
      <c r="O825" s="8" t="inlineStr">
        <is>
          <t>Decile --&gt;</t>
        </is>
      </c>
      <c r="Q825" s="8" t="n">
        <v>1</v>
      </c>
      <c r="R825" s="8" t="n">
        <v>2</v>
      </c>
      <c r="S825" s="8" t="n">
        <v>3</v>
      </c>
      <c r="T825" s="8" t="n">
        <v>4</v>
      </c>
      <c r="U825" s="8" t="n">
        <v>5</v>
      </c>
      <c r="V825" s="8" t="n">
        <v>6</v>
      </c>
      <c r="W825" s="8" t="n">
        <v>7</v>
      </c>
      <c r="X825" s="8" t="n">
        <v>8</v>
      </c>
      <c r="Y825" s="8" t="n">
        <v>9</v>
      </c>
      <c r="Z825" s="8" t="n">
        <v>10</v>
      </c>
    </row>
    <row r="826">
      <c r="D826" s="6" t="inlineStr">
        <is>
          <t>mean</t>
        </is>
      </c>
      <c r="E826" s="6" t="inlineStr">
        <is>
          <t>Overall</t>
        </is>
      </c>
      <c r="F826" s="6" t="inlineStr">
        <is>
          <t>Basket</t>
        </is>
      </c>
      <c r="G826" s="6" t="inlineStr">
        <is>
          <t>die</t>
        </is>
      </c>
      <c r="H826" s="6" t="inlineStr">
        <is>
          <t>%</t>
        </is>
      </c>
      <c r="P826" s="12">
        <f>DIRECT_EFFECT("die","Diesel","die_share","die_elasticity",0,"Overall","mean")</f>
        <v/>
      </c>
    </row>
    <row r="827">
      <c r="D827" s="6" t="inlineStr">
        <is>
          <t>mean</t>
        </is>
      </c>
      <c r="E827" s="6" t="inlineStr">
        <is>
          <t>Overall</t>
        </is>
      </c>
      <c r="F827" s="6" t="inlineStr">
        <is>
          <t>Deciles</t>
        </is>
      </c>
      <c r="G827" s="6" t="inlineStr">
        <is>
          <t>die</t>
        </is>
      </c>
      <c r="H827" s="6" t="inlineStr">
        <is>
          <t>%</t>
        </is>
      </c>
      <c r="Q827" s="12">
        <f>DIRECT_EFFECT("die","Diesel","die_share","die_elasticity",DECILE_ARRAY,"Overall","mean")</f>
        <v/>
      </c>
    </row>
    <row r="828">
      <c r="D828" s="6" t="inlineStr">
        <is>
          <t>mean</t>
        </is>
      </c>
      <c r="E828" s="6" t="inlineStr">
        <is>
          <t>Urban</t>
        </is>
      </c>
      <c r="F828" s="6" t="inlineStr">
        <is>
          <t>Basket</t>
        </is>
      </c>
      <c r="G828" s="6" t="inlineStr">
        <is>
          <t>die</t>
        </is>
      </c>
      <c r="H828" s="6" t="inlineStr">
        <is>
          <t>%</t>
        </is>
      </c>
      <c r="P828" s="12">
        <f>DIRECT_EFFECT("die","Diesel","die_share","die_elasticity",0,"Urban","mean")</f>
        <v/>
      </c>
    </row>
    <row r="829">
      <c r="D829" s="6" t="inlineStr">
        <is>
          <t>mean</t>
        </is>
      </c>
      <c r="E829" s="6" t="inlineStr">
        <is>
          <t>Urban</t>
        </is>
      </c>
      <c r="F829" s="6" t="inlineStr">
        <is>
          <t>Deciles</t>
        </is>
      </c>
      <c r="G829" s="6" t="inlineStr">
        <is>
          <t>die</t>
        </is>
      </c>
      <c r="H829" s="6" t="inlineStr">
        <is>
          <t>%</t>
        </is>
      </c>
      <c r="Q829" s="12">
        <f>DIRECT_EFFECT("die","Diesel","die_share","die_elasticity",DECILE_ARRAY,"Urban","mean")</f>
        <v/>
      </c>
    </row>
    <row r="830">
      <c r="D830" s="6" t="inlineStr">
        <is>
          <t>mean</t>
        </is>
      </c>
      <c r="E830" s="6" t="inlineStr">
        <is>
          <t>Rural</t>
        </is>
      </c>
      <c r="F830" s="6" t="inlineStr">
        <is>
          <t>Basket</t>
        </is>
      </c>
      <c r="G830" s="6" t="inlineStr">
        <is>
          <t>die</t>
        </is>
      </c>
      <c r="H830" s="6" t="inlineStr">
        <is>
          <t>%</t>
        </is>
      </c>
      <c r="P830" s="12">
        <f>DIRECT_EFFECT("die","Diesel","die_share","die_elasticity",0,"Rural","mean")</f>
        <v/>
      </c>
    </row>
    <row r="831">
      <c r="D831" s="6" t="inlineStr">
        <is>
          <t>mean</t>
        </is>
      </c>
      <c r="E831" s="6" t="inlineStr">
        <is>
          <t>Rural</t>
        </is>
      </c>
      <c r="F831" s="6" t="inlineStr">
        <is>
          <t>Deciles</t>
        </is>
      </c>
      <c r="G831" s="6" t="inlineStr">
        <is>
          <t>die</t>
        </is>
      </c>
      <c r="H831" s="6" t="inlineStr">
        <is>
          <t>%</t>
        </is>
      </c>
      <c r="Q831" s="12">
        <f>DIRECT_EFFECT("die","Diesel","die_share","die_elasticity",DECILE_ARRAY,"Rural","mean")</f>
        <v/>
      </c>
    </row>
    <row r="832">
      <c r="D832" s="6" t="inlineStr">
        <is>
          <t>median</t>
        </is>
      </c>
      <c r="E832" s="6" t="inlineStr">
        <is>
          <t>Overall</t>
        </is>
      </c>
      <c r="F832" s="6" t="inlineStr">
        <is>
          <t>Basket</t>
        </is>
      </c>
      <c r="G832" s="6" t="inlineStr">
        <is>
          <t>die</t>
        </is>
      </c>
      <c r="H832" s="6" t="inlineStr">
        <is>
          <t>%</t>
        </is>
      </c>
      <c r="P832" s="12">
        <f>DIRECT_EFFECT("die","Diesel","die_share","die_elasticity",0,"Overall","median")</f>
        <v/>
      </c>
    </row>
    <row r="833">
      <c r="D833" s="6" t="inlineStr">
        <is>
          <t>median</t>
        </is>
      </c>
      <c r="E833" s="6" t="inlineStr">
        <is>
          <t>Overall</t>
        </is>
      </c>
      <c r="F833" s="6" t="inlineStr">
        <is>
          <t>Deciles</t>
        </is>
      </c>
      <c r="G833" s="6" t="inlineStr">
        <is>
          <t>die</t>
        </is>
      </c>
      <c r="H833" s="6" t="inlineStr">
        <is>
          <t>%</t>
        </is>
      </c>
      <c r="Q833" s="12">
        <f>DIRECT_EFFECT("die","Diesel","die_share","die_elasticity",DECILE_ARRAY,"Overall","median")</f>
        <v/>
      </c>
    </row>
    <row r="834">
      <c r="D834" s="6" t="inlineStr">
        <is>
          <t>median</t>
        </is>
      </c>
      <c r="E834" s="6" t="inlineStr">
        <is>
          <t>Urban</t>
        </is>
      </c>
      <c r="F834" s="6" t="inlineStr">
        <is>
          <t>Basket</t>
        </is>
      </c>
      <c r="G834" s="6" t="inlineStr">
        <is>
          <t>die</t>
        </is>
      </c>
      <c r="H834" s="6" t="inlineStr">
        <is>
          <t>%</t>
        </is>
      </c>
      <c r="P834" s="12">
        <f>DIRECT_EFFECT("die","Diesel","die_share","die_elasticity",0,"Urban","median")</f>
        <v/>
      </c>
    </row>
    <row r="835">
      <c r="D835" s="6" t="inlineStr">
        <is>
          <t>median</t>
        </is>
      </c>
      <c r="E835" s="6" t="inlineStr">
        <is>
          <t>Urban</t>
        </is>
      </c>
      <c r="F835" s="6" t="inlineStr">
        <is>
          <t>Deciles</t>
        </is>
      </c>
      <c r="G835" s="6" t="inlineStr">
        <is>
          <t>die</t>
        </is>
      </c>
      <c r="H835" s="6" t="inlineStr">
        <is>
          <t>%</t>
        </is>
      </c>
      <c r="Q835" s="12">
        <f>DIRECT_EFFECT("die","Diesel","die_share","die_elasticity",DECILE_ARRAY,"Urban","median")</f>
        <v/>
      </c>
    </row>
    <row r="836">
      <c r="D836" s="6" t="inlineStr">
        <is>
          <t>median</t>
        </is>
      </c>
      <c r="E836" s="6" t="inlineStr">
        <is>
          <t>Rural</t>
        </is>
      </c>
      <c r="F836" s="6" t="inlineStr">
        <is>
          <t>Basket</t>
        </is>
      </c>
      <c r="G836" s="6" t="inlineStr">
        <is>
          <t>die</t>
        </is>
      </c>
      <c r="H836" s="6" t="inlineStr">
        <is>
          <t>%</t>
        </is>
      </c>
      <c r="P836" s="12">
        <f>DIRECT_EFFECT("die","Diesel","die_share","die_elasticity",0,"Rural","median")</f>
        <v/>
      </c>
    </row>
    <row r="837">
      <c r="D837" s="6" t="inlineStr">
        <is>
          <t>median</t>
        </is>
      </c>
      <c r="E837" s="6" t="inlineStr">
        <is>
          <t>Rural</t>
        </is>
      </c>
      <c r="F837" s="6" t="inlineStr">
        <is>
          <t>Deciles</t>
        </is>
      </c>
      <c r="G837" s="6" t="inlineStr">
        <is>
          <t>die</t>
        </is>
      </c>
      <c r="H837" s="6" t="inlineStr">
        <is>
          <t>%</t>
        </is>
      </c>
      <c r="Q837" s="12">
        <f>DIRECT_EFFECT("die","Diesel","die_share","die_elasticity",DECILE_ARRAY,"Rural","median")</f>
        <v/>
      </c>
    </row>
    <row r="838">
      <c r="D838" s="6" t="inlineStr">
        <is>
          <t>p25</t>
        </is>
      </c>
      <c r="E838" s="6" t="inlineStr">
        <is>
          <t>Overall</t>
        </is>
      </c>
      <c r="F838" s="6" t="inlineStr">
        <is>
          <t>Basket</t>
        </is>
      </c>
      <c r="G838" s="6" t="inlineStr">
        <is>
          <t>die</t>
        </is>
      </c>
      <c r="H838" s="6" t="inlineStr">
        <is>
          <t>%</t>
        </is>
      </c>
      <c r="P838" s="12">
        <f>DIRECT_EFFECT("die","Diesel","die_share","die_elasticity",0,"Overall","p25")</f>
        <v/>
      </c>
    </row>
    <row r="839">
      <c r="D839" s="6" t="inlineStr">
        <is>
          <t>p25</t>
        </is>
      </c>
      <c r="E839" s="6" t="inlineStr">
        <is>
          <t>Overall</t>
        </is>
      </c>
      <c r="F839" s="6" t="inlineStr">
        <is>
          <t>Deciles</t>
        </is>
      </c>
      <c r="G839" s="6" t="inlineStr">
        <is>
          <t>die</t>
        </is>
      </c>
      <c r="H839" s="6" t="inlineStr">
        <is>
          <t>%</t>
        </is>
      </c>
      <c r="Q839" s="12">
        <f>DIRECT_EFFECT("die","Diesel","die_share","die_elasticity",DECILE_ARRAY,"Overall","p25")</f>
        <v/>
      </c>
    </row>
    <row r="840">
      <c r="D840" s="6" t="inlineStr">
        <is>
          <t>p25</t>
        </is>
      </c>
      <c r="E840" s="6" t="inlineStr">
        <is>
          <t>Urban</t>
        </is>
      </c>
      <c r="F840" s="6" t="inlineStr">
        <is>
          <t>Basket</t>
        </is>
      </c>
      <c r="G840" s="6" t="inlineStr">
        <is>
          <t>die</t>
        </is>
      </c>
      <c r="H840" s="6" t="inlineStr">
        <is>
          <t>%</t>
        </is>
      </c>
      <c r="P840" s="12">
        <f>DIRECT_EFFECT("die","Diesel","die_share","die_elasticity",0,"Urban","p25")</f>
        <v/>
      </c>
    </row>
    <row r="841">
      <c r="D841" s="6" t="inlineStr">
        <is>
          <t>p25</t>
        </is>
      </c>
      <c r="E841" s="6" t="inlineStr">
        <is>
          <t>Urban</t>
        </is>
      </c>
      <c r="F841" s="6" t="inlineStr">
        <is>
          <t>Deciles</t>
        </is>
      </c>
      <c r="G841" s="6" t="inlineStr">
        <is>
          <t>die</t>
        </is>
      </c>
      <c r="H841" s="6" t="inlineStr">
        <is>
          <t>%</t>
        </is>
      </c>
      <c r="Q841" s="12">
        <f>DIRECT_EFFECT("die","Diesel","die_share","die_elasticity",DECILE_ARRAY,"Urban","p25")</f>
        <v/>
      </c>
    </row>
    <row r="842">
      <c r="D842" s="6" t="inlineStr">
        <is>
          <t>p25</t>
        </is>
      </c>
      <c r="E842" s="6" t="inlineStr">
        <is>
          <t>Rural</t>
        </is>
      </c>
      <c r="F842" s="6" t="inlineStr">
        <is>
          <t>Basket</t>
        </is>
      </c>
      <c r="G842" s="6" t="inlineStr">
        <is>
          <t>die</t>
        </is>
      </c>
      <c r="H842" s="6" t="inlineStr">
        <is>
          <t>%</t>
        </is>
      </c>
      <c r="P842" s="12">
        <f>DIRECT_EFFECT("die","Diesel","die_share","die_elasticity",0,"Rural","p25")</f>
        <v/>
      </c>
    </row>
    <row r="843">
      <c r="D843" s="6" t="inlineStr">
        <is>
          <t>p25</t>
        </is>
      </c>
      <c r="E843" s="6" t="inlineStr">
        <is>
          <t>Rural</t>
        </is>
      </c>
      <c r="F843" s="6" t="inlineStr">
        <is>
          <t>Deciles</t>
        </is>
      </c>
      <c r="G843" s="6" t="inlineStr">
        <is>
          <t>die</t>
        </is>
      </c>
      <c r="H843" s="6" t="inlineStr">
        <is>
          <t>%</t>
        </is>
      </c>
      <c r="Q843" s="12">
        <f>DIRECT_EFFECT("die","Diesel","die_share","die_elasticity",DECILE_ARRAY,"Rural","p25")</f>
        <v/>
      </c>
    </row>
    <row r="844">
      <c r="D844" s="6" t="inlineStr">
        <is>
          <t>p75</t>
        </is>
      </c>
      <c r="E844" s="6" t="inlineStr">
        <is>
          <t>Overall</t>
        </is>
      </c>
      <c r="F844" s="6" t="inlineStr">
        <is>
          <t>Basket</t>
        </is>
      </c>
      <c r="G844" s="6" t="inlineStr">
        <is>
          <t>die</t>
        </is>
      </c>
      <c r="H844" s="6" t="inlineStr">
        <is>
          <t>%</t>
        </is>
      </c>
      <c r="P844" s="12">
        <f>DIRECT_EFFECT("die","Diesel","die_share","die_elasticity",0,"Overall","p75")</f>
        <v/>
      </c>
    </row>
    <row r="845">
      <c r="D845" s="6" t="inlineStr">
        <is>
          <t>p75</t>
        </is>
      </c>
      <c r="E845" s="6" t="inlineStr">
        <is>
          <t>Overall</t>
        </is>
      </c>
      <c r="F845" s="6" t="inlineStr">
        <is>
          <t>Deciles</t>
        </is>
      </c>
      <c r="G845" s="6" t="inlineStr">
        <is>
          <t>die</t>
        </is>
      </c>
      <c r="H845" s="6" t="inlineStr">
        <is>
          <t>%</t>
        </is>
      </c>
      <c r="Q845" s="12">
        <f>DIRECT_EFFECT("die","Diesel","die_share","die_elasticity",DECILE_ARRAY,"Overall","p75")</f>
        <v/>
      </c>
    </row>
    <row r="846">
      <c r="D846" s="6" t="inlineStr">
        <is>
          <t>p75</t>
        </is>
      </c>
      <c r="E846" s="6" t="inlineStr">
        <is>
          <t>Urban</t>
        </is>
      </c>
      <c r="F846" s="6" t="inlineStr">
        <is>
          <t>Basket</t>
        </is>
      </c>
      <c r="G846" s="6" t="inlineStr">
        <is>
          <t>die</t>
        </is>
      </c>
      <c r="H846" s="6" t="inlineStr">
        <is>
          <t>%</t>
        </is>
      </c>
      <c r="P846" s="12">
        <f>DIRECT_EFFECT("die","Diesel","die_share","die_elasticity",0,"Urban","p75")</f>
        <v/>
      </c>
    </row>
    <row r="847">
      <c r="D847" s="6" t="inlineStr">
        <is>
          <t>p75</t>
        </is>
      </c>
      <c r="E847" s="6" t="inlineStr">
        <is>
          <t>Urban</t>
        </is>
      </c>
      <c r="F847" s="6" t="inlineStr">
        <is>
          <t>Deciles</t>
        </is>
      </c>
      <c r="G847" s="6" t="inlineStr">
        <is>
          <t>die</t>
        </is>
      </c>
      <c r="H847" s="6" t="inlineStr">
        <is>
          <t>%</t>
        </is>
      </c>
      <c r="Q847" s="12">
        <f>DIRECT_EFFECT("die","Diesel","die_share","die_elasticity",DECILE_ARRAY,"Urban","p75")</f>
        <v/>
      </c>
    </row>
    <row r="848">
      <c r="D848" s="6" t="inlineStr">
        <is>
          <t>p75</t>
        </is>
      </c>
      <c r="E848" s="6" t="inlineStr">
        <is>
          <t>Rural</t>
        </is>
      </c>
      <c r="F848" s="6" t="inlineStr">
        <is>
          <t>Basket</t>
        </is>
      </c>
      <c r="G848" s="6" t="inlineStr">
        <is>
          <t>die</t>
        </is>
      </c>
      <c r="H848" s="6" t="inlineStr">
        <is>
          <t>%</t>
        </is>
      </c>
      <c r="P848" s="12">
        <f>DIRECT_EFFECT("die","Diesel","die_share","die_elasticity",0,"Rural","p75")</f>
        <v/>
      </c>
    </row>
    <row r="849">
      <c r="D849" s="6" t="inlineStr">
        <is>
          <t>p75</t>
        </is>
      </c>
      <c r="E849" s="6" t="inlineStr">
        <is>
          <t>Rural</t>
        </is>
      </c>
      <c r="F849" s="6" t="inlineStr">
        <is>
          <t>Deciles</t>
        </is>
      </c>
      <c r="G849" s="6" t="inlineStr">
        <is>
          <t>die</t>
        </is>
      </c>
      <c r="H849" s="6" t="inlineStr">
        <is>
          <t>%</t>
        </is>
      </c>
      <c r="Q849" s="12">
        <f>DIRECT_EFFECT("die","Diesel","die_share","die_elasticity",DECILE_ARRAY,"Rural","p75")</f>
        <v/>
      </c>
    </row>
    <row r="851">
      <c r="C851" s="7" t="inlineStr">
        <is>
          <t>Direct Effect - Kerosene (% Total Consumption)</t>
        </is>
      </c>
      <c r="G851" s="6" t="inlineStr">
        <is>
          <t>ker</t>
        </is>
      </c>
      <c r="O851" s="8" t="inlineStr">
        <is>
          <t>Decile --&gt;</t>
        </is>
      </c>
      <c r="Q851" s="8" t="n">
        <v>1</v>
      </c>
      <c r="R851" s="8" t="n">
        <v>2</v>
      </c>
      <c r="S851" s="8" t="n">
        <v>3</v>
      </c>
      <c r="T851" s="8" t="n">
        <v>4</v>
      </c>
      <c r="U851" s="8" t="n">
        <v>5</v>
      </c>
      <c r="V851" s="8" t="n">
        <v>6</v>
      </c>
      <c r="W851" s="8" t="n">
        <v>7</v>
      </c>
      <c r="X851" s="8" t="n">
        <v>8</v>
      </c>
      <c r="Y851" s="8" t="n">
        <v>9</v>
      </c>
      <c r="Z851" s="8" t="n">
        <v>10</v>
      </c>
    </row>
    <row r="852">
      <c r="D852" s="6" t="inlineStr">
        <is>
          <t>mean</t>
        </is>
      </c>
      <c r="E852" s="6" t="inlineStr">
        <is>
          <t>Overall</t>
        </is>
      </c>
      <c r="F852" s="6" t="inlineStr">
        <is>
          <t>Basket</t>
        </is>
      </c>
      <c r="G852" s="6" t="inlineStr">
        <is>
          <t>ker</t>
        </is>
      </c>
      <c r="H852" s="6" t="inlineStr">
        <is>
          <t>%</t>
        </is>
      </c>
      <c r="P852" s="12">
        <f>DIRECT_EFFECT("ker","Kerosene","ker_share","ker_elasticity",0,"Overall","mean")</f>
        <v/>
      </c>
    </row>
    <row r="853">
      <c r="D853" s="6" t="inlineStr">
        <is>
          <t>mean</t>
        </is>
      </c>
      <c r="E853" s="6" t="inlineStr">
        <is>
          <t>Overall</t>
        </is>
      </c>
      <c r="F853" s="6" t="inlineStr">
        <is>
          <t>Deciles</t>
        </is>
      </c>
      <c r="G853" s="6" t="inlineStr">
        <is>
          <t>ker</t>
        </is>
      </c>
      <c r="H853" s="6" t="inlineStr">
        <is>
          <t>%</t>
        </is>
      </c>
      <c r="Q853" s="12">
        <f>DIRECT_EFFECT("ker","Kerosene","ker_share","ker_elasticity",DECILE_ARRAY,"Overall","mean")</f>
        <v/>
      </c>
    </row>
    <row r="854">
      <c r="D854" s="6" t="inlineStr">
        <is>
          <t>mean</t>
        </is>
      </c>
      <c r="E854" s="6" t="inlineStr">
        <is>
          <t>Urban</t>
        </is>
      </c>
      <c r="F854" s="6" t="inlineStr">
        <is>
          <t>Basket</t>
        </is>
      </c>
      <c r="G854" s="6" t="inlineStr">
        <is>
          <t>ker</t>
        </is>
      </c>
      <c r="H854" s="6" t="inlineStr">
        <is>
          <t>%</t>
        </is>
      </c>
      <c r="P854" s="12">
        <f>DIRECT_EFFECT("ker","Kerosene","ker_share","ker_elasticity",0,"Urban","mean")</f>
        <v/>
      </c>
    </row>
    <row r="855">
      <c r="D855" s="6" t="inlineStr">
        <is>
          <t>mean</t>
        </is>
      </c>
      <c r="E855" s="6" t="inlineStr">
        <is>
          <t>Urban</t>
        </is>
      </c>
      <c r="F855" s="6" t="inlineStr">
        <is>
          <t>Deciles</t>
        </is>
      </c>
      <c r="G855" s="6" t="inlineStr">
        <is>
          <t>ker</t>
        </is>
      </c>
      <c r="H855" s="6" t="inlineStr">
        <is>
          <t>%</t>
        </is>
      </c>
      <c r="Q855" s="12">
        <f>DIRECT_EFFECT("ker","Kerosene","ker_share","ker_elasticity",DECILE_ARRAY,"Urban","mean")</f>
        <v/>
      </c>
    </row>
    <row r="856">
      <c r="D856" s="6" t="inlineStr">
        <is>
          <t>mean</t>
        </is>
      </c>
      <c r="E856" s="6" t="inlineStr">
        <is>
          <t>Rural</t>
        </is>
      </c>
      <c r="F856" s="6" t="inlineStr">
        <is>
          <t>Basket</t>
        </is>
      </c>
      <c r="G856" s="6" t="inlineStr">
        <is>
          <t>ker</t>
        </is>
      </c>
      <c r="H856" s="6" t="inlineStr">
        <is>
          <t>%</t>
        </is>
      </c>
      <c r="P856" s="12">
        <f>DIRECT_EFFECT("ker","Kerosene","ker_share","ker_elasticity",0,"Rural","mean")</f>
        <v/>
      </c>
    </row>
    <row r="857">
      <c r="D857" s="6" t="inlineStr">
        <is>
          <t>mean</t>
        </is>
      </c>
      <c r="E857" s="6" t="inlineStr">
        <is>
          <t>Rural</t>
        </is>
      </c>
      <c r="F857" s="6" t="inlineStr">
        <is>
          <t>Deciles</t>
        </is>
      </c>
      <c r="G857" s="6" t="inlineStr">
        <is>
          <t>ker</t>
        </is>
      </c>
      <c r="H857" s="6" t="inlineStr">
        <is>
          <t>%</t>
        </is>
      </c>
      <c r="Q857" s="12">
        <f>DIRECT_EFFECT("ker","Kerosene","ker_share","ker_elasticity",DECILE_ARRAY,"Rural","mean")</f>
        <v/>
      </c>
    </row>
    <row r="858">
      <c r="D858" s="6" t="inlineStr">
        <is>
          <t>median</t>
        </is>
      </c>
      <c r="E858" s="6" t="inlineStr">
        <is>
          <t>Overall</t>
        </is>
      </c>
      <c r="F858" s="6" t="inlineStr">
        <is>
          <t>Basket</t>
        </is>
      </c>
      <c r="G858" s="6" t="inlineStr">
        <is>
          <t>ker</t>
        </is>
      </c>
      <c r="H858" s="6" t="inlineStr">
        <is>
          <t>%</t>
        </is>
      </c>
      <c r="P858" s="12">
        <f>DIRECT_EFFECT("ker","Kerosene","ker_share","ker_elasticity",0,"Overall","median")</f>
        <v/>
      </c>
    </row>
    <row r="859">
      <c r="D859" s="6" t="inlineStr">
        <is>
          <t>median</t>
        </is>
      </c>
      <c r="E859" s="6" t="inlineStr">
        <is>
          <t>Overall</t>
        </is>
      </c>
      <c r="F859" s="6" t="inlineStr">
        <is>
          <t>Deciles</t>
        </is>
      </c>
      <c r="G859" s="6" t="inlineStr">
        <is>
          <t>ker</t>
        </is>
      </c>
      <c r="H859" s="6" t="inlineStr">
        <is>
          <t>%</t>
        </is>
      </c>
      <c r="Q859" s="12">
        <f>DIRECT_EFFECT("ker","Kerosene","ker_share","ker_elasticity",DECILE_ARRAY,"Overall","median")</f>
        <v/>
      </c>
    </row>
    <row r="860">
      <c r="D860" s="6" t="inlineStr">
        <is>
          <t>median</t>
        </is>
      </c>
      <c r="E860" s="6" t="inlineStr">
        <is>
          <t>Urban</t>
        </is>
      </c>
      <c r="F860" s="6" t="inlineStr">
        <is>
          <t>Basket</t>
        </is>
      </c>
      <c r="G860" s="6" t="inlineStr">
        <is>
          <t>ker</t>
        </is>
      </c>
      <c r="H860" s="6" t="inlineStr">
        <is>
          <t>%</t>
        </is>
      </c>
      <c r="P860" s="12">
        <f>DIRECT_EFFECT("ker","Kerosene","ker_share","ker_elasticity",0,"Urban","median")</f>
        <v/>
      </c>
    </row>
    <row r="861">
      <c r="D861" s="6" t="inlineStr">
        <is>
          <t>median</t>
        </is>
      </c>
      <c r="E861" s="6" t="inlineStr">
        <is>
          <t>Urban</t>
        </is>
      </c>
      <c r="F861" s="6" t="inlineStr">
        <is>
          <t>Deciles</t>
        </is>
      </c>
      <c r="G861" s="6" t="inlineStr">
        <is>
          <t>ker</t>
        </is>
      </c>
      <c r="H861" s="6" t="inlineStr">
        <is>
          <t>%</t>
        </is>
      </c>
      <c r="Q861" s="12">
        <f>DIRECT_EFFECT("ker","Kerosene","ker_share","ker_elasticity",DECILE_ARRAY,"Urban","median")</f>
        <v/>
      </c>
    </row>
    <row r="862">
      <c r="D862" s="6" t="inlineStr">
        <is>
          <t>median</t>
        </is>
      </c>
      <c r="E862" s="6" t="inlineStr">
        <is>
          <t>Rural</t>
        </is>
      </c>
      <c r="F862" s="6" t="inlineStr">
        <is>
          <t>Basket</t>
        </is>
      </c>
      <c r="G862" s="6" t="inlineStr">
        <is>
          <t>ker</t>
        </is>
      </c>
      <c r="H862" s="6" t="inlineStr">
        <is>
          <t>%</t>
        </is>
      </c>
      <c r="P862" s="12">
        <f>DIRECT_EFFECT("ker","Kerosene","ker_share","ker_elasticity",0,"Rural","median")</f>
        <v/>
      </c>
    </row>
    <row r="863">
      <c r="D863" s="6" t="inlineStr">
        <is>
          <t>median</t>
        </is>
      </c>
      <c r="E863" s="6" t="inlineStr">
        <is>
          <t>Rural</t>
        </is>
      </c>
      <c r="F863" s="6" t="inlineStr">
        <is>
          <t>Deciles</t>
        </is>
      </c>
      <c r="G863" s="6" t="inlineStr">
        <is>
          <t>ker</t>
        </is>
      </c>
      <c r="H863" s="6" t="inlineStr">
        <is>
          <t>%</t>
        </is>
      </c>
      <c r="Q863" s="12">
        <f>DIRECT_EFFECT("ker","Kerosene","ker_share","ker_elasticity",DECILE_ARRAY,"Rural","median")</f>
        <v/>
      </c>
    </row>
    <row r="864">
      <c r="D864" s="6" t="inlineStr">
        <is>
          <t>p25</t>
        </is>
      </c>
      <c r="E864" s="6" t="inlineStr">
        <is>
          <t>Overall</t>
        </is>
      </c>
      <c r="F864" s="6" t="inlineStr">
        <is>
          <t>Basket</t>
        </is>
      </c>
      <c r="G864" s="6" t="inlineStr">
        <is>
          <t>ker</t>
        </is>
      </c>
      <c r="H864" s="6" t="inlineStr">
        <is>
          <t>%</t>
        </is>
      </c>
      <c r="P864" s="12">
        <f>DIRECT_EFFECT("ker","Kerosene","ker_share","ker_elasticity",0,"Overall","p25")</f>
        <v/>
      </c>
    </row>
    <row r="865">
      <c r="D865" s="6" t="inlineStr">
        <is>
          <t>p25</t>
        </is>
      </c>
      <c r="E865" s="6" t="inlineStr">
        <is>
          <t>Overall</t>
        </is>
      </c>
      <c r="F865" s="6" t="inlineStr">
        <is>
          <t>Deciles</t>
        </is>
      </c>
      <c r="G865" s="6" t="inlineStr">
        <is>
          <t>ker</t>
        </is>
      </c>
      <c r="H865" s="6" t="inlineStr">
        <is>
          <t>%</t>
        </is>
      </c>
      <c r="Q865" s="12">
        <f>DIRECT_EFFECT("ker","Kerosene","ker_share","ker_elasticity",DECILE_ARRAY,"Overall","p25")</f>
        <v/>
      </c>
    </row>
    <row r="866">
      <c r="D866" s="6" t="inlineStr">
        <is>
          <t>p25</t>
        </is>
      </c>
      <c r="E866" s="6" t="inlineStr">
        <is>
          <t>Urban</t>
        </is>
      </c>
      <c r="F866" s="6" t="inlineStr">
        <is>
          <t>Basket</t>
        </is>
      </c>
      <c r="G866" s="6" t="inlineStr">
        <is>
          <t>ker</t>
        </is>
      </c>
      <c r="H866" s="6" t="inlineStr">
        <is>
          <t>%</t>
        </is>
      </c>
      <c r="P866" s="12">
        <f>DIRECT_EFFECT("ker","Kerosene","ker_share","ker_elasticity",0,"Urban","p25")</f>
        <v/>
      </c>
    </row>
    <row r="867">
      <c r="D867" s="6" t="inlineStr">
        <is>
          <t>p25</t>
        </is>
      </c>
      <c r="E867" s="6" t="inlineStr">
        <is>
          <t>Urban</t>
        </is>
      </c>
      <c r="F867" s="6" t="inlineStr">
        <is>
          <t>Deciles</t>
        </is>
      </c>
      <c r="G867" s="6" t="inlineStr">
        <is>
          <t>ker</t>
        </is>
      </c>
      <c r="H867" s="6" t="inlineStr">
        <is>
          <t>%</t>
        </is>
      </c>
      <c r="Q867" s="12">
        <f>DIRECT_EFFECT("ker","Kerosene","ker_share","ker_elasticity",DECILE_ARRAY,"Urban","p25")</f>
        <v/>
      </c>
    </row>
    <row r="868">
      <c r="D868" s="6" t="inlineStr">
        <is>
          <t>p25</t>
        </is>
      </c>
      <c r="E868" s="6" t="inlineStr">
        <is>
          <t>Rural</t>
        </is>
      </c>
      <c r="F868" s="6" t="inlineStr">
        <is>
          <t>Basket</t>
        </is>
      </c>
      <c r="G868" s="6" t="inlineStr">
        <is>
          <t>ker</t>
        </is>
      </c>
      <c r="H868" s="6" t="inlineStr">
        <is>
          <t>%</t>
        </is>
      </c>
      <c r="P868" s="12">
        <f>DIRECT_EFFECT("ker","Kerosene","ker_share","ker_elasticity",0,"Rural","p25")</f>
        <v/>
      </c>
    </row>
    <row r="869">
      <c r="D869" s="6" t="inlineStr">
        <is>
          <t>p25</t>
        </is>
      </c>
      <c r="E869" s="6" t="inlineStr">
        <is>
          <t>Rural</t>
        </is>
      </c>
      <c r="F869" s="6" t="inlineStr">
        <is>
          <t>Deciles</t>
        </is>
      </c>
      <c r="G869" s="6" t="inlineStr">
        <is>
          <t>ker</t>
        </is>
      </c>
      <c r="H869" s="6" t="inlineStr">
        <is>
          <t>%</t>
        </is>
      </c>
      <c r="Q869" s="12">
        <f>DIRECT_EFFECT("ker","Kerosene","ker_share","ker_elasticity",DECILE_ARRAY,"Rural","p25")</f>
        <v/>
      </c>
    </row>
    <row r="870">
      <c r="D870" s="6" t="inlineStr">
        <is>
          <t>p75</t>
        </is>
      </c>
      <c r="E870" s="6" t="inlineStr">
        <is>
          <t>Overall</t>
        </is>
      </c>
      <c r="F870" s="6" t="inlineStr">
        <is>
          <t>Basket</t>
        </is>
      </c>
      <c r="G870" s="6" t="inlineStr">
        <is>
          <t>ker</t>
        </is>
      </c>
      <c r="H870" s="6" t="inlineStr">
        <is>
          <t>%</t>
        </is>
      </c>
      <c r="P870" s="12">
        <f>DIRECT_EFFECT("ker","Kerosene","ker_share","ker_elasticity",0,"Overall","p75")</f>
        <v/>
      </c>
    </row>
    <row r="871">
      <c r="D871" s="6" t="inlineStr">
        <is>
          <t>p75</t>
        </is>
      </c>
      <c r="E871" s="6" t="inlineStr">
        <is>
          <t>Overall</t>
        </is>
      </c>
      <c r="F871" s="6" t="inlineStr">
        <is>
          <t>Deciles</t>
        </is>
      </c>
      <c r="G871" s="6" t="inlineStr">
        <is>
          <t>ker</t>
        </is>
      </c>
      <c r="H871" s="6" t="inlineStr">
        <is>
          <t>%</t>
        </is>
      </c>
      <c r="Q871" s="12">
        <f>DIRECT_EFFECT("ker","Kerosene","ker_share","ker_elasticity",DECILE_ARRAY,"Overall","p75")</f>
        <v/>
      </c>
    </row>
    <row r="872">
      <c r="D872" s="6" t="inlineStr">
        <is>
          <t>p75</t>
        </is>
      </c>
      <c r="E872" s="6" t="inlineStr">
        <is>
          <t>Urban</t>
        </is>
      </c>
      <c r="F872" s="6" t="inlineStr">
        <is>
          <t>Basket</t>
        </is>
      </c>
      <c r="G872" s="6" t="inlineStr">
        <is>
          <t>ker</t>
        </is>
      </c>
      <c r="H872" s="6" t="inlineStr">
        <is>
          <t>%</t>
        </is>
      </c>
      <c r="P872" s="12">
        <f>DIRECT_EFFECT("ker","Kerosene","ker_share","ker_elasticity",0,"Urban","p75")</f>
        <v/>
      </c>
    </row>
    <row r="873">
      <c r="D873" s="6" t="inlineStr">
        <is>
          <t>p75</t>
        </is>
      </c>
      <c r="E873" s="6" t="inlineStr">
        <is>
          <t>Urban</t>
        </is>
      </c>
      <c r="F873" s="6" t="inlineStr">
        <is>
          <t>Deciles</t>
        </is>
      </c>
      <c r="G873" s="6" t="inlineStr">
        <is>
          <t>ker</t>
        </is>
      </c>
      <c r="H873" s="6" t="inlineStr">
        <is>
          <t>%</t>
        </is>
      </c>
      <c r="Q873" s="12">
        <f>DIRECT_EFFECT("ker","Kerosene","ker_share","ker_elasticity",DECILE_ARRAY,"Urban","p75")</f>
        <v/>
      </c>
    </row>
    <row r="874">
      <c r="D874" s="6" t="inlineStr">
        <is>
          <t>p75</t>
        </is>
      </c>
      <c r="E874" s="6" t="inlineStr">
        <is>
          <t>Rural</t>
        </is>
      </c>
      <c r="F874" s="6" t="inlineStr">
        <is>
          <t>Basket</t>
        </is>
      </c>
      <c r="G874" s="6" t="inlineStr">
        <is>
          <t>ker</t>
        </is>
      </c>
      <c r="H874" s="6" t="inlineStr">
        <is>
          <t>%</t>
        </is>
      </c>
      <c r="P874" s="12">
        <f>DIRECT_EFFECT("ker","Kerosene","ker_share","ker_elasticity",0,"Rural","p75")</f>
        <v/>
      </c>
    </row>
    <row r="875">
      <c r="D875" s="6" t="inlineStr">
        <is>
          <t>p75</t>
        </is>
      </c>
      <c r="E875" s="6" t="inlineStr">
        <is>
          <t>Rural</t>
        </is>
      </c>
      <c r="F875" s="6" t="inlineStr">
        <is>
          <t>Deciles</t>
        </is>
      </c>
      <c r="G875" s="6" t="inlineStr">
        <is>
          <t>ker</t>
        </is>
      </c>
      <c r="H875" s="6" t="inlineStr">
        <is>
          <t>%</t>
        </is>
      </c>
      <c r="Q875" s="12">
        <f>DIRECT_EFFECT("ker","Kerosene","ker_share","ker_elasticity",DECILE_ARRAY,"Rural","p75")</f>
        <v/>
      </c>
    </row>
    <row r="877">
      <c r="C877" s="7" t="inlineStr">
        <is>
          <t>Direct Effect - LPG (% Total Consumption)</t>
        </is>
      </c>
      <c r="G877" s="6" t="inlineStr">
        <is>
          <t>lpg</t>
        </is>
      </c>
      <c r="O877" s="8" t="inlineStr">
        <is>
          <t>Decile --&gt;</t>
        </is>
      </c>
      <c r="Q877" s="8" t="n">
        <v>1</v>
      </c>
      <c r="R877" s="8" t="n">
        <v>2</v>
      </c>
      <c r="S877" s="8" t="n">
        <v>3</v>
      </c>
      <c r="T877" s="8" t="n">
        <v>4</v>
      </c>
      <c r="U877" s="8" t="n">
        <v>5</v>
      </c>
      <c r="V877" s="8" t="n">
        <v>6</v>
      </c>
      <c r="W877" s="8" t="n">
        <v>7</v>
      </c>
      <c r="X877" s="8" t="n">
        <v>8</v>
      </c>
      <c r="Y877" s="8" t="n">
        <v>9</v>
      </c>
      <c r="Z877" s="8" t="n">
        <v>10</v>
      </c>
    </row>
    <row r="878">
      <c r="D878" s="6" t="inlineStr">
        <is>
          <t>mean</t>
        </is>
      </c>
      <c r="E878" s="6" t="inlineStr">
        <is>
          <t>Overall</t>
        </is>
      </c>
      <c r="F878" s="6" t="inlineStr">
        <is>
          <t>Basket</t>
        </is>
      </c>
      <c r="G878" s="6" t="inlineStr">
        <is>
          <t>lpg</t>
        </is>
      </c>
      <c r="H878" s="6" t="inlineStr">
        <is>
          <t>%</t>
        </is>
      </c>
      <c r="P878" s="12">
        <f>DIRECT_EFFECT("lpg","LPG","lpg_share","lpg_elasticity",0,"Overall","mean")</f>
        <v/>
      </c>
    </row>
    <row r="879">
      <c r="D879" s="6" t="inlineStr">
        <is>
          <t>mean</t>
        </is>
      </c>
      <c r="E879" s="6" t="inlineStr">
        <is>
          <t>Overall</t>
        </is>
      </c>
      <c r="F879" s="6" t="inlineStr">
        <is>
          <t>Deciles</t>
        </is>
      </c>
      <c r="G879" s="6" t="inlineStr">
        <is>
          <t>lpg</t>
        </is>
      </c>
      <c r="H879" s="6" t="inlineStr">
        <is>
          <t>%</t>
        </is>
      </c>
      <c r="Q879" s="12">
        <f>DIRECT_EFFECT("lpg","LPG","lpg_share","lpg_elasticity",DECILE_ARRAY,"Overall","mean")</f>
        <v/>
      </c>
    </row>
    <row r="880">
      <c r="D880" s="6" t="inlineStr">
        <is>
          <t>mean</t>
        </is>
      </c>
      <c r="E880" s="6" t="inlineStr">
        <is>
          <t>Urban</t>
        </is>
      </c>
      <c r="F880" s="6" t="inlineStr">
        <is>
          <t>Basket</t>
        </is>
      </c>
      <c r="G880" s="6" t="inlineStr">
        <is>
          <t>lpg</t>
        </is>
      </c>
      <c r="H880" s="6" t="inlineStr">
        <is>
          <t>%</t>
        </is>
      </c>
      <c r="P880" s="12">
        <f>DIRECT_EFFECT("lpg","LPG","lpg_share","lpg_elasticity",0,"Urban","mean")</f>
        <v/>
      </c>
    </row>
    <row r="881">
      <c r="D881" s="6" t="inlineStr">
        <is>
          <t>mean</t>
        </is>
      </c>
      <c r="E881" s="6" t="inlineStr">
        <is>
          <t>Urban</t>
        </is>
      </c>
      <c r="F881" s="6" t="inlineStr">
        <is>
          <t>Deciles</t>
        </is>
      </c>
      <c r="G881" s="6" t="inlineStr">
        <is>
          <t>lpg</t>
        </is>
      </c>
      <c r="H881" s="6" t="inlineStr">
        <is>
          <t>%</t>
        </is>
      </c>
      <c r="Q881" s="12">
        <f>DIRECT_EFFECT("lpg","LPG","lpg_share","lpg_elasticity",DECILE_ARRAY,"Urban","mean")</f>
        <v/>
      </c>
    </row>
    <row r="882">
      <c r="D882" s="6" t="inlineStr">
        <is>
          <t>mean</t>
        </is>
      </c>
      <c r="E882" s="6" t="inlineStr">
        <is>
          <t>Rural</t>
        </is>
      </c>
      <c r="F882" s="6" t="inlineStr">
        <is>
          <t>Basket</t>
        </is>
      </c>
      <c r="G882" s="6" t="inlineStr">
        <is>
          <t>lpg</t>
        </is>
      </c>
      <c r="H882" s="6" t="inlineStr">
        <is>
          <t>%</t>
        </is>
      </c>
      <c r="P882" s="12">
        <f>DIRECT_EFFECT("lpg","LPG","lpg_share","lpg_elasticity",0,"Rural","mean")</f>
        <v/>
      </c>
    </row>
    <row r="883">
      <c r="D883" s="6" t="inlineStr">
        <is>
          <t>mean</t>
        </is>
      </c>
      <c r="E883" s="6" t="inlineStr">
        <is>
          <t>Rural</t>
        </is>
      </c>
      <c r="F883" s="6" t="inlineStr">
        <is>
          <t>Deciles</t>
        </is>
      </c>
      <c r="G883" s="6" t="inlineStr">
        <is>
          <t>lpg</t>
        </is>
      </c>
      <c r="H883" s="6" t="inlineStr">
        <is>
          <t>%</t>
        </is>
      </c>
      <c r="Q883" s="12">
        <f>DIRECT_EFFECT("lpg","LPG","lpg_share","lpg_elasticity",DECILE_ARRAY,"Rural","mean")</f>
        <v/>
      </c>
    </row>
    <row r="884">
      <c r="D884" s="6" t="inlineStr">
        <is>
          <t>median</t>
        </is>
      </c>
      <c r="E884" s="6" t="inlineStr">
        <is>
          <t>Overall</t>
        </is>
      </c>
      <c r="F884" s="6" t="inlineStr">
        <is>
          <t>Basket</t>
        </is>
      </c>
      <c r="G884" s="6" t="inlineStr">
        <is>
          <t>lpg</t>
        </is>
      </c>
      <c r="H884" s="6" t="inlineStr">
        <is>
          <t>%</t>
        </is>
      </c>
      <c r="P884" s="12">
        <f>DIRECT_EFFECT("lpg","LPG","lpg_share","lpg_elasticity",0,"Overall","median")</f>
        <v/>
      </c>
    </row>
    <row r="885">
      <c r="D885" s="6" t="inlineStr">
        <is>
          <t>median</t>
        </is>
      </c>
      <c r="E885" s="6" t="inlineStr">
        <is>
          <t>Overall</t>
        </is>
      </c>
      <c r="F885" s="6" t="inlineStr">
        <is>
          <t>Deciles</t>
        </is>
      </c>
      <c r="G885" s="6" t="inlineStr">
        <is>
          <t>lpg</t>
        </is>
      </c>
      <c r="H885" s="6" t="inlineStr">
        <is>
          <t>%</t>
        </is>
      </c>
      <c r="Q885" s="12">
        <f>DIRECT_EFFECT("lpg","LPG","lpg_share","lpg_elasticity",DECILE_ARRAY,"Overall","median")</f>
        <v/>
      </c>
    </row>
    <row r="886">
      <c r="D886" s="6" t="inlineStr">
        <is>
          <t>median</t>
        </is>
      </c>
      <c r="E886" s="6" t="inlineStr">
        <is>
          <t>Urban</t>
        </is>
      </c>
      <c r="F886" s="6" t="inlineStr">
        <is>
          <t>Basket</t>
        </is>
      </c>
      <c r="G886" s="6" t="inlineStr">
        <is>
          <t>lpg</t>
        </is>
      </c>
      <c r="H886" s="6" t="inlineStr">
        <is>
          <t>%</t>
        </is>
      </c>
      <c r="P886" s="12">
        <f>DIRECT_EFFECT("lpg","LPG","lpg_share","lpg_elasticity",0,"Urban","median")</f>
        <v/>
      </c>
    </row>
    <row r="887">
      <c r="D887" s="6" t="inlineStr">
        <is>
          <t>median</t>
        </is>
      </c>
      <c r="E887" s="6" t="inlineStr">
        <is>
          <t>Urban</t>
        </is>
      </c>
      <c r="F887" s="6" t="inlineStr">
        <is>
          <t>Deciles</t>
        </is>
      </c>
      <c r="G887" s="6" t="inlineStr">
        <is>
          <t>lpg</t>
        </is>
      </c>
      <c r="H887" s="6" t="inlineStr">
        <is>
          <t>%</t>
        </is>
      </c>
      <c r="Q887" s="12">
        <f>DIRECT_EFFECT("lpg","LPG","lpg_share","lpg_elasticity",DECILE_ARRAY,"Urban","median")</f>
        <v/>
      </c>
    </row>
    <row r="888">
      <c r="D888" s="6" t="inlineStr">
        <is>
          <t>median</t>
        </is>
      </c>
      <c r="E888" s="6" t="inlineStr">
        <is>
          <t>Rural</t>
        </is>
      </c>
      <c r="F888" s="6" t="inlineStr">
        <is>
          <t>Basket</t>
        </is>
      </c>
      <c r="G888" s="6" t="inlineStr">
        <is>
          <t>lpg</t>
        </is>
      </c>
      <c r="H888" s="6" t="inlineStr">
        <is>
          <t>%</t>
        </is>
      </c>
      <c r="P888" s="12">
        <f>DIRECT_EFFECT("lpg","LPG","lpg_share","lpg_elasticity",0,"Rural","median")</f>
        <v/>
      </c>
    </row>
    <row r="889">
      <c r="D889" s="6" t="inlineStr">
        <is>
          <t>median</t>
        </is>
      </c>
      <c r="E889" s="6" t="inlineStr">
        <is>
          <t>Rural</t>
        </is>
      </c>
      <c r="F889" s="6" t="inlineStr">
        <is>
          <t>Deciles</t>
        </is>
      </c>
      <c r="G889" s="6" t="inlineStr">
        <is>
          <t>lpg</t>
        </is>
      </c>
      <c r="H889" s="6" t="inlineStr">
        <is>
          <t>%</t>
        </is>
      </c>
      <c r="Q889" s="12">
        <f>DIRECT_EFFECT("lpg","LPG","lpg_share","lpg_elasticity",DECILE_ARRAY,"Rural","median")</f>
        <v/>
      </c>
    </row>
    <row r="890">
      <c r="D890" s="6" t="inlineStr">
        <is>
          <t>p25</t>
        </is>
      </c>
      <c r="E890" s="6" t="inlineStr">
        <is>
          <t>Overall</t>
        </is>
      </c>
      <c r="F890" s="6" t="inlineStr">
        <is>
          <t>Basket</t>
        </is>
      </c>
      <c r="G890" s="6" t="inlineStr">
        <is>
          <t>lpg</t>
        </is>
      </c>
      <c r="H890" s="6" t="inlineStr">
        <is>
          <t>%</t>
        </is>
      </c>
      <c r="P890" s="12">
        <f>DIRECT_EFFECT("lpg","LPG","lpg_share","lpg_elasticity",0,"Overall","p25")</f>
        <v/>
      </c>
    </row>
    <row r="891">
      <c r="D891" s="6" t="inlineStr">
        <is>
          <t>p25</t>
        </is>
      </c>
      <c r="E891" s="6" t="inlineStr">
        <is>
          <t>Overall</t>
        </is>
      </c>
      <c r="F891" s="6" t="inlineStr">
        <is>
          <t>Deciles</t>
        </is>
      </c>
      <c r="G891" s="6" t="inlineStr">
        <is>
          <t>lpg</t>
        </is>
      </c>
      <c r="H891" s="6" t="inlineStr">
        <is>
          <t>%</t>
        </is>
      </c>
      <c r="Q891" s="12">
        <f>DIRECT_EFFECT("lpg","LPG","lpg_share","lpg_elasticity",DECILE_ARRAY,"Overall","p25")</f>
        <v/>
      </c>
    </row>
    <row r="892">
      <c r="D892" s="6" t="inlineStr">
        <is>
          <t>p25</t>
        </is>
      </c>
      <c r="E892" s="6" t="inlineStr">
        <is>
          <t>Urban</t>
        </is>
      </c>
      <c r="F892" s="6" t="inlineStr">
        <is>
          <t>Basket</t>
        </is>
      </c>
      <c r="G892" s="6" t="inlineStr">
        <is>
          <t>lpg</t>
        </is>
      </c>
      <c r="H892" s="6" t="inlineStr">
        <is>
          <t>%</t>
        </is>
      </c>
      <c r="P892" s="12">
        <f>DIRECT_EFFECT("lpg","LPG","lpg_share","lpg_elasticity",0,"Urban","p25")</f>
        <v/>
      </c>
    </row>
    <row r="893">
      <c r="D893" s="6" t="inlineStr">
        <is>
          <t>p25</t>
        </is>
      </c>
      <c r="E893" s="6" t="inlineStr">
        <is>
          <t>Urban</t>
        </is>
      </c>
      <c r="F893" s="6" t="inlineStr">
        <is>
          <t>Deciles</t>
        </is>
      </c>
      <c r="G893" s="6" t="inlineStr">
        <is>
          <t>lpg</t>
        </is>
      </c>
      <c r="H893" s="6" t="inlineStr">
        <is>
          <t>%</t>
        </is>
      </c>
      <c r="Q893" s="12">
        <f>DIRECT_EFFECT("lpg","LPG","lpg_share","lpg_elasticity",DECILE_ARRAY,"Urban","p25")</f>
        <v/>
      </c>
    </row>
    <row r="894">
      <c r="D894" s="6" t="inlineStr">
        <is>
          <t>p25</t>
        </is>
      </c>
      <c r="E894" s="6" t="inlineStr">
        <is>
          <t>Rural</t>
        </is>
      </c>
      <c r="F894" s="6" t="inlineStr">
        <is>
          <t>Basket</t>
        </is>
      </c>
      <c r="G894" s="6" t="inlineStr">
        <is>
          <t>lpg</t>
        </is>
      </c>
      <c r="H894" s="6" t="inlineStr">
        <is>
          <t>%</t>
        </is>
      </c>
      <c r="P894" s="12">
        <f>DIRECT_EFFECT("lpg","LPG","lpg_share","lpg_elasticity",0,"Rural","p25")</f>
        <v/>
      </c>
    </row>
    <row r="895">
      <c r="D895" s="6" t="inlineStr">
        <is>
          <t>p25</t>
        </is>
      </c>
      <c r="E895" s="6" t="inlineStr">
        <is>
          <t>Rural</t>
        </is>
      </c>
      <c r="F895" s="6" t="inlineStr">
        <is>
          <t>Deciles</t>
        </is>
      </c>
      <c r="G895" s="6" t="inlineStr">
        <is>
          <t>lpg</t>
        </is>
      </c>
      <c r="H895" s="6" t="inlineStr">
        <is>
          <t>%</t>
        </is>
      </c>
      <c r="Q895" s="12">
        <f>DIRECT_EFFECT("lpg","LPG","lpg_share","lpg_elasticity",DECILE_ARRAY,"Rural","p25")</f>
        <v/>
      </c>
    </row>
    <row r="896">
      <c r="D896" s="6" t="inlineStr">
        <is>
          <t>p75</t>
        </is>
      </c>
      <c r="E896" s="6" t="inlineStr">
        <is>
          <t>Overall</t>
        </is>
      </c>
      <c r="F896" s="6" t="inlineStr">
        <is>
          <t>Basket</t>
        </is>
      </c>
      <c r="G896" s="6" t="inlineStr">
        <is>
          <t>lpg</t>
        </is>
      </c>
      <c r="H896" s="6" t="inlineStr">
        <is>
          <t>%</t>
        </is>
      </c>
      <c r="P896" s="12">
        <f>DIRECT_EFFECT("lpg","LPG","lpg_share","lpg_elasticity",0,"Overall","p75")</f>
        <v/>
      </c>
    </row>
    <row r="897">
      <c r="D897" s="6" t="inlineStr">
        <is>
          <t>p75</t>
        </is>
      </c>
      <c r="E897" s="6" t="inlineStr">
        <is>
          <t>Overall</t>
        </is>
      </c>
      <c r="F897" s="6" t="inlineStr">
        <is>
          <t>Deciles</t>
        </is>
      </c>
      <c r="G897" s="6" t="inlineStr">
        <is>
          <t>lpg</t>
        </is>
      </c>
      <c r="H897" s="6" t="inlineStr">
        <is>
          <t>%</t>
        </is>
      </c>
      <c r="Q897" s="12">
        <f>DIRECT_EFFECT("lpg","LPG","lpg_share","lpg_elasticity",DECILE_ARRAY,"Overall","p75")</f>
        <v/>
      </c>
    </row>
    <row r="898">
      <c r="D898" s="6" t="inlineStr">
        <is>
          <t>p75</t>
        </is>
      </c>
      <c r="E898" s="6" t="inlineStr">
        <is>
          <t>Urban</t>
        </is>
      </c>
      <c r="F898" s="6" t="inlineStr">
        <is>
          <t>Basket</t>
        </is>
      </c>
      <c r="G898" s="6" t="inlineStr">
        <is>
          <t>lpg</t>
        </is>
      </c>
      <c r="H898" s="6" t="inlineStr">
        <is>
          <t>%</t>
        </is>
      </c>
      <c r="P898" s="12">
        <f>DIRECT_EFFECT("lpg","LPG","lpg_share","lpg_elasticity",0,"Urban","p75")</f>
        <v/>
      </c>
    </row>
    <row r="899">
      <c r="D899" s="6" t="inlineStr">
        <is>
          <t>p75</t>
        </is>
      </c>
      <c r="E899" s="6" t="inlineStr">
        <is>
          <t>Urban</t>
        </is>
      </c>
      <c r="F899" s="6" t="inlineStr">
        <is>
          <t>Deciles</t>
        </is>
      </c>
      <c r="G899" s="6" t="inlineStr">
        <is>
          <t>lpg</t>
        </is>
      </c>
      <c r="H899" s="6" t="inlineStr">
        <is>
          <t>%</t>
        </is>
      </c>
      <c r="Q899" s="12">
        <f>DIRECT_EFFECT("lpg","LPG","lpg_share","lpg_elasticity",DECILE_ARRAY,"Urban","p75")</f>
        <v/>
      </c>
    </row>
    <row r="900">
      <c r="D900" s="6" t="inlineStr">
        <is>
          <t>p75</t>
        </is>
      </c>
      <c r="E900" s="6" t="inlineStr">
        <is>
          <t>Rural</t>
        </is>
      </c>
      <c r="F900" s="6" t="inlineStr">
        <is>
          <t>Basket</t>
        </is>
      </c>
      <c r="G900" s="6" t="inlineStr">
        <is>
          <t>lpg</t>
        </is>
      </c>
      <c r="H900" s="6" t="inlineStr">
        <is>
          <t>%</t>
        </is>
      </c>
      <c r="P900" s="12">
        <f>DIRECT_EFFECT("lpg","LPG","lpg_share","lpg_elasticity",0,"Rural","p75")</f>
        <v/>
      </c>
    </row>
    <row r="901">
      <c r="D901" s="6" t="inlineStr">
        <is>
          <t>p75</t>
        </is>
      </c>
      <c r="E901" s="6" t="inlineStr">
        <is>
          <t>Rural</t>
        </is>
      </c>
      <c r="F901" s="6" t="inlineStr">
        <is>
          <t>Deciles</t>
        </is>
      </c>
      <c r="G901" s="6" t="inlineStr">
        <is>
          <t>lpg</t>
        </is>
      </c>
      <c r="H901" s="6" t="inlineStr">
        <is>
          <t>%</t>
        </is>
      </c>
      <c r="Q901" s="12">
        <f>DIRECT_EFFECT("lpg","LPG","lpg_share","lpg_elasticity",DECILE_ARRAY,"Rural","p75")</f>
        <v/>
      </c>
    </row>
    <row r="903">
      <c r="C903" s="7" t="inlineStr">
        <is>
          <t>Total Direct Effect (% Total Consumption)</t>
        </is>
      </c>
      <c r="G903" s="6" t="inlineStr">
        <is>
          <t>tot</t>
        </is>
      </c>
      <c r="O903" s="8" t="inlineStr">
        <is>
          <t>Decile --&gt;</t>
        </is>
      </c>
      <c r="Q903" s="8" t="n">
        <v>1</v>
      </c>
      <c r="R903" s="8" t="n">
        <v>2</v>
      </c>
      <c r="S903" s="8" t="n">
        <v>3</v>
      </c>
      <c r="T903" s="8" t="n">
        <v>4</v>
      </c>
      <c r="U903" s="8" t="n">
        <v>5</v>
      </c>
      <c r="V903" s="8" t="n">
        <v>6</v>
      </c>
      <c r="W903" s="8" t="n">
        <v>7</v>
      </c>
      <c r="X903" s="8" t="n">
        <v>8</v>
      </c>
      <c r="Y903" s="8" t="n">
        <v>9</v>
      </c>
      <c r="Z903" s="8" t="n">
        <v>10</v>
      </c>
    </row>
    <row r="904">
      <c r="D904" s="6" t="inlineStr">
        <is>
          <t>mean</t>
        </is>
      </c>
      <c r="E904" s="6" t="inlineStr">
        <is>
          <t>Overall</t>
        </is>
      </c>
      <c r="F904" s="6" t="inlineStr">
        <is>
          <t>Basket</t>
        </is>
      </c>
      <c r="G904" s="6" t="inlineStr">
        <is>
          <t>tot</t>
        </is>
      </c>
      <c r="H904" s="6" t="inlineStr">
        <is>
          <t>%</t>
        </is>
      </c>
      <c r="P904" s="12">
        <f>TOTAL_DIRECT_EFFECT(0,"Overall","mean")</f>
        <v/>
      </c>
    </row>
    <row r="905">
      <c r="D905" s="6" t="inlineStr">
        <is>
          <t>mean</t>
        </is>
      </c>
      <c r="E905" s="6" t="inlineStr">
        <is>
          <t>Overall</t>
        </is>
      </c>
      <c r="F905" s="6" t="inlineStr">
        <is>
          <t>Deciles</t>
        </is>
      </c>
      <c r="G905" s="6" t="inlineStr">
        <is>
          <t>tot</t>
        </is>
      </c>
      <c r="H905" s="6" t="inlineStr">
        <is>
          <t>%</t>
        </is>
      </c>
      <c r="Q905" s="12">
        <f>TOTAL_DIRECT_EFFECT(DECILE_ARRAY,"Overall","mean")</f>
        <v/>
      </c>
    </row>
    <row r="906">
      <c r="D906" s="6" t="inlineStr">
        <is>
          <t>mean</t>
        </is>
      </c>
      <c r="E906" s="6" t="inlineStr">
        <is>
          <t>Urban</t>
        </is>
      </c>
      <c r="F906" s="6" t="inlineStr">
        <is>
          <t>Basket</t>
        </is>
      </c>
      <c r="G906" s="6" t="inlineStr">
        <is>
          <t>tot</t>
        </is>
      </c>
      <c r="H906" s="6" t="inlineStr">
        <is>
          <t>%</t>
        </is>
      </c>
      <c r="P906" s="12">
        <f>TOTAL_DIRECT_EFFECT(0,"Urban","mean")</f>
        <v/>
      </c>
    </row>
    <row r="907">
      <c r="D907" s="6" t="inlineStr">
        <is>
          <t>mean</t>
        </is>
      </c>
      <c r="E907" s="6" t="inlineStr">
        <is>
          <t>Urban</t>
        </is>
      </c>
      <c r="F907" s="6" t="inlineStr">
        <is>
          <t>Deciles</t>
        </is>
      </c>
      <c r="G907" s="6" t="inlineStr">
        <is>
          <t>tot</t>
        </is>
      </c>
      <c r="H907" s="6" t="inlineStr">
        <is>
          <t>%</t>
        </is>
      </c>
      <c r="Q907" s="12">
        <f>TOTAL_DIRECT_EFFECT(DECILE_ARRAY,"Urban","mean")</f>
        <v/>
      </c>
    </row>
    <row r="908">
      <c r="D908" s="6" t="inlineStr">
        <is>
          <t>mean</t>
        </is>
      </c>
      <c r="E908" s="6" t="inlineStr">
        <is>
          <t>Rural</t>
        </is>
      </c>
      <c r="F908" s="6" t="inlineStr">
        <is>
          <t>Basket</t>
        </is>
      </c>
      <c r="G908" s="6" t="inlineStr">
        <is>
          <t>tot</t>
        </is>
      </c>
      <c r="H908" s="6" t="inlineStr">
        <is>
          <t>%</t>
        </is>
      </c>
      <c r="P908" s="12">
        <f>TOTAL_DIRECT_EFFECT(0,"Rural","mean")</f>
        <v/>
      </c>
    </row>
    <row r="909">
      <c r="D909" s="6" t="inlineStr">
        <is>
          <t>mean</t>
        </is>
      </c>
      <c r="E909" s="6" t="inlineStr">
        <is>
          <t>Rural</t>
        </is>
      </c>
      <c r="F909" s="6" t="inlineStr">
        <is>
          <t>Deciles</t>
        </is>
      </c>
      <c r="G909" s="6" t="inlineStr">
        <is>
          <t>tot</t>
        </is>
      </c>
      <c r="H909" s="6" t="inlineStr">
        <is>
          <t>%</t>
        </is>
      </c>
      <c r="Q909" s="12">
        <f>TOTAL_DIRECT_EFFECT(DECILE_ARRAY,"Rural","mean")</f>
        <v/>
      </c>
    </row>
    <row r="910">
      <c r="D910" s="6" t="inlineStr">
        <is>
          <t>median</t>
        </is>
      </c>
      <c r="E910" s="6" t="inlineStr">
        <is>
          <t>Overall</t>
        </is>
      </c>
      <c r="F910" s="6" t="inlineStr">
        <is>
          <t>Basket</t>
        </is>
      </c>
      <c r="G910" s="6" t="inlineStr">
        <is>
          <t>tot</t>
        </is>
      </c>
      <c r="H910" s="6" t="inlineStr">
        <is>
          <t>%</t>
        </is>
      </c>
      <c r="P910" s="12">
        <f>TOTAL_DIRECT_EFFECT(0,"Overall","median")</f>
        <v/>
      </c>
    </row>
    <row r="911">
      <c r="D911" s="6" t="inlineStr">
        <is>
          <t>median</t>
        </is>
      </c>
      <c r="E911" s="6" t="inlineStr">
        <is>
          <t>Overall</t>
        </is>
      </c>
      <c r="F911" s="6" t="inlineStr">
        <is>
          <t>Deciles</t>
        </is>
      </c>
      <c r="G911" s="6" t="inlineStr">
        <is>
          <t>tot</t>
        </is>
      </c>
      <c r="H911" s="6" t="inlineStr">
        <is>
          <t>%</t>
        </is>
      </c>
      <c r="Q911" s="12">
        <f>TOTAL_DIRECT_EFFECT(DECILE_ARRAY,"Overall","median")</f>
        <v/>
      </c>
    </row>
    <row r="912">
      <c r="D912" s="6" t="inlineStr">
        <is>
          <t>median</t>
        </is>
      </c>
      <c r="E912" s="6" t="inlineStr">
        <is>
          <t>Urban</t>
        </is>
      </c>
      <c r="F912" s="6" t="inlineStr">
        <is>
          <t>Basket</t>
        </is>
      </c>
      <c r="G912" s="6" t="inlineStr">
        <is>
          <t>tot</t>
        </is>
      </c>
      <c r="H912" s="6" t="inlineStr">
        <is>
          <t>%</t>
        </is>
      </c>
      <c r="P912" s="12">
        <f>TOTAL_DIRECT_EFFECT(0,"Urban","median")</f>
        <v/>
      </c>
    </row>
    <row r="913">
      <c r="D913" s="6" t="inlineStr">
        <is>
          <t>median</t>
        </is>
      </c>
      <c r="E913" s="6" t="inlineStr">
        <is>
          <t>Urban</t>
        </is>
      </c>
      <c r="F913" s="6" t="inlineStr">
        <is>
          <t>Deciles</t>
        </is>
      </c>
      <c r="G913" s="6" t="inlineStr">
        <is>
          <t>tot</t>
        </is>
      </c>
      <c r="H913" s="6" t="inlineStr">
        <is>
          <t>%</t>
        </is>
      </c>
      <c r="Q913" s="12">
        <f>TOTAL_DIRECT_EFFECT(DECILE_ARRAY,"Urban","median")</f>
        <v/>
      </c>
    </row>
    <row r="914">
      <c r="D914" s="6" t="inlineStr">
        <is>
          <t>median</t>
        </is>
      </c>
      <c r="E914" s="6" t="inlineStr">
        <is>
          <t>Rural</t>
        </is>
      </c>
      <c r="F914" s="6" t="inlineStr">
        <is>
          <t>Basket</t>
        </is>
      </c>
      <c r="G914" s="6" t="inlineStr">
        <is>
          <t>tot</t>
        </is>
      </c>
      <c r="H914" s="6" t="inlineStr">
        <is>
          <t>%</t>
        </is>
      </c>
      <c r="P914" s="12">
        <f>TOTAL_DIRECT_EFFECT(0,"Rural","median")</f>
        <v/>
      </c>
    </row>
    <row r="915">
      <c r="D915" s="6" t="inlineStr">
        <is>
          <t>median</t>
        </is>
      </c>
      <c r="E915" s="6" t="inlineStr">
        <is>
          <t>Rural</t>
        </is>
      </c>
      <c r="F915" s="6" t="inlineStr">
        <is>
          <t>Deciles</t>
        </is>
      </c>
      <c r="G915" s="6" t="inlineStr">
        <is>
          <t>tot</t>
        </is>
      </c>
      <c r="H915" s="6" t="inlineStr">
        <is>
          <t>%</t>
        </is>
      </c>
      <c r="Q915" s="12">
        <f>TOTAL_DIRECT_EFFECT(DECILE_ARRAY,"Rural","median")</f>
        <v/>
      </c>
    </row>
    <row r="916">
      <c r="D916" s="6" t="inlineStr">
        <is>
          <t>p25</t>
        </is>
      </c>
      <c r="E916" s="6" t="inlineStr">
        <is>
          <t>Overall</t>
        </is>
      </c>
      <c r="F916" s="6" t="inlineStr">
        <is>
          <t>Basket</t>
        </is>
      </c>
      <c r="G916" s="6" t="inlineStr">
        <is>
          <t>tot</t>
        </is>
      </c>
      <c r="H916" s="6" t="inlineStr">
        <is>
          <t>%</t>
        </is>
      </c>
      <c r="P916" s="12">
        <f>TOTAL_DIRECT_EFFECT(0,"Overall","p25")</f>
        <v/>
      </c>
    </row>
    <row r="917">
      <c r="D917" s="6" t="inlineStr">
        <is>
          <t>p25</t>
        </is>
      </c>
      <c r="E917" s="6" t="inlineStr">
        <is>
          <t>Overall</t>
        </is>
      </c>
      <c r="F917" s="6" t="inlineStr">
        <is>
          <t>Deciles</t>
        </is>
      </c>
      <c r="G917" s="6" t="inlineStr">
        <is>
          <t>tot</t>
        </is>
      </c>
      <c r="H917" s="6" t="inlineStr">
        <is>
          <t>%</t>
        </is>
      </c>
      <c r="Q917" s="12">
        <f>TOTAL_DIRECT_EFFECT(DECILE_ARRAY,"Overall","p25")</f>
        <v/>
      </c>
    </row>
    <row r="918">
      <c r="D918" s="6" t="inlineStr">
        <is>
          <t>p25</t>
        </is>
      </c>
      <c r="E918" s="6" t="inlineStr">
        <is>
          <t>Urban</t>
        </is>
      </c>
      <c r="F918" s="6" t="inlineStr">
        <is>
          <t>Basket</t>
        </is>
      </c>
      <c r="G918" s="6" t="inlineStr">
        <is>
          <t>tot</t>
        </is>
      </c>
      <c r="H918" s="6" t="inlineStr">
        <is>
          <t>%</t>
        </is>
      </c>
      <c r="P918" s="12">
        <f>TOTAL_DIRECT_EFFECT(0,"Urban","p25")</f>
        <v/>
      </c>
    </row>
    <row r="919">
      <c r="D919" s="6" t="inlineStr">
        <is>
          <t>p25</t>
        </is>
      </c>
      <c r="E919" s="6" t="inlineStr">
        <is>
          <t>Urban</t>
        </is>
      </c>
      <c r="F919" s="6" t="inlineStr">
        <is>
          <t>Deciles</t>
        </is>
      </c>
      <c r="G919" s="6" t="inlineStr">
        <is>
          <t>tot</t>
        </is>
      </c>
      <c r="H919" s="6" t="inlineStr">
        <is>
          <t>%</t>
        </is>
      </c>
      <c r="Q919" s="12">
        <f>TOTAL_DIRECT_EFFECT(DECILE_ARRAY,"Urban","p25")</f>
        <v/>
      </c>
    </row>
    <row r="920">
      <c r="D920" s="6" t="inlineStr">
        <is>
          <t>p25</t>
        </is>
      </c>
      <c r="E920" s="6" t="inlineStr">
        <is>
          <t>Rural</t>
        </is>
      </c>
      <c r="F920" s="6" t="inlineStr">
        <is>
          <t>Basket</t>
        </is>
      </c>
      <c r="G920" s="6" t="inlineStr">
        <is>
          <t>tot</t>
        </is>
      </c>
      <c r="H920" s="6" t="inlineStr">
        <is>
          <t>%</t>
        </is>
      </c>
      <c r="P920" s="12">
        <f>TOTAL_DIRECT_EFFECT(0,"Rural","p25")</f>
        <v/>
      </c>
    </row>
    <row r="921">
      <c r="D921" s="6" t="inlineStr">
        <is>
          <t>p25</t>
        </is>
      </c>
      <c r="E921" s="6" t="inlineStr">
        <is>
          <t>Rural</t>
        </is>
      </c>
      <c r="F921" s="6" t="inlineStr">
        <is>
          <t>Deciles</t>
        </is>
      </c>
      <c r="G921" s="6" t="inlineStr">
        <is>
          <t>tot</t>
        </is>
      </c>
      <c r="H921" s="6" t="inlineStr">
        <is>
          <t>%</t>
        </is>
      </c>
      <c r="Q921" s="12">
        <f>TOTAL_DIRECT_EFFECT(DECILE_ARRAY,"Rural","p25")</f>
        <v/>
      </c>
    </row>
    <row r="922">
      <c r="D922" s="6" t="inlineStr">
        <is>
          <t>p75</t>
        </is>
      </c>
      <c r="E922" s="6" t="inlineStr">
        <is>
          <t>Overall</t>
        </is>
      </c>
      <c r="F922" s="6" t="inlineStr">
        <is>
          <t>Basket</t>
        </is>
      </c>
      <c r="G922" s="6" t="inlineStr">
        <is>
          <t>tot</t>
        </is>
      </c>
      <c r="H922" s="6" t="inlineStr">
        <is>
          <t>%</t>
        </is>
      </c>
      <c r="P922" s="12">
        <f>TOTAL_DIRECT_EFFECT(0,"Overall","p75")</f>
        <v/>
      </c>
    </row>
    <row r="923">
      <c r="D923" s="6" t="inlineStr">
        <is>
          <t>p75</t>
        </is>
      </c>
      <c r="E923" s="6" t="inlineStr">
        <is>
          <t>Overall</t>
        </is>
      </c>
      <c r="F923" s="6" t="inlineStr">
        <is>
          <t>Deciles</t>
        </is>
      </c>
      <c r="G923" s="6" t="inlineStr">
        <is>
          <t>tot</t>
        </is>
      </c>
      <c r="H923" s="6" t="inlineStr">
        <is>
          <t>%</t>
        </is>
      </c>
      <c r="Q923" s="12">
        <f>TOTAL_DIRECT_EFFECT(DECILE_ARRAY,"Overall","p75")</f>
        <v/>
      </c>
    </row>
    <row r="924">
      <c r="D924" s="6" t="inlineStr">
        <is>
          <t>p75</t>
        </is>
      </c>
      <c r="E924" s="6" t="inlineStr">
        <is>
          <t>Urban</t>
        </is>
      </c>
      <c r="F924" s="6" t="inlineStr">
        <is>
          <t>Basket</t>
        </is>
      </c>
      <c r="G924" s="6" t="inlineStr">
        <is>
          <t>tot</t>
        </is>
      </c>
      <c r="H924" s="6" t="inlineStr">
        <is>
          <t>%</t>
        </is>
      </c>
      <c r="P924" s="12">
        <f>TOTAL_DIRECT_EFFECT(0,"Urban","p75")</f>
        <v/>
      </c>
    </row>
    <row r="925">
      <c r="D925" s="6" t="inlineStr">
        <is>
          <t>p75</t>
        </is>
      </c>
      <c r="E925" s="6" t="inlineStr">
        <is>
          <t>Urban</t>
        </is>
      </c>
      <c r="F925" s="6" t="inlineStr">
        <is>
          <t>Deciles</t>
        </is>
      </c>
      <c r="G925" s="6" t="inlineStr">
        <is>
          <t>tot</t>
        </is>
      </c>
      <c r="H925" s="6" t="inlineStr">
        <is>
          <t>%</t>
        </is>
      </c>
      <c r="Q925" s="12">
        <f>TOTAL_DIRECT_EFFECT(DECILE_ARRAY,"Urban","p75")</f>
        <v/>
      </c>
    </row>
    <row r="926">
      <c r="D926" s="6" t="inlineStr">
        <is>
          <t>p75</t>
        </is>
      </c>
      <c r="E926" s="6" t="inlineStr">
        <is>
          <t>Rural</t>
        </is>
      </c>
      <c r="F926" s="6" t="inlineStr">
        <is>
          <t>Basket</t>
        </is>
      </c>
      <c r="G926" s="6" t="inlineStr">
        <is>
          <t>tot</t>
        </is>
      </c>
      <c r="H926" s="6" t="inlineStr">
        <is>
          <t>%</t>
        </is>
      </c>
      <c r="P926" s="12">
        <f>TOTAL_DIRECT_EFFECT(0,"Rural","p75")</f>
        <v/>
      </c>
    </row>
    <row r="927">
      <c r="D927" s="6" t="inlineStr">
        <is>
          <t>p75</t>
        </is>
      </c>
      <c r="E927" s="6" t="inlineStr">
        <is>
          <t>Rural</t>
        </is>
      </c>
      <c r="F927" s="6" t="inlineStr">
        <is>
          <t>Deciles</t>
        </is>
      </c>
      <c r="G927" s="6" t="inlineStr">
        <is>
          <t>tot</t>
        </is>
      </c>
      <c r="H927" s="6" t="inlineStr">
        <is>
          <t>%</t>
        </is>
      </c>
      <c r="Q927" s="12">
        <f>TOTAL_DIRECT_EFFECT(DECILE_ARRAY,"Rural","p75")</f>
        <v/>
      </c>
    </row>
    <row r="929">
      <c r="A929" s="4" t="inlineStr">
        <is>
          <t>C.VI.</t>
        </is>
      </c>
      <c r="B929" s="4" t="inlineStr">
        <is>
          <t>Consumption losses - indirect effect</t>
        </is>
      </c>
      <c r="C929" s="5" t="n"/>
      <c r="D929" s="5" t="n"/>
      <c r="E929" s="5" t="n"/>
      <c r="F929" s="5" t="n"/>
      <c r="G929" s="5" t="n"/>
      <c r="H929" s="5" t="n"/>
      <c r="I929" s="5" t="n"/>
      <c r="J929" s="5" t="n"/>
      <c r="K929" s="5" t="n"/>
      <c r="L929" s="5" t="n"/>
      <c r="M929" s="5" t="n"/>
      <c r="N929" s="5" t="n"/>
    </row>
    <row r="931">
      <c r="C931" s="7" t="inlineStr">
        <is>
          <t>Appliances Indirect Effect (% Total Consumption)</t>
        </is>
      </c>
      <c r="G931" s="6" t="inlineStr">
        <is>
          <t>app</t>
        </is>
      </c>
      <c r="O931" s="8" t="inlineStr">
        <is>
          <t>Decile --&gt;</t>
        </is>
      </c>
      <c r="Q931" s="8" t="n">
        <v>1</v>
      </c>
      <c r="R931" s="8" t="n">
        <v>2</v>
      </c>
      <c r="S931" s="8" t="n">
        <v>3</v>
      </c>
      <c r="T931" s="8" t="n">
        <v>4</v>
      </c>
      <c r="U931" s="8" t="n">
        <v>5</v>
      </c>
      <c r="V931" s="8" t="n">
        <v>6</v>
      </c>
      <c r="W931" s="8" t="n">
        <v>7</v>
      </c>
      <c r="X931" s="8" t="n">
        <v>8</v>
      </c>
      <c r="Y931" s="8" t="n">
        <v>9</v>
      </c>
      <c r="Z931" s="8" t="n">
        <v>10</v>
      </c>
    </row>
    <row r="932">
      <c r="D932" s="6" t="inlineStr">
        <is>
          <t>mean</t>
        </is>
      </c>
      <c r="E932" s="6" t="inlineStr">
        <is>
          <t>Overall</t>
        </is>
      </c>
      <c r="F932" s="6" t="inlineStr">
        <is>
          <t>Basket</t>
        </is>
      </c>
      <c r="G932" s="6" t="inlineStr">
        <is>
          <t>app</t>
        </is>
      </c>
      <c r="H932" s="6" t="inlineStr">
        <is>
          <t>%</t>
        </is>
      </c>
      <c r="P932" s="12">
        <f>INDIRECT_EFFECT("app","appliances_share","appliances_elasticity",0,"Overall","mean")</f>
        <v/>
      </c>
    </row>
    <row r="933">
      <c r="D933" s="6" t="inlineStr">
        <is>
          <t>mean</t>
        </is>
      </c>
      <c r="E933" s="6" t="inlineStr">
        <is>
          <t>Overall</t>
        </is>
      </c>
      <c r="F933" s="6" t="inlineStr">
        <is>
          <t>Deciles</t>
        </is>
      </c>
      <c r="G933" s="6" t="inlineStr">
        <is>
          <t>app</t>
        </is>
      </c>
      <c r="H933" s="6" t="inlineStr">
        <is>
          <t>%</t>
        </is>
      </c>
      <c r="Q933" s="12">
        <f>INDIRECT_EFFECT("app","appliances_share","appliances_elasticity",DECILE_ARRAY,"Overall","mean")</f>
        <v/>
      </c>
    </row>
    <row r="934">
      <c r="D934" s="6" t="inlineStr">
        <is>
          <t>mean</t>
        </is>
      </c>
      <c r="E934" s="6" t="inlineStr">
        <is>
          <t>Urban</t>
        </is>
      </c>
      <c r="F934" s="6" t="inlineStr">
        <is>
          <t>Basket</t>
        </is>
      </c>
      <c r="G934" s="6" t="inlineStr">
        <is>
          <t>app</t>
        </is>
      </c>
      <c r="H934" s="6" t="inlineStr">
        <is>
          <t>%</t>
        </is>
      </c>
      <c r="P934" s="12">
        <f>INDIRECT_EFFECT("app","appliances_share","appliances_elasticity",0,"Urban","mean")</f>
        <v/>
      </c>
    </row>
    <row r="935">
      <c r="D935" s="6" t="inlineStr">
        <is>
          <t>mean</t>
        </is>
      </c>
      <c r="E935" s="6" t="inlineStr">
        <is>
          <t>Urban</t>
        </is>
      </c>
      <c r="F935" s="6" t="inlineStr">
        <is>
          <t>Deciles</t>
        </is>
      </c>
      <c r="G935" s="6" t="inlineStr">
        <is>
          <t>app</t>
        </is>
      </c>
      <c r="H935" s="6" t="inlineStr">
        <is>
          <t>%</t>
        </is>
      </c>
      <c r="Q935" s="12">
        <f>INDIRECT_EFFECT("app","appliances_share","appliances_elasticity",DECILE_ARRAY,"Urban","mean")</f>
        <v/>
      </c>
    </row>
    <row r="936">
      <c r="D936" s="6" t="inlineStr">
        <is>
          <t>mean</t>
        </is>
      </c>
      <c r="E936" s="6" t="inlineStr">
        <is>
          <t>Rural</t>
        </is>
      </c>
      <c r="F936" s="6" t="inlineStr">
        <is>
          <t>Basket</t>
        </is>
      </c>
      <c r="G936" s="6" t="inlineStr">
        <is>
          <t>app</t>
        </is>
      </c>
      <c r="H936" s="6" t="inlineStr">
        <is>
          <t>%</t>
        </is>
      </c>
      <c r="P936" s="12">
        <f>INDIRECT_EFFECT("app","appliances_share","appliances_elasticity",0,"Rural","mean")</f>
        <v/>
      </c>
    </row>
    <row r="937">
      <c r="D937" s="6" t="inlineStr">
        <is>
          <t>mean</t>
        </is>
      </c>
      <c r="E937" s="6" t="inlineStr">
        <is>
          <t>Rural</t>
        </is>
      </c>
      <c r="F937" s="6" t="inlineStr">
        <is>
          <t>Deciles</t>
        </is>
      </c>
      <c r="G937" s="6" t="inlineStr">
        <is>
          <t>app</t>
        </is>
      </c>
      <c r="H937" s="6" t="inlineStr">
        <is>
          <t>%</t>
        </is>
      </c>
      <c r="Q937" s="12">
        <f>INDIRECT_EFFECT("app","appliances_share","appliances_elasticity",DECILE_ARRAY,"Rural","mean")</f>
        <v/>
      </c>
    </row>
    <row r="938">
      <c r="D938" s="6" t="inlineStr">
        <is>
          <t>median</t>
        </is>
      </c>
      <c r="E938" s="6" t="inlineStr">
        <is>
          <t>Overall</t>
        </is>
      </c>
      <c r="F938" s="6" t="inlineStr">
        <is>
          <t>Basket</t>
        </is>
      </c>
      <c r="G938" s="6" t="inlineStr">
        <is>
          <t>app</t>
        </is>
      </c>
      <c r="H938" s="6" t="inlineStr">
        <is>
          <t>%</t>
        </is>
      </c>
      <c r="P938" s="12">
        <f>INDIRECT_EFFECT("app","appliances_share","appliances_elasticity",0,"Overall","median")</f>
        <v/>
      </c>
    </row>
    <row r="939">
      <c r="D939" s="6" t="inlineStr">
        <is>
          <t>median</t>
        </is>
      </c>
      <c r="E939" s="6" t="inlineStr">
        <is>
          <t>Overall</t>
        </is>
      </c>
      <c r="F939" s="6" t="inlineStr">
        <is>
          <t>Deciles</t>
        </is>
      </c>
      <c r="G939" s="6" t="inlineStr">
        <is>
          <t>app</t>
        </is>
      </c>
      <c r="H939" s="6" t="inlineStr">
        <is>
          <t>%</t>
        </is>
      </c>
      <c r="Q939" s="12">
        <f>INDIRECT_EFFECT("app","appliances_share","appliances_elasticity",DECILE_ARRAY,"Overall","median")</f>
        <v/>
      </c>
    </row>
    <row r="940">
      <c r="D940" s="6" t="inlineStr">
        <is>
          <t>median</t>
        </is>
      </c>
      <c r="E940" s="6" t="inlineStr">
        <is>
          <t>Urban</t>
        </is>
      </c>
      <c r="F940" s="6" t="inlineStr">
        <is>
          <t>Basket</t>
        </is>
      </c>
      <c r="G940" s="6" t="inlineStr">
        <is>
          <t>app</t>
        </is>
      </c>
      <c r="H940" s="6" t="inlineStr">
        <is>
          <t>%</t>
        </is>
      </c>
      <c r="P940" s="12">
        <f>INDIRECT_EFFECT("app","appliances_share","appliances_elasticity",0,"Urban","median")</f>
        <v/>
      </c>
    </row>
    <row r="941">
      <c r="D941" s="6" t="inlineStr">
        <is>
          <t>median</t>
        </is>
      </c>
      <c r="E941" s="6" t="inlineStr">
        <is>
          <t>Urban</t>
        </is>
      </c>
      <c r="F941" s="6" t="inlineStr">
        <is>
          <t>Deciles</t>
        </is>
      </c>
      <c r="G941" s="6" t="inlineStr">
        <is>
          <t>app</t>
        </is>
      </c>
      <c r="H941" s="6" t="inlineStr">
        <is>
          <t>%</t>
        </is>
      </c>
      <c r="Q941" s="12">
        <f>INDIRECT_EFFECT("app","appliances_share","appliances_elasticity",DECILE_ARRAY,"Urban","median")</f>
        <v/>
      </c>
    </row>
    <row r="942">
      <c r="D942" s="6" t="inlineStr">
        <is>
          <t>median</t>
        </is>
      </c>
      <c r="E942" s="6" t="inlineStr">
        <is>
          <t>Rural</t>
        </is>
      </c>
      <c r="F942" s="6" t="inlineStr">
        <is>
          <t>Basket</t>
        </is>
      </c>
      <c r="G942" s="6" t="inlineStr">
        <is>
          <t>app</t>
        </is>
      </c>
      <c r="H942" s="6" t="inlineStr">
        <is>
          <t>%</t>
        </is>
      </c>
      <c r="P942" s="12">
        <f>INDIRECT_EFFECT("app","appliances_share","appliances_elasticity",0,"Rural","median")</f>
        <v/>
      </c>
    </row>
    <row r="943">
      <c r="D943" s="6" t="inlineStr">
        <is>
          <t>median</t>
        </is>
      </c>
      <c r="E943" s="6" t="inlineStr">
        <is>
          <t>Rural</t>
        </is>
      </c>
      <c r="F943" s="6" t="inlineStr">
        <is>
          <t>Deciles</t>
        </is>
      </c>
      <c r="G943" s="6" t="inlineStr">
        <is>
          <t>app</t>
        </is>
      </c>
      <c r="H943" s="6" t="inlineStr">
        <is>
          <t>%</t>
        </is>
      </c>
      <c r="Q943" s="12">
        <f>INDIRECT_EFFECT("app","appliances_share","appliances_elasticity",DECILE_ARRAY,"Rural","median")</f>
        <v/>
      </c>
    </row>
    <row r="944">
      <c r="D944" s="6" t="inlineStr">
        <is>
          <t>p25</t>
        </is>
      </c>
      <c r="E944" s="6" t="inlineStr">
        <is>
          <t>Overall</t>
        </is>
      </c>
      <c r="F944" s="6" t="inlineStr">
        <is>
          <t>Basket</t>
        </is>
      </c>
      <c r="G944" s="6" t="inlineStr">
        <is>
          <t>app</t>
        </is>
      </c>
      <c r="H944" s="6" t="inlineStr">
        <is>
          <t>%</t>
        </is>
      </c>
      <c r="P944" s="12">
        <f>INDIRECT_EFFECT("app","appliances_share","appliances_elasticity",0,"Overall","p25")</f>
        <v/>
      </c>
    </row>
    <row r="945">
      <c r="D945" s="6" t="inlineStr">
        <is>
          <t>p25</t>
        </is>
      </c>
      <c r="E945" s="6" t="inlineStr">
        <is>
          <t>Overall</t>
        </is>
      </c>
      <c r="F945" s="6" t="inlineStr">
        <is>
          <t>Deciles</t>
        </is>
      </c>
      <c r="G945" s="6" t="inlineStr">
        <is>
          <t>app</t>
        </is>
      </c>
      <c r="H945" s="6" t="inlineStr">
        <is>
          <t>%</t>
        </is>
      </c>
      <c r="Q945" s="12">
        <f>INDIRECT_EFFECT("app","appliances_share","appliances_elasticity",DECILE_ARRAY,"Overall","p25")</f>
        <v/>
      </c>
    </row>
    <row r="946">
      <c r="D946" s="6" t="inlineStr">
        <is>
          <t>p25</t>
        </is>
      </c>
      <c r="E946" s="6" t="inlineStr">
        <is>
          <t>Urban</t>
        </is>
      </c>
      <c r="F946" s="6" t="inlineStr">
        <is>
          <t>Basket</t>
        </is>
      </c>
      <c r="G946" s="6" t="inlineStr">
        <is>
          <t>app</t>
        </is>
      </c>
      <c r="H946" s="6" t="inlineStr">
        <is>
          <t>%</t>
        </is>
      </c>
      <c r="P946" s="12">
        <f>INDIRECT_EFFECT("app","appliances_share","appliances_elasticity",0,"Urban","p25")</f>
        <v/>
      </c>
    </row>
    <row r="947">
      <c r="D947" s="6" t="inlineStr">
        <is>
          <t>p25</t>
        </is>
      </c>
      <c r="E947" s="6" t="inlineStr">
        <is>
          <t>Urban</t>
        </is>
      </c>
      <c r="F947" s="6" t="inlineStr">
        <is>
          <t>Deciles</t>
        </is>
      </c>
      <c r="G947" s="6" t="inlineStr">
        <is>
          <t>app</t>
        </is>
      </c>
      <c r="H947" s="6" t="inlineStr">
        <is>
          <t>%</t>
        </is>
      </c>
      <c r="Q947" s="12">
        <f>INDIRECT_EFFECT("app","appliances_share","appliances_elasticity",DECILE_ARRAY,"Urban","p25")</f>
        <v/>
      </c>
    </row>
    <row r="948">
      <c r="D948" s="6" t="inlineStr">
        <is>
          <t>p25</t>
        </is>
      </c>
      <c r="E948" s="6" t="inlineStr">
        <is>
          <t>Rural</t>
        </is>
      </c>
      <c r="F948" s="6" t="inlineStr">
        <is>
          <t>Basket</t>
        </is>
      </c>
      <c r="G948" s="6" t="inlineStr">
        <is>
          <t>app</t>
        </is>
      </c>
      <c r="H948" s="6" t="inlineStr">
        <is>
          <t>%</t>
        </is>
      </c>
      <c r="P948" s="12">
        <f>INDIRECT_EFFECT("app","appliances_share","appliances_elasticity",0,"Rural","p25")</f>
        <v/>
      </c>
    </row>
    <row r="949">
      <c r="D949" s="6" t="inlineStr">
        <is>
          <t>p25</t>
        </is>
      </c>
      <c r="E949" s="6" t="inlineStr">
        <is>
          <t>Rural</t>
        </is>
      </c>
      <c r="F949" s="6" t="inlineStr">
        <is>
          <t>Deciles</t>
        </is>
      </c>
      <c r="G949" s="6" t="inlineStr">
        <is>
          <t>app</t>
        </is>
      </c>
      <c r="H949" s="6" t="inlineStr">
        <is>
          <t>%</t>
        </is>
      </c>
      <c r="Q949" s="12">
        <f>INDIRECT_EFFECT("app","appliances_share","appliances_elasticity",DECILE_ARRAY,"Rural","p25")</f>
        <v/>
      </c>
    </row>
    <row r="950">
      <c r="D950" s="6" t="inlineStr">
        <is>
          <t>p75</t>
        </is>
      </c>
      <c r="E950" s="6" t="inlineStr">
        <is>
          <t>Overall</t>
        </is>
      </c>
      <c r="F950" s="6" t="inlineStr">
        <is>
          <t>Basket</t>
        </is>
      </c>
      <c r="G950" s="6" t="inlineStr">
        <is>
          <t>app</t>
        </is>
      </c>
      <c r="H950" s="6" t="inlineStr">
        <is>
          <t>%</t>
        </is>
      </c>
      <c r="P950" s="12">
        <f>INDIRECT_EFFECT("app","appliances_share","appliances_elasticity",0,"Overall","p75")</f>
        <v/>
      </c>
    </row>
    <row r="951">
      <c r="D951" s="6" t="inlineStr">
        <is>
          <t>p75</t>
        </is>
      </c>
      <c r="E951" s="6" t="inlineStr">
        <is>
          <t>Overall</t>
        </is>
      </c>
      <c r="F951" s="6" t="inlineStr">
        <is>
          <t>Deciles</t>
        </is>
      </c>
      <c r="G951" s="6" t="inlineStr">
        <is>
          <t>app</t>
        </is>
      </c>
      <c r="H951" s="6" t="inlineStr">
        <is>
          <t>%</t>
        </is>
      </c>
      <c r="Q951" s="12">
        <f>INDIRECT_EFFECT("app","appliances_share","appliances_elasticity",DECILE_ARRAY,"Overall","p75")</f>
        <v/>
      </c>
    </row>
    <row r="952">
      <c r="D952" s="6" t="inlineStr">
        <is>
          <t>p75</t>
        </is>
      </c>
      <c r="E952" s="6" t="inlineStr">
        <is>
          <t>Urban</t>
        </is>
      </c>
      <c r="F952" s="6" t="inlineStr">
        <is>
          <t>Basket</t>
        </is>
      </c>
      <c r="G952" s="6" t="inlineStr">
        <is>
          <t>app</t>
        </is>
      </c>
      <c r="H952" s="6" t="inlineStr">
        <is>
          <t>%</t>
        </is>
      </c>
      <c r="P952" s="12">
        <f>INDIRECT_EFFECT("app","appliances_share","appliances_elasticity",0,"Urban","p75")</f>
        <v/>
      </c>
    </row>
    <row r="953">
      <c r="D953" s="6" t="inlineStr">
        <is>
          <t>p75</t>
        </is>
      </c>
      <c r="E953" s="6" t="inlineStr">
        <is>
          <t>Urban</t>
        </is>
      </c>
      <c r="F953" s="6" t="inlineStr">
        <is>
          <t>Deciles</t>
        </is>
      </c>
      <c r="G953" s="6" t="inlineStr">
        <is>
          <t>app</t>
        </is>
      </c>
      <c r="H953" s="6" t="inlineStr">
        <is>
          <t>%</t>
        </is>
      </c>
      <c r="Q953" s="12">
        <f>INDIRECT_EFFECT("app","appliances_share","appliances_elasticity",DECILE_ARRAY,"Urban","p75")</f>
        <v/>
      </c>
    </row>
    <row r="954">
      <c r="D954" s="6" t="inlineStr">
        <is>
          <t>p75</t>
        </is>
      </c>
      <c r="E954" s="6" t="inlineStr">
        <is>
          <t>Rural</t>
        </is>
      </c>
      <c r="F954" s="6" t="inlineStr">
        <is>
          <t>Basket</t>
        </is>
      </c>
      <c r="G954" s="6" t="inlineStr">
        <is>
          <t>app</t>
        </is>
      </c>
      <c r="H954" s="6" t="inlineStr">
        <is>
          <t>%</t>
        </is>
      </c>
      <c r="P954" s="12">
        <f>INDIRECT_EFFECT("app","appliances_share","appliances_elasticity",0,"Rural","p75")</f>
        <v/>
      </c>
    </row>
    <row r="955">
      <c r="D955" s="6" t="inlineStr">
        <is>
          <t>p75</t>
        </is>
      </c>
      <c r="E955" s="6" t="inlineStr">
        <is>
          <t>Rural</t>
        </is>
      </c>
      <c r="F955" s="6" t="inlineStr">
        <is>
          <t>Deciles</t>
        </is>
      </c>
      <c r="G955" s="6" t="inlineStr">
        <is>
          <t>app</t>
        </is>
      </c>
      <c r="H955" s="6" t="inlineStr">
        <is>
          <t>%</t>
        </is>
      </c>
      <c r="Q955" s="12">
        <f>INDIRECT_EFFECT("app","appliances_share","appliances_elasticity",DECILE_ARRAY,"Rural","p75")</f>
        <v/>
      </c>
    </row>
    <row r="957">
      <c r="C957" s="7" t="inlineStr">
        <is>
          <t>Chemicals Indirect Effect (% Total Consumption)</t>
        </is>
      </c>
      <c r="G957" s="6" t="inlineStr">
        <is>
          <t>che</t>
        </is>
      </c>
      <c r="O957" s="8" t="inlineStr">
        <is>
          <t>Decile --&gt;</t>
        </is>
      </c>
      <c r="Q957" s="8" t="n">
        <v>1</v>
      </c>
      <c r="R957" s="8" t="n">
        <v>2</v>
      </c>
      <c r="S957" s="8" t="n">
        <v>3</v>
      </c>
      <c r="T957" s="8" t="n">
        <v>4</v>
      </c>
      <c r="U957" s="8" t="n">
        <v>5</v>
      </c>
      <c r="V957" s="8" t="n">
        <v>6</v>
      </c>
      <c r="W957" s="8" t="n">
        <v>7</v>
      </c>
      <c r="X957" s="8" t="n">
        <v>8</v>
      </c>
      <c r="Y957" s="8" t="n">
        <v>9</v>
      </c>
      <c r="Z957" s="8" t="n">
        <v>10</v>
      </c>
    </row>
    <row r="958">
      <c r="D958" s="6" t="inlineStr">
        <is>
          <t>mean</t>
        </is>
      </c>
      <c r="E958" s="6" t="inlineStr">
        <is>
          <t>Overall</t>
        </is>
      </c>
      <c r="F958" s="6" t="inlineStr">
        <is>
          <t>Basket</t>
        </is>
      </c>
      <c r="G958" s="6" t="inlineStr">
        <is>
          <t>che</t>
        </is>
      </c>
      <c r="H958" s="6" t="inlineStr">
        <is>
          <t>%</t>
        </is>
      </c>
      <c r="P958" s="12">
        <f>INDIRECT_EFFECT("che","chemicals_share","chemicals_elasticity",0,"Overall","mean")</f>
        <v/>
      </c>
    </row>
    <row r="959">
      <c r="D959" s="6" t="inlineStr">
        <is>
          <t>mean</t>
        </is>
      </c>
      <c r="E959" s="6" t="inlineStr">
        <is>
          <t>Overall</t>
        </is>
      </c>
      <c r="F959" s="6" t="inlineStr">
        <is>
          <t>Deciles</t>
        </is>
      </c>
      <c r="G959" s="6" t="inlineStr">
        <is>
          <t>che</t>
        </is>
      </c>
      <c r="H959" s="6" t="inlineStr">
        <is>
          <t>%</t>
        </is>
      </c>
      <c r="Q959" s="12">
        <f>INDIRECT_EFFECT("che","chemicals_share","chemicals_elasticity",DECILE_ARRAY,"Overall","mean")</f>
        <v/>
      </c>
    </row>
    <row r="960">
      <c r="D960" s="6" t="inlineStr">
        <is>
          <t>mean</t>
        </is>
      </c>
      <c r="E960" s="6" t="inlineStr">
        <is>
          <t>Urban</t>
        </is>
      </c>
      <c r="F960" s="6" t="inlineStr">
        <is>
          <t>Basket</t>
        </is>
      </c>
      <c r="G960" s="6" t="inlineStr">
        <is>
          <t>che</t>
        </is>
      </c>
      <c r="H960" s="6" t="inlineStr">
        <is>
          <t>%</t>
        </is>
      </c>
      <c r="P960" s="12">
        <f>INDIRECT_EFFECT("che","chemicals_share","chemicals_elasticity",0,"Urban","mean")</f>
        <v/>
      </c>
    </row>
    <row r="961">
      <c r="D961" s="6" t="inlineStr">
        <is>
          <t>mean</t>
        </is>
      </c>
      <c r="E961" s="6" t="inlineStr">
        <is>
          <t>Urban</t>
        </is>
      </c>
      <c r="F961" s="6" t="inlineStr">
        <is>
          <t>Deciles</t>
        </is>
      </c>
      <c r="G961" s="6" t="inlineStr">
        <is>
          <t>che</t>
        </is>
      </c>
      <c r="H961" s="6" t="inlineStr">
        <is>
          <t>%</t>
        </is>
      </c>
      <c r="Q961" s="12">
        <f>INDIRECT_EFFECT("che","chemicals_share","chemicals_elasticity",DECILE_ARRAY,"Urban","mean")</f>
        <v/>
      </c>
    </row>
    <row r="962">
      <c r="D962" s="6" t="inlineStr">
        <is>
          <t>mean</t>
        </is>
      </c>
      <c r="E962" s="6" t="inlineStr">
        <is>
          <t>Rural</t>
        </is>
      </c>
      <c r="F962" s="6" t="inlineStr">
        <is>
          <t>Basket</t>
        </is>
      </c>
      <c r="G962" s="6" t="inlineStr">
        <is>
          <t>che</t>
        </is>
      </c>
      <c r="H962" s="6" t="inlineStr">
        <is>
          <t>%</t>
        </is>
      </c>
      <c r="P962" s="12">
        <f>INDIRECT_EFFECT("che","chemicals_share","chemicals_elasticity",0,"Rural","mean")</f>
        <v/>
      </c>
    </row>
    <row r="963">
      <c r="D963" s="6" t="inlineStr">
        <is>
          <t>mean</t>
        </is>
      </c>
      <c r="E963" s="6" t="inlineStr">
        <is>
          <t>Rural</t>
        </is>
      </c>
      <c r="F963" s="6" t="inlineStr">
        <is>
          <t>Deciles</t>
        </is>
      </c>
      <c r="G963" s="6" t="inlineStr">
        <is>
          <t>che</t>
        </is>
      </c>
      <c r="H963" s="6" t="inlineStr">
        <is>
          <t>%</t>
        </is>
      </c>
      <c r="Q963" s="12">
        <f>INDIRECT_EFFECT("che","chemicals_share","chemicals_elasticity",DECILE_ARRAY,"Rural","mean")</f>
        <v/>
      </c>
    </row>
    <row r="964">
      <c r="D964" s="6" t="inlineStr">
        <is>
          <t>median</t>
        </is>
      </c>
      <c r="E964" s="6" t="inlineStr">
        <is>
          <t>Overall</t>
        </is>
      </c>
      <c r="F964" s="6" t="inlineStr">
        <is>
          <t>Basket</t>
        </is>
      </c>
      <c r="G964" s="6" t="inlineStr">
        <is>
          <t>che</t>
        </is>
      </c>
      <c r="H964" s="6" t="inlineStr">
        <is>
          <t>%</t>
        </is>
      </c>
      <c r="P964" s="12">
        <f>INDIRECT_EFFECT("che","chemicals_share","chemicals_elasticity",0,"Overall","median")</f>
        <v/>
      </c>
    </row>
    <row r="965">
      <c r="D965" s="6" t="inlineStr">
        <is>
          <t>median</t>
        </is>
      </c>
      <c r="E965" s="6" t="inlineStr">
        <is>
          <t>Overall</t>
        </is>
      </c>
      <c r="F965" s="6" t="inlineStr">
        <is>
          <t>Deciles</t>
        </is>
      </c>
      <c r="G965" s="6" t="inlineStr">
        <is>
          <t>che</t>
        </is>
      </c>
      <c r="H965" s="6" t="inlineStr">
        <is>
          <t>%</t>
        </is>
      </c>
      <c r="Q965" s="12">
        <f>INDIRECT_EFFECT("che","chemicals_share","chemicals_elasticity",DECILE_ARRAY,"Overall","median")</f>
        <v/>
      </c>
    </row>
    <row r="966">
      <c r="D966" s="6" t="inlineStr">
        <is>
          <t>median</t>
        </is>
      </c>
      <c r="E966" s="6" t="inlineStr">
        <is>
          <t>Urban</t>
        </is>
      </c>
      <c r="F966" s="6" t="inlineStr">
        <is>
          <t>Basket</t>
        </is>
      </c>
      <c r="G966" s="6" t="inlineStr">
        <is>
          <t>che</t>
        </is>
      </c>
      <c r="H966" s="6" t="inlineStr">
        <is>
          <t>%</t>
        </is>
      </c>
      <c r="P966" s="12">
        <f>INDIRECT_EFFECT("che","chemicals_share","chemicals_elasticity",0,"Urban","median")</f>
        <v/>
      </c>
    </row>
    <row r="967">
      <c r="D967" s="6" t="inlineStr">
        <is>
          <t>median</t>
        </is>
      </c>
      <c r="E967" s="6" t="inlineStr">
        <is>
          <t>Urban</t>
        </is>
      </c>
      <c r="F967" s="6" t="inlineStr">
        <is>
          <t>Deciles</t>
        </is>
      </c>
      <c r="G967" s="6" t="inlineStr">
        <is>
          <t>che</t>
        </is>
      </c>
      <c r="H967" s="6" t="inlineStr">
        <is>
          <t>%</t>
        </is>
      </c>
      <c r="Q967" s="12">
        <f>INDIRECT_EFFECT("che","chemicals_share","chemicals_elasticity",DECILE_ARRAY,"Urban","median")</f>
        <v/>
      </c>
    </row>
    <row r="968">
      <c r="D968" s="6" t="inlineStr">
        <is>
          <t>median</t>
        </is>
      </c>
      <c r="E968" s="6" t="inlineStr">
        <is>
          <t>Rural</t>
        </is>
      </c>
      <c r="F968" s="6" t="inlineStr">
        <is>
          <t>Basket</t>
        </is>
      </c>
      <c r="G968" s="6" t="inlineStr">
        <is>
          <t>che</t>
        </is>
      </c>
      <c r="H968" s="6" t="inlineStr">
        <is>
          <t>%</t>
        </is>
      </c>
      <c r="P968" s="12">
        <f>INDIRECT_EFFECT("che","chemicals_share","chemicals_elasticity",0,"Rural","median")</f>
        <v/>
      </c>
    </row>
    <row r="969">
      <c r="D969" s="6" t="inlineStr">
        <is>
          <t>median</t>
        </is>
      </c>
      <c r="E969" s="6" t="inlineStr">
        <is>
          <t>Rural</t>
        </is>
      </c>
      <c r="F969" s="6" t="inlineStr">
        <is>
          <t>Deciles</t>
        </is>
      </c>
      <c r="G969" s="6" t="inlineStr">
        <is>
          <t>che</t>
        </is>
      </c>
      <c r="H969" s="6" t="inlineStr">
        <is>
          <t>%</t>
        </is>
      </c>
      <c r="Q969" s="12">
        <f>INDIRECT_EFFECT("che","chemicals_share","chemicals_elasticity",DECILE_ARRAY,"Rural","median")</f>
        <v/>
      </c>
    </row>
    <row r="970">
      <c r="D970" s="6" t="inlineStr">
        <is>
          <t>p25</t>
        </is>
      </c>
      <c r="E970" s="6" t="inlineStr">
        <is>
          <t>Overall</t>
        </is>
      </c>
      <c r="F970" s="6" t="inlineStr">
        <is>
          <t>Basket</t>
        </is>
      </c>
      <c r="G970" s="6" t="inlineStr">
        <is>
          <t>che</t>
        </is>
      </c>
      <c r="H970" s="6" t="inlineStr">
        <is>
          <t>%</t>
        </is>
      </c>
      <c r="P970" s="12">
        <f>INDIRECT_EFFECT("che","chemicals_share","chemicals_elasticity",0,"Overall","p25")</f>
        <v/>
      </c>
    </row>
    <row r="971">
      <c r="D971" s="6" t="inlineStr">
        <is>
          <t>p25</t>
        </is>
      </c>
      <c r="E971" s="6" t="inlineStr">
        <is>
          <t>Overall</t>
        </is>
      </c>
      <c r="F971" s="6" t="inlineStr">
        <is>
          <t>Deciles</t>
        </is>
      </c>
      <c r="G971" s="6" t="inlineStr">
        <is>
          <t>che</t>
        </is>
      </c>
      <c r="H971" s="6" t="inlineStr">
        <is>
          <t>%</t>
        </is>
      </c>
      <c r="Q971" s="12">
        <f>INDIRECT_EFFECT("che","chemicals_share","chemicals_elasticity",DECILE_ARRAY,"Overall","p25")</f>
        <v/>
      </c>
    </row>
    <row r="972">
      <c r="D972" s="6" t="inlineStr">
        <is>
          <t>p25</t>
        </is>
      </c>
      <c r="E972" s="6" t="inlineStr">
        <is>
          <t>Urban</t>
        </is>
      </c>
      <c r="F972" s="6" t="inlineStr">
        <is>
          <t>Basket</t>
        </is>
      </c>
      <c r="G972" s="6" t="inlineStr">
        <is>
          <t>che</t>
        </is>
      </c>
      <c r="H972" s="6" t="inlineStr">
        <is>
          <t>%</t>
        </is>
      </c>
      <c r="P972" s="12">
        <f>INDIRECT_EFFECT("che","chemicals_share","chemicals_elasticity",0,"Urban","p25")</f>
        <v/>
      </c>
    </row>
    <row r="973">
      <c r="D973" s="6" t="inlineStr">
        <is>
          <t>p25</t>
        </is>
      </c>
      <c r="E973" s="6" t="inlineStr">
        <is>
          <t>Urban</t>
        </is>
      </c>
      <c r="F973" s="6" t="inlineStr">
        <is>
          <t>Deciles</t>
        </is>
      </c>
      <c r="G973" s="6" t="inlineStr">
        <is>
          <t>che</t>
        </is>
      </c>
      <c r="H973" s="6" t="inlineStr">
        <is>
          <t>%</t>
        </is>
      </c>
      <c r="Q973" s="12">
        <f>INDIRECT_EFFECT("che","chemicals_share","chemicals_elasticity",DECILE_ARRAY,"Urban","p25")</f>
        <v/>
      </c>
    </row>
    <row r="974">
      <c r="D974" s="6" t="inlineStr">
        <is>
          <t>p25</t>
        </is>
      </c>
      <c r="E974" s="6" t="inlineStr">
        <is>
          <t>Rural</t>
        </is>
      </c>
      <c r="F974" s="6" t="inlineStr">
        <is>
          <t>Basket</t>
        </is>
      </c>
      <c r="G974" s="6" t="inlineStr">
        <is>
          <t>che</t>
        </is>
      </c>
      <c r="H974" s="6" t="inlineStr">
        <is>
          <t>%</t>
        </is>
      </c>
      <c r="P974" s="12">
        <f>INDIRECT_EFFECT("che","chemicals_share","chemicals_elasticity",0,"Rural","p25")</f>
        <v/>
      </c>
    </row>
    <row r="975">
      <c r="D975" s="6" t="inlineStr">
        <is>
          <t>p25</t>
        </is>
      </c>
      <c r="E975" s="6" t="inlineStr">
        <is>
          <t>Rural</t>
        </is>
      </c>
      <c r="F975" s="6" t="inlineStr">
        <is>
          <t>Deciles</t>
        </is>
      </c>
      <c r="G975" s="6" t="inlineStr">
        <is>
          <t>che</t>
        </is>
      </c>
      <c r="H975" s="6" t="inlineStr">
        <is>
          <t>%</t>
        </is>
      </c>
      <c r="Q975" s="12">
        <f>INDIRECT_EFFECT("che","chemicals_share","chemicals_elasticity",DECILE_ARRAY,"Rural","p25")</f>
        <v/>
      </c>
    </row>
    <row r="976">
      <c r="D976" s="6" t="inlineStr">
        <is>
          <t>p75</t>
        </is>
      </c>
      <c r="E976" s="6" t="inlineStr">
        <is>
          <t>Overall</t>
        </is>
      </c>
      <c r="F976" s="6" t="inlineStr">
        <is>
          <t>Basket</t>
        </is>
      </c>
      <c r="G976" s="6" t="inlineStr">
        <is>
          <t>che</t>
        </is>
      </c>
      <c r="H976" s="6" t="inlineStr">
        <is>
          <t>%</t>
        </is>
      </c>
      <c r="P976" s="12">
        <f>INDIRECT_EFFECT("che","chemicals_share","chemicals_elasticity",0,"Overall","p75")</f>
        <v/>
      </c>
    </row>
    <row r="977">
      <c r="D977" s="6" t="inlineStr">
        <is>
          <t>p75</t>
        </is>
      </c>
      <c r="E977" s="6" t="inlineStr">
        <is>
          <t>Overall</t>
        </is>
      </c>
      <c r="F977" s="6" t="inlineStr">
        <is>
          <t>Deciles</t>
        </is>
      </c>
      <c r="G977" s="6" t="inlineStr">
        <is>
          <t>che</t>
        </is>
      </c>
      <c r="H977" s="6" t="inlineStr">
        <is>
          <t>%</t>
        </is>
      </c>
      <c r="Q977" s="12">
        <f>INDIRECT_EFFECT("che","chemicals_share","chemicals_elasticity",DECILE_ARRAY,"Overall","p75")</f>
        <v/>
      </c>
    </row>
    <row r="978">
      <c r="D978" s="6" t="inlineStr">
        <is>
          <t>p75</t>
        </is>
      </c>
      <c r="E978" s="6" t="inlineStr">
        <is>
          <t>Urban</t>
        </is>
      </c>
      <c r="F978" s="6" t="inlineStr">
        <is>
          <t>Basket</t>
        </is>
      </c>
      <c r="G978" s="6" t="inlineStr">
        <is>
          <t>che</t>
        </is>
      </c>
      <c r="H978" s="6" t="inlineStr">
        <is>
          <t>%</t>
        </is>
      </c>
      <c r="P978" s="12">
        <f>INDIRECT_EFFECT("che","chemicals_share","chemicals_elasticity",0,"Urban","p75")</f>
        <v/>
      </c>
    </row>
    <row r="979">
      <c r="D979" s="6" t="inlineStr">
        <is>
          <t>p75</t>
        </is>
      </c>
      <c r="E979" s="6" t="inlineStr">
        <is>
          <t>Urban</t>
        </is>
      </c>
      <c r="F979" s="6" t="inlineStr">
        <is>
          <t>Deciles</t>
        </is>
      </c>
      <c r="G979" s="6" t="inlineStr">
        <is>
          <t>che</t>
        </is>
      </c>
      <c r="H979" s="6" t="inlineStr">
        <is>
          <t>%</t>
        </is>
      </c>
      <c r="Q979" s="12">
        <f>INDIRECT_EFFECT("che","chemicals_share","chemicals_elasticity",DECILE_ARRAY,"Urban","p75")</f>
        <v/>
      </c>
    </row>
    <row r="980">
      <c r="D980" s="6" t="inlineStr">
        <is>
          <t>p75</t>
        </is>
      </c>
      <c r="E980" s="6" t="inlineStr">
        <is>
          <t>Rural</t>
        </is>
      </c>
      <c r="F980" s="6" t="inlineStr">
        <is>
          <t>Basket</t>
        </is>
      </c>
      <c r="G980" s="6" t="inlineStr">
        <is>
          <t>che</t>
        </is>
      </c>
      <c r="H980" s="6" t="inlineStr">
        <is>
          <t>%</t>
        </is>
      </c>
      <c r="P980" s="12">
        <f>INDIRECT_EFFECT("che","chemicals_share","chemicals_elasticity",0,"Rural","p75")</f>
        <v/>
      </c>
    </row>
    <row r="981">
      <c r="D981" s="6" t="inlineStr">
        <is>
          <t>p75</t>
        </is>
      </c>
      <c r="E981" s="6" t="inlineStr">
        <is>
          <t>Rural</t>
        </is>
      </c>
      <c r="F981" s="6" t="inlineStr">
        <is>
          <t>Deciles</t>
        </is>
      </c>
      <c r="G981" s="6" t="inlineStr">
        <is>
          <t>che</t>
        </is>
      </c>
      <c r="H981" s="6" t="inlineStr">
        <is>
          <t>%</t>
        </is>
      </c>
      <c r="Q981" s="12">
        <f>INDIRECT_EFFECT("che","chemicals_share","chemicals_elasticity",DECILE_ARRAY,"Rural","p75")</f>
        <v/>
      </c>
    </row>
    <row r="983">
      <c r="C983" s="7" t="inlineStr">
        <is>
          <t>Clothing Indirect Effect (% Total Consumption)</t>
        </is>
      </c>
      <c r="G983" s="6" t="inlineStr">
        <is>
          <t>clo</t>
        </is>
      </c>
      <c r="O983" s="8" t="inlineStr">
        <is>
          <t>Decile --&gt;</t>
        </is>
      </c>
      <c r="Q983" s="8" t="n">
        <v>1</v>
      </c>
      <c r="R983" s="8" t="n">
        <v>2</v>
      </c>
      <c r="S983" s="8" t="n">
        <v>3</v>
      </c>
      <c r="T983" s="8" t="n">
        <v>4</v>
      </c>
      <c r="U983" s="8" t="n">
        <v>5</v>
      </c>
      <c r="V983" s="8" t="n">
        <v>6</v>
      </c>
      <c r="W983" s="8" t="n">
        <v>7</v>
      </c>
      <c r="X983" s="8" t="n">
        <v>8</v>
      </c>
      <c r="Y983" s="8" t="n">
        <v>9</v>
      </c>
      <c r="Z983" s="8" t="n">
        <v>10</v>
      </c>
    </row>
    <row r="984">
      <c r="D984" s="6" t="inlineStr">
        <is>
          <t>mean</t>
        </is>
      </c>
      <c r="E984" s="6" t="inlineStr">
        <is>
          <t>Overall</t>
        </is>
      </c>
      <c r="F984" s="6" t="inlineStr">
        <is>
          <t>Basket</t>
        </is>
      </c>
      <c r="G984" s="6" t="inlineStr">
        <is>
          <t>clo</t>
        </is>
      </c>
      <c r="H984" s="6" t="inlineStr">
        <is>
          <t>%</t>
        </is>
      </c>
      <c r="P984" s="12">
        <f>INDIRECT_EFFECT("clo","clothing_share","clothing_elasticity",0,"Overall","mean")</f>
        <v/>
      </c>
    </row>
    <row r="985">
      <c r="D985" s="6" t="inlineStr">
        <is>
          <t>mean</t>
        </is>
      </c>
      <c r="E985" s="6" t="inlineStr">
        <is>
          <t>Overall</t>
        </is>
      </c>
      <c r="F985" s="6" t="inlineStr">
        <is>
          <t>Deciles</t>
        </is>
      </c>
      <c r="G985" s="6" t="inlineStr">
        <is>
          <t>clo</t>
        </is>
      </c>
      <c r="H985" s="6" t="inlineStr">
        <is>
          <t>%</t>
        </is>
      </c>
      <c r="Q985" s="12">
        <f>INDIRECT_EFFECT("clo","clothing_share","clothing_elasticity",DECILE_ARRAY,"Overall","mean")</f>
        <v/>
      </c>
    </row>
    <row r="986">
      <c r="D986" s="6" t="inlineStr">
        <is>
          <t>mean</t>
        </is>
      </c>
      <c r="E986" s="6" t="inlineStr">
        <is>
          <t>Urban</t>
        </is>
      </c>
      <c r="F986" s="6" t="inlineStr">
        <is>
          <t>Basket</t>
        </is>
      </c>
      <c r="G986" s="6" t="inlineStr">
        <is>
          <t>clo</t>
        </is>
      </c>
      <c r="H986" s="6" t="inlineStr">
        <is>
          <t>%</t>
        </is>
      </c>
      <c r="P986" s="12">
        <f>INDIRECT_EFFECT("clo","clothing_share","clothing_elasticity",0,"Urban","mean")</f>
        <v/>
      </c>
    </row>
    <row r="987">
      <c r="D987" s="6" t="inlineStr">
        <is>
          <t>mean</t>
        </is>
      </c>
      <c r="E987" s="6" t="inlineStr">
        <is>
          <t>Urban</t>
        </is>
      </c>
      <c r="F987" s="6" t="inlineStr">
        <is>
          <t>Deciles</t>
        </is>
      </c>
      <c r="G987" s="6" t="inlineStr">
        <is>
          <t>clo</t>
        </is>
      </c>
      <c r="H987" s="6" t="inlineStr">
        <is>
          <t>%</t>
        </is>
      </c>
      <c r="Q987" s="12">
        <f>INDIRECT_EFFECT("clo","clothing_share","clothing_elasticity",DECILE_ARRAY,"Urban","mean")</f>
        <v/>
      </c>
    </row>
    <row r="988">
      <c r="D988" s="6" t="inlineStr">
        <is>
          <t>mean</t>
        </is>
      </c>
      <c r="E988" s="6" t="inlineStr">
        <is>
          <t>Rural</t>
        </is>
      </c>
      <c r="F988" s="6" t="inlineStr">
        <is>
          <t>Basket</t>
        </is>
      </c>
      <c r="G988" s="6" t="inlineStr">
        <is>
          <t>clo</t>
        </is>
      </c>
      <c r="H988" s="6" t="inlineStr">
        <is>
          <t>%</t>
        </is>
      </c>
      <c r="P988" s="12">
        <f>INDIRECT_EFFECT("clo","clothing_share","clothing_elasticity",0,"Rural","mean")</f>
        <v/>
      </c>
    </row>
    <row r="989">
      <c r="D989" s="6" t="inlineStr">
        <is>
          <t>mean</t>
        </is>
      </c>
      <c r="E989" s="6" t="inlineStr">
        <is>
          <t>Rural</t>
        </is>
      </c>
      <c r="F989" s="6" t="inlineStr">
        <is>
          <t>Deciles</t>
        </is>
      </c>
      <c r="G989" s="6" t="inlineStr">
        <is>
          <t>clo</t>
        </is>
      </c>
      <c r="H989" s="6" t="inlineStr">
        <is>
          <t>%</t>
        </is>
      </c>
      <c r="Q989" s="12">
        <f>INDIRECT_EFFECT("clo","clothing_share","clothing_elasticity",DECILE_ARRAY,"Rural","mean")</f>
        <v/>
      </c>
    </row>
    <row r="990">
      <c r="D990" s="6" t="inlineStr">
        <is>
          <t>median</t>
        </is>
      </c>
      <c r="E990" s="6" t="inlineStr">
        <is>
          <t>Overall</t>
        </is>
      </c>
      <c r="F990" s="6" t="inlineStr">
        <is>
          <t>Basket</t>
        </is>
      </c>
      <c r="G990" s="6" t="inlineStr">
        <is>
          <t>clo</t>
        </is>
      </c>
      <c r="H990" s="6" t="inlineStr">
        <is>
          <t>%</t>
        </is>
      </c>
      <c r="P990" s="12">
        <f>INDIRECT_EFFECT("clo","clothing_share","clothing_elasticity",0,"Overall","median")</f>
        <v/>
      </c>
    </row>
    <row r="991">
      <c r="D991" s="6" t="inlineStr">
        <is>
          <t>median</t>
        </is>
      </c>
      <c r="E991" s="6" t="inlineStr">
        <is>
          <t>Overall</t>
        </is>
      </c>
      <c r="F991" s="6" t="inlineStr">
        <is>
          <t>Deciles</t>
        </is>
      </c>
      <c r="G991" s="6" t="inlineStr">
        <is>
          <t>clo</t>
        </is>
      </c>
      <c r="H991" s="6" t="inlineStr">
        <is>
          <t>%</t>
        </is>
      </c>
      <c r="Q991" s="12">
        <f>INDIRECT_EFFECT("clo","clothing_share","clothing_elasticity",DECILE_ARRAY,"Overall","median")</f>
        <v/>
      </c>
    </row>
    <row r="992">
      <c r="D992" s="6" t="inlineStr">
        <is>
          <t>median</t>
        </is>
      </c>
      <c r="E992" s="6" t="inlineStr">
        <is>
          <t>Urban</t>
        </is>
      </c>
      <c r="F992" s="6" t="inlineStr">
        <is>
          <t>Basket</t>
        </is>
      </c>
      <c r="G992" s="6" t="inlineStr">
        <is>
          <t>clo</t>
        </is>
      </c>
      <c r="H992" s="6" t="inlineStr">
        <is>
          <t>%</t>
        </is>
      </c>
      <c r="P992" s="12">
        <f>INDIRECT_EFFECT("clo","clothing_share","clothing_elasticity",0,"Urban","median")</f>
        <v/>
      </c>
    </row>
    <row r="993">
      <c r="D993" s="6" t="inlineStr">
        <is>
          <t>median</t>
        </is>
      </c>
      <c r="E993" s="6" t="inlineStr">
        <is>
          <t>Urban</t>
        </is>
      </c>
      <c r="F993" s="6" t="inlineStr">
        <is>
          <t>Deciles</t>
        </is>
      </c>
      <c r="G993" s="6" t="inlineStr">
        <is>
          <t>clo</t>
        </is>
      </c>
      <c r="H993" s="6" t="inlineStr">
        <is>
          <t>%</t>
        </is>
      </c>
      <c r="Q993" s="12">
        <f>INDIRECT_EFFECT("clo","clothing_share","clothing_elasticity",DECILE_ARRAY,"Urban","median")</f>
        <v/>
      </c>
    </row>
    <row r="994">
      <c r="D994" s="6" t="inlineStr">
        <is>
          <t>median</t>
        </is>
      </c>
      <c r="E994" s="6" t="inlineStr">
        <is>
          <t>Rural</t>
        </is>
      </c>
      <c r="F994" s="6" t="inlineStr">
        <is>
          <t>Basket</t>
        </is>
      </c>
      <c r="G994" s="6" t="inlineStr">
        <is>
          <t>clo</t>
        </is>
      </c>
      <c r="H994" s="6" t="inlineStr">
        <is>
          <t>%</t>
        </is>
      </c>
      <c r="P994" s="12">
        <f>INDIRECT_EFFECT("clo","clothing_share","clothing_elasticity",0,"Rural","median")</f>
        <v/>
      </c>
    </row>
    <row r="995">
      <c r="D995" s="6" t="inlineStr">
        <is>
          <t>median</t>
        </is>
      </c>
      <c r="E995" s="6" t="inlineStr">
        <is>
          <t>Rural</t>
        </is>
      </c>
      <c r="F995" s="6" t="inlineStr">
        <is>
          <t>Deciles</t>
        </is>
      </c>
      <c r="G995" s="6" t="inlineStr">
        <is>
          <t>clo</t>
        </is>
      </c>
      <c r="H995" s="6" t="inlineStr">
        <is>
          <t>%</t>
        </is>
      </c>
      <c r="Q995" s="12">
        <f>INDIRECT_EFFECT("clo","clothing_share","clothing_elasticity",DECILE_ARRAY,"Rural","median")</f>
        <v/>
      </c>
    </row>
    <row r="996">
      <c r="D996" s="6" t="inlineStr">
        <is>
          <t>p25</t>
        </is>
      </c>
      <c r="E996" s="6" t="inlineStr">
        <is>
          <t>Overall</t>
        </is>
      </c>
      <c r="F996" s="6" t="inlineStr">
        <is>
          <t>Basket</t>
        </is>
      </c>
      <c r="G996" s="6" t="inlineStr">
        <is>
          <t>clo</t>
        </is>
      </c>
      <c r="H996" s="6" t="inlineStr">
        <is>
          <t>%</t>
        </is>
      </c>
      <c r="P996" s="12">
        <f>INDIRECT_EFFECT("clo","clothing_share","clothing_elasticity",0,"Overall","p25")</f>
        <v/>
      </c>
    </row>
    <row r="997">
      <c r="D997" s="6" t="inlineStr">
        <is>
          <t>p25</t>
        </is>
      </c>
      <c r="E997" s="6" t="inlineStr">
        <is>
          <t>Overall</t>
        </is>
      </c>
      <c r="F997" s="6" t="inlineStr">
        <is>
          <t>Deciles</t>
        </is>
      </c>
      <c r="G997" s="6" t="inlineStr">
        <is>
          <t>clo</t>
        </is>
      </c>
      <c r="H997" s="6" t="inlineStr">
        <is>
          <t>%</t>
        </is>
      </c>
      <c r="Q997" s="12">
        <f>INDIRECT_EFFECT("clo","clothing_share","clothing_elasticity",DECILE_ARRAY,"Overall","p25")</f>
        <v/>
      </c>
    </row>
    <row r="998">
      <c r="D998" s="6" t="inlineStr">
        <is>
          <t>p25</t>
        </is>
      </c>
      <c r="E998" s="6" t="inlineStr">
        <is>
          <t>Urban</t>
        </is>
      </c>
      <c r="F998" s="6" t="inlineStr">
        <is>
          <t>Basket</t>
        </is>
      </c>
      <c r="G998" s="6" t="inlineStr">
        <is>
          <t>clo</t>
        </is>
      </c>
      <c r="H998" s="6" t="inlineStr">
        <is>
          <t>%</t>
        </is>
      </c>
      <c r="P998" s="12">
        <f>INDIRECT_EFFECT("clo","clothing_share","clothing_elasticity",0,"Urban","p25")</f>
        <v/>
      </c>
    </row>
    <row r="999">
      <c r="D999" s="6" t="inlineStr">
        <is>
          <t>p25</t>
        </is>
      </c>
      <c r="E999" s="6" t="inlineStr">
        <is>
          <t>Urban</t>
        </is>
      </c>
      <c r="F999" s="6" t="inlineStr">
        <is>
          <t>Deciles</t>
        </is>
      </c>
      <c r="G999" s="6" t="inlineStr">
        <is>
          <t>clo</t>
        </is>
      </c>
      <c r="H999" s="6" t="inlineStr">
        <is>
          <t>%</t>
        </is>
      </c>
      <c r="Q999" s="12">
        <f>INDIRECT_EFFECT("clo","clothing_share","clothing_elasticity",DECILE_ARRAY,"Urban","p25")</f>
        <v/>
      </c>
    </row>
    <row r="1000">
      <c r="D1000" s="6" t="inlineStr">
        <is>
          <t>p25</t>
        </is>
      </c>
      <c r="E1000" s="6" t="inlineStr">
        <is>
          <t>Rural</t>
        </is>
      </c>
      <c r="F1000" s="6" t="inlineStr">
        <is>
          <t>Basket</t>
        </is>
      </c>
      <c r="G1000" s="6" t="inlineStr">
        <is>
          <t>clo</t>
        </is>
      </c>
      <c r="H1000" s="6" t="inlineStr">
        <is>
          <t>%</t>
        </is>
      </c>
      <c r="P1000" s="12">
        <f>INDIRECT_EFFECT("clo","clothing_share","clothing_elasticity",0,"Rural","p25")</f>
        <v/>
      </c>
    </row>
    <row r="1001">
      <c r="D1001" s="6" t="inlineStr">
        <is>
          <t>p25</t>
        </is>
      </c>
      <c r="E1001" s="6" t="inlineStr">
        <is>
          <t>Rural</t>
        </is>
      </c>
      <c r="F1001" s="6" t="inlineStr">
        <is>
          <t>Deciles</t>
        </is>
      </c>
      <c r="G1001" s="6" t="inlineStr">
        <is>
          <t>clo</t>
        </is>
      </c>
      <c r="H1001" s="6" t="inlineStr">
        <is>
          <t>%</t>
        </is>
      </c>
      <c r="Q1001" s="12">
        <f>INDIRECT_EFFECT("clo","clothing_share","clothing_elasticity",DECILE_ARRAY,"Rural","p25")</f>
        <v/>
      </c>
    </row>
    <row r="1002">
      <c r="D1002" s="6" t="inlineStr">
        <is>
          <t>p75</t>
        </is>
      </c>
      <c r="E1002" s="6" t="inlineStr">
        <is>
          <t>Overall</t>
        </is>
      </c>
      <c r="F1002" s="6" t="inlineStr">
        <is>
          <t>Basket</t>
        </is>
      </c>
      <c r="G1002" s="6" t="inlineStr">
        <is>
          <t>clo</t>
        </is>
      </c>
      <c r="H1002" s="6" t="inlineStr">
        <is>
          <t>%</t>
        </is>
      </c>
      <c r="P1002" s="12">
        <f>INDIRECT_EFFECT("clo","clothing_share","clothing_elasticity",0,"Overall","p75")</f>
        <v/>
      </c>
    </row>
    <row r="1003">
      <c r="D1003" s="6" t="inlineStr">
        <is>
          <t>p75</t>
        </is>
      </c>
      <c r="E1003" s="6" t="inlineStr">
        <is>
          <t>Overall</t>
        </is>
      </c>
      <c r="F1003" s="6" t="inlineStr">
        <is>
          <t>Deciles</t>
        </is>
      </c>
      <c r="G1003" s="6" t="inlineStr">
        <is>
          <t>clo</t>
        </is>
      </c>
      <c r="H1003" s="6" t="inlineStr">
        <is>
          <t>%</t>
        </is>
      </c>
      <c r="Q1003" s="12">
        <f>INDIRECT_EFFECT("clo","clothing_share","clothing_elasticity",DECILE_ARRAY,"Overall","p75")</f>
        <v/>
      </c>
    </row>
    <row r="1004">
      <c r="D1004" s="6" t="inlineStr">
        <is>
          <t>p75</t>
        </is>
      </c>
      <c r="E1004" s="6" t="inlineStr">
        <is>
          <t>Urban</t>
        </is>
      </c>
      <c r="F1004" s="6" t="inlineStr">
        <is>
          <t>Basket</t>
        </is>
      </c>
      <c r="G1004" s="6" t="inlineStr">
        <is>
          <t>clo</t>
        </is>
      </c>
      <c r="H1004" s="6" t="inlineStr">
        <is>
          <t>%</t>
        </is>
      </c>
      <c r="P1004" s="12">
        <f>INDIRECT_EFFECT("clo","clothing_share","clothing_elasticity",0,"Urban","p75")</f>
        <v/>
      </c>
    </row>
    <row r="1005">
      <c r="D1005" s="6" t="inlineStr">
        <is>
          <t>p75</t>
        </is>
      </c>
      <c r="E1005" s="6" t="inlineStr">
        <is>
          <t>Urban</t>
        </is>
      </c>
      <c r="F1005" s="6" t="inlineStr">
        <is>
          <t>Deciles</t>
        </is>
      </c>
      <c r="G1005" s="6" t="inlineStr">
        <is>
          <t>clo</t>
        </is>
      </c>
      <c r="H1005" s="6" t="inlineStr">
        <is>
          <t>%</t>
        </is>
      </c>
      <c r="Q1005" s="12">
        <f>INDIRECT_EFFECT("clo","clothing_share","clothing_elasticity",DECILE_ARRAY,"Urban","p75")</f>
        <v/>
      </c>
    </row>
    <row r="1006">
      <c r="D1006" s="6" t="inlineStr">
        <is>
          <t>p75</t>
        </is>
      </c>
      <c r="E1006" s="6" t="inlineStr">
        <is>
          <t>Rural</t>
        </is>
      </c>
      <c r="F1006" s="6" t="inlineStr">
        <is>
          <t>Basket</t>
        </is>
      </c>
      <c r="G1006" s="6" t="inlineStr">
        <is>
          <t>clo</t>
        </is>
      </c>
      <c r="H1006" s="6" t="inlineStr">
        <is>
          <t>%</t>
        </is>
      </c>
      <c r="P1006" s="12">
        <f>INDIRECT_EFFECT("clo","clothing_share","clothing_elasticity",0,"Rural","p75")</f>
        <v/>
      </c>
    </row>
    <row r="1007">
      <c r="D1007" s="6" t="inlineStr">
        <is>
          <t>p75</t>
        </is>
      </c>
      <c r="E1007" s="6" t="inlineStr">
        <is>
          <t>Rural</t>
        </is>
      </c>
      <c r="F1007" s="6" t="inlineStr">
        <is>
          <t>Deciles</t>
        </is>
      </c>
      <c r="G1007" s="6" t="inlineStr">
        <is>
          <t>clo</t>
        </is>
      </c>
      <c r="H1007" s="6" t="inlineStr">
        <is>
          <t>%</t>
        </is>
      </c>
      <c r="Q1007" s="12">
        <f>INDIRECT_EFFECT("clo","clothing_share","clothing_elasticity",DECILE_ARRAY,"Rural","p75")</f>
        <v/>
      </c>
    </row>
    <row r="1009">
      <c r="C1009" s="7" t="inlineStr">
        <is>
          <t>Communications Indirect Effect (% Total Consumption)</t>
        </is>
      </c>
      <c r="G1009" s="6" t="inlineStr">
        <is>
          <t>com</t>
        </is>
      </c>
      <c r="O1009" s="8" t="inlineStr">
        <is>
          <t>Decile --&gt;</t>
        </is>
      </c>
      <c r="Q1009" s="8" t="n">
        <v>1</v>
      </c>
      <c r="R1009" s="8" t="n">
        <v>2</v>
      </c>
      <c r="S1009" s="8" t="n">
        <v>3</v>
      </c>
      <c r="T1009" s="8" t="n">
        <v>4</v>
      </c>
      <c r="U1009" s="8" t="n">
        <v>5</v>
      </c>
      <c r="V1009" s="8" t="n">
        <v>6</v>
      </c>
      <c r="W1009" s="8" t="n">
        <v>7</v>
      </c>
      <c r="X1009" s="8" t="n">
        <v>8</v>
      </c>
      <c r="Y1009" s="8" t="n">
        <v>9</v>
      </c>
      <c r="Z1009" s="8" t="n">
        <v>10</v>
      </c>
    </row>
    <row r="1010">
      <c r="D1010" s="6" t="inlineStr">
        <is>
          <t>mean</t>
        </is>
      </c>
      <c r="E1010" s="6" t="inlineStr">
        <is>
          <t>Overall</t>
        </is>
      </c>
      <c r="F1010" s="6" t="inlineStr">
        <is>
          <t>Basket</t>
        </is>
      </c>
      <c r="G1010" s="6" t="inlineStr">
        <is>
          <t>com</t>
        </is>
      </c>
      <c r="H1010" s="6" t="inlineStr">
        <is>
          <t>%</t>
        </is>
      </c>
      <c r="P1010" s="12">
        <f>INDIRECT_EFFECT("com","communications_share","communications_elasticity",0,"Overall","mean")</f>
        <v/>
      </c>
    </row>
    <row r="1011">
      <c r="D1011" s="6" t="inlineStr">
        <is>
          <t>mean</t>
        </is>
      </c>
      <c r="E1011" s="6" t="inlineStr">
        <is>
          <t>Overall</t>
        </is>
      </c>
      <c r="F1011" s="6" t="inlineStr">
        <is>
          <t>Deciles</t>
        </is>
      </c>
      <c r="G1011" s="6" t="inlineStr">
        <is>
          <t>com</t>
        </is>
      </c>
      <c r="H1011" s="6" t="inlineStr">
        <is>
          <t>%</t>
        </is>
      </c>
      <c r="Q1011" s="12">
        <f>INDIRECT_EFFECT("com","communications_share","communications_elasticity",DECILE_ARRAY,"Overall","mean")</f>
        <v/>
      </c>
    </row>
    <row r="1012">
      <c r="D1012" s="6" t="inlineStr">
        <is>
          <t>mean</t>
        </is>
      </c>
      <c r="E1012" s="6" t="inlineStr">
        <is>
          <t>Urban</t>
        </is>
      </c>
      <c r="F1012" s="6" t="inlineStr">
        <is>
          <t>Basket</t>
        </is>
      </c>
      <c r="G1012" s="6" t="inlineStr">
        <is>
          <t>com</t>
        </is>
      </c>
      <c r="H1012" s="6" t="inlineStr">
        <is>
          <t>%</t>
        </is>
      </c>
      <c r="P1012" s="12">
        <f>INDIRECT_EFFECT("com","communications_share","communications_elasticity",0,"Urban","mean")</f>
        <v/>
      </c>
    </row>
    <row r="1013">
      <c r="D1013" s="6" t="inlineStr">
        <is>
          <t>mean</t>
        </is>
      </c>
      <c r="E1013" s="6" t="inlineStr">
        <is>
          <t>Urban</t>
        </is>
      </c>
      <c r="F1013" s="6" t="inlineStr">
        <is>
          <t>Deciles</t>
        </is>
      </c>
      <c r="G1013" s="6" t="inlineStr">
        <is>
          <t>com</t>
        </is>
      </c>
      <c r="H1013" s="6" t="inlineStr">
        <is>
          <t>%</t>
        </is>
      </c>
      <c r="Q1013" s="12">
        <f>INDIRECT_EFFECT("com","communications_share","communications_elasticity",DECILE_ARRAY,"Urban","mean")</f>
        <v/>
      </c>
    </row>
    <row r="1014">
      <c r="D1014" s="6" t="inlineStr">
        <is>
          <t>mean</t>
        </is>
      </c>
      <c r="E1014" s="6" t="inlineStr">
        <is>
          <t>Rural</t>
        </is>
      </c>
      <c r="F1014" s="6" t="inlineStr">
        <is>
          <t>Basket</t>
        </is>
      </c>
      <c r="G1014" s="6" t="inlineStr">
        <is>
          <t>com</t>
        </is>
      </c>
      <c r="H1014" s="6" t="inlineStr">
        <is>
          <t>%</t>
        </is>
      </c>
      <c r="P1014" s="12">
        <f>INDIRECT_EFFECT("com","communications_share","communications_elasticity",0,"Rural","mean")</f>
        <v/>
      </c>
    </row>
    <row r="1015">
      <c r="D1015" s="6" t="inlineStr">
        <is>
          <t>mean</t>
        </is>
      </c>
      <c r="E1015" s="6" t="inlineStr">
        <is>
          <t>Rural</t>
        </is>
      </c>
      <c r="F1015" s="6" t="inlineStr">
        <is>
          <t>Deciles</t>
        </is>
      </c>
      <c r="G1015" s="6" t="inlineStr">
        <is>
          <t>com</t>
        </is>
      </c>
      <c r="H1015" s="6" t="inlineStr">
        <is>
          <t>%</t>
        </is>
      </c>
      <c r="Q1015" s="12">
        <f>INDIRECT_EFFECT("com","communications_share","communications_elasticity",DECILE_ARRAY,"Rural","mean")</f>
        <v/>
      </c>
    </row>
    <row r="1016">
      <c r="D1016" s="6" t="inlineStr">
        <is>
          <t>median</t>
        </is>
      </c>
      <c r="E1016" s="6" t="inlineStr">
        <is>
          <t>Overall</t>
        </is>
      </c>
      <c r="F1016" s="6" t="inlineStr">
        <is>
          <t>Basket</t>
        </is>
      </c>
      <c r="G1016" s="6" t="inlineStr">
        <is>
          <t>com</t>
        </is>
      </c>
      <c r="H1016" s="6" t="inlineStr">
        <is>
          <t>%</t>
        </is>
      </c>
      <c r="P1016" s="12">
        <f>INDIRECT_EFFECT("com","communications_share","communications_elasticity",0,"Overall","median")</f>
        <v/>
      </c>
    </row>
    <row r="1017">
      <c r="D1017" s="6" t="inlineStr">
        <is>
          <t>median</t>
        </is>
      </c>
      <c r="E1017" s="6" t="inlineStr">
        <is>
          <t>Overall</t>
        </is>
      </c>
      <c r="F1017" s="6" t="inlineStr">
        <is>
          <t>Deciles</t>
        </is>
      </c>
      <c r="G1017" s="6" t="inlineStr">
        <is>
          <t>com</t>
        </is>
      </c>
      <c r="H1017" s="6" t="inlineStr">
        <is>
          <t>%</t>
        </is>
      </c>
      <c r="Q1017" s="12">
        <f>INDIRECT_EFFECT("com","communications_share","communications_elasticity",DECILE_ARRAY,"Overall","median")</f>
        <v/>
      </c>
    </row>
    <row r="1018">
      <c r="D1018" s="6" t="inlineStr">
        <is>
          <t>median</t>
        </is>
      </c>
      <c r="E1018" s="6" t="inlineStr">
        <is>
          <t>Urban</t>
        </is>
      </c>
      <c r="F1018" s="6" t="inlineStr">
        <is>
          <t>Basket</t>
        </is>
      </c>
      <c r="G1018" s="6" t="inlineStr">
        <is>
          <t>com</t>
        </is>
      </c>
      <c r="H1018" s="6" t="inlineStr">
        <is>
          <t>%</t>
        </is>
      </c>
      <c r="P1018" s="12">
        <f>INDIRECT_EFFECT("com","communications_share","communications_elasticity",0,"Urban","median")</f>
        <v/>
      </c>
    </row>
    <row r="1019">
      <c r="D1019" s="6" t="inlineStr">
        <is>
          <t>median</t>
        </is>
      </c>
      <c r="E1019" s="6" t="inlineStr">
        <is>
          <t>Urban</t>
        </is>
      </c>
      <c r="F1019" s="6" t="inlineStr">
        <is>
          <t>Deciles</t>
        </is>
      </c>
      <c r="G1019" s="6" t="inlineStr">
        <is>
          <t>com</t>
        </is>
      </c>
      <c r="H1019" s="6" t="inlineStr">
        <is>
          <t>%</t>
        </is>
      </c>
      <c r="Q1019" s="12">
        <f>INDIRECT_EFFECT("com","communications_share","communications_elasticity",DECILE_ARRAY,"Urban","median")</f>
        <v/>
      </c>
    </row>
    <row r="1020">
      <c r="D1020" s="6" t="inlineStr">
        <is>
          <t>median</t>
        </is>
      </c>
      <c r="E1020" s="6" t="inlineStr">
        <is>
          <t>Rural</t>
        </is>
      </c>
      <c r="F1020" s="6" t="inlineStr">
        <is>
          <t>Basket</t>
        </is>
      </c>
      <c r="G1020" s="6" t="inlineStr">
        <is>
          <t>com</t>
        </is>
      </c>
      <c r="H1020" s="6" t="inlineStr">
        <is>
          <t>%</t>
        </is>
      </c>
      <c r="P1020" s="12">
        <f>INDIRECT_EFFECT("com","communications_share","communications_elasticity",0,"Rural","median")</f>
        <v/>
      </c>
    </row>
    <row r="1021">
      <c r="D1021" s="6" t="inlineStr">
        <is>
          <t>median</t>
        </is>
      </c>
      <c r="E1021" s="6" t="inlineStr">
        <is>
          <t>Rural</t>
        </is>
      </c>
      <c r="F1021" s="6" t="inlineStr">
        <is>
          <t>Deciles</t>
        </is>
      </c>
      <c r="G1021" s="6" t="inlineStr">
        <is>
          <t>com</t>
        </is>
      </c>
      <c r="H1021" s="6" t="inlineStr">
        <is>
          <t>%</t>
        </is>
      </c>
      <c r="Q1021" s="12">
        <f>INDIRECT_EFFECT("com","communications_share","communications_elasticity",DECILE_ARRAY,"Rural","median")</f>
        <v/>
      </c>
    </row>
    <row r="1022">
      <c r="D1022" s="6" t="inlineStr">
        <is>
          <t>p25</t>
        </is>
      </c>
      <c r="E1022" s="6" t="inlineStr">
        <is>
          <t>Overall</t>
        </is>
      </c>
      <c r="F1022" s="6" t="inlineStr">
        <is>
          <t>Basket</t>
        </is>
      </c>
      <c r="G1022" s="6" t="inlineStr">
        <is>
          <t>com</t>
        </is>
      </c>
      <c r="H1022" s="6" t="inlineStr">
        <is>
          <t>%</t>
        </is>
      </c>
      <c r="P1022" s="12">
        <f>INDIRECT_EFFECT("com","communications_share","communications_elasticity",0,"Overall","p25")</f>
        <v/>
      </c>
    </row>
    <row r="1023">
      <c r="D1023" s="6" t="inlineStr">
        <is>
          <t>p25</t>
        </is>
      </c>
      <c r="E1023" s="6" t="inlineStr">
        <is>
          <t>Overall</t>
        </is>
      </c>
      <c r="F1023" s="6" t="inlineStr">
        <is>
          <t>Deciles</t>
        </is>
      </c>
      <c r="G1023" s="6" t="inlineStr">
        <is>
          <t>com</t>
        </is>
      </c>
      <c r="H1023" s="6" t="inlineStr">
        <is>
          <t>%</t>
        </is>
      </c>
      <c r="Q1023" s="12">
        <f>INDIRECT_EFFECT("com","communications_share","communications_elasticity",DECILE_ARRAY,"Overall","p25")</f>
        <v/>
      </c>
    </row>
    <row r="1024">
      <c r="D1024" s="6" t="inlineStr">
        <is>
          <t>p25</t>
        </is>
      </c>
      <c r="E1024" s="6" t="inlineStr">
        <is>
          <t>Urban</t>
        </is>
      </c>
      <c r="F1024" s="6" t="inlineStr">
        <is>
          <t>Basket</t>
        </is>
      </c>
      <c r="G1024" s="6" t="inlineStr">
        <is>
          <t>com</t>
        </is>
      </c>
      <c r="H1024" s="6" t="inlineStr">
        <is>
          <t>%</t>
        </is>
      </c>
      <c r="P1024" s="12">
        <f>INDIRECT_EFFECT("com","communications_share","communications_elasticity",0,"Urban","p25")</f>
        <v/>
      </c>
    </row>
    <row r="1025">
      <c r="D1025" s="6" t="inlineStr">
        <is>
          <t>p25</t>
        </is>
      </c>
      <c r="E1025" s="6" t="inlineStr">
        <is>
          <t>Urban</t>
        </is>
      </c>
      <c r="F1025" s="6" t="inlineStr">
        <is>
          <t>Deciles</t>
        </is>
      </c>
      <c r="G1025" s="6" t="inlineStr">
        <is>
          <t>com</t>
        </is>
      </c>
      <c r="H1025" s="6" t="inlineStr">
        <is>
          <t>%</t>
        </is>
      </c>
      <c r="Q1025" s="12">
        <f>INDIRECT_EFFECT("com","communications_share","communications_elasticity",DECILE_ARRAY,"Urban","p25")</f>
        <v/>
      </c>
    </row>
    <row r="1026">
      <c r="D1026" s="6" t="inlineStr">
        <is>
          <t>p25</t>
        </is>
      </c>
      <c r="E1026" s="6" t="inlineStr">
        <is>
          <t>Rural</t>
        </is>
      </c>
      <c r="F1026" s="6" t="inlineStr">
        <is>
          <t>Basket</t>
        </is>
      </c>
      <c r="G1026" s="6" t="inlineStr">
        <is>
          <t>com</t>
        </is>
      </c>
      <c r="H1026" s="6" t="inlineStr">
        <is>
          <t>%</t>
        </is>
      </c>
      <c r="P1026" s="12">
        <f>INDIRECT_EFFECT("com","communications_share","communications_elasticity",0,"Rural","p25")</f>
        <v/>
      </c>
    </row>
    <row r="1027">
      <c r="D1027" s="6" t="inlineStr">
        <is>
          <t>p25</t>
        </is>
      </c>
      <c r="E1027" s="6" t="inlineStr">
        <is>
          <t>Rural</t>
        </is>
      </c>
      <c r="F1027" s="6" t="inlineStr">
        <is>
          <t>Deciles</t>
        </is>
      </c>
      <c r="G1027" s="6" t="inlineStr">
        <is>
          <t>com</t>
        </is>
      </c>
      <c r="H1027" s="6" t="inlineStr">
        <is>
          <t>%</t>
        </is>
      </c>
      <c r="Q1027" s="12">
        <f>INDIRECT_EFFECT("com","communications_share","communications_elasticity",DECILE_ARRAY,"Rural","p25")</f>
        <v/>
      </c>
    </row>
    <row r="1028">
      <c r="D1028" s="6" t="inlineStr">
        <is>
          <t>p75</t>
        </is>
      </c>
      <c r="E1028" s="6" t="inlineStr">
        <is>
          <t>Overall</t>
        </is>
      </c>
      <c r="F1028" s="6" t="inlineStr">
        <is>
          <t>Basket</t>
        </is>
      </c>
      <c r="G1028" s="6" t="inlineStr">
        <is>
          <t>com</t>
        </is>
      </c>
      <c r="H1028" s="6" t="inlineStr">
        <is>
          <t>%</t>
        </is>
      </c>
      <c r="P1028" s="12">
        <f>INDIRECT_EFFECT("com","communications_share","communications_elasticity",0,"Overall","p75")</f>
        <v/>
      </c>
    </row>
    <row r="1029">
      <c r="D1029" s="6" t="inlineStr">
        <is>
          <t>p75</t>
        </is>
      </c>
      <c r="E1029" s="6" t="inlineStr">
        <is>
          <t>Overall</t>
        </is>
      </c>
      <c r="F1029" s="6" t="inlineStr">
        <is>
          <t>Deciles</t>
        </is>
      </c>
      <c r="G1029" s="6" t="inlineStr">
        <is>
          <t>com</t>
        </is>
      </c>
      <c r="H1029" s="6" t="inlineStr">
        <is>
          <t>%</t>
        </is>
      </c>
      <c r="Q1029" s="12">
        <f>INDIRECT_EFFECT("com","communications_share","communications_elasticity",DECILE_ARRAY,"Overall","p75")</f>
        <v/>
      </c>
    </row>
    <row r="1030">
      <c r="D1030" s="6" t="inlineStr">
        <is>
          <t>p75</t>
        </is>
      </c>
      <c r="E1030" s="6" t="inlineStr">
        <is>
          <t>Urban</t>
        </is>
      </c>
      <c r="F1030" s="6" t="inlineStr">
        <is>
          <t>Basket</t>
        </is>
      </c>
      <c r="G1030" s="6" t="inlineStr">
        <is>
          <t>com</t>
        </is>
      </c>
      <c r="H1030" s="6" t="inlineStr">
        <is>
          <t>%</t>
        </is>
      </c>
      <c r="P1030" s="12">
        <f>INDIRECT_EFFECT("com","communications_share","communications_elasticity",0,"Urban","p75")</f>
        <v/>
      </c>
    </row>
    <row r="1031">
      <c r="D1031" s="6" t="inlineStr">
        <is>
          <t>p75</t>
        </is>
      </c>
      <c r="E1031" s="6" t="inlineStr">
        <is>
          <t>Urban</t>
        </is>
      </c>
      <c r="F1031" s="6" t="inlineStr">
        <is>
          <t>Deciles</t>
        </is>
      </c>
      <c r="G1031" s="6" t="inlineStr">
        <is>
          <t>com</t>
        </is>
      </c>
      <c r="H1031" s="6" t="inlineStr">
        <is>
          <t>%</t>
        </is>
      </c>
      <c r="Q1031" s="12">
        <f>INDIRECT_EFFECT("com","communications_share","communications_elasticity",DECILE_ARRAY,"Urban","p75")</f>
        <v/>
      </c>
    </row>
    <row r="1032">
      <c r="D1032" s="6" t="inlineStr">
        <is>
          <t>p75</t>
        </is>
      </c>
      <c r="E1032" s="6" t="inlineStr">
        <is>
          <t>Rural</t>
        </is>
      </c>
      <c r="F1032" s="6" t="inlineStr">
        <is>
          <t>Basket</t>
        </is>
      </c>
      <c r="G1032" s="6" t="inlineStr">
        <is>
          <t>com</t>
        </is>
      </c>
      <c r="H1032" s="6" t="inlineStr">
        <is>
          <t>%</t>
        </is>
      </c>
      <c r="P1032" s="12">
        <f>INDIRECT_EFFECT("com","communications_share","communications_elasticity",0,"Rural","p75")</f>
        <v/>
      </c>
    </row>
    <row r="1033">
      <c r="D1033" s="6" t="inlineStr">
        <is>
          <t>p75</t>
        </is>
      </c>
      <c r="E1033" s="6" t="inlineStr">
        <is>
          <t>Rural</t>
        </is>
      </c>
      <c r="F1033" s="6" t="inlineStr">
        <is>
          <t>Deciles</t>
        </is>
      </c>
      <c r="G1033" s="6" t="inlineStr">
        <is>
          <t>com</t>
        </is>
      </c>
      <c r="H1033" s="6" t="inlineStr">
        <is>
          <t>%</t>
        </is>
      </c>
      <c r="Q1033" s="12">
        <f>INDIRECT_EFFECT("com","communications_share","communications_elasticity",DECILE_ARRAY,"Rural","p75")</f>
        <v/>
      </c>
    </row>
    <row r="1035">
      <c r="C1035" s="7" t="inlineStr">
        <is>
          <t>Education Indirect Effect (% Total Consumption)</t>
        </is>
      </c>
      <c r="G1035" s="6" t="inlineStr">
        <is>
          <t>edu</t>
        </is>
      </c>
      <c r="O1035" s="8" t="inlineStr">
        <is>
          <t>Decile --&gt;</t>
        </is>
      </c>
      <c r="Q1035" s="8" t="n">
        <v>1</v>
      </c>
      <c r="R1035" s="8" t="n">
        <v>2</v>
      </c>
      <c r="S1035" s="8" t="n">
        <v>3</v>
      </c>
      <c r="T1035" s="8" t="n">
        <v>4</v>
      </c>
      <c r="U1035" s="8" t="n">
        <v>5</v>
      </c>
      <c r="V1035" s="8" t="n">
        <v>6</v>
      </c>
      <c r="W1035" s="8" t="n">
        <v>7</v>
      </c>
      <c r="X1035" s="8" t="n">
        <v>8</v>
      </c>
      <c r="Y1035" s="8" t="n">
        <v>9</v>
      </c>
      <c r="Z1035" s="8" t="n">
        <v>10</v>
      </c>
    </row>
    <row r="1036">
      <c r="D1036" s="6" t="inlineStr">
        <is>
          <t>mean</t>
        </is>
      </c>
      <c r="E1036" s="6" t="inlineStr">
        <is>
          <t>Overall</t>
        </is>
      </c>
      <c r="F1036" s="6" t="inlineStr">
        <is>
          <t>Basket</t>
        </is>
      </c>
      <c r="G1036" s="6" t="inlineStr">
        <is>
          <t>edu</t>
        </is>
      </c>
      <c r="H1036" s="6" t="inlineStr">
        <is>
          <t>%</t>
        </is>
      </c>
      <c r="P1036" s="12">
        <f>INDIRECT_EFFECT("edu","education_share","education_elasticity",0,"Overall","mean")</f>
        <v/>
      </c>
    </row>
    <row r="1037">
      <c r="D1037" s="6" t="inlineStr">
        <is>
          <t>mean</t>
        </is>
      </c>
      <c r="E1037" s="6" t="inlineStr">
        <is>
          <t>Overall</t>
        </is>
      </c>
      <c r="F1037" s="6" t="inlineStr">
        <is>
          <t>Deciles</t>
        </is>
      </c>
      <c r="G1037" s="6" t="inlineStr">
        <is>
          <t>edu</t>
        </is>
      </c>
      <c r="H1037" s="6" t="inlineStr">
        <is>
          <t>%</t>
        </is>
      </c>
      <c r="Q1037" s="12">
        <f>INDIRECT_EFFECT("edu","education_share","education_elasticity",DECILE_ARRAY,"Overall","mean")</f>
        <v/>
      </c>
    </row>
    <row r="1038">
      <c r="D1038" s="6" t="inlineStr">
        <is>
          <t>mean</t>
        </is>
      </c>
      <c r="E1038" s="6" t="inlineStr">
        <is>
          <t>Urban</t>
        </is>
      </c>
      <c r="F1038" s="6" t="inlineStr">
        <is>
          <t>Basket</t>
        </is>
      </c>
      <c r="G1038" s="6" t="inlineStr">
        <is>
          <t>edu</t>
        </is>
      </c>
      <c r="H1038" s="6" t="inlineStr">
        <is>
          <t>%</t>
        </is>
      </c>
      <c r="P1038" s="12">
        <f>INDIRECT_EFFECT("edu","education_share","education_elasticity",0,"Urban","mean")</f>
        <v/>
      </c>
    </row>
    <row r="1039">
      <c r="D1039" s="6" t="inlineStr">
        <is>
          <t>mean</t>
        </is>
      </c>
      <c r="E1039" s="6" t="inlineStr">
        <is>
          <t>Urban</t>
        </is>
      </c>
      <c r="F1039" s="6" t="inlineStr">
        <is>
          <t>Deciles</t>
        </is>
      </c>
      <c r="G1039" s="6" t="inlineStr">
        <is>
          <t>edu</t>
        </is>
      </c>
      <c r="H1039" s="6" t="inlineStr">
        <is>
          <t>%</t>
        </is>
      </c>
      <c r="Q1039" s="12">
        <f>INDIRECT_EFFECT("edu","education_share","education_elasticity",DECILE_ARRAY,"Urban","mean")</f>
        <v/>
      </c>
    </row>
    <row r="1040">
      <c r="D1040" s="6" t="inlineStr">
        <is>
          <t>mean</t>
        </is>
      </c>
      <c r="E1040" s="6" t="inlineStr">
        <is>
          <t>Rural</t>
        </is>
      </c>
      <c r="F1040" s="6" t="inlineStr">
        <is>
          <t>Basket</t>
        </is>
      </c>
      <c r="G1040" s="6" t="inlineStr">
        <is>
          <t>edu</t>
        </is>
      </c>
      <c r="H1040" s="6" t="inlineStr">
        <is>
          <t>%</t>
        </is>
      </c>
      <c r="P1040" s="12">
        <f>INDIRECT_EFFECT("edu","education_share","education_elasticity",0,"Rural","mean")</f>
        <v/>
      </c>
    </row>
    <row r="1041">
      <c r="D1041" s="6" t="inlineStr">
        <is>
          <t>mean</t>
        </is>
      </c>
      <c r="E1041" s="6" t="inlineStr">
        <is>
          <t>Rural</t>
        </is>
      </c>
      <c r="F1041" s="6" t="inlineStr">
        <is>
          <t>Deciles</t>
        </is>
      </c>
      <c r="G1041" s="6" t="inlineStr">
        <is>
          <t>edu</t>
        </is>
      </c>
      <c r="H1041" s="6" t="inlineStr">
        <is>
          <t>%</t>
        </is>
      </c>
      <c r="Q1041" s="12">
        <f>INDIRECT_EFFECT("edu","education_share","education_elasticity",DECILE_ARRAY,"Rural","mean")</f>
        <v/>
      </c>
    </row>
    <row r="1042">
      <c r="D1042" s="6" t="inlineStr">
        <is>
          <t>median</t>
        </is>
      </c>
      <c r="E1042" s="6" t="inlineStr">
        <is>
          <t>Overall</t>
        </is>
      </c>
      <c r="F1042" s="6" t="inlineStr">
        <is>
          <t>Basket</t>
        </is>
      </c>
      <c r="G1042" s="6" t="inlineStr">
        <is>
          <t>edu</t>
        </is>
      </c>
      <c r="H1042" s="6" t="inlineStr">
        <is>
          <t>%</t>
        </is>
      </c>
      <c r="P1042" s="12">
        <f>INDIRECT_EFFECT("edu","education_share","education_elasticity",0,"Overall","median")</f>
        <v/>
      </c>
    </row>
    <row r="1043">
      <c r="D1043" s="6" t="inlineStr">
        <is>
          <t>median</t>
        </is>
      </c>
      <c r="E1043" s="6" t="inlineStr">
        <is>
          <t>Overall</t>
        </is>
      </c>
      <c r="F1043" s="6" t="inlineStr">
        <is>
          <t>Deciles</t>
        </is>
      </c>
      <c r="G1043" s="6" t="inlineStr">
        <is>
          <t>edu</t>
        </is>
      </c>
      <c r="H1043" s="6" t="inlineStr">
        <is>
          <t>%</t>
        </is>
      </c>
      <c r="Q1043" s="12">
        <f>INDIRECT_EFFECT("edu","education_share","education_elasticity",DECILE_ARRAY,"Overall","median")</f>
        <v/>
      </c>
    </row>
    <row r="1044">
      <c r="D1044" s="6" t="inlineStr">
        <is>
          <t>median</t>
        </is>
      </c>
      <c r="E1044" s="6" t="inlineStr">
        <is>
          <t>Urban</t>
        </is>
      </c>
      <c r="F1044" s="6" t="inlineStr">
        <is>
          <t>Basket</t>
        </is>
      </c>
      <c r="G1044" s="6" t="inlineStr">
        <is>
          <t>edu</t>
        </is>
      </c>
      <c r="H1044" s="6" t="inlineStr">
        <is>
          <t>%</t>
        </is>
      </c>
      <c r="P1044" s="12">
        <f>INDIRECT_EFFECT("edu","education_share","education_elasticity",0,"Urban","median")</f>
        <v/>
      </c>
    </row>
    <row r="1045">
      <c r="D1045" s="6" t="inlineStr">
        <is>
          <t>median</t>
        </is>
      </c>
      <c r="E1045" s="6" t="inlineStr">
        <is>
          <t>Urban</t>
        </is>
      </c>
      <c r="F1045" s="6" t="inlineStr">
        <is>
          <t>Deciles</t>
        </is>
      </c>
      <c r="G1045" s="6" t="inlineStr">
        <is>
          <t>edu</t>
        </is>
      </c>
      <c r="H1045" s="6" t="inlineStr">
        <is>
          <t>%</t>
        </is>
      </c>
      <c r="Q1045" s="12">
        <f>INDIRECT_EFFECT("edu","education_share","education_elasticity",DECILE_ARRAY,"Urban","median")</f>
        <v/>
      </c>
    </row>
    <row r="1046">
      <c r="D1046" s="6" t="inlineStr">
        <is>
          <t>median</t>
        </is>
      </c>
      <c r="E1046" s="6" t="inlineStr">
        <is>
          <t>Rural</t>
        </is>
      </c>
      <c r="F1046" s="6" t="inlineStr">
        <is>
          <t>Basket</t>
        </is>
      </c>
      <c r="G1046" s="6" t="inlineStr">
        <is>
          <t>edu</t>
        </is>
      </c>
      <c r="H1046" s="6" t="inlineStr">
        <is>
          <t>%</t>
        </is>
      </c>
      <c r="P1046" s="12">
        <f>INDIRECT_EFFECT("edu","education_share","education_elasticity",0,"Rural","median")</f>
        <v/>
      </c>
    </row>
    <row r="1047">
      <c r="D1047" s="6" t="inlineStr">
        <is>
          <t>median</t>
        </is>
      </c>
      <c r="E1047" s="6" t="inlineStr">
        <is>
          <t>Rural</t>
        </is>
      </c>
      <c r="F1047" s="6" t="inlineStr">
        <is>
          <t>Deciles</t>
        </is>
      </c>
      <c r="G1047" s="6" t="inlineStr">
        <is>
          <t>edu</t>
        </is>
      </c>
      <c r="H1047" s="6" t="inlineStr">
        <is>
          <t>%</t>
        </is>
      </c>
      <c r="Q1047" s="12">
        <f>INDIRECT_EFFECT("edu","education_share","education_elasticity",DECILE_ARRAY,"Rural","median")</f>
        <v/>
      </c>
    </row>
    <row r="1048">
      <c r="D1048" s="6" t="inlineStr">
        <is>
          <t>p25</t>
        </is>
      </c>
      <c r="E1048" s="6" t="inlineStr">
        <is>
          <t>Overall</t>
        </is>
      </c>
      <c r="F1048" s="6" t="inlineStr">
        <is>
          <t>Basket</t>
        </is>
      </c>
      <c r="G1048" s="6" t="inlineStr">
        <is>
          <t>edu</t>
        </is>
      </c>
      <c r="H1048" s="6" t="inlineStr">
        <is>
          <t>%</t>
        </is>
      </c>
      <c r="P1048" s="12">
        <f>INDIRECT_EFFECT("edu","education_share","education_elasticity",0,"Overall","p25")</f>
        <v/>
      </c>
    </row>
    <row r="1049">
      <c r="D1049" s="6" t="inlineStr">
        <is>
          <t>p25</t>
        </is>
      </c>
      <c r="E1049" s="6" t="inlineStr">
        <is>
          <t>Overall</t>
        </is>
      </c>
      <c r="F1049" s="6" t="inlineStr">
        <is>
          <t>Deciles</t>
        </is>
      </c>
      <c r="G1049" s="6" t="inlineStr">
        <is>
          <t>edu</t>
        </is>
      </c>
      <c r="H1049" s="6" t="inlineStr">
        <is>
          <t>%</t>
        </is>
      </c>
      <c r="Q1049" s="12">
        <f>INDIRECT_EFFECT("edu","education_share","education_elasticity",DECILE_ARRAY,"Overall","p25")</f>
        <v/>
      </c>
    </row>
    <row r="1050">
      <c r="D1050" s="6" t="inlineStr">
        <is>
          <t>p25</t>
        </is>
      </c>
      <c r="E1050" s="6" t="inlineStr">
        <is>
          <t>Urban</t>
        </is>
      </c>
      <c r="F1050" s="6" t="inlineStr">
        <is>
          <t>Basket</t>
        </is>
      </c>
      <c r="G1050" s="6" t="inlineStr">
        <is>
          <t>edu</t>
        </is>
      </c>
      <c r="H1050" s="6" t="inlineStr">
        <is>
          <t>%</t>
        </is>
      </c>
      <c r="P1050" s="12">
        <f>INDIRECT_EFFECT("edu","education_share","education_elasticity",0,"Urban","p25")</f>
        <v/>
      </c>
    </row>
    <row r="1051">
      <c r="D1051" s="6" t="inlineStr">
        <is>
          <t>p25</t>
        </is>
      </c>
      <c r="E1051" s="6" t="inlineStr">
        <is>
          <t>Urban</t>
        </is>
      </c>
      <c r="F1051" s="6" t="inlineStr">
        <is>
          <t>Deciles</t>
        </is>
      </c>
      <c r="G1051" s="6" t="inlineStr">
        <is>
          <t>edu</t>
        </is>
      </c>
      <c r="H1051" s="6" t="inlineStr">
        <is>
          <t>%</t>
        </is>
      </c>
      <c r="Q1051" s="12">
        <f>INDIRECT_EFFECT("edu","education_share","education_elasticity",DECILE_ARRAY,"Urban","p25")</f>
        <v/>
      </c>
    </row>
    <row r="1052">
      <c r="D1052" s="6" t="inlineStr">
        <is>
          <t>p25</t>
        </is>
      </c>
      <c r="E1052" s="6" t="inlineStr">
        <is>
          <t>Rural</t>
        </is>
      </c>
      <c r="F1052" s="6" t="inlineStr">
        <is>
          <t>Basket</t>
        </is>
      </c>
      <c r="G1052" s="6" t="inlineStr">
        <is>
          <t>edu</t>
        </is>
      </c>
      <c r="H1052" s="6" t="inlineStr">
        <is>
          <t>%</t>
        </is>
      </c>
      <c r="P1052" s="12">
        <f>INDIRECT_EFFECT("edu","education_share","education_elasticity",0,"Rural","p25")</f>
        <v/>
      </c>
    </row>
    <row r="1053">
      <c r="D1053" s="6" t="inlineStr">
        <is>
          <t>p25</t>
        </is>
      </c>
      <c r="E1053" s="6" t="inlineStr">
        <is>
          <t>Rural</t>
        </is>
      </c>
      <c r="F1053" s="6" t="inlineStr">
        <is>
          <t>Deciles</t>
        </is>
      </c>
      <c r="G1053" s="6" t="inlineStr">
        <is>
          <t>edu</t>
        </is>
      </c>
      <c r="H1053" s="6" t="inlineStr">
        <is>
          <t>%</t>
        </is>
      </c>
      <c r="Q1053" s="12">
        <f>INDIRECT_EFFECT("edu","education_share","education_elasticity",DECILE_ARRAY,"Rural","p25")</f>
        <v/>
      </c>
    </row>
    <row r="1054">
      <c r="D1054" s="6" t="inlineStr">
        <is>
          <t>p75</t>
        </is>
      </c>
      <c r="E1054" s="6" t="inlineStr">
        <is>
          <t>Overall</t>
        </is>
      </c>
      <c r="F1054" s="6" t="inlineStr">
        <is>
          <t>Basket</t>
        </is>
      </c>
      <c r="G1054" s="6" t="inlineStr">
        <is>
          <t>edu</t>
        </is>
      </c>
      <c r="H1054" s="6" t="inlineStr">
        <is>
          <t>%</t>
        </is>
      </c>
      <c r="P1054" s="12">
        <f>INDIRECT_EFFECT("edu","education_share","education_elasticity",0,"Overall","p75")</f>
        <v/>
      </c>
    </row>
    <row r="1055">
      <c r="D1055" s="6" t="inlineStr">
        <is>
          <t>p75</t>
        </is>
      </c>
      <c r="E1055" s="6" t="inlineStr">
        <is>
          <t>Overall</t>
        </is>
      </c>
      <c r="F1055" s="6" t="inlineStr">
        <is>
          <t>Deciles</t>
        </is>
      </c>
      <c r="G1055" s="6" t="inlineStr">
        <is>
          <t>edu</t>
        </is>
      </c>
      <c r="H1055" s="6" t="inlineStr">
        <is>
          <t>%</t>
        </is>
      </c>
      <c r="Q1055" s="12">
        <f>INDIRECT_EFFECT("edu","education_share","education_elasticity",DECILE_ARRAY,"Overall","p75")</f>
        <v/>
      </c>
    </row>
    <row r="1056">
      <c r="D1056" s="6" t="inlineStr">
        <is>
          <t>p75</t>
        </is>
      </c>
      <c r="E1056" s="6" t="inlineStr">
        <is>
          <t>Urban</t>
        </is>
      </c>
      <c r="F1056" s="6" t="inlineStr">
        <is>
          <t>Basket</t>
        </is>
      </c>
      <c r="G1056" s="6" t="inlineStr">
        <is>
          <t>edu</t>
        </is>
      </c>
      <c r="H1056" s="6" t="inlineStr">
        <is>
          <t>%</t>
        </is>
      </c>
      <c r="P1056" s="12">
        <f>INDIRECT_EFFECT("edu","education_share","education_elasticity",0,"Urban","p75")</f>
        <v/>
      </c>
    </row>
    <row r="1057">
      <c r="D1057" s="6" t="inlineStr">
        <is>
          <t>p75</t>
        </is>
      </c>
      <c r="E1057" s="6" t="inlineStr">
        <is>
          <t>Urban</t>
        </is>
      </c>
      <c r="F1057" s="6" t="inlineStr">
        <is>
          <t>Deciles</t>
        </is>
      </c>
      <c r="G1057" s="6" t="inlineStr">
        <is>
          <t>edu</t>
        </is>
      </c>
      <c r="H1057" s="6" t="inlineStr">
        <is>
          <t>%</t>
        </is>
      </c>
      <c r="Q1057" s="12">
        <f>INDIRECT_EFFECT("edu","education_share","education_elasticity",DECILE_ARRAY,"Urban","p75")</f>
        <v/>
      </c>
    </row>
    <row r="1058">
      <c r="D1058" s="6" t="inlineStr">
        <is>
          <t>p75</t>
        </is>
      </c>
      <c r="E1058" s="6" t="inlineStr">
        <is>
          <t>Rural</t>
        </is>
      </c>
      <c r="F1058" s="6" t="inlineStr">
        <is>
          <t>Basket</t>
        </is>
      </c>
      <c r="G1058" s="6" t="inlineStr">
        <is>
          <t>edu</t>
        </is>
      </c>
      <c r="H1058" s="6" t="inlineStr">
        <is>
          <t>%</t>
        </is>
      </c>
      <c r="P1058" s="12">
        <f>INDIRECT_EFFECT("edu","education_share","education_elasticity",0,"Rural","p75")</f>
        <v/>
      </c>
    </row>
    <row r="1059">
      <c r="D1059" s="6" t="inlineStr">
        <is>
          <t>p75</t>
        </is>
      </c>
      <c r="E1059" s="6" t="inlineStr">
        <is>
          <t>Rural</t>
        </is>
      </c>
      <c r="F1059" s="6" t="inlineStr">
        <is>
          <t>Deciles</t>
        </is>
      </c>
      <c r="G1059" s="6" t="inlineStr">
        <is>
          <t>edu</t>
        </is>
      </c>
      <c r="H1059" s="6" t="inlineStr">
        <is>
          <t>%</t>
        </is>
      </c>
      <c r="Q1059" s="12">
        <f>INDIRECT_EFFECT("edu","education_share","education_elasticity",DECILE_ARRAY,"Rural","p75")</f>
        <v/>
      </c>
    </row>
    <row r="1061">
      <c r="C1061" s="7" t="inlineStr">
        <is>
          <t>Food Indirect Effect (% Total Consumption)</t>
        </is>
      </c>
      <c r="G1061" s="6" t="inlineStr">
        <is>
          <t>food</t>
        </is>
      </c>
      <c r="O1061" s="8" t="inlineStr">
        <is>
          <t>Decile --&gt;</t>
        </is>
      </c>
      <c r="Q1061" s="8" t="n">
        <v>1</v>
      </c>
      <c r="R1061" s="8" t="n">
        <v>2</v>
      </c>
      <c r="S1061" s="8" t="n">
        <v>3</v>
      </c>
      <c r="T1061" s="8" t="n">
        <v>4</v>
      </c>
      <c r="U1061" s="8" t="n">
        <v>5</v>
      </c>
      <c r="V1061" s="8" t="n">
        <v>6</v>
      </c>
      <c r="W1061" s="8" t="n">
        <v>7</v>
      </c>
      <c r="X1061" s="8" t="n">
        <v>8</v>
      </c>
      <c r="Y1061" s="8" t="n">
        <v>9</v>
      </c>
      <c r="Z1061" s="8" t="n">
        <v>10</v>
      </c>
    </row>
    <row r="1062">
      <c r="D1062" s="6" t="inlineStr">
        <is>
          <t>mean</t>
        </is>
      </c>
      <c r="E1062" s="6" t="inlineStr">
        <is>
          <t>Overall</t>
        </is>
      </c>
      <c r="F1062" s="6" t="inlineStr">
        <is>
          <t>Basket</t>
        </is>
      </c>
      <c r="G1062" s="6" t="inlineStr">
        <is>
          <t>food</t>
        </is>
      </c>
      <c r="H1062" s="6" t="inlineStr">
        <is>
          <t>%</t>
        </is>
      </c>
      <c r="P1062" s="12">
        <f>INDIRECT_EFFECT("food","food_share","food_elasticity",0,"Overall","mean")</f>
        <v/>
      </c>
    </row>
    <row r="1063">
      <c r="D1063" s="6" t="inlineStr">
        <is>
          <t>mean</t>
        </is>
      </c>
      <c r="E1063" s="6" t="inlineStr">
        <is>
          <t>Overall</t>
        </is>
      </c>
      <c r="F1063" s="6" t="inlineStr">
        <is>
          <t>Deciles</t>
        </is>
      </c>
      <c r="G1063" s="6" t="inlineStr">
        <is>
          <t>food</t>
        </is>
      </c>
      <c r="H1063" s="6" t="inlineStr">
        <is>
          <t>%</t>
        </is>
      </c>
      <c r="Q1063" s="12">
        <f>INDIRECT_EFFECT("food","food_share","food_elasticity",DECILE_ARRAY,"Overall","mean")</f>
        <v/>
      </c>
    </row>
    <row r="1064">
      <c r="D1064" s="6" t="inlineStr">
        <is>
          <t>mean</t>
        </is>
      </c>
      <c r="E1064" s="6" t="inlineStr">
        <is>
          <t>Urban</t>
        </is>
      </c>
      <c r="F1064" s="6" t="inlineStr">
        <is>
          <t>Basket</t>
        </is>
      </c>
      <c r="G1064" s="6" t="inlineStr">
        <is>
          <t>food</t>
        </is>
      </c>
      <c r="H1064" s="6" t="inlineStr">
        <is>
          <t>%</t>
        </is>
      </c>
      <c r="P1064" s="12">
        <f>INDIRECT_EFFECT("food","food_share","food_elasticity",0,"Urban","mean")</f>
        <v/>
      </c>
    </row>
    <row r="1065">
      <c r="D1065" s="6" t="inlineStr">
        <is>
          <t>mean</t>
        </is>
      </c>
      <c r="E1065" s="6" t="inlineStr">
        <is>
          <t>Urban</t>
        </is>
      </c>
      <c r="F1065" s="6" t="inlineStr">
        <is>
          <t>Deciles</t>
        </is>
      </c>
      <c r="G1065" s="6" t="inlineStr">
        <is>
          <t>food</t>
        </is>
      </c>
      <c r="H1065" s="6" t="inlineStr">
        <is>
          <t>%</t>
        </is>
      </c>
      <c r="Q1065" s="12">
        <f>INDIRECT_EFFECT("food","food_share","food_elasticity",DECILE_ARRAY,"Urban","mean")</f>
        <v/>
      </c>
    </row>
    <row r="1066">
      <c r="D1066" s="6" t="inlineStr">
        <is>
          <t>mean</t>
        </is>
      </c>
      <c r="E1066" s="6" t="inlineStr">
        <is>
          <t>Rural</t>
        </is>
      </c>
      <c r="F1066" s="6" t="inlineStr">
        <is>
          <t>Basket</t>
        </is>
      </c>
      <c r="G1066" s="6" t="inlineStr">
        <is>
          <t>food</t>
        </is>
      </c>
      <c r="H1066" s="6" t="inlineStr">
        <is>
          <t>%</t>
        </is>
      </c>
      <c r="P1066" s="12">
        <f>INDIRECT_EFFECT("food","food_share","food_elasticity",0,"Rural","mean")</f>
        <v/>
      </c>
    </row>
    <row r="1067">
      <c r="D1067" s="6" t="inlineStr">
        <is>
          <t>mean</t>
        </is>
      </c>
      <c r="E1067" s="6" t="inlineStr">
        <is>
          <t>Rural</t>
        </is>
      </c>
      <c r="F1067" s="6" t="inlineStr">
        <is>
          <t>Deciles</t>
        </is>
      </c>
      <c r="G1067" s="6" t="inlineStr">
        <is>
          <t>food</t>
        </is>
      </c>
      <c r="H1067" s="6" t="inlineStr">
        <is>
          <t>%</t>
        </is>
      </c>
      <c r="Q1067" s="12">
        <f>INDIRECT_EFFECT("food","food_share","food_elasticity",DECILE_ARRAY,"Rural","mean")</f>
        <v/>
      </c>
    </row>
    <row r="1068">
      <c r="D1068" s="6" t="inlineStr">
        <is>
          <t>median</t>
        </is>
      </c>
      <c r="E1068" s="6" t="inlineStr">
        <is>
          <t>Overall</t>
        </is>
      </c>
      <c r="F1068" s="6" t="inlineStr">
        <is>
          <t>Basket</t>
        </is>
      </c>
      <c r="G1068" s="6" t="inlineStr">
        <is>
          <t>food</t>
        </is>
      </c>
      <c r="H1068" s="6" t="inlineStr">
        <is>
          <t>%</t>
        </is>
      </c>
      <c r="P1068" s="12">
        <f>INDIRECT_EFFECT("food","food_share","food_elasticity",0,"Overall","median")</f>
        <v/>
      </c>
    </row>
    <row r="1069">
      <c r="D1069" s="6" t="inlineStr">
        <is>
          <t>median</t>
        </is>
      </c>
      <c r="E1069" s="6" t="inlineStr">
        <is>
          <t>Overall</t>
        </is>
      </c>
      <c r="F1069" s="6" t="inlineStr">
        <is>
          <t>Deciles</t>
        </is>
      </c>
      <c r="G1069" s="6" t="inlineStr">
        <is>
          <t>food</t>
        </is>
      </c>
      <c r="H1069" s="6" t="inlineStr">
        <is>
          <t>%</t>
        </is>
      </c>
      <c r="Q1069" s="12">
        <f>INDIRECT_EFFECT("food","food_share","food_elasticity",DECILE_ARRAY,"Overall","median")</f>
        <v/>
      </c>
    </row>
    <row r="1070">
      <c r="D1070" s="6" t="inlineStr">
        <is>
          <t>median</t>
        </is>
      </c>
      <c r="E1070" s="6" t="inlineStr">
        <is>
          <t>Urban</t>
        </is>
      </c>
      <c r="F1070" s="6" t="inlineStr">
        <is>
          <t>Basket</t>
        </is>
      </c>
      <c r="G1070" s="6" t="inlineStr">
        <is>
          <t>food</t>
        </is>
      </c>
      <c r="H1070" s="6" t="inlineStr">
        <is>
          <t>%</t>
        </is>
      </c>
      <c r="P1070" s="12">
        <f>INDIRECT_EFFECT("food","food_share","food_elasticity",0,"Urban","median")</f>
        <v/>
      </c>
    </row>
    <row r="1071">
      <c r="D1071" s="6" t="inlineStr">
        <is>
          <t>median</t>
        </is>
      </c>
      <c r="E1071" s="6" t="inlineStr">
        <is>
          <t>Urban</t>
        </is>
      </c>
      <c r="F1071" s="6" t="inlineStr">
        <is>
          <t>Deciles</t>
        </is>
      </c>
      <c r="G1071" s="6" t="inlineStr">
        <is>
          <t>food</t>
        </is>
      </c>
      <c r="H1071" s="6" t="inlineStr">
        <is>
          <t>%</t>
        </is>
      </c>
      <c r="Q1071" s="12">
        <f>INDIRECT_EFFECT("food","food_share","food_elasticity",DECILE_ARRAY,"Urban","median")</f>
        <v/>
      </c>
    </row>
    <row r="1072">
      <c r="D1072" s="6" t="inlineStr">
        <is>
          <t>median</t>
        </is>
      </c>
      <c r="E1072" s="6" t="inlineStr">
        <is>
          <t>Rural</t>
        </is>
      </c>
      <c r="F1072" s="6" t="inlineStr">
        <is>
          <t>Basket</t>
        </is>
      </c>
      <c r="G1072" s="6" t="inlineStr">
        <is>
          <t>food</t>
        </is>
      </c>
      <c r="H1072" s="6" t="inlineStr">
        <is>
          <t>%</t>
        </is>
      </c>
      <c r="P1072" s="12">
        <f>INDIRECT_EFFECT("food","food_share","food_elasticity",0,"Rural","median")</f>
        <v/>
      </c>
    </row>
    <row r="1073">
      <c r="D1073" s="6" t="inlineStr">
        <is>
          <t>median</t>
        </is>
      </c>
      <c r="E1073" s="6" t="inlineStr">
        <is>
          <t>Rural</t>
        </is>
      </c>
      <c r="F1073" s="6" t="inlineStr">
        <is>
          <t>Deciles</t>
        </is>
      </c>
      <c r="G1073" s="6" t="inlineStr">
        <is>
          <t>food</t>
        </is>
      </c>
      <c r="H1073" s="6" t="inlineStr">
        <is>
          <t>%</t>
        </is>
      </c>
      <c r="Q1073" s="12">
        <f>INDIRECT_EFFECT("food","food_share","food_elasticity",DECILE_ARRAY,"Rural","median")</f>
        <v/>
      </c>
    </row>
    <row r="1074">
      <c r="D1074" s="6" t="inlineStr">
        <is>
          <t>p25</t>
        </is>
      </c>
      <c r="E1074" s="6" t="inlineStr">
        <is>
          <t>Overall</t>
        </is>
      </c>
      <c r="F1074" s="6" t="inlineStr">
        <is>
          <t>Basket</t>
        </is>
      </c>
      <c r="G1074" s="6" t="inlineStr">
        <is>
          <t>food</t>
        </is>
      </c>
      <c r="H1074" s="6" t="inlineStr">
        <is>
          <t>%</t>
        </is>
      </c>
      <c r="P1074" s="12">
        <f>INDIRECT_EFFECT("food","food_share","food_elasticity",0,"Overall","p25")</f>
        <v/>
      </c>
    </row>
    <row r="1075">
      <c r="D1075" s="6" t="inlineStr">
        <is>
          <t>p25</t>
        </is>
      </c>
      <c r="E1075" s="6" t="inlineStr">
        <is>
          <t>Overall</t>
        </is>
      </c>
      <c r="F1075" s="6" t="inlineStr">
        <is>
          <t>Deciles</t>
        </is>
      </c>
      <c r="G1075" s="6" t="inlineStr">
        <is>
          <t>food</t>
        </is>
      </c>
      <c r="H1075" s="6" t="inlineStr">
        <is>
          <t>%</t>
        </is>
      </c>
      <c r="Q1075" s="12">
        <f>INDIRECT_EFFECT("food","food_share","food_elasticity",DECILE_ARRAY,"Overall","p25")</f>
        <v/>
      </c>
    </row>
    <row r="1076">
      <c r="D1076" s="6" t="inlineStr">
        <is>
          <t>p25</t>
        </is>
      </c>
      <c r="E1076" s="6" t="inlineStr">
        <is>
          <t>Urban</t>
        </is>
      </c>
      <c r="F1076" s="6" t="inlineStr">
        <is>
          <t>Basket</t>
        </is>
      </c>
      <c r="G1076" s="6" t="inlineStr">
        <is>
          <t>food</t>
        </is>
      </c>
      <c r="H1076" s="6" t="inlineStr">
        <is>
          <t>%</t>
        </is>
      </c>
      <c r="P1076" s="12">
        <f>INDIRECT_EFFECT("food","food_share","food_elasticity",0,"Urban","p25")</f>
        <v/>
      </c>
    </row>
    <row r="1077">
      <c r="D1077" s="6" t="inlineStr">
        <is>
          <t>p25</t>
        </is>
      </c>
      <c r="E1077" s="6" t="inlineStr">
        <is>
          <t>Urban</t>
        </is>
      </c>
      <c r="F1077" s="6" t="inlineStr">
        <is>
          <t>Deciles</t>
        </is>
      </c>
      <c r="G1077" s="6" t="inlineStr">
        <is>
          <t>food</t>
        </is>
      </c>
      <c r="H1077" s="6" t="inlineStr">
        <is>
          <t>%</t>
        </is>
      </c>
      <c r="Q1077" s="12">
        <f>INDIRECT_EFFECT("food","food_share","food_elasticity",DECILE_ARRAY,"Urban","p25")</f>
        <v/>
      </c>
    </row>
    <row r="1078">
      <c r="D1078" s="6" t="inlineStr">
        <is>
          <t>p25</t>
        </is>
      </c>
      <c r="E1078" s="6" t="inlineStr">
        <is>
          <t>Rural</t>
        </is>
      </c>
      <c r="F1078" s="6" t="inlineStr">
        <is>
          <t>Basket</t>
        </is>
      </c>
      <c r="G1078" s="6" t="inlineStr">
        <is>
          <t>food</t>
        </is>
      </c>
      <c r="H1078" s="6" t="inlineStr">
        <is>
          <t>%</t>
        </is>
      </c>
      <c r="P1078" s="12">
        <f>INDIRECT_EFFECT("food","food_share","food_elasticity",0,"Rural","p25")</f>
        <v/>
      </c>
    </row>
    <row r="1079">
      <c r="D1079" s="6" t="inlineStr">
        <is>
          <t>p25</t>
        </is>
      </c>
      <c r="E1079" s="6" t="inlineStr">
        <is>
          <t>Rural</t>
        </is>
      </c>
      <c r="F1079" s="6" t="inlineStr">
        <is>
          <t>Deciles</t>
        </is>
      </c>
      <c r="G1079" s="6" t="inlineStr">
        <is>
          <t>food</t>
        </is>
      </c>
      <c r="H1079" s="6" t="inlineStr">
        <is>
          <t>%</t>
        </is>
      </c>
      <c r="Q1079" s="12">
        <f>INDIRECT_EFFECT("food","food_share","food_elasticity",DECILE_ARRAY,"Rural","p25")</f>
        <v/>
      </c>
    </row>
    <row r="1080">
      <c r="D1080" s="6" t="inlineStr">
        <is>
          <t>p75</t>
        </is>
      </c>
      <c r="E1080" s="6" t="inlineStr">
        <is>
          <t>Overall</t>
        </is>
      </c>
      <c r="F1080" s="6" t="inlineStr">
        <is>
          <t>Basket</t>
        </is>
      </c>
      <c r="G1080" s="6" t="inlineStr">
        <is>
          <t>food</t>
        </is>
      </c>
      <c r="H1080" s="6" t="inlineStr">
        <is>
          <t>%</t>
        </is>
      </c>
      <c r="P1080" s="12">
        <f>INDIRECT_EFFECT("food","food_share","food_elasticity",0,"Overall","p75")</f>
        <v/>
      </c>
    </row>
    <row r="1081">
      <c r="D1081" s="6" t="inlineStr">
        <is>
          <t>p75</t>
        </is>
      </c>
      <c r="E1081" s="6" t="inlineStr">
        <is>
          <t>Overall</t>
        </is>
      </c>
      <c r="F1081" s="6" t="inlineStr">
        <is>
          <t>Deciles</t>
        </is>
      </c>
      <c r="G1081" s="6" t="inlineStr">
        <is>
          <t>food</t>
        </is>
      </c>
      <c r="H1081" s="6" t="inlineStr">
        <is>
          <t>%</t>
        </is>
      </c>
      <c r="Q1081" s="12">
        <f>INDIRECT_EFFECT("food","food_share","food_elasticity",DECILE_ARRAY,"Overall","p75")</f>
        <v/>
      </c>
    </row>
    <row r="1082">
      <c r="D1082" s="6" t="inlineStr">
        <is>
          <t>p75</t>
        </is>
      </c>
      <c r="E1082" s="6" t="inlineStr">
        <is>
          <t>Urban</t>
        </is>
      </c>
      <c r="F1082" s="6" t="inlineStr">
        <is>
          <t>Basket</t>
        </is>
      </c>
      <c r="G1082" s="6" t="inlineStr">
        <is>
          <t>food</t>
        </is>
      </c>
      <c r="H1082" s="6" t="inlineStr">
        <is>
          <t>%</t>
        </is>
      </c>
      <c r="P1082" s="12">
        <f>INDIRECT_EFFECT("food","food_share","food_elasticity",0,"Urban","p75")</f>
        <v/>
      </c>
    </row>
    <row r="1083">
      <c r="D1083" s="6" t="inlineStr">
        <is>
          <t>p75</t>
        </is>
      </c>
      <c r="E1083" s="6" t="inlineStr">
        <is>
          <t>Urban</t>
        </is>
      </c>
      <c r="F1083" s="6" t="inlineStr">
        <is>
          <t>Deciles</t>
        </is>
      </c>
      <c r="G1083" s="6" t="inlineStr">
        <is>
          <t>food</t>
        </is>
      </c>
      <c r="H1083" s="6" t="inlineStr">
        <is>
          <t>%</t>
        </is>
      </c>
      <c r="Q1083" s="12">
        <f>INDIRECT_EFFECT("food","food_share","food_elasticity",DECILE_ARRAY,"Urban","p75")</f>
        <v/>
      </c>
    </row>
    <row r="1084">
      <c r="D1084" s="6" t="inlineStr">
        <is>
          <t>p75</t>
        </is>
      </c>
      <c r="E1084" s="6" t="inlineStr">
        <is>
          <t>Rural</t>
        </is>
      </c>
      <c r="F1084" s="6" t="inlineStr">
        <is>
          <t>Basket</t>
        </is>
      </c>
      <c r="G1084" s="6" t="inlineStr">
        <is>
          <t>food</t>
        </is>
      </c>
      <c r="H1084" s="6" t="inlineStr">
        <is>
          <t>%</t>
        </is>
      </c>
      <c r="P1084" s="12">
        <f>INDIRECT_EFFECT("food","food_share","food_elasticity",0,"Rural","p75")</f>
        <v/>
      </c>
    </row>
    <row r="1085">
      <c r="D1085" s="6" t="inlineStr">
        <is>
          <t>p75</t>
        </is>
      </c>
      <c r="E1085" s="6" t="inlineStr">
        <is>
          <t>Rural</t>
        </is>
      </c>
      <c r="F1085" s="6" t="inlineStr">
        <is>
          <t>Deciles</t>
        </is>
      </c>
      <c r="G1085" s="6" t="inlineStr">
        <is>
          <t>food</t>
        </is>
      </c>
      <c r="H1085" s="6" t="inlineStr">
        <is>
          <t>%</t>
        </is>
      </c>
      <c r="Q1085" s="12">
        <f>INDIRECT_EFFECT("food","food_share","food_elasticity",DECILE_ARRAY,"Rural","p75")</f>
        <v/>
      </c>
    </row>
    <row r="1087">
      <c r="C1087" s="7" t="inlineStr">
        <is>
          <t>Health Services Indirect Effect (% Total Consumption)</t>
        </is>
      </c>
      <c r="G1087" s="6" t="inlineStr">
        <is>
          <t>hea</t>
        </is>
      </c>
      <c r="O1087" s="8" t="inlineStr">
        <is>
          <t>Decile --&gt;</t>
        </is>
      </c>
      <c r="Q1087" s="8" t="n">
        <v>1</v>
      </c>
      <c r="R1087" s="8" t="n">
        <v>2</v>
      </c>
      <c r="S1087" s="8" t="n">
        <v>3</v>
      </c>
      <c r="T1087" s="8" t="n">
        <v>4</v>
      </c>
      <c r="U1087" s="8" t="n">
        <v>5</v>
      </c>
      <c r="V1087" s="8" t="n">
        <v>6</v>
      </c>
      <c r="W1087" s="8" t="n">
        <v>7</v>
      </c>
      <c r="X1087" s="8" t="n">
        <v>8</v>
      </c>
      <c r="Y1087" s="8" t="n">
        <v>9</v>
      </c>
      <c r="Z1087" s="8" t="n">
        <v>10</v>
      </c>
    </row>
    <row r="1088">
      <c r="D1088" s="6" t="inlineStr">
        <is>
          <t>mean</t>
        </is>
      </c>
      <c r="E1088" s="6" t="inlineStr">
        <is>
          <t>Overall</t>
        </is>
      </c>
      <c r="F1088" s="6" t="inlineStr">
        <is>
          <t>Basket</t>
        </is>
      </c>
      <c r="G1088" s="6" t="inlineStr">
        <is>
          <t>hea</t>
        </is>
      </c>
      <c r="H1088" s="6" t="inlineStr">
        <is>
          <t>%</t>
        </is>
      </c>
      <c r="P1088" s="12">
        <f>INDIRECT_EFFECT("hea","health_srv_share","health_srv_elasticity",0,"Overall","mean")</f>
        <v/>
      </c>
    </row>
    <row r="1089">
      <c r="D1089" s="6" t="inlineStr">
        <is>
          <t>mean</t>
        </is>
      </c>
      <c r="E1089" s="6" t="inlineStr">
        <is>
          <t>Overall</t>
        </is>
      </c>
      <c r="F1089" s="6" t="inlineStr">
        <is>
          <t>Deciles</t>
        </is>
      </c>
      <c r="G1089" s="6" t="inlineStr">
        <is>
          <t>hea</t>
        </is>
      </c>
      <c r="H1089" s="6" t="inlineStr">
        <is>
          <t>%</t>
        </is>
      </c>
      <c r="Q1089" s="12">
        <f>INDIRECT_EFFECT("hea","health_srv_share","health_srv_elasticity",DECILE_ARRAY,"Overall","mean")</f>
        <v/>
      </c>
    </row>
    <row r="1090">
      <c r="D1090" s="6" t="inlineStr">
        <is>
          <t>mean</t>
        </is>
      </c>
      <c r="E1090" s="6" t="inlineStr">
        <is>
          <t>Urban</t>
        </is>
      </c>
      <c r="F1090" s="6" t="inlineStr">
        <is>
          <t>Basket</t>
        </is>
      </c>
      <c r="G1090" s="6" t="inlineStr">
        <is>
          <t>hea</t>
        </is>
      </c>
      <c r="H1090" s="6" t="inlineStr">
        <is>
          <t>%</t>
        </is>
      </c>
      <c r="P1090" s="12">
        <f>INDIRECT_EFFECT("hea","health_srv_share","health_srv_elasticity",0,"Urban","mean")</f>
        <v/>
      </c>
    </row>
    <row r="1091">
      <c r="D1091" s="6" t="inlineStr">
        <is>
          <t>mean</t>
        </is>
      </c>
      <c r="E1091" s="6" t="inlineStr">
        <is>
          <t>Urban</t>
        </is>
      </c>
      <c r="F1091" s="6" t="inlineStr">
        <is>
          <t>Deciles</t>
        </is>
      </c>
      <c r="G1091" s="6" t="inlineStr">
        <is>
          <t>hea</t>
        </is>
      </c>
      <c r="H1091" s="6" t="inlineStr">
        <is>
          <t>%</t>
        </is>
      </c>
      <c r="Q1091" s="12">
        <f>INDIRECT_EFFECT("hea","health_srv_share","health_srv_elasticity",DECILE_ARRAY,"Urban","mean")</f>
        <v/>
      </c>
    </row>
    <row r="1092">
      <c r="D1092" s="6" t="inlineStr">
        <is>
          <t>mean</t>
        </is>
      </c>
      <c r="E1092" s="6" t="inlineStr">
        <is>
          <t>Rural</t>
        </is>
      </c>
      <c r="F1092" s="6" t="inlineStr">
        <is>
          <t>Basket</t>
        </is>
      </c>
      <c r="G1092" s="6" t="inlineStr">
        <is>
          <t>hea</t>
        </is>
      </c>
      <c r="H1092" s="6" t="inlineStr">
        <is>
          <t>%</t>
        </is>
      </c>
      <c r="P1092" s="12">
        <f>INDIRECT_EFFECT("hea","health_srv_share","health_srv_elasticity",0,"Rural","mean")</f>
        <v/>
      </c>
    </row>
    <row r="1093">
      <c r="D1093" s="6" t="inlineStr">
        <is>
          <t>mean</t>
        </is>
      </c>
      <c r="E1093" s="6" t="inlineStr">
        <is>
          <t>Rural</t>
        </is>
      </c>
      <c r="F1093" s="6" t="inlineStr">
        <is>
          <t>Deciles</t>
        </is>
      </c>
      <c r="G1093" s="6" t="inlineStr">
        <is>
          <t>hea</t>
        </is>
      </c>
      <c r="H1093" s="6" t="inlineStr">
        <is>
          <t>%</t>
        </is>
      </c>
      <c r="Q1093" s="12">
        <f>INDIRECT_EFFECT("hea","health_srv_share","health_srv_elasticity",DECILE_ARRAY,"Rural","mean")</f>
        <v/>
      </c>
    </row>
    <row r="1094">
      <c r="D1094" s="6" t="inlineStr">
        <is>
          <t>median</t>
        </is>
      </c>
      <c r="E1094" s="6" t="inlineStr">
        <is>
          <t>Overall</t>
        </is>
      </c>
      <c r="F1094" s="6" t="inlineStr">
        <is>
          <t>Basket</t>
        </is>
      </c>
      <c r="G1094" s="6" t="inlineStr">
        <is>
          <t>hea</t>
        </is>
      </c>
      <c r="H1094" s="6" t="inlineStr">
        <is>
          <t>%</t>
        </is>
      </c>
      <c r="P1094" s="12">
        <f>INDIRECT_EFFECT("hea","health_srv_share","health_srv_elasticity",0,"Overall","median")</f>
        <v/>
      </c>
    </row>
    <row r="1095">
      <c r="D1095" s="6" t="inlineStr">
        <is>
          <t>median</t>
        </is>
      </c>
      <c r="E1095" s="6" t="inlineStr">
        <is>
          <t>Overall</t>
        </is>
      </c>
      <c r="F1095" s="6" t="inlineStr">
        <is>
          <t>Deciles</t>
        </is>
      </c>
      <c r="G1095" s="6" t="inlineStr">
        <is>
          <t>hea</t>
        </is>
      </c>
      <c r="H1095" s="6" t="inlineStr">
        <is>
          <t>%</t>
        </is>
      </c>
      <c r="Q1095" s="12">
        <f>INDIRECT_EFFECT("hea","health_srv_share","health_srv_elasticity",DECILE_ARRAY,"Overall","median")</f>
        <v/>
      </c>
    </row>
    <row r="1096">
      <c r="D1096" s="6" t="inlineStr">
        <is>
          <t>median</t>
        </is>
      </c>
      <c r="E1096" s="6" t="inlineStr">
        <is>
          <t>Urban</t>
        </is>
      </c>
      <c r="F1096" s="6" t="inlineStr">
        <is>
          <t>Basket</t>
        </is>
      </c>
      <c r="G1096" s="6" t="inlineStr">
        <is>
          <t>hea</t>
        </is>
      </c>
      <c r="H1096" s="6" t="inlineStr">
        <is>
          <t>%</t>
        </is>
      </c>
      <c r="P1096" s="12">
        <f>INDIRECT_EFFECT("hea","health_srv_share","health_srv_elasticity",0,"Urban","median")</f>
        <v/>
      </c>
    </row>
    <row r="1097">
      <c r="D1097" s="6" t="inlineStr">
        <is>
          <t>median</t>
        </is>
      </c>
      <c r="E1097" s="6" t="inlineStr">
        <is>
          <t>Urban</t>
        </is>
      </c>
      <c r="F1097" s="6" t="inlineStr">
        <is>
          <t>Deciles</t>
        </is>
      </c>
      <c r="G1097" s="6" t="inlineStr">
        <is>
          <t>hea</t>
        </is>
      </c>
      <c r="H1097" s="6" t="inlineStr">
        <is>
          <t>%</t>
        </is>
      </c>
      <c r="Q1097" s="12">
        <f>INDIRECT_EFFECT("hea","health_srv_share","health_srv_elasticity",DECILE_ARRAY,"Urban","median")</f>
        <v/>
      </c>
    </row>
    <row r="1098">
      <c r="D1098" s="6" t="inlineStr">
        <is>
          <t>median</t>
        </is>
      </c>
      <c r="E1098" s="6" t="inlineStr">
        <is>
          <t>Rural</t>
        </is>
      </c>
      <c r="F1098" s="6" t="inlineStr">
        <is>
          <t>Basket</t>
        </is>
      </c>
      <c r="G1098" s="6" t="inlineStr">
        <is>
          <t>hea</t>
        </is>
      </c>
      <c r="H1098" s="6" t="inlineStr">
        <is>
          <t>%</t>
        </is>
      </c>
      <c r="P1098" s="12">
        <f>INDIRECT_EFFECT("hea","health_srv_share","health_srv_elasticity",0,"Rural","median")</f>
        <v/>
      </c>
    </row>
    <row r="1099">
      <c r="D1099" s="6" t="inlineStr">
        <is>
          <t>median</t>
        </is>
      </c>
      <c r="E1099" s="6" t="inlineStr">
        <is>
          <t>Rural</t>
        </is>
      </c>
      <c r="F1099" s="6" t="inlineStr">
        <is>
          <t>Deciles</t>
        </is>
      </c>
      <c r="G1099" s="6" t="inlineStr">
        <is>
          <t>hea</t>
        </is>
      </c>
      <c r="H1099" s="6" t="inlineStr">
        <is>
          <t>%</t>
        </is>
      </c>
      <c r="Q1099" s="12">
        <f>INDIRECT_EFFECT("hea","health_srv_share","health_srv_elasticity",DECILE_ARRAY,"Rural","median")</f>
        <v/>
      </c>
    </row>
    <row r="1100">
      <c r="D1100" s="6" t="inlineStr">
        <is>
          <t>p25</t>
        </is>
      </c>
      <c r="E1100" s="6" t="inlineStr">
        <is>
          <t>Overall</t>
        </is>
      </c>
      <c r="F1100" s="6" t="inlineStr">
        <is>
          <t>Basket</t>
        </is>
      </c>
      <c r="G1100" s="6" t="inlineStr">
        <is>
          <t>hea</t>
        </is>
      </c>
      <c r="H1100" s="6" t="inlineStr">
        <is>
          <t>%</t>
        </is>
      </c>
      <c r="P1100" s="12">
        <f>INDIRECT_EFFECT("hea","health_srv_share","health_srv_elasticity",0,"Overall","p25")</f>
        <v/>
      </c>
    </row>
    <row r="1101">
      <c r="D1101" s="6" t="inlineStr">
        <is>
          <t>p25</t>
        </is>
      </c>
      <c r="E1101" s="6" t="inlineStr">
        <is>
          <t>Overall</t>
        </is>
      </c>
      <c r="F1101" s="6" t="inlineStr">
        <is>
          <t>Deciles</t>
        </is>
      </c>
      <c r="G1101" s="6" t="inlineStr">
        <is>
          <t>hea</t>
        </is>
      </c>
      <c r="H1101" s="6" t="inlineStr">
        <is>
          <t>%</t>
        </is>
      </c>
      <c r="Q1101" s="12">
        <f>INDIRECT_EFFECT("hea","health_srv_share","health_srv_elasticity",DECILE_ARRAY,"Overall","p25")</f>
        <v/>
      </c>
    </row>
    <row r="1102">
      <c r="D1102" s="6" t="inlineStr">
        <is>
          <t>p25</t>
        </is>
      </c>
      <c r="E1102" s="6" t="inlineStr">
        <is>
          <t>Urban</t>
        </is>
      </c>
      <c r="F1102" s="6" t="inlineStr">
        <is>
          <t>Basket</t>
        </is>
      </c>
      <c r="G1102" s="6" t="inlineStr">
        <is>
          <t>hea</t>
        </is>
      </c>
      <c r="H1102" s="6" t="inlineStr">
        <is>
          <t>%</t>
        </is>
      </c>
      <c r="P1102" s="12">
        <f>INDIRECT_EFFECT("hea","health_srv_share","health_srv_elasticity",0,"Urban","p25")</f>
        <v/>
      </c>
    </row>
    <row r="1103">
      <c r="D1103" s="6" t="inlineStr">
        <is>
          <t>p25</t>
        </is>
      </c>
      <c r="E1103" s="6" t="inlineStr">
        <is>
          <t>Urban</t>
        </is>
      </c>
      <c r="F1103" s="6" t="inlineStr">
        <is>
          <t>Deciles</t>
        </is>
      </c>
      <c r="G1103" s="6" t="inlineStr">
        <is>
          <t>hea</t>
        </is>
      </c>
      <c r="H1103" s="6" t="inlineStr">
        <is>
          <t>%</t>
        </is>
      </c>
      <c r="Q1103" s="12">
        <f>INDIRECT_EFFECT("hea","health_srv_share","health_srv_elasticity",DECILE_ARRAY,"Urban","p25")</f>
        <v/>
      </c>
    </row>
    <row r="1104">
      <c r="D1104" s="6" t="inlineStr">
        <is>
          <t>p25</t>
        </is>
      </c>
      <c r="E1104" s="6" t="inlineStr">
        <is>
          <t>Rural</t>
        </is>
      </c>
      <c r="F1104" s="6" t="inlineStr">
        <is>
          <t>Basket</t>
        </is>
      </c>
      <c r="G1104" s="6" t="inlineStr">
        <is>
          <t>hea</t>
        </is>
      </c>
      <c r="H1104" s="6" t="inlineStr">
        <is>
          <t>%</t>
        </is>
      </c>
      <c r="P1104" s="12">
        <f>INDIRECT_EFFECT("hea","health_srv_share","health_srv_elasticity",0,"Rural","p25")</f>
        <v/>
      </c>
    </row>
    <row r="1105">
      <c r="D1105" s="6" t="inlineStr">
        <is>
          <t>p25</t>
        </is>
      </c>
      <c r="E1105" s="6" t="inlineStr">
        <is>
          <t>Rural</t>
        </is>
      </c>
      <c r="F1105" s="6" t="inlineStr">
        <is>
          <t>Deciles</t>
        </is>
      </c>
      <c r="G1105" s="6" t="inlineStr">
        <is>
          <t>hea</t>
        </is>
      </c>
      <c r="H1105" s="6" t="inlineStr">
        <is>
          <t>%</t>
        </is>
      </c>
      <c r="Q1105" s="12">
        <f>INDIRECT_EFFECT("hea","health_srv_share","health_srv_elasticity",DECILE_ARRAY,"Rural","p25")</f>
        <v/>
      </c>
    </row>
    <row r="1106">
      <c r="D1106" s="6" t="inlineStr">
        <is>
          <t>p75</t>
        </is>
      </c>
      <c r="E1106" s="6" t="inlineStr">
        <is>
          <t>Overall</t>
        </is>
      </c>
      <c r="F1106" s="6" t="inlineStr">
        <is>
          <t>Basket</t>
        </is>
      </c>
      <c r="G1106" s="6" t="inlineStr">
        <is>
          <t>hea</t>
        </is>
      </c>
      <c r="H1106" s="6" t="inlineStr">
        <is>
          <t>%</t>
        </is>
      </c>
      <c r="P1106" s="12">
        <f>INDIRECT_EFFECT("hea","health_srv_share","health_srv_elasticity",0,"Overall","p75")</f>
        <v/>
      </c>
    </row>
    <row r="1107">
      <c r="D1107" s="6" t="inlineStr">
        <is>
          <t>p75</t>
        </is>
      </c>
      <c r="E1107" s="6" t="inlineStr">
        <is>
          <t>Overall</t>
        </is>
      </c>
      <c r="F1107" s="6" t="inlineStr">
        <is>
          <t>Deciles</t>
        </is>
      </c>
      <c r="G1107" s="6" t="inlineStr">
        <is>
          <t>hea</t>
        </is>
      </c>
      <c r="H1107" s="6" t="inlineStr">
        <is>
          <t>%</t>
        </is>
      </c>
      <c r="Q1107" s="12">
        <f>INDIRECT_EFFECT("hea","health_srv_share","health_srv_elasticity",DECILE_ARRAY,"Overall","p75")</f>
        <v/>
      </c>
    </row>
    <row r="1108">
      <c r="D1108" s="6" t="inlineStr">
        <is>
          <t>p75</t>
        </is>
      </c>
      <c r="E1108" s="6" t="inlineStr">
        <is>
          <t>Urban</t>
        </is>
      </c>
      <c r="F1108" s="6" t="inlineStr">
        <is>
          <t>Basket</t>
        </is>
      </c>
      <c r="G1108" s="6" t="inlineStr">
        <is>
          <t>hea</t>
        </is>
      </c>
      <c r="H1108" s="6" t="inlineStr">
        <is>
          <t>%</t>
        </is>
      </c>
      <c r="P1108" s="12">
        <f>INDIRECT_EFFECT("hea","health_srv_share","health_srv_elasticity",0,"Urban","p75")</f>
        <v/>
      </c>
    </row>
    <row r="1109">
      <c r="D1109" s="6" t="inlineStr">
        <is>
          <t>p75</t>
        </is>
      </c>
      <c r="E1109" s="6" t="inlineStr">
        <is>
          <t>Urban</t>
        </is>
      </c>
      <c r="F1109" s="6" t="inlineStr">
        <is>
          <t>Deciles</t>
        </is>
      </c>
      <c r="G1109" s="6" t="inlineStr">
        <is>
          <t>hea</t>
        </is>
      </c>
      <c r="H1109" s="6" t="inlineStr">
        <is>
          <t>%</t>
        </is>
      </c>
      <c r="Q1109" s="12">
        <f>INDIRECT_EFFECT("hea","health_srv_share","health_srv_elasticity",DECILE_ARRAY,"Urban","p75")</f>
        <v/>
      </c>
    </row>
    <row r="1110">
      <c r="D1110" s="6" t="inlineStr">
        <is>
          <t>p75</t>
        </is>
      </c>
      <c r="E1110" s="6" t="inlineStr">
        <is>
          <t>Rural</t>
        </is>
      </c>
      <c r="F1110" s="6" t="inlineStr">
        <is>
          <t>Basket</t>
        </is>
      </c>
      <c r="G1110" s="6" t="inlineStr">
        <is>
          <t>hea</t>
        </is>
      </c>
      <c r="H1110" s="6" t="inlineStr">
        <is>
          <t>%</t>
        </is>
      </c>
      <c r="P1110" s="12">
        <f>INDIRECT_EFFECT("hea","health_srv_share","health_srv_elasticity",0,"Rural","p75")</f>
        <v/>
      </c>
    </row>
    <row r="1111">
      <c r="D1111" s="6" t="inlineStr">
        <is>
          <t>p75</t>
        </is>
      </c>
      <c r="E1111" s="6" t="inlineStr">
        <is>
          <t>Rural</t>
        </is>
      </c>
      <c r="F1111" s="6" t="inlineStr">
        <is>
          <t>Deciles</t>
        </is>
      </c>
      <c r="G1111" s="6" t="inlineStr">
        <is>
          <t>hea</t>
        </is>
      </c>
      <c r="H1111" s="6" t="inlineStr">
        <is>
          <t>%</t>
        </is>
      </c>
      <c r="Q1111" s="12">
        <f>INDIRECT_EFFECT("hea","health_srv_share","health_srv_elasticity",DECILE_ARRAY,"Rural","p75")</f>
        <v/>
      </c>
    </row>
    <row r="1113">
      <c r="C1113" s="7" t="inlineStr">
        <is>
          <t>Housing Indirect Effect (% Total Consumption)</t>
        </is>
      </c>
      <c r="G1113" s="6" t="inlineStr">
        <is>
          <t>hou</t>
        </is>
      </c>
      <c r="O1113" s="8" t="inlineStr">
        <is>
          <t>Decile --&gt;</t>
        </is>
      </c>
      <c r="Q1113" s="8" t="n">
        <v>1</v>
      </c>
      <c r="R1113" s="8" t="n">
        <v>2</v>
      </c>
      <c r="S1113" s="8" t="n">
        <v>3</v>
      </c>
      <c r="T1113" s="8" t="n">
        <v>4</v>
      </c>
      <c r="U1113" s="8" t="n">
        <v>5</v>
      </c>
      <c r="V1113" s="8" t="n">
        <v>6</v>
      </c>
      <c r="W1113" s="8" t="n">
        <v>7</v>
      </c>
      <c r="X1113" s="8" t="n">
        <v>8</v>
      </c>
      <c r="Y1113" s="8" t="n">
        <v>9</v>
      </c>
      <c r="Z1113" s="8" t="n">
        <v>10</v>
      </c>
    </row>
    <row r="1114">
      <c r="D1114" s="6" t="inlineStr">
        <is>
          <t>mean</t>
        </is>
      </c>
      <c r="E1114" s="6" t="inlineStr">
        <is>
          <t>Overall</t>
        </is>
      </c>
      <c r="F1114" s="6" t="inlineStr">
        <is>
          <t>Basket</t>
        </is>
      </c>
      <c r="G1114" s="6" t="inlineStr">
        <is>
          <t>hou</t>
        </is>
      </c>
      <c r="H1114" s="6" t="inlineStr">
        <is>
          <t>%</t>
        </is>
      </c>
      <c r="P1114" s="12">
        <f>INDIRECT_EFFECT("hou","housing_share","housing_elasticity",0,"Overall","mean")</f>
        <v/>
      </c>
    </row>
    <row r="1115">
      <c r="D1115" s="6" t="inlineStr">
        <is>
          <t>mean</t>
        </is>
      </c>
      <c r="E1115" s="6" t="inlineStr">
        <is>
          <t>Overall</t>
        </is>
      </c>
      <c r="F1115" s="6" t="inlineStr">
        <is>
          <t>Deciles</t>
        </is>
      </c>
      <c r="G1115" s="6" t="inlineStr">
        <is>
          <t>hou</t>
        </is>
      </c>
      <c r="H1115" s="6" t="inlineStr">
        <is>
          <t>%</t>
        </is>
      </c>
      <c r="Q1115" s="12">
        <f>INDIRECT_EFFECT("hou","housing_share","housing_elasticity",DECILE_ARRAY,"Overall","mean")</f>
        <v/>
      </c>
    </row>
    <row r="1116">
      <c r="D1116" s="6" t="inlineStr">
        <is>
          <t>mean</t>
        </is>
      </c>
      <c r="E1116" s="6" t="inlineStr">
        <is>
          <t>Urban</t>
        </is>
      </c>
      <c r="F1116" s="6" t="inlineStr">
        <is>
          <t>Basket</t>
        </is>
      </c>
      <c r="G1116" s="6" t="inlineStr">
        <is>
          <t>hou</t>
        </is>
      </c>
      <c r="H1116" s="6" t="inlineStr">
        <is>
          <t>%</t>
        </is>
      </c>
      <c r="P1116" s="12">
        <f>INDIRECT_EFFECT("hou","housing_share","housing_elasticity",0,"Urban","mean")</f>
        <v/>
      </c>
    </row>
    <row r="1117">
      <c r="D1117" s="6" t="inlineStr">
        <is>
          <t>mean</t>
        </is>
      </c>
      <c r="E1117" s="6" t="inlineStr">
        <is>
          <t>Urban</t>
        </is>
      </c>
      <c r="F1117" s="6" t="inlineStr">
        <is>
          <t>Deciles</t>
        </is>
      </c>
      <c r="G1117" s="6" t="inlineStr">
        <is>
          <t>hou</t>
        </is>
      </c>
      <c r="H1117" s="6" t="inlineStr">
        <is>
          <t>%</t>
        </is>
      </c>
      <c r="Q1117" s="12">
        <f>INDIRECT_EFFECT("hou","housing_share","housing_elasticity",DECILE_ARRAY,"Urban","mean")</f>
        <v/>
      </c>
    </row>
    <row r="1118">
      <c r="D1118" s="6" t="inlineStr">
        <is>
          <t>mean</t>
        </is>
      </c>
      <c r="E1118" s="6" t="inlineStr">
        <is>
          <t>Rural</t>
        </is>
      </c>
      <c r="F1118" s="6" t="inlineStr">
        <is>
          <t>Basket</t>
        </is>
      </c>
      <c r="G1118" s="6" t="inlineStr">
        <is>
          <t>hou</t>
        </is>
      </c>
      <c r="H1118" s="6" t="inlineStr">
        <is>
          <t>%</t>
        </is>
      </c>
      <c r="P1118" s="12">
        <f>INDIRECT_EFFECT("hou","housing_share","housing_elasticity",0,"Rural","mean")</f>
        <v/>
      </c>
    </row>
    <row r="1119">
      <c r="D1119" s="6" t="inlineStr">
        <is>
          <t>mean</t>
        </is>
      </c>
      <c r="E1119" s="6" t="inlineStr">
        <is>
          <t>Rural</t>
        </is>
      </c>
      <c r="F1119" s="6" t="inlineStr">
        <is>
          <t>Deciles</t>
        </is>
      </c>
      <c r="G1119" s="6" t="inlineStr">
        <is>
          <t>hou</t>
        </is>
      </c>
      <c r="H1119" s="6" t="inlineStr">
        <is>
          <t>%</t>
        </is>
      </c>
      <c r="Q1119" s="12">
        <f>INDIRECT_EFFECT("hou","housing_share","housing_elasticity",DECILE_ARRAY,"Rural","mean")</f>
        <v/>
      </c>
    </row>
    <row r="1120">
      <c r="D1120" s="6" t="inlineStr">
        <is>
          <t>median</t>
        </is>
      </c>
      <c r="E1120" s="6" t="inlineStr">
        <is>
          <t>Overall</t>
        </is>
      </c>
      <c r="F1120" s="6" t="inlineStr">
        <is>
          <t>Basket</t>
        </is>
      </c>
      <c r="G1120" s="6" t="inlineStr">
        <is>
          <t>hou</t>
        </is>
      </c>
      <c r="H1120" s="6" t="inlineStr">
        <is>
          <t>%</t>
        </is>
      </c>
      <c r="P1120" s="12">
        <f>INDIRECT_EFFECT("hou","housing_share","housing_elasticity",0,"Overall","median")</f>
        <v/>
      </c>
    </row>
    <row r="1121">
      <c r="D1121" s="6" t="inlineStr">
        <is>
          <t>median</t>
        </is>
      </c>
      <c r="E1121" s="6" t="inlineStr">
        <is>
          <t>Overall</t>
        </is>
      </c>
      <c r="F1121" s="6" t="inlineStr">
        <is>
          <t>Deciles</t>
        </is>
      </c>
      <c r="G1121" s="6" t="inlineStr">
        <is>
          <t>hou</t>
        </is>
      </c>
      <c r="H1121" s="6" t="inlineStr">
        <is>
          <t>%</t>
        </is>
      </c>
      <c r="Q1121" s="12">
        <f>INDIRECT_EFFECT("hou","housing_share","housing_elasticity",DECILE_ARRAY,"Overall","median")</f>
        <v/>
      </c>
    </row>
    <row r="1122">
      <c r="D1122" s="6" t="inlineStr">
        <is>
          <t>median</t>
        </is>
      </c>
      <c r="E1122" s="6" t="inlineStr">
        <is>
          <t>Urban</t>
        </is>
      </c>
      <c r="F1122" s="6" t="inlineStr">
        <is>
          <t>Basket</t>
        </is>
      </c>
      <c r="G1122" s="6" t="inlineStr">
        <is>
          <t>hou</t>
        </is>
      </c>
      <c r="H1122" s="6" t="inlineStr">
        <is>
          <t>%</t>
        </is>
      </c>
      <c r="P1122" s="12">
        <f>INDIRECT_EFFECT("hou","housing_share","housing_elasticity",0,"Urban","median")</f>
        <v/>
      </c>
    </row>
    <row r="1123">
      <c r="D1123" s="6" t="inlineStr">
        <is>
          <t>median</t>
        </is>
      </c>
      <c r="E1123" s="6" t="inlineStr">
        <is>
          <t>Urban</t>
        </is>
      </c>
      <c r="F1123" s="6" t="inlineStr">
        <is>
          <t>Deciles</t>
        </is>
      </c>
      <c r="G1123" s="6" t="inlineStr">
        <is>
          <t>hou</t>
        </is>
      </c>
      <c r="H1123" s="6" t="inlineStr">
        <is>
          <t>%</t>
        </is>
      </c>
      <c r="Q1123" s="12">
        <f>INDIRECT_EFFECT("hou","housing_share","housing_elasticity",DECILE_ARRAY,"Urban","median")</f>
        <v/>
      </c>
    </row>
    <row r="1124">
      <c r="D1124" s="6" t="inlineStr">
        <is>
          <t>median</t>
        </is>
      </c>
      <c r="E1124" s="6" t="inlineStr">
        <is>
          <t>Rural</t>
        </is>
      </c>
      <c r="F1124" s="6" t="inlineStr">
        <is>
          <t>Basket</t>
        </is>
      </c>
      <c r="G1124" s="6" t="inlineStr">
        <is>
          <t>hou</t>
        </is>
      </c>
      <c r="H1124" s="6" t="inlineStr">
        <is>
          <t>%</t>
        </is>
      </c>
      <c r="P1124" s="12">
        <f>INDIRECT_EFFECT("hou","housing_share","housing_elasticity",0,"Rural","median")</f>
        <v/>
      </c>
    </row>
    <row r="1125">
      <c r="D1125" s="6" t="inlineStr">
        <is>
          <t>median</t>
        </is>
      </c>
      <c r="E1125" s="6" t="inlineStr">
        <is>
          <t>Rural</t>
        </is>
      </c>
      <c r="F1125" s="6" t="inlineStr">
        <is>
          <t>Deciles</t>
        </is>
      </c>
      <c r="G1125" s="6" t="inlineStr">
        <is>
          <t>hou</t>
        </is>
      </c>
      <c r="H1125" s="6" t="inlineStr">
        <is>
          <t>%</t>
        </is>
      </c>
      <c r="Q1125" s="12">
        <f>INDIRECT_EFFECT("hou","housing_share","housing_elasticity",DECILE_ARRAY,"Rural","median")</f>
        <v/>
      </c>
    </row>
    <row r="1126">
      <c r="D1126" s="6" t="inlineStr">
        <is>
          <t>p25</t>
        </is>
      </c>
      <c r="E1126" s="6" t="inlineStr">
        <is>
          <t>Overall</t>
        </is>
      </c>
      <c r="F1126" s="6" t="inlineStr">
        <is>
          <t>Basket</t>
        </is>
      </c>
      <c r="G1126" s="6" t="inlineStr">
        <is>
          <t>hou</t>
        </is>
      </c>
      <c r="H1126" s="6" t="inlineStr">
        <is>
          <t>%</t>
        </is>
      </c>
      <c r="P1126" s="12">
        <f>INDIRECT_EFFECT("hou","housing_share","housing_elasticity",0,"Overall","p25")</f>
        <v/>
      </c>
    </row>
    <row r="1127">
      <c r="D1127" s="6" t="inlineStr">
        <is>
          <t>p25</t>
        </is>
      </c>
      <c r="E1127" s="6" t="inlineStr">
        <is>
          <t>Overall</t>
        </is>
      </c>
      <c r="F1127" s="6" t="inlineStr">
        <is>
          <t>Deciles</t>
        </is>
      </c>
      <c r="G1127" s="6" t="inlineStr">
        <is>
          <t>hou</t>
        </is>
      </c>
      <c r="H1127" s="6" t="inlineStr">
        <is>
          <t>%</t>
        </is>
      </c>
      <c r="Q1127" s="12">
        <f>INDIRECT_EFFECT("hou","housing_share","housing_elasticity",DECILE_ARRAY,"Overall","p25")</f>
        <v/>
      </c>
    </row>
    <row r="1128">
      <c r="D1128" s="6" t="inlineStr">
        <is>
          <t>p25</t>
        </is>
      </c>
      <c r="E1128" s="6" t="inlineStr">
        <is>
          <t>Urban</t>
        </is>
      </c>
      <c r="F1128" s="6" t="inlineStr">
        <is>
          <t>Basket</t>
        </is>
      </c>
      <c r="G1128" s="6" t="inlineStr">
        <is>
          <t>hou</t>
        </is>
      </c>
      <c r="H1128" s="6" t="inlineStr">
        <is>
          <t>%</t>
        </is>
      </c>
      <c r="P1128" s="12">
        <f>INDIRECT_EFFECT("hou","housing_share","housing_elasticity",0,"Urban","p25")</f>
        <v/>
      </c>
    </row>
    <row r="1129">
      <c r="D1129" s="6" t="inlineStr">
        <is>
          <t>p25</t>
        </is>
      </c>
      <c r="E1129" s="6" t="inlineStr">
        <is>
          <t>Urban</t>
        </is>
      </c>
      <c r="F1129" s="6" t="inlineStr">
        <is>
          <t>Deciles</t>
        </is>
      </c>
      <c r="G1129" s="6" t="inlineStr">
        <is>
          <t>hou</t>
        </is>
      </c>
      <c r="H1129" s="6" t="inlineStr">
        <is>
          <t>%</t>
        </is>
      </c>
      <c r="Q1129" s="12">
        <f>INDIRECT_EFFECT("hou","housing_share","housing_elasticity",DECILE_ARRAY,"Urban","p25")</f>
        <v/>
      </c>
    </row>
    <row r="1130">
      <c r="D1130" s="6" t="inlineStr">
        <is>
          <t>p25</t>
        </is>
      </c>
      <c r="E1130" s="6" t="inlineStr">
        <is>
          <t>Rural</t>
        </is>
      </c>
      <c r="F1130" s="6" t="inlineStr">
        <is>
          <t>Basket</t>
        </is>
      </c>
      <c r="G1130" s="6" t="inlineStr">
        <is>
          <t>hou</t>
        </is>
      </c>
      <c r="H1130" s="6" t="inlineStr">
        <is>
          <t>%</t>
        </is>
      </c>
      <c r="P1130" s="12">
        <f>INDIRECT_EFFECT("hou","housing_share","housing_elasticity",0,"Rural","p25")</f>
        <v/>
      </c>
    </row>
    <row r="1131">
      <c r="D1131" s="6" t="inlineStr">
        <is>
          <t>p25</t>
        </is>
      </c>
      <c r="E1131" s="6" t="inlineStr">
        <is>
          <t>Rural</t>
        </is>
      </c>
      <c r="F1131" s="6" t="inlineStr">
        <is>
          <t>Deciles</t>
        </is>
      </c>
      <c r="G1131" s="6" t="inlineStr">
        <is>
          <t>hou</t>
        </is>
      </c>
      <c r="H1131" s="6" t="inlineStr">
        <is>
          <t>%</t>
        </is>
      </c>
      <c r="Q1131" s="12">
        <f>INDIRECT_EFFECT("hou","housing_share","housing_elasticity",DECILE_ARRAY,"Rural","p25")</f>
        <v/>
      </c>
    </row>
    <row r="1132">
      <c r="D1132" s="6" t="inlineStr">
        <is>
          <t>p75</t>
        </is>
      </c>
      <c r="E1132" s="6" t="inlineStr">
        <is>
          <t>Overall</t>
        </is>
      </c>
      <c r="F1132" s="6" t="inlineStr">
        <is>
          <t>Basket</t>
        </is>
      </c>
      <c r="G1132" s="6" t="inlineStr">
        <is>
          <t>hou</t>
        </is>
      </c>
      <c r="H1132" s="6" t="inlineStr">
        <is>
          <t>%</t>
        </is>
      </c>
      <c r="P1132" s="12">
        <f>INDIRECT_EFFECT("hou","housing_share","housing_elasticity",0,"Overall","p75")</f>
        <v/>
      </c>
    </row>
    <row r="1133">
      <c r="D1133" s="6" t="inlineStr">
        <is>
          <t>p75</t>
        </is>
      </c>
      <c r="E1133" s="6" t="inlineStr">
        <is>
          <t>Overall</t>
        </is>
      </c>
      <c r="F1133" s="6" t="inlineStr">
        <is>
          <t>Deciles</t>
        </is>
      </c>
      <c r="G1133" s="6" t="inlineStr">
        <is>
          <t>hou</t>
        </is>
      </c>
      <c r="H1133" s="6" t="inlineStr">
        <is>
          <t>%</t>
        </is>
      </c>
      <c r="Q1133" s="12">
        <f>INDIRECT_EFFECT("hou","housing_share","housing_elasticity",DECILE_ARRAY,"Overall","p75")</f>
        <v/>
      </c>
    </row>
    <row r="1134">
      <c r="D1134" s="6" t="inlineStr">
        <is>
          <t>p75</t>
        </is>
      </c>
      <c r="E1134" s="6" t="inlineStr">
        <is>
          <t>Urban</t>
        </is>
      </c>
      <c r="F1134" s="6" t="inlineStr">
        <is>
          <t>Basket</t>
        </is>
      </c>
      <c r="G1134" s="6" t="inlineStr">
        <is>
          <t>hou</t>
        </is>
      </c>
      <c r="H1134" s="6" t="inlineStr">
        <is>
          <t>%</t>
        </is>
      </c>
      <c r="P1134" s="12">
        <f>INDIRECT_EFFECT("hou","housing_share","housing_elasticity",0,"Urban","p75")</f>
        <v/>
      </c>
    </row>
    <row r="1135">
      <c r="D1135" s="6" t="inlineStr">
        <is>
          <t>p75</t>
        </is>
      </c>
      <c r="E1135" s="6" t="inlineStr">
        <is>
          <t>Urban</t>
        </is>
      </c>
      <c r="F1135" s="6" t="inlineStr">
        <is>
          <t>Deciles</t>
        </is>
      </c>
      <c r="G1135" s="6" t="inlineStr">
        <is>
          <t>hou</t>
        </is>
      </c>
      <c r="H1135" s="6" t="inlineStr">
        <is>
          <t>%</t>
        </is>
      </c>
      <c r="Q1135" s="12">
        <f>INDIRECT_EFFECT("hou","housing_share","housing_elasticity",DECILE_ARRAY,"Urban","p75")</f>
        <v/>
      </c>
    </row>
    <row r="1136">
      <c r="D1136" s="6" t="inlineStr">
        <is>
          <t>p75</t>
        </is>
      </c>
      <c r="E1136" s="6" t="inlineStr">
        <is>
          <t>Rural</t>
        </is>
      </c>
      <c r="F1136" s="6" t="inlineStr">
        <is>
          <t>Basket</t>
        </is>
      </c>
      <c r="G1136" s="6" t="inlineStr">
        <is>
          <t>hou</t>
        </is>
      </c>
      <c r="H1136" s="6" t="inlineStr">
        <is>
          <t>%</t>
        </is>
      </c>
      <c r="P1136" s="12">
        <f>INDIRECT_EFFECT("hou","housing_share","housing_elasticity",0,"Rural","p75")</f>
        <v/>
      </c>
    </row>
    <row r="1137">
      <c r="D1137" s="6" t="inlineStr">
        <is>
          <t>p75</t>
        </is>
      </c>
      <c r="E1137" s="6" t="inlineStr">
        <is>
          <t>Rural</t>
        </is>
      </c>
      <c r="F1137" s="6" t="inlineStr">
        <is>
          <t>Deciles</t>
        </is>
      </c>
      <c r="G1137" s="6" t="inlineStr">
        <is>
          <t>hou</t>
        </is>
      </c>
      <c r="H1137" s="6" t="inlineStr">
        <is>
          <t>%</t>
        </is>
      </c>
      <c r="Q1137" s="12">
        <f>INDIRECT_EFFECT("hou","housing_share","housing_elasticity",DECILE_ARRAY,"Rural","p75")</f>
        <v/>
      </c>
    </row>
    <row r="1139">
      <c r="C1139" s="7" t="inlineStr">
        <is>
          <t>Other Indirect Effect (% Total Consumption)</t>
        </is>
      </c>
      <c r="G1139" s="6" t="inlineStr">
        <is>
          <t>oth</t>
        </is>
      </c>
      <c r="O1139" s="8" t="inlineStr">
        <is>
          <t>Decile --&gt;</t>
        </is>
      </c>
      <c r="Q1139" s="8" t="n">
        <v>1</v>
      </c>
      <c r="R1139" s="8" t="n">
        <v>2</v>
      </c>
      <c r="S1139" s="8" t="n">
        <v>3</v>
      </c>
      <c r="T1139" s="8" t="n">
        <v>4</v>
      </c>
      <c r="U1139" s="8" t="n">
        <v>5</v>
      </c>
      <c r="V1139" s="8" t="n">
        <v>6</v>
      </c>
      <c r="W1139" s="8" t="n">
        <v>7</v>
      </c>
      <c r="X1139" s="8" t="n">
        <v>8</v>
      </c>
      <c r="Y1139" s="8" t="n">
        <v>9</v>
      </c>
      <c r="Z1139" s="8" t="n">
        <v>10</v>
      </c>
    </row>
    <row r="1140">
      <c r="D1140" s="6" t="inlineStr">
        <is>
          <t>mean</t>
        </is>
      </c>
      <c r="E1140" s="6" t="inlineStr">
        <is>
          <t>Overall</t>
        </is>
      </c>
      <c r="F1140" s="6" t="inlineStr">
        <is>
          <t>Basket</t>
        </is>
      </c>
      <c r="G1140" s="6" t="inlineStr">
        <is>
          <t>oth</t>
        </is>
      </c>
      <c r="H1140" s="6" t="inlineStr">
        <is>
          <t>%</t>
        </is>
      </c>
      <c r="P1140" s="12">
        <f>INDIRECT_EFFECT("oth","other_share","other_elasticity",0,"Overall","mean")</f>
        <v/>
      </c>
    </row>
    <row r="1141">
      <c r="D1141" s="6" t="inlineStr">
        <is>
          <t>mean</t>
        </is>
      </c>
      <c r="E1141" s="6" t="inlineStr">
        <is>
          <t>Overall</t>
        </is>
      </c>
      <c r="F1141" s="6" t="inlineStr">
        <is>
          <t>Deciles</t>
        </is>
      </c>
      <c r="G1141" s="6" t="inlineStr">
        <is>
          <t>oth</t>
        </is>
      </c>
      <c r="H1141" s="6" t="inlineStr">
        <is>
          <t>%</t>
        </is>
      </c>
      <c r="Q1141" s="12">
        <f>INDIRECT_EFFECT("oth","other_share","other_elasticity",DECILE_ARRAY,"Overall","mean")</f>
        <v/>
      </c>
    </row>
    <row r="1142">
      <c r="D1142" s="6" t="inlineStr">
        <is>
          <t>mean</t>
        </is>
      </c>
      <c r="E1142" s="6" t="inlineStr">
        <is>
          <t>Urban</t>
        </is>
      </c>
      <c r="F1142" s="6" t="inlineStr">
        <is>
          <t>Basket</t>
        </is>
      </c>
      <c r="G1142" s="6" t="inlineStr">
        <is>
          <t>oth</t>
        </is>
      </c>
      <c r="H1142" s="6" t="inlineStr">
        <is>
          <t>%</t>
        </is>
      </c>
      <c r="P1142" s="12">
        <f>INDIRECT_EFFECT("oth","other_share","other_elasticity",0,"Urban","mean")</f>
        <v/>
      </c>
    </row>
    <row r="1143">
      <c r="D1143" s="6" t="inlineStr">
        <is>
          <t>mean</t>
        </is>
      </c>
      <c r="E1143" s="6" t="inlineStr">
        <is>
          <t>Urban</t>
        </is>
      </c>
      <c r="F1143" s="6" t="inlineStr">
        <is>
          <t>Deciles</t>
        </is>
      </c>
      <c r="G1143" s="6" t="inlineStr">
        <is>
          <t>oth</t>
        </is>
      </c>
      <c r="H1143" s="6" t="inlineStr">
        <is>
          <t>%</t>
        </is>
      </c>
      <c r="Q1143" s="12">
        <f>INDIRECT_EFFECT("oth","other_share","other_elasticity",DECILE_ARRAY,"Urban","mean")</f>
        <v/>
      </c>
    </row>
    <row r="1144">
      <c r="D1144" s="6" t="inlineStr">
        <is>
          <t>mean</t>
        </is>
      </c>
      <c r="E1144" s="6" t="inlineStr">
        <is>
          <t>Rural</t>
        </is>
      </c>
      <c r="F1144" s="6" t="inlineStr">
        <is>
          <t>Basket</t>
        </is>
      </c>
      <c r="G1144" s="6" t="inlineStr">
        <is>
          <t>oth</t>
        </is>
      </c>
      <c r="H1144" s="6" t="inlineStr">
        <is>
          <t>%</t>
        </is>
      </c>
      <c r="P1144" s="12">
        <f>INDIRECT_EFFECT("oth","other_share","other_elasticity",0,"Rural","mean")</f>
        <v/>
      </c>
    </row>
    <row r="1145">
      <c r="D1145" s="6" t="inlineStr">
        <is>
          <t>mean</t>
        </is>
      </c>
      <c r="E1145" s="6" t="inlineStr">
        <is>
          <t>Rural</t>
        </is>
      </c>
      <c r="F1145" s="6" t="inlineStr">
        <is>
          <t>Deciles</t>
        </is>
      </c>
      <c r="G1145" s="6" t="inlineStr">
        <is>
          <t>oth</t>
        </is>
      </c>
      <c r="H1145" s="6" t="inlineStr">
        <is>
          <t>%</t>
        </is>
      </c>
      <c r="Q1145" s="12">
        <f>INDIRECT_EFFECT("oth","other_share","other_elasticity",DECILE_ARRAY,"Rural","mean")</f>
        <v/>
      </c>
    </row>
    <row r="1146">
      <c r="D1146" s="6" t="inlineStr">
        <is>
          <t>median</t>
        </is>
      </c>
      <c r="E1146" s="6" t="inlineStr">
        <is>
          <t>Overall</t>
        </is>
      </c>
      <c r="F1146" s="6" t="inlineStr">
        <is>
          <t>Basket</t>
        </is>
      </c>
      <c r="G1146" s="6" t="inlineStr">
        <is>
          <t>oth</t>
        </is>
      </c>
      <c r="H1146" s="6" t="inlineStr">
        <is>
          <t>%</t>
        </is>
      </c>
      <c r="P1146" s="12">
        <f>INDIRECT_EFFECT("oth","other_share","other_elasticity",0,"Overall","median")</f>
        <v/>
      </c>
    </row>
    <row r="1147">
      <c r="D1147" s="6" t="inlineStr">
        <is>
          <t>median</t>
        </is>
      </c>
      <c r="E1147" s="6" t="inlineStr">
        <is>
          <t>Overall</t>
        </is>
      </c>
      <c r="F1147" s="6" t="inlineStr">
        <is>
          <t>Deciles</t>
        </is>
      </c>
      <c r="G1147" s="6" t="inlineStr">
        <is>
          <t>oth</t>
        </is>
      </c>
      <c r="H1147" s="6" t="inlineStr">
        <is>
          <t>%</t>
        </is>
      </c>
      <c r="Q1147" s="12">
        <f>INDIRECT_EFFECT("oth","other_share","other_elasticity",DECILE_ARRAY,"Overall","median")</f>
        <v/>
      </c>
    </row>
    <row r="1148">
      <c r="D1148" s="6" t="inlineStr">
        <is>
          <t>median</t>
        </is>
      </c>
      <c r="E1148" s="6" t="inlineStr">
        <is>
          <t>Urban</t>
        </is>
      </c>
      <c r="F1148" s="6" t="inlineStr">
        <is>
          <t>Basket</t>
        </is>
      </c>
      <c r="G1148" s="6" t="inlineStr">
        <is>
          <t>oth</t>
        </is>
      </c>
      <c r="H1148" s="6" t="inlineStr">
        <is>
          <t>%</t>
        </is>
      </c>
      <c r="P1148" s="12">
        <f>INDIRECT_EFFECT("oth","other_share","other_elasticity",0,"Urban","median")</f>
        <v/>
      </c>
    </row>
    <row r="1149">
      <c r="D1149" s="6" t="inlineStr">
        <is>
          <t>median</t>
        </is>
      </c>
      <c r="E1149" s="6" t="inlineStr">
        <is>
          <t>Urban</t>
        </is>
      </c>
      <c r="F1149" s="6" t="inlineStr">
        <is>
          <t>Deciles</t>
        </is>
      </c>
      <c r="G1149" s="6" t="inlineStr">
        <is>
          <t>oth</t>
        </is>
      </c>
      <c r="H1149" s="6" t="inlineStr">
        <is>
          <t>%</t>
        </is>
      </c>
      <c r="Q1149" s="12">
        <f>INDIRECT_EFFECT("oth","other_share","other_elasticity",DECILE_ARRAY,"Urban","median")</f>
        <v/>
      </c>
    </row>
    <row r="1150">
      <c r="D1150" s="6" t="inlineStr">
        <is>
          <t>median</t>
        </is>
      </c>
      <c r="E1150" s="6" t="inlineStr">
        <is>
          <t>Rural</t>
        </is>
      </c>
      <c r="F1150" s="6" t="inlineStr">
        <is>
          <t>Basket</t>
        </is>
      </c>
      <c r="G1150" s="6" t="inlineStr">
        <is>
          <t>oth</t>
        </is>
      </c>
      <c r="H1150" s="6" t="inlineStr">
        <is>
          <t>%</t>
        </is>
      </c>
      <c r="P1150" s="12">
        <f>INDIRECT_EFFECT("oth","other_share","other_elasticity",0,"Rural","median")</f>
        <v/>
      </c>
    </row>
    <row r="1151">
      <c r="D1151" s="6" t="inlineStr">
        <is>
          <t>median</t>
        </is>
      </c>
      <c r="E1151" s="6" t="inlineStr">
        <is>
          <t>Rural</t>
        </is>
      </c>
      <c r="F1151" s="6" t="inlineStr">
        <is>
          <t>Deciles</t>
        </is>
      </c>
      <c r="G1151" s="6" t="inlineStr">
        <is>
          <t>oth</t>
        </is>
      </c>
      <c r="H1151" s="6" t="inlineStr">
        <is>
          <t>%</t>
        </is>
      </c>
      <c r="Q1151" s="12">
        <f>INDIRECT_EFFECT("oth","other_share","other_elasticity",DECILE_ARRAY,"Rural","median")</f>
        <v/>
      </c>
    </row>
    <row r="1152">
      <c r="D1152" s="6" t="inlineStr">
        <is>
          <t>p25</t>
        </is>
      </c>
      <c r="E1152" s="6" t="inlineStr">
        <is>
          <t>Overall</t>
        </is>
      </c>
      <c r="F1152" s="6" t="inlineStr">
        <is>
          <t>Basket</t>
        </is>
      </c>
      <c r="G1152" s="6" t="inlineStr">
        <is>
          <t>oth</t>
        </is>
      </c>
      <c r="H1152" s="6" t="inlineStr">
        <is>
          <t>%</t>
        </is>
      </c>
      <c r="P1152" s="12">
        <f>INDIRECT_EFFECT("oth","other_share","other_elasticity",0,"Overall","p25")</f>
        <v/>
      </c>
    </row>
    <row r="1153">
      <c r="D1153" s="6" t="inlineStr">
        <is>
          <t>p25</t>
        </is>
      </c>
      <c r="E1153" s="6" t="inlineStr">
        <is>
          <t>Overall</t>
        </is>
      </c>
      <c r="F1153" s="6" t="inlineStr">
        <is>
          <t>Deciles</t>
        </is>
      </c>
      <c r="G1153" s="6" t="inlineStr">
        <is>
          <t>oth</t>
        </is>
      </c>
      <c r="H1153" s="6" t="inlineStr">
        <is>
          <t>%</t>
        </is>
      </c>
      <c r="Q1153" s="12">
        <f>INDIRECT_EFFECT("oth","other_share","other_elasticity",DECILE_ARRAY,"Overall","p25")</f>
        <v/>
      </c>
    </row>
    <row r="1154">
      <c r="D1154" s="6" t="inlineStr">
        <is>
          <t>p25</t>
        </is>
      </c>
      <c r="E1154" s="6" t="inlineStr">
        <is>
          <t>Urban</t>
        </is>
      </c>
      <c r="F1154" s="6" t="inlineStr">
        <is>
          <t>Basket</t>
        </is>
      </c>
      <c r="G1154" s="6" t="inlineStr">
        <is>
          <t>oth</t>
        </is>
      </c>
      <c r="H1154" s="6" t="inlineStr">
        <is>
          <t>%</t>
        </is>
      </c>
      <c r="P1154" s="12">
        <f>INDIRECT_EFFECT("oth","other_share","other_elasticity",0,"Urban","p25")</f>
        <v/>
      </c>
    </row>
    <row r="1155">
      <c r="D1155" s="6" t="inlineStr">
        <is>
          <t>p25</t>
        </is>
      </c>
      <c r="E1155" s="6" t="inlineStr">
        <is>
          <t>Urban</t>
        </is>
      </c>
      <c r="F1155" s="6" t="inlineStr">
        <is>
          <t>Deciles</t>
        </is>
      </c>
      <c r="G1155" s="6" t="inlineStr">
        <is>
          <t>oth</t>
        </is>
      </c>
      <c r="H1155" s="6" t="inlineStr">
        <is>
          <t>%</t>
        </is>
      </c>
      <c r="Q1155" s="12">
        <f>INDIRECT_EFFECT("oth","other_share","other_elasticity",DECILE_ARRAY,"Urban","p25")</f>
        <v/>
      </c>
    </row>
    <row r="1156">
      <c r="D1156" s="6" t="inlineStr">
        <is>
          <t>p25</t>
        </is>
      </c>
      <c r="E1156" s="6" t="inlineStr">
        <is>
          <t>Rural</t>
        </is>
      </c>
      <c r="F1156" s="6" t="inlineStr">
        <is>
          <t>Basket</t>
        </is>
      </c>
      <c r="G1156" s="6" t="inlineStr">
        <is>
          <t>oth</t>
        </is>
      </c>
      <c r="H1156" s="6" t="inlineStr">
        <is>
          <t>%</t>
        </is>
      </c>
      <c r="P1156" s="12">
        <f>INDIRECT_EFFECT("oth","other_share","other_elasticity",0,"Rural","p25")</f>
        <v/>
      </c>
    </row>
    <row r="1157">
      <c r="D1157" s="6" t="inlineStr">
        <is>
          <t>p25</t>
        </is>
      </c>
      <c r="E1157" s="6" t="inlineStr">
        <is>
          <t>Rural</t>
        </is>
      </c>
      <c r="F1157" s="6" t="inlineStr">
        <is>
          <t>Deciles</t>
        </is>
      </c>
      <c r="G1157" s="6" t="inlineStr">
        <is>
          <t>oth</t>
        </is>
      </c>
      <c r="H1157" s="6" t="inlineStr">
        <is>
          <t>%</t>
        </is>
      </c>
      <c r="Q1157" s="12">
        <f>INDIRECT_EFFECT("oth","other_share","other_elasticity",DECILE_ARRAY,"Rural","p25")</f>
        <v/>
      </c>
    </row>
    <row r="1158">
      <c r="D1158" s="6" t="inlineStr">
        <is>
          <t>p75</t>
        </is>
      </c>
      <c r="E1158" s="6" t="inlineStr">
        <is>
          <t>Overall</t>
        </is>
      </c>
      <c r="F1158" s="6" t="inlineStr">
        <is>
          <t>Basket</t>
        </is>
      </c>
      <c r="G1158" s="6" t="inlineStr">
        <is>
          <t>oth</t>
        </is>
      </c>
      <c r="H1158" s="6" t="inlineStr">
        <is>
          <t>%</t>
        </is>
      </c>
      <c r="P1158" s="12">
        <f>INDIRECT_EFFECT("oth","other_share","other_elasticity",0,"Overall","p75")</f>
        <v/>
      </c>
    </row>
    <row r="1159">
      <c r="D1159" s="6" t="inlineStr">
        <is>
          <t>p75</t>
        </is>
      </c>
      <c r="E1159" s="6" t="inlineStr">
        <is>
          <t>Overall</t>
        </is>
      </c>
      <c r="F1159" s="6" t="inlineStr">
        <is>
          <t>Deciles</t>
        </is>
      </c>
      <c r="G1159" s="6" t="inlineStr">
        <is>
          <t>oth</t>
        </is>
      </c>
      <c r="H1159" s="6" t="inlineStr">
        <is>
          <t>%</t>
        </is>
      </c>
      <c r="Q1159" s="12">
        <f>INDIRECT_EFFECT("oth","other_share","other_elasticity",DECILE_ARRAY,"Overall","p75")</f>
        <v/>
      </c>
    </row>
    <row r="1160">
      <c r="D1160" s="6" t="inlineStr">
        <is>
          <t>p75</t>
        </is>
      </c>
      <c r="E1160" s="6" t="inlineStr">
        <is>
          <t>Urban</t>
        </is>
      </c>
      <c r="F1160" s="6" t="inlineStr">
        <is>
          <t>Basket</t>
        </is>
      </c>
      <c r="G1160" s="6" t="inlineStr">
        <is>
          <t>oth</t>
        </is>
      </c>
      <c r="H1160" s="6" t="inlineStr">
        <is>
          <t>%</t>
        </is>
      </c>
      <c r="P1160" s="12">
        <f>INDIRECT_EFFECT("oth","other_share","other_elasticity",0,"Urban","p75")</f>
        <v/>
      </c>
    </row>
    <row r="1161">
      <c r="D1161" s="6" t="inlineStr">
        <is>
          <t>p75</t>
        </is>
      </c>
      <c r="E1161" s="6" t="inlineStr">
        <is>
          <t>Urban</t>
        </is>
      </c>
      <c r="F1161" s="6" t="inlineStr">
        <is>
          <t>Deciles</t>
        </is>
      </c>
      <c r="G1161" s="6" t="inlineStr">
        <is>
          <t>oth</t>
        </is>
      </c>
      <c r="H1161" s="6" t="inlineStr">
        <is>
          <t>%</t>
        </is>
      </c>
      <c r="Q1161" s="12">
        <f>INDIRECT_EFFECT("oth","other_share","other_elasticity",DECILE_ARRAY,"Urban","p75")</f>
        <v/>
      </c>
    </row>
    <row r="1162">
      <c r="D1162" s="6" t="inlineStr">
        <is>
          <t>p75</t>
        </is>
      </c>
      <c r="E1162" s="6" t="inlineStr">
        <is>
          <t>Rural</t>
        </is>
      </c>
      <c r="F1162" s="6" t="inlineStr">
        <is>
          <t>Basket</t>
        </is>
      </c>
      <c r="G1162" s="6" t="inlineStr">
        <is>
          <t>oth</t>
        </is>
      </c>
      <c r="H1162" s="6" t="inlineStr">
        <is>
          <t>%</t>
        </is>
      </c>
      <c r="P1162" s="12">
        <f>INDIRECT_EFFECT("oth","other_share","other_elasticity",0,"Rural","p75")</f>
        <v/>
      </c>
    </row>
    <row r="1163">
      <c r="D1163" s="6" t="inlineStr">
        <is>
          <t>p75</t>
        </is>
      </c>
      <c r="E1163" s="6" t="inlineStr">
        <is>
          <t>Rural</t>
        </is>
      </c>
      <c r="F1163" s="6" t="inlineStr">
        <is>
          <t>Deciles</t>
        </is>
      </c>
      <c r="G1163" s="6" t="inlineStr">
        <is>
          <t>oth</t>
        </is>
      </c>
      <c r="H1163" s="6" t="inlineStr">
        <is>
          <t>%</t>
        </is>
      </c>
      <c r="Q1163" s="12">
        <f>INDIRECT_EFFECT("oth","other_share","other_elasticity",DECILE_ARRAY,"Rural","p75")</f>
        <v/>
      </c>
    </row>
    <row r="1165">
      <c r="C1165" s="7" t="inlineStr">
        <is>
          <t>Paper Indirect Effect (% Total Consumption)</t>
        </is>
      </c>
      <c r="G1165" s="6" t="inlineStr">
        <is>
          <t>pap</t>
        </is>
      </c>
      <c r="O1165" s="8" t="inlineStr">
        <is>
          <t>Decile --&gt;</t>
        </is>
      </c>
      <c r="Q1165" s="8" t="n">
        <v>1</v>
      </c>
      <c r="R1165" s="8" t="n">
        <v>2</v>
      </c>
      <c r="S1165" s="8" t="n">
        <v>3</v>
      </c>
      <c r="T1165" s="8" t="n">
        <v>4</v>
      </c>
      <c r="U1165" s="8" t="n">
        <v>5</v>
      </c>
      <c r="V1165" s="8" t="n">
        <v>6</v>
      </c>
      <c r="W1165" s="8" t="n">
        <v>7</v>
      </c>
      <c r="X1165" s="8" t="n">
        <v>8</v>
      </c>
      <c r="Y1165" s="8" t="n">
        <v>9</v>
      </c>
      <c r="Z1165" s="8" t="n">
        <v>10</v>
      </c>
    </row>
    <row r="1166">
      <c r="D1166" s="6" t="inlineStr">
        <is>
          <t>mean</t>
        </is>
      </c>
      <c r="E1166" s="6" t="inlineStr">
        <is>
          <t>Overall</t>
        </is>
      </c>
      <c r="F1166" s="6" t="inlineStr">
        <is>
          <t>Basket</t>
        </is>
      </c>
      <c r="G1166" s="6" t="inlineStr">
        <is>
          <t>pap</t>
        </is>
      </c>
      <c r="H1166" s="6" t="inlineStr">
        <is>
          <t>%</t>
        </is>
      </c>
      <c r="P1166" s="12">
        <f>INDIRECT_EFFECT("pap","paper_share","paper_elasticity",0,"Overall","mean")</f>
        <v/>
      </c>
    </row>
    <row r="1167">
      <c r="D1167" s="6" t="inlineStr">
        <is>
          <t>mean</t>
        </is>
      </c>
      <c r="E1167" s="6" t="inlineStr">
        <is>
          <t>Overall</t>
        </is>
      </c>
      <c r="F1167" s="6" t="inlineStr">
        <is>
          <t>Deciles</t>
        </is>
      </c>
      <c r="G1167" s="6" t="inlineStr">
        <is>
          <t>pap</t>
        </is>
      </c>
      <c r="H1167" s="6" t="inlineStr">
        <is>
          <t>%</t>
        </is>
      </c>
      <c r="Q1167" s="12">
        <f>INDIRECT_EFFECT("pap","paper_share","paper_elasticity",DECILE_ARRAY,"Overall","mean")</f>
        <v/>
      </c>
    </row>
    <row r="1168">
      <c r="D1168" s="6" t="inlineStr">
        <is>
          <t>mean</t>
        </is>
      </c>
      <c r="E1168" s="6" t="inlineStr">
        <is>
          <t>Urban</t>
        </is>
      </c>
      <c r="F1168" s="6" t="inlineStr">
        <is>
          <t>Basket</t>
        </is>
      </c>
      <c r="G1168" s="6" t="inlineStr">
        <is>
          <t>pap</t>
        </is>
      </c>
      <c r="H1168" s="6" t="inlineStr">
        <is>
          <t>%</t>
        </is>
      </c>
      <c r="P1168" s="12">
        <f>INDIRECT_EFFECT("pap","paper_share","paper_elasticity",0,"Urban","mean")</f>
        <v/>
      </c>
    </row>
    <row r="1169">
      <c r="D1169" s="6" t="inlineStr">
        <is>
          <t>mean</t>
        </is>
      </c>
      <c r="E1169" s="6" t="inlineStr">
        <is>
          <t>Urban</t>
        </is>
      </c>
      <c r="F1169" s="6" t="inlineStr">
        <is>
          <t>Deciles</t>
        </is>
      </c>
      <c r="G1169" s="6" t="inlineStr">
        <is>
          <t>pap</t>
        </is>
      </c>
      <c r="H1169" s="6" t="inlineStr">
        <is>
          <t>%</t>
        </is>
      </c>
      <c r="Q1169" s="12">
        <f>INDIRECT_EFFECT("pap","paper_share","paper_elasticity",DECILE_ARRAY,"Urban","mean")</f>
        <v/>
      </c>
    </row>
    <row r="1170">
      <c r="D1170" s="6" t="inlineStr">
        <is>
          <t>mean</t>
        </is>
      </c>
      <c r="E1170" s="6" t="inlineStr">
        <is>
          <t>Rural</t>
        </is>
      </c>
      <c r="F1170" s="6" t="inlineStr">
        <is>
          <t>Basket</t>
        </is>
      </c>
      <c r="G1170" s="6" t="inlineStr">
        <is>
          <t>pap</t>
        </is>
      </c>
      <c r="H1170" s="6" t="inlineStr">
        <is>
          <t>%</t>
        </is>
      </c>
      <c r="P1170" s="12">
        <f>INDIRECT_EFFECT("pap","paper_share","paper_elasticity",0,"Rural","mean")</f>
        <v/>
      </c>
    </row>
    <row r="1171">
      <c r="D1171" s="6" t="inlineStr">
        <is>
          <t>mean</t>
        </is>
      </c>
      <c r="E1171" s="6" t="inlineStr">
        <is>
          <t>Rural</t>
        </is>
      </c>
      <c r="F1171" s="6" t="inlineStr">
        <is>
          <t>Deciles</t>
        </is>
      </c>
      <c r="G1171" s="6" t="inlineStr">
        <is>
          <t>pap</t>
        </is>
      </c>
      <c r="H1171" s="6" t="inlineStr">
        <is>
          <t>%</t>
        </is>
      </c>
      <c r="Q1171" s="12">
        <f>INDIRECT_EFFECT("pap","paper_share","paper_elasticity",DECILE_ARRAY,"Rural","mean")</f>
        <v/>
      </c>
    </row>
    <row r="1172">
      <c r="D1172" s="6" t="inlineStr">
        <is>
          <t>median</t>
        </is>
      </c>
      <c r="E1172" s="6" t="inlineStr">
        <is>
          <t>Overall</t>
        </is>
      </c>
      <c r="F1172" s="6" t="inlineStr">
        <is>
          <t>Basket</t>
        </is>
      </c>
      <c r="G1172" s="6" t="inlineStr">
        <is>
          <t>pap</t>
        </is>
      </c>
      <c r="H1172" s="6" t="inlineStr">
        <is>
          <t>%</t>
        </is>
      </c>
      <c r="P1172" s="12">
        <f>INDIRECT_EFFECT("pap","paper_share","paper_elasticity",0,"Overall","median")</f>
        <v/>
      </c>
    </row>
    <row r="1173">
      <c r="D1173" s="6" t="inlineStr">
        <is>
          <t>median</t>
        </is>
      </c>
      <c r="E1173" s="6" t="inlineStr">
        <is>
          <t>Overall</t>
        </is>
      </c>
      <c r="F1173" s="6" t="inlineStr">
        <is>
          <t>Deciles</t>
        </is>
      </c>
      <c r="G1173" s="6" t="inlineStr">
        <is>
          <t>pap</t>
        </is>
      </c>
      <c r="H1173" s="6" t="inlineStr">
        <is>
          <t>%</t>
        </is>
      </c>
      <c r="Q1173" s="12">
        <f>INDIRECT_EFFECT("pap","paper_share","paper_elasticity",DECILE_ARRAY,"Overall","median")</f>
        <v/>
      </c>
    </row>
    <row r="1174">
      <c r="D1174" s="6" t="inlineStr">
        <is>
          <t>median</t>
        </is>
      </c>
      <c r="E1174" s="6" t="inlineStr">
        <is>
          <t>Urban</t>
        </is>
      </c>
      <c r="F1174" s="6" t="inlineStr">
        <is>
          <t>Basket</t>
        </is>
      </c>
      <c r="G1174" s="6" t="inlineStr">
        <is>
          <t>pap</t>
        </is>
      </c>
      <c r="H1174" s="6" t="inlineStr">
        <is>
          <t>%</t>
        </is>
      </c>
      <c r="P1174" s="12">
        <f>INDIRECT_EFFECT("pap","paper_share","paper_elasticity",0,"Urban","median")</f>
        <v/>
      </c>
    </row>
    <row r="1175">
      <c r="D1175" s="6" t="inlineStr">
        <is>
          <t>median</t>
        </is>
      </c>
      <c r="E1175" s="6" t="inlineStr">
        <is>
          <t>Urban</t>
        </is>
      </c>
      <c r="F1175" s="6" t="inlineStr">
        <is>
          <t>Deciles</t>
        </is>
      </c>
      <c r="G1175" s="6" t="inlineStr">
        <is>
          <t>pap</t>
        </is>
      </c>
      <c r="H1175" s="6" t="inlineStr">
        <is>
          <t>%</t>
        </is>
      </c>
      <c r="Q1175" s="12">
        <f>INDIRECT_EFFECT("pap","paper_share","paper_elasticity",DECILE_ARRAY,"Urban","median")</f>
        <v/>
      </c>
    </row>
    <row r="1176">
      <c r="D1176" s="6" t="inlineStr">
        <is>
          <t>median</t>
        </is>
      </c>
      <c r="E1176" s="6" t="inlineStr">
        <is>
          <t>Rural</t>
        </is>
      </c>
      <c r="F1176" s="6" t="inlineStr">
        <is>
          <t>Basket</t>
        </is>
      </c>
      <c r="G1176" s="6" t="inlineStr">
        <is>
          <t>pap</t>
        </is>
      </c>
      <c r="H1176" s="6" t="inlineStr">
        <is>
          <t>%</t>
        </is>
      </c>
      <c r="P1176" s="12">
        <f>INDIRECT_EFFECT("pap","paper_share","paper_elasticity",0,"Rural","median")</f>
        <v/>
      </c>
    </row>
    <row r="1177">
      <c r="D1177" s="6" t="inlineStr">
        <is>
          <t>median</t>
        </is>
      </c>
      <c r="E1177" s="6" t="inlineStr">
        <is>
          <t>Rural</t>
        </is>
      </c>
      <c r="F1177" s="6" t="inlineStr">
        <is>
          <t>Deciles</t>
        </is>
      </c>
      <c r="G1177" s="6" t="inlineStr">
        <is>
          <t>pap</t>
        </is>
      </c>
      <c r="H1177" s="6" t="inlineStr">
        <is>
          <t>%</t>
        </is>
      </c>
      <c r="Q1177" s="12">
        <f>INDIRECT_EFFECT("pap","paper_share","paper_elasticity",DECILE_ARRAY,"Rural","median")</f>
        <v/>
      </c>
    </row>
    <row r="1178">
      <c r="D1178" s="6" t="inlineStr">
        <is>
          <t>p25</t>
        </is>
      </c>
      <c r="E1178" s="6" t="inlineStr">
        <is>
          <t>Overall</t>
        </is>
      </c>
      <c r="F1178" s="6" t="inlineStr">
        <is>
          <t>Basket</t>
        </is>
      </c>
      <c r="G1178" s="6" t="inlineStr">
        <is>
          <t>pap</t>
        </is>
      </c>
      <c r="H1178" s="6" t="inlineStr">
        <is>
          <t>%</t>
        </is>
      </c>
      <c r="P1178" s="12">
        <f>INDIRECT_EFFECT("pap","paper_share","paper_elasticity",0,"Overall","p25")</f>
        <v/>
      </c>
    </row>
    <row r="1179">
      <c r="D1179" s="6" t="inlineStr">
        <is>
          <t>p25</t>
        </is>
      </c>
      <c r="E1179" s="6" t="inlineStr">
        <is>
          <t>Overall</t>
        </is>
      </c>
      <c r="F1179" s="6" t="inlineStr">
        <is>
          <t>Deciles</t>
        </is>
      </c>
      <c r="G1179" s="6" t="inlineStr">
        <is>
          <t>pap</t>
        </is>
      </c>
      <c r="H1179" s="6" t="inlineStr">
        <is>
          <t>%</t>
        </is>
      </c>
      <c r="Q1179" s="12">
        <f>INDIRECT_EFFECT("pap","paper_share","paper_elasticity",DECILE_ARRAY,"Overall","p25")</f>
        <v/>
      </c>
    </row>
    <row r="1180">
      <c r="D1180" s="6" t="inlineStr">
        <is>
          <t>p25</t>
        </is>
      </c>
      <c r="E1180" s="6" t="inlineStr">
        <is>
          <t>Urban</t>
        </is>
      </c>
      <c r="F1180" s="6" t="inlineStr">
        <is>
          <t>Basket</t>
        </is>
      </c>
      <c r="G1180" s="6" t="inlineStr">
        <is>
          <t>pap</t>
        </is>
      </c>
      <c r="H1180" s="6" t="inlineStr">
        <is>
          <t>%</t>
        </is>
      </c>
      <c r="P1180" s="12">
        <f>INDIRECT_EFFECT("pap","paper_share","paper_elasticity",0,"Urban","p25")</f>
        <v/>
      </c>
    </row>
    <row r="1181">
      <c r="D1181" s="6" t="inlineStr">
        <is>
          <t>p25</t>
        </is>
      </c>
      <c r="E1181" s="6" t="inlineStr">
        <is>
          <t>Urban</t>
        </is>
      </c>
      <c r="F1181" s="6" t="inlineStr">
        <is>
          <t>Deciles</t>
        </is>
      </c>
      <c r="G1181" s="6" t="inlineStr">
        <is>
          <t>pap</t>
        </is>
      </c>
      <c r="H1181" s="6" t="inlineStr">
        <is>
          <t>%</t>
        </is>
      </c>
      <c r="Q1181" s="12">
        <f>INDIRECT_EFFECT("pap","paper_share","paper_elasticity",DECILE_ARRAY,"Urban","p25")</f>
        <v/>
      </c>
    </row>
    <row r="1182">
      <c r="D1182" s="6" t="inlineStr">
        <is>
          <t>p25</t>
        </is>
      </c>
      <c r="E1182" s="6" t="inlineStr">
        <is>
          <t>Rural</t>
        </is>
      </c>
      <c r="F1182" s="6" t="inlineStr">
        <is>
          <t>Basket</t>
        </is>
      </c>
      <c r="G1182" s="6" t="inlineStr">
        <is>
          <t>pap</t>
        </is>
      </c>
      <c r="H1182" s="6" t="inlineStr">
        <is>
          <t>%</t>
        </is>
      </c>
      <c r="P1182" s="12">
        <f>INDIRECT_EFFECT("pap","paper_share","paper_elasticity",0,"Rural","p25")</f>
        <v/>
      </c>
    </row>
    <row r="1183">
      <c r="D1183" s="6" t="inlineStr">
        <is>
          <t>p25</t>
        </is>
      </c>
      <c r="E1183" s="6" t="inlineStr">
        <is>
          <t>Rural</t>
        </is>
      </c>
      <c r="F1183" s="6" t="inlineStr">
        <is>
          <t>Deciles</t>
        </is>
      </c>
      <c r="G1183" s="6" t="inlineStr">
        <is>
          <t>pap</t>
        </is>
      </c>
      <c r="H1183" s="6" t="inlineStr">
        <is>
          <t>%</t>
        </is>
      </c>
      <c r="Q1183" s="12">
        <f>INDIRECT_EFFECT("pap","paper_share","paper_elasticity",DECILE_ARRAY,"Rural","p25")</f>
        <v/>
      </c>
    </row>
    <row r="1184">
      <c r="D1184" s="6" t="inlineStr">
        <is>
          <t>p75</t>
        </is>
      </c>
      <c r="E1184" s="6" t="inlineStr">
        <is>
          <t>Overall</t>
        </is>
      </c>
      <c r="F1184" s="6" t="inlineStr">
        <is>
          <t>Basket</t>
        </is>
      </c>
      <c r="G1184" s="6" t="inlineStr">
        <is>
          <t>pap</t>
        </is>
      </c>
      <c r="H1184" s="6" t="inlineStr">
        <is>
          <t>%</t>
        </is>
      </c>
      <c r="P1184" s="12">
        <f>INDIRECT_EFFECT("pap","paper_share","paper_elasticity",0,"Overall","p75")</f>
        <v/>
      </c>
    </row>
    <row r="1185">
      <c r="D1185" s="6" t="inlineStr">
        <is>
          <t>p75</t>
        </is>
      </c>
      <c r="E1185" s="6" t="inlineStr">
        <is>
          <t>Overall</t>
        </is>
      </c>
      <c r="F1185" s="6" t="inlineStr">
        <is>
          <t>Deciles</t>
        </is>
      </c>
      <c r="G1185" s="6" t="inlineStr">
        <is>
          <t>pap</t>
        </is>
      </c>
      <c r="H1185" s="6" t="inlineStr">
        <is>
          <t>%</t>
        </is>
      </c>
      <c r="Q1185" s="12">
        <f>INDIRECT_EFFECT("pap","paper_share","paper_elasticity",DECILE_ARRAY,"Overall","p75")</f>
        <v/>
      </c>
    </row>
    <row r="1186">
      <c r="D1186" s="6" t="inlineStr">
        <is>
          <t>p75</t>
        </is>
      </c>
      <c r="E1186" s="6" t="inlineStr">
        <is>
          <t>Urban</t>
        </is>
      </c>
      <c r="F1186" s="6" t="inlineStr">
        <is>
          <t>Basket</t>
        </is>
      </c>
      <c r="G1186" s="6" t="inlineStr">
        <is>
          <t>pap</t>
        </is>
      </c>
      <c r="H1186" s="6" t="inlineStr">
        <is>
          <t>%</t>
        </is>
      </c>
      <c r="P1186" s="12">
        <f>INDIRECT_EFFECT("pap","paper_share","paper_elasticity",0,"Urban","p75")</f>
        <v/>
      </c>
    </row>
    <row r="1187">
      <c r="D1187" s="6" t="inlineStr">
        <is>
          <t>p75</t>
        </is>
      </c>
      <c r="E1187" s="6" t="inlineStr">
        <is>
          <t>Urban</t>
        </is>
      </c>
      <c r="F1187" s="6" t="inlineStr">
        <is>
          <t>Deciles</t>
        </is>
      </c>
      <c r="G1187" s="6" t="inlineStr">
        <is>
          <t>pap</t>
        </is>
      </c>
      <c r="H1187" s="6" t="inlineStr">
        <is>
          <t>%</t>
        </is>
      </c>
      <c r="Q1187" s="12">
        <f>INDIRECT_EFFECT("pap","paper_share","paper_elasticity",DECILE_ARRAY,"Urban","p75")</f>
        <v/>
      </c>
    </row>
    <row r="1188">
      <c r="D1188" s="6" t="inlineStr">
        <is>
          <t>p75</t>
        </is>
      </c>
      <c r="E1188" s="6" t="inlineStr">
        <is>
          <t>Rural</t>
        </is>
      </c>
      <c r="F1188" s="6" t="inlineStr">
        <is>
          <t>Basket</t>
        </is>
      </c>
      <c r="G1188" s="6" t="inlineStr">
        <is>
          <t>pap</t>
        </is>
      </c>
      <c r="H1188" s="6" t="inlineStr">
        <is>
          <t>%</t>
        </is>
      </c>
      <c r="P1188" s="12">
        <f>INDIRECT_EFFECT("pap","paper_share","paper_elasticity",0,"Rural","p75")</f>
        <v/>
      </c>
    </row>
    <row r="1189">
      <c r="D1189" s="6" t="inlineStr">
        <is>
          <t>p75</t>
        </is>
      </c>
      <c r="E1189" s="6" t="inlineStr">
        <is>
          <t>Rural</t>
        </is>
      </c>
      <c r="F1189" s="6" t="inlineStr">
        <is>
          <t>Deciles</t>
        </is>
      </c>
      <c r="G1189" s="6" t="inlineStr">
        <is>
          <t>pap</t>
        </is>
      </c>
      <c r="H1189" s="6" t="inlineStr">
        <is>
          <t>%</t>
        </is>
      </c>
      <c r="Q1189" s="12">
        <f>INDIRECT_EFFECT("pap","paper_share","paper_elasticity",DECILE_ARRAY,"Rural","p75")</f>
        <v/>
      </c>
    </row>
    <row r="1191">
      <c r="C1191" s="7" t="inlineStr">
        <is>
          <t>Pharmaceuticals Indirect Effect (% Total Consumption)</t>
        </is>
      </c>
      <c r="G1191" s="6" t="inlineStr">
        <is>
          <t>pha</t>
        </is>
      </c>
      <c r="O1191" s="8" t="inlineStr">
        <is>
          <t>Decile --&gt;</t>
        </is>
      </c>
      <c r="Q1191" s="8" t="n">
        <v>1</v>
      </c>
      <c r="R1191" s="8" t="n">
        <v>2</v>
      </c>
      <c r="S1191" s="8" t="n">
        <v>3</v>
      </c>
      <c r="T1191" s="8" t="n">
        <v>4</v>
      </c>
      <c r="U1191" s="8" t="n">
        <v>5</v>
      </c>
      <c r="V1191" s="8" t="n">
        <v>6</v>
      </c>
      <c r="W1191" s="8" t="n">
        <v>7</v>
      </c>
      <c r="X1191" s="8" t="n">
        <v>8</v>
      </c>
      <c r="Y1191" s="8" t="n">
        <v>9</v>
      </c>
      <c r="Z1191" s="8" t="n">
        <v>10</v>
      </c>
    </row>
    <row r="1192">
      <c r="D1192" s="6" t="inlineStr">
        <is>
          <t>mean</t>
        </is>
      </c>
      <c r="E1192" s="6" t="inlineStr">
        <is>
          <t>Overall</t>
        </is>
      </c>
      <c r="F1192" s="6" t="inlineStr">
        <is>
          <t>Basket</t>
        </is>
      </c>
      <c r="G1192" s="6" t="inlineStr">
        <is>
          <t>pha</t>
        </is>
      </c>
      <c r="H1192" s="6" t="inlineStr">
        <is>
          <t>%</t>
        </is>
      </c>
      <c r="P1192" s="12">
        <f>INDIRECT_EFFECT("pha","pharma_share","pharma_elasticity",0,"Overall","mean")</f>
        <v/>
      </c>
    </row>
    <row r="1193">
      <c r="D1193" s="6" t="inlineStr">
        <is>
          <t>mean</t>
        </is>
      </c>
      <c r="E1193" s="6" t="inlineStr">
        <is>
          <t>Overall</t>
        </is>
      </c>
      <c r="F1193" s="6" t="inlineStr">
        <is>
          <t>Deciles</t>
        </is>
      </c>
      <c r="G1193" s="6" t="inlineStr">
        <is>
          <t>pha</t>
        </is>
      </c>
      <c r="H1193" s="6" t="inlineStr">
        <is>
          <t>%</t>
        </is>
      </c>
      <c r="Q1193" s="12">
        <f>INDIRECT_EFFECT("pha","pharma_share","pharma_elasticity",DECILE_ARRAY,"Overall","mean")</f>
        <v/>
      </c>
    </row>
    <row r="1194">
      <c r="D1194" s="6" t="inlineStr">
        <is>
          <t>mean</t>
        </is>
      </c>
      <c r="E1194" s="6" t="inlineStr">
        <is>
          <t>Urban</t>
        </is>
      </c>
      <c r="F1194" s="6" t="inlineStr">
        <is>
          <t>Basket</t>
        </is>
      </c>
      <c r="G1194" s="6" t="inlineStr">
        <is>
          <t>pha</t>
        </is>
      </c>
      <c r="H1194" s="6" t="inlineStr">
        <is>
          <t>%</t>
        </is>
      </c>
      <c r="P1194" s="12">
        <f>INDIRECT_EFFECT("pha","pharma_share","pharma_elasticity",0,"Urban","mean")</f>
        <v/>
      </c>
    </row>
    <row r="1195">
      <c r="D1195" s="6" t="inlineStr">
        <is>
          <t>mean</t>
        </is>
      </c>
      <c r="E1195" s="6" t="inlineStr">
        <is>
          <t>Urban</t>
        </is>
      </c>
      <c r="F1195" s="6" t="inlineStr">
        <is>
          <t>Deciles</t>
        </is>
      </c>
      <c r="G1195" s="6" t="inlineStr">
        <is>
          <t>pha</t>
        </is>
      </c>
      <c r="H1195" s="6" t="inlineStr">
        <is>
          <t>%</t>
        </is>
      </c>
      <c r="Q1195" s="12">
        <f>INDIRECT_EFFECT("pha","pharma_share","pharma_elasticity",DECILE_ARRAY,"Urban","mean")</f>
        <v/>
      </c>
    </row>
    <row r="1196">
      <c r="D1196" s="6" t="inlineStr">
        <is>
          <t>mean</t>
        </is>
      </c>
      <c r="E1196" s="6" t="inlineStr">
        <is>
          <t>Rural</t>
        </is>
      </c>
      <c r="F1196" s="6" t="inlineStr">
        <is>
          <t>Basket</t>
        </is>
      </c>
      <c r="G1196" s="6" t="inlineStr">
        <is>
          <t>pha</t>
        </is>
      </c>
      <c r="H1196" s="6" t="inlineStr">
        <is>
          <t>%</t>
        </is>
      </c>
      <c r="P1196" s="12">
        <f>INDIRECT_EFFECT("pha","pharma_share","pharma_elasticity",0,"Rural","mean")</f>
        <v/>
      </c>
    </row>
    <row r="1197">
      <c r="D1197" s="6" t="inlineStr">
        <is>
          <t>mean</t>
        </is>
      </c>
      <c r="E1197" s="6" t="inlineStr">
        <is>
          <t>Rural</t>
        </is>
      </c>
      <c r="F1197" s="6" t="inlineStr">
        <is>
          <t>Deciles</t>
        </is>
      </c>
      <c r="G1197" s="6" t="inlineStr">
        <is>
          <t>pha</t>
        </is>
      </c>
      <c r="H1197" s="6" t="inlineStr">
        <is>
          <t>%</t>
        </is>
      </c>
      <c r="Q1197" s="12">
        <f>INDIRECT_EFFECT("pha","pharma_share","pharma_elasticity",DECILE_ARRAY,"Rural","mean")</f>
        <v/>
      </c>
    </row>
    <row r="1198">
      <c r="D1198" s="6" t="inlineStr">
        <is>
          <t>median</t>
        </is>
      </c>
      <c r="E1198" s="6" t="inlineStr">
        <is>
          <t>Overall</t>
        </is>
      </c>
      <c r="F1198" s="6" t="inlineStr">
        <is>
          <t>Basket</t>
        </is>
      </c>
      <c r="G1198" s="6" t="inlineStr">
        <is>
          <t>pha</t>
        </is>
      </c>
      <c r="H1198" s="6" t="inlineStr">
        <is>
          <t>%</t>
        </is>
      </c>
      <c r="P1198" s="12">
        <f>INDIRECT_EFFECT("pha","pharma_share","pharma_elasticity",0,"Overall","median")</f>
        <v/>
      </c>
    </row>
    <row r="1199">
      <c r="D1199" s="6" t="inlineStr">
        <is>
          <t>median</t>
        </is>
      </c>
      <c r="E1199" s="6" t="inlineStr">
        <is>
          <t>Overall</t>
        </is>
      </c>
      <c r="F1199" s="6" t="inlineStr">
        <is>
          <t>Deciles</t>
        </is>
      </c>
      <c r="G1199" s="6" t="inlineStr">
        <is>
          <t>pha</t>
        </is>
      </c>
      <c r="H1199" s="6" t="inlineStr">
        <is>
          <t>%</t>
        </is>
      </c>
      <c r="Q1199" s="12">
        <f>INDIRECT_EFFECT("pha","pharma_share","pharma_elasticity",DECILE_ARRAY,"Overall","median")</f>
        <v/>
      </c>
    </row>
    <row r="1200">
      <c r="D1200" s="6" t="inlineStr">
        <is>
          <t>median</t>
        </is>
      </c>
      <c r="E1200" s="6" t="inlineStr">
        <is>
          <t>Urban</t>
        </is>
      </c>
      <c r="F1200" s="6" t="inlineStr">
        <is>
          <t>Basket</t>
        </is>
      </c>
      <c r="G1200" s="6" t="inlineStr">
        <is>
          <t>pha</t>
        </is>
      </c>
      <c r="H1200" s="6" t="inlineStr">
        <is>
          <t>%</t>
        </is>
      </c>
      <c r="P1200" s="12">
        <f>INDIRECT_EFFECT("pha","pharma_share","pharma_elasticity",0,"Urban","median")</f>
        <v/>
      </c>
    </row>
    <row r="1201">
      <c r="D1201" s="6" t="inlineStr">
        <is>
          <t>median</t>
        </is>
      </c>
      <c r="E1201" s="6" t="inlineStr">
        <is>
          <t>Urban</t>
        </is>
      </c>
      <c r="F1201" s="6" t="inlineStr">
        <is>
          <t>Deciles</t>
        </is>
      </c>
      <c r="G1201" s="6" t="inlineStr">
        <is>
          <t>pha</t>
        </is>
      </c>
      <c r="H1201" s="6" t="inlineStr">
        <is>
          <t>%</t>
        </is>
      </c>
      <c r="Q1201" s="12">
        <f>INDIRECT_EFFECT("pha","pharma_share","pharma_elasticity",DECILE_ARRAY,"Urban","median")</f>
        <v/>
      </c>
    </row>
    <row r="1202">
      <c r="D1202" s="6" t="inlineStr">
        <is>
          <t>median</t>
        </is>
      </c>
      <c r="E1202" s="6" t="inlineStr">
        <is>
          <t>Rural</t>
        </is>
      </c>
      <c r="F1202" s="6" t="inlineStr">
        <is>
          <t>Basket</t>
        </is>
      </c>
      <c r="G1202" s="6" t="inlineStr">
        <is>
          <t>pha</t>
        </is>
      </c>
      <c r="H1202" s="6" t="inlineStr">
        <is>
          <t>%</t>
        </is>
      </c>
      <c r="P1202" s="12">
        <f>INDIRECT_EFFECT("pha","pharma_share","pharma_elasticity",0,"Rural","median")</f>
        <v/>
      </c>
    </row>
    <row r="1203">
      <c r="D1203" s="6" t="inlineStr">
        <is>
          <t>median</t>
        </is>
      </c>
      <c r="E1203" s="6" t="inlineStr">
        <is>
          <t>Rural</t>
        </is>
      </c>
      <c r="F1203" s="6" t="inlineStr">
        <is>
          <t>Deciles</t>
        </is>
      </c>
      <c r="G1203" s="6" t="inlineStr">
        <is>
          <t>pha</t>
        </is>
      </c>
      <c r="H1203" s="6" t="inlineStr">
        <is>
          <t>%</t>
        </is>
      </c>
      <c r="Q1203" s="12">
        <f>INDIRECT_EFFECT("pha","pharma_share","pharma_elasticity",DECILE_ARRAY,"Rural","median")</f>
        <v/>
      </c>
    </row>
    <row r="1204">
      <c r="D1204" s="6" t="inlineStr">
        <is>
          <t>p25</t>
        </is>
      </c>
      <c r="E1204" s="6" t="inlineStr">
        <is>
          <t>Overall</t>
        </is>
      </c>
      <c r="F1204" s="6" t="inlineStr">
        <is>
          <t>Basket</t>
        </is>
      </c>
      <c r="G1204" s="6" t="inlineStr">
        <is>
          <t>pha</t>
        </is>
      </c>
      <c r="H1204" s="6" t="inlineStr">
        <is>
          <t>%</t>
        </is>
      </c>
      <c r="P1204" s="12">
        <f>INDIRECT_EFFECT("pha","pharma_share","pharma_elasticity",0,"Overall","p25")</f>
        <v/>
      </c>
    </row>
    <row r="1205">
      <c r="D1205" s="6" t="inlineStr">
        <is>
          <t>p25</t>
        </is>
      </c>
      <c r="E1205" s="6" t="inlineStr">
        <is>
          <t>Overall</t>
        </is>
      </c>
      <c r="F1205" s="6" t="inlineStr">
        <is>
          <t>Deciles</t>
        </is>
      </c>
      <c r="G1205" s="6" t="inlineStr">
        <is>
          <t>pha</t>
        </is>
      </c>
      <c r="H1205" s="6" t="inlineStr">
        <is>
          <t>%</t>
        </is>
      </c>
      <c r="Q1205" s="12">
        <f>INDIRECT_EFFECT("pha","pharma_share","pharma_elasticity",DECILE_ARRAY,"Overall","p25")</f>
        <v/>
      </c>
    </row>
    <row r="1206">
      <c r="D1206" s="6" t="inlineStr">
        <is>
          <t>p25</t>
        </is>
      </c>
      <c r="E1206" s="6" t="inlineStr">
        <is>
          <t>Urban</t>
        </is>
      </c>
      <c r="F1206" s="6" t="inlineStr">
        <is>
          <t>Basket</t>
        </is>
      </c>
      <c r="G1206" s="6" t="inlineStr">
        <is>
          <t>pha</t>
        </is>
      </c>
      <c r="H1206" s="6" t="inlineStr">
        <is>
          <t>%</t>
        </is>
      </c>
      <c r="P1206" s="12">
        <f>INDIRECT_EFFECT("pha","pharma_share","pharma_elasticity",0,"Urban","p25")</f>
        <v/>
      </c>
    </row>
    <row r="1207">
      <c r="D1207" s="6" t="inlineStr">
        <is>
          <t>p25</t>
        </is>
      </c>
      <c r="E1207" s="6" t="inlineStr">
        <is>
          <t>Urban</t>
        </is>
      </c>
      <c r="F1207" s="6" t="inlineStr">
        <is>
          <t>Deciles</t>
        </is>
      </c>
      <c r="G1207" s="6" t="inlineStr">
        <is>
          <t>pha</t>
        </is>
      </c>
      <c r="H1207" s="6" t="inlineStr">
        <is>
          <t>%</t>
        </is>
      </c>
      <c r="Q1207" s="12">
        <f>INDIRECT_EFFECT("pha","pharma_share","pharma_elasticity",DECILE_ARRAY,"Urban","p25")</f>
        <v/>
      </c>
    </row>
    <row r="1208">
      <c r="D1208" s="6" t="inlineStr">
        <is>
          <t>p25</t>
        </is>
      </c>
      <c r="E1208" s="6" t="inlineStr">
        <is>
          <t>Rural</t>
        </is>
      </c>
      <c r="F1208" s="6" t="inlineStr">
        <is>
          <t>Basket</t>
        </is>
      </c>
      <c r="G1208" s="6" t="inlineStr">
        <is>
          <t>pha</t>
        </is>
      </c>
      <c r="H1208" s="6" t="inlineStr">
        <is>
          <t>%</t>
        </is>
      </c>
      <c r="P1208" s="12">
        <f>INDIRECT_EFFECT("pha","pharma_share","pharma_elasticity",0,"Rural","p25")</f>
        <v/>
      </c>
    </row>
    <row r="1209">
      <c r="D1209" s="6" t="inlineStr">
        <is>
          <t>p25</t>
        </is>
      </c>
      <c r="E1209" s="6" t="inlineStr">
        <is>
          <t>Rural</t>
        </is>
      </c>
      <c r="F1209" s="6" t="inlineStr">
        <is>
          <t>Deciles</t>
        </is>
      </c>
      <c r="G1209" s="6" t="inlineStr">
        <is>
          <t>pha</t>
        </is>
      </c>
      <c r="H1209" s="6" t="inlineStr">
        <is>
          <t>%</t>
        </is>
      </c>
      <c r="Q1209" s="12">
        <f>INDIRECT_EFFECT("pha","pharma_share","pharma_elasticity",DECILE_ARRAY,"Rural","p25")</f>
        <v/>
      </c>
    </row>
    <row r="1210">
      <c r="D1210" s="6" t="inlineStr">
        <is>
          <t>p75</t>
        </is>
      </c>
      <c r="E1210" s="6" t="inlineStr">
        <is>
          <t>Overall</t>
        </is>
      </c>
      <c r="F1210" s="6" t="inlineStr">
        <is>
          <t>Basket</t>
        </is>
      </c>
      <c r="G1210" s="6" t="inlineStr">
        <is>
          <t>pha</t>
        </is>
      </c>
      <c r="H1210" s="6" t="inlineStr">
        <is>
          <t>%</t>
        </is>
      </c>
      <c r="P1210" s="12">
        <f>INDIRECT_EFFECT("pha","pharma_share","pharma_elasticity",0,"Overall","p75")</f>
        <v/>
      </c>
    </row>
    <row r="1211">
      <c r="D1211" s="6" t="inlineStr">
        <is>
          <t>p75</t>
        </is>
      </c>
      <c r="E1211" s="6" t="inlineStr">
        <is>
          <t>Overall</t>
        </is>
      </c>
      <c r="F1211" s="6" t="inlineStr">
        <is>
          <t>Deciles</t>
        </is>
      </c>
      <c r="G1211" s="6" t="inlineStr">
        <is>
          <t>pha</t>
        </is>
      </c>
      <c r="H1211" s="6" t="inlineStr">
        <is>
          <t>%</t>
        </is>
      </c>
      <c r="Q1211" s="12">
        <f>INDIRECT_EFFECT("pha","pharma_share","pharma_elasticity",DECILE_ARRAY,"Overall","p75")</f>
        <v/>
      </c>
    </row>
    <row r="1212">
      <c r="D1212" s="6" t="inlineStr">
        <is>
          <t>p75</t>
        </is>
      </c>
      <c r="E1212" s="6" t="inlineStr">
        <is>
          <t>Urban</t>
        </is>
      </c>
      <c r="F1212" s="6" t="inlineStr">
        <is>
          <t>Basket</t>
        </is>
      </c>
      <c r="G1212" s="6" t="inlineStr">
        <is>
          <t>pha</t>
        </is>
      </c>
      <c r="H1212" s="6" t="inlineStr">
        <is>
          <t>%</t>
        </is>
      </c>
      <c r="P1212" s="12">
        <f>INDIRECT_EFFECT("pha","pharma_share","pharma_elasticity",0,"Urban","p75")</f>
        <v/>
      </c>
    </row>
    <row r="1213">
      <c r="D1213" s="6" t="inlineStr">
        <is>
          <t>p75</t>
        </is>
      </c>
      <c r="E1213" s="6" t="inlineStr">
        <is>
          <t>Urban</t>
        </is>
      </c>
      <c r="F1213" s="6" t="inlineStr">
        <is>
          <t>Deciles</t>
        </is>
      </c>
      <c r="G1213" s="6" t="inlineStr">
        <is>
          <t>pha</t>
        </is>
      </c>
      <c r="H1213" s="6" t="inlineStr">
        <is>
          <t>%</t>
        </is>
      </c>
      <c r="Q1213" s="12">
        <f>INDIRECT_EFFECT("pha","pharma_share","pharma_elasticity",DECILE_ARRAY,"Urban","p75")</f>
        <v/>
      </c>
    </row>
    <row r="1214">
      <c r="D1214" s="6" t="inlineStr">
        <is>
          <t>p75</t>
        </is>
      </c>
      <c r="E1214" s="6" t="inlineStr">
        <is>
          <t>Rural</t>
        </is>
      </c>
      <c r="F1214" s="6" t="inlineStr">
        <is>
          <t>Basket</t>
        </is>
      </c>
      <c r="G1214" s="6" t="inlineStr">
        <is>
          <t>pha</t>
        </is>
      </c>
      <c r="H1214" s="6" t="inlineStr">
        <is>
          <t>%</t>
        </is>
      </c>
      <c r="P1214" s="12">
        <f>INDIRECT_EFFECT("pha","pharma_share","pharma_elasticity",0,"Rural","p75")</f>
        <v/>
      </c>
    </row>
    <row r="1215">
      <c r="D1215" s="6" t="inlineStr">
        <is>
          <t>p75</t>
        </is>
      </c>
      <c r="E1215" s="6" t="inlineStr">
        <is>
          <t>Rural</t>
        </is>
      </c>
      <c r="F1215" s="6" t="inlineStr">
        <is>
          <t>Deciles</t>
        </is>
      </c>
      <c r="G1215" s="6" t="inlineStr">
        <is>
          <t>pha</t>
        </is>
      </c>
      <c r="H1215" s="6" t="inlineStr">
        <is>
          <t>%</t>
        </is>
      </c>
      <c r="Q1215" s="12">
        <f>INDIRECT_EFFECT("pha","pharma_share","pharma_elasticity",DECILE_ARRAY,"Rural","p75")</f>
        <v/>
      </c>
    </row>
    <row r="1217">
      <c r="C1217" s="7" t="inlineStr">
        <is>
          <t>Recreation/Tourism Indirect Effect (% Total Consumption)</t>
        </is>
      </c>
      <c r="G1217" s="6" t="inlineStr">
        <is>
          <t>ret</t>
        </is>
      </c>
      <c r="O1217" s="8" t="inlineStr">
        <is>
          <t>Decile --&gt;</t>
        </is>
      </c>
      <c r="Q1217" s="8" t="n">
        <v>1</v>
      </c>
      <c r="R1217" s="8" t="n">
        <v>2</v>
      </c>
      <c r="S1217" s="8" t="n">
        <v>3</v>
      </c>
      <c r="T1217" s="8" t="n">
        <v>4</v>
      </c>
      <c r="U1217" s="8" t="n">
        <v>5</v>
      </c>
      <c r="V1217" s="8" t="n">
        <v>6</v>
      </c>
      <c r="W1217" s="8" t="n">
        <v>7</v>
      </c>
      <c r="X1217" s="8" t="n">
        <v>8</v>
      </c>
      <c r="Y1217" s="8" t="n">
        <v>9</v>
      </c>
      <c r="Z1217" s="8" t="n">
        <v>10</v>
      </c>
    </row>
    <row r="1218">
      <c r="D1218" s="6" t="inlineStr">
        <is>
          <t>mean</t>
        </is>
      </c>
      <c r="E1218" s="6" t="inlineStr">
        <is>
          <t>Overall</t>
        </is>
      </c>
      <c r="F1218" s="6" t="inlineStr">
        <is>
          <t>Basket</t>
        </is>
      </c>
      <c r="G1218" s="6" t="inlineStr">
        <is>
          <t>ret</t>
        </is>
      </c>
      <c r="H1218" s="6" t="inlineStr">
        <is>
          <t>%</t>
        </is>
      </c>
      <c r="P1218" s="12">
        <f>INDIRECT_EFFECT("ret","rectourism_share","rectourism_elasticity",0,"Overall","mean")</f>
        <v/>
      </c>
    </row>
    <row r="1219">
      <c r="D1219" s="6" t="inlineStr">
        <is>
          <t>mean</t>
        </is>
      </c>
      <c r="E1219" s="6" t="inlineStr">
        <is>
          <t>Overall</t>
        </is>
      </c>
      <c r="F1219" s="6" t="inlineStr">
        <is>
          <t>Deciles</t>
        </is>
      </c>
      <c r="G1219" s="6" t="inlineStr">
        <is>
          <t>ret</t>
        </is>
      </c>
      <c r="H1219" s="6" t="inlineStr">
        <is>
          <t>%</t>
        </is>
      </c>
      <c r="Q1219" s="12">
        <f>INDIRECT_EFFECT("ret","rectourism_share","rectourism_elasticity",DECILE_ARRAY,"Overall","mean")</f>
        <v/>
      </c>
    </row>
    <row r="1220">
      <c r="D1220" s="6" t="inlineStr">
        <is>
          <t>mean</t>
        </is>
      </c>
      <c r="E1220" s="6" t="inlineStr">
        <is>
          <t>Urban</t>
        </is>
      </c>
      <c r="F1220" s="6" t="inlineStr">
        <is>
          <t>Basket</t>
        </is>
      </c>
      <c r="G1220" s="6" t="inlineStr">
        <is>
          <t>ret</t>
        </is>
      </c>
      <c r="H1220" s="6" t="inlineStr">
        <is>
          <t>%</t>
        </is>
      </c>
      <c r="P1220" s="12">
        <f>INDIRECT_EFFECT("ret","rectourism_share","rectourism_elasticity",0,"Urban","mean")</f>
        <v/>
      </c>
    </row>
    <row r="1221">
      <c r="D1221" s="6" t="inlineStr">
        <is>
          <t>mean</t>
        </is>
      </c>
      <c r="E1221" s="6" t="inlineStr">
        <is>
          <t>Urban</t>
        </is>
      </c>
      <c r="F1221" s="6" t="inlineStr">
        <is>
          <t>Deciles</t>
        </is>
      </c>
      <c r="G1221" s="6" t="inlineStr">
        <is>
          <t>ret</t>
        </is>
      </c>
      <c r="H1221" s="6" t="inlineStr">
        <is>
          <t>%</t>
        </is>
      </c>
      <c r="Q1221" s="12">
        <f>INDIRECT_EFFECT("ret","rectourism_share","rectourism_elasticity",DECILE_ARRAY,"Urban","mean")</f>
        <v/>
      </c>
    </row>
    <row r="1222">
      <c r="D1222" s="6" t="inlineStr">
        <is>
          <t>mean</t>
        </is>
      </c>
      <c r="E1222" s="6" t="inlineStr">
        <is>
          <t>Rural</t>
        </is>
      </c>
      <c r="F1222" s="6" t="inlineStr">
        <is>
          <t>Basket</t>
        </is>
      </c>
      <c r="G1222" s="6" t="inlineStr">
        <is>
          <t>ret</t>
        </is>
      </c>
      <c r="H1222" s="6" t="inlineStr">
        <is>
          <t>%</t>
        </is>
      </c>
      <c r="P1222" s="12">
        <f>INDIRECT_EFFECT("ret","rectourism_share","rectourism_elasticity",0,"Rural","mean")</f>
        <v/>
      </c>
    </row>
    <row r="1223">
      <c r="D1223" s="6" t="inlineStr">
        <is>
          <t>mean</t>
        </is>
      </c>
      <c r="E1223" s="6" t="inlineStr">
        <is>
          <t>Rural</t>
        </is>
      </c>
      <c r="F1223" s="6" t="inlineStr">
        <is>
          <t>Deciles</t>
        </is>
      </c>
      <c r="G1223" s="6" t="inlineStr">
        <is>
          <t>ret</t>
        </is>
      </c>
      <c r="H1223" s="6" t="inlineStr">
        <is>
          <t>%</t>
        </is>
      </c>
      <c r="Q1223" s="12">
        <f>INDIRECT_EFFECT("ret","rectourism_share","rectourism_elasticity",DECILE_ARRAY,"Rural","mean")</f>
        <v/>
      </c>
    </row>
    <row r="1224">
      <c r="D1224" s="6" t="inlineStr">
        <is>
          <t>median</t>
        </is>
      </c>
      <c r="E1224" s="6" t="inlineStr">
        <is>
          <t>Overall</t>
        </is>
      </c>
      <c r="F1224" s="6" t="inlineStr">
        <is>
          <t>Basket</t>
        </is>
      </c>
      <c r="G1224" s="6" t="inlineStr">
        <is>
          <t>ret</t>
        </is>
      </c>
      <c r="H1224" s="6" t="inlineStr">
        <is>
          <t>%</t>
        </is>
      </c>
      <c r="P1224" s="12">
        <f>INDIRECT_EFFECT("ret","rectourism_share","rectourism_elasticity",0,"Overall","median")</f>
        <v/>
      </c>
    </row>
    <row r="1225">
      <c r="D1225" s="6" t="inlineStr">
        <is>
          <t>median</t>
        </is>
      </c>
      <c r="E1225" s="6" t="inlineStr">
        <is>
          <t>Overall</t>
        </is>
      </c>
      <c r="F1225" s="6" t="inlineStr">
        <is>
          <t>Deciles</t>
        </is>
      </c>
      <c r="G1225" s="6" t="inlineStr">
        <is>
          <t>ret</t>
        </is>
      </c>
      <c r="H1225" s="6" t="inlineStr">
        <is>
          <t>%</t>
        </is>
      </c>
      <c r="Q1225" s="12">
        <f>INDIRECT_EFFECT("ret","rectourism_share","rectourism_elasticity",DECILE_ARRAY,"Overall","median")</f>
        <v/>
      </c>
    </row>
    <row r="1226">
      <c r="D1226" s="6" t="inlineStr">
        <is>
          <t>median</t>
        </is>
      </c>
      <c r="E1226" s="6" t="inlineStr">
        <is>
          <t>Urban</t>
        </is>
      </c>
      <c r="F1226" s="6" t="inlineStr">
        <is>
          <t>Basket</t>
        </is>
      </c>
      <c r="G1226" s="6" t="inlineStr">
        <is>
          <t>ret</t>
        </is>
      </c>
      <c r="H1226" s="6" t="inlineStr">
        <is>
          <t>%</t>
        </is>
      </c>
      <c r="P1226" s="12">
        <f>INDIRECT_EFFECT("ret","rectourism_share","rectourism_elasticity",0,"Urban","median")</f>
        <v/>
      </c>
    </row>
    <row r="1227">
      <c r="D1227" s="6" t="inlineStr">
        <is>
          <t>median</t>
        </is>
      </c>
      <c r="E1227" s="6" t="inlineStr">
        <is>
          <t>Urban</t>
        </is>
      </c>
      <c r="F1227" s="6" t="inlineStr">
        <is>
          <t>Deciles</t>
        </is>
      </c>
      <c r="G1227" s="6" t="inlineStr">
        <is>
          <t>ret</t>
        </is>
      </c>
      <c r="H1227" s="6" t="inlineStr">
        <is>
          <t>%</t>
        </is>
      </c>
      <c r="Q1227" s="12">
        <f>INDIRECT_EFFECT("ret","rectourism_share","rectourism_elasticity",DECILE_ARRAY,"Urban","median")</f>
        <v/>
      </c>
    </row>
    <row r="1228">
      <c r="D1228" s="6" t="inlineStr">
        <is>
          <t>median</t>
        </is>
      </c>
      <c r="E1228" s="6" t="inlineStr">
        <is>
          <t>Rural</t>
        </is>
      </c>
      <c r="F1228" s="6" t="inlineStr">
        <is>
          <t>Basket</t>
        </is>
      </c>
      <c r="G1228" s="6" t="inlineStr">
        <is>
          <t>ret</t>
        </is>
      </c>
      <c r="H1228" s="6" t="inlineStr">
        <is>
          <t>%</t>
        </is>
      </c>
      <c r="P1228" s="12">
        <f>INDIRECT_EFFECT("ret","rectourism_share","rectourism_elasticity",0,"Rural","median")</f>
        <v/>
      </c>
    </row>
    <row r="1229">
      <c r="D1229" s="6" t="inlineStr">
        <is>
          <t>median</t>
        </is>
      </c>
      <c r="E1229" s="6" t="inlineStr">
        <is>
          <t>Rural</t>
        </is>
      </c>
      <c r="F1229" s="6" t="inlineStr">
        <is>
          <t>Deciles</t>
        </is>
      </c>
      <c r="G1229" s="6" t="inlineStr">
        <is>
          <t>ret</t>
        </is>
      </c>
      <c r="H1229" s="6" t="inlineStr">
        <is>
          <t>%</t>
        </is>
      </c>
      <c r="Q1229" s="12">
        <f>INDIRECT_EFFECT("ret","rectourism_share","rectourism_elasticity",DECILE_ARRAY,"Rural","median")</f>
        <v/>
      </c>
    </row>
    <row r="1230">
      <c r="D1230" s="6" t="inlineStr">
        <is>
          <t>p25</t>
        </is>
      </c>
      <c r="E1230" s="6" t="inlineStr">
        <is>
          <t>Overall</t>
        </is>
      </c>
      <c r="F1230" s="6" t="inlineStr">
        <is>
          <t>Basket</t>
        </is>
      </c>
      <c r="G1230" s="6" t="inlineStr">
        <is>
          <t>ret</t>
        </is>
      </c>
      <c r="H1230" s="6" t="inlineStr">
        <is>
          <t>%</t>
        </is>
      </c>
      <c r="P1230" s="12">
        <f>INDIRECT_EFFECT("ret","rectourism_share","rectourism_elasticity",0,"Overall","p25")</f>
        <v/>
      </c>
    </row>
    <row r="1231">
      <c r="D1231" s="6" t="inlineStr">
        <is>
          <t>p25</t>
        </is>
      </c>
      <c r="E1231" s="6" t="inlineStr">
        <is>
          <t>Overall</t>
        </is>
      </c>
      <c r="F1231" s="6" t="inlineStr">
        <is>
          <t>Deciles</t>
        </is>
      </c>
      <c r="G1231" s="6" t="inlineStr">
        <is>
          <t>ret</t>
        </is>
      </c>
      <c r="H1231" s="6" t="inlineStr">
        <is>
          <t>%</t>
        </is>
      </c>
      <c r="Q1231" s="12">
        <f>INDIRECT_EFFECT("ret","rectourism_share","rectourism_elasticity",DECILE_ARRAY,"Overall","p25")</f>
        <v/>
      </c>
    </row>
    <row r="1232">
      <c r="D1232" s="6" t="inlineStr">
        <is>
          <t>p25</t>
        </is>
      </c>
      <c r="E1232" s="6" t="inlineStr">
        <is>
          <t>Urban</t>
        </is>
      </c>
      <c r="F1232" s="6" t="inlineStr">
        <is>
          <t>Basket</t>
        </is>
      </c>
      <c r="G1232" s="6" t="inlineStr">
        <is>
          <t>ret</t>
        </is>
      </c>
      <c r="H1232" s="6" t="inlineStr">
        <is>
          <t>%</t>
        </is>
      </c>
      <c r="P1232" s="12">
        <f>INDIRECT_EFFECT("ret","rectourism_share","rectourism_elasticity",0,"Urban","p25")</f>
        <v/>
      </c>
    </row>
    <row r="1233">
      <c r="D1233" s="6" t="inlineStr">
        <is>
          <t>p25</t>
        </is>
      </c>
      <c r="E1233" s="6" t="inlineStr">
        <is>
          <t>Urban</t>
        </is>
      </c>
      <c r="F1233" s="6" t="inlineStr">
        <is>
          <t>Deciles</t>
        </is>
      </c>
      <c r="G1233" s="6" t="inlineStr">
        <is>
          <t>ret</t>
        </is>
      </c>
      <c r="H1233" s="6" t="inlineStr">
        <is>
          <t>%</t>
        </is>
      </c>
      <c r="Q1233" s="12">
        <f>INDIRECT_EFFECT("ret","rectourism_share","rectourism_elasticity",DECILE_ARRAY,"Urban","p25")</f>
        <v/>
      </c>
    </row>
    <row r="1234">
      <c r="D1234" s="6" t="inlineStr">
        <is>
          <t>p25</t>
        </is>
      </c>
      <c r="E1234" s="6" t="inlineStr">
        <is>
          <t>Rural</t>
        </is>
      </c>
      <c r="F1234" s="6" t="inlineStr">
        <is>
          <t>Basket</t>
        </is>
      </c>
      <c r="G1234" s="6" t="inlineStr">
        <is>
          <t>ret</t>
        </is>
      </c>
      <c r="H1234" s="6" t="inlineStr">
        <is>
          <t>%</t>
        </is>
      </c>
      <c r="P1234" s="12">
        <f>INDIRECT_EFFECT("ret","rectourism_share","rectourism_elasticity",0,"Rural","p25")</f>
        <v/>
      </c>
    </row>
    <row r="1235">
      <c r="D1235" s="6" t="inlineStr">
        <is>
          <t>p25</t>
        </is>
      </c>
      <c r="E1235" s="6" t="inlineStr">
        <is>
          <t>Rural</t>
        </is>
      </c>
      <c r="F1235" s="6" t="inlineStr">
        <is>
          <t>Deciles</t>
        </is>
      </c>
      <c r="G1235" s="6" t="inlineStr">
        <is>
          <t>ret</t>
        </is>
      </c>
      <c r="H1235" s="6" t="inlineStr">
        <is>
          <t>%</t>
        </is>
      </c>
      <c r="Q1235" s="12">
        <f>INDIRECT_EFFECT("ret","rectourism_share","rectourism_elasticity",DECILE_ARRAY,"Rural","p25")</f>
        <v/>
      </c>
    </row>
    <row r="1236">
      <c r="D1236" s="6" t="inlineStr">
        <is>
          <t>p75</t>
        </is>
      </c>
      <c r="E1236" s="6" t="inlineStr">
        <is>
          <t>Overall</t>
        </is>
      </c>
      <c r="F1236" s="6" t="inlineStr">
        <is>
          <t>Basket</t>
        </is>
      </c>
      <c r="G1236" s="6" t="inlineStr">
        <is>
          <t>ret</t>
        </is>
      </c>
      <c r="H1236" s="6" t="inlineStr">
        <is>
          <t>%</t>
        </is>
      </c>
      <c r="P1236" s="12">
        <f>INDIRECT_EFFECT("ret","rectourism_share","rectourism_elasticity",0,"Overall","p75")</f>
        <v/>
      </c>
    </row>
    <row r="1237">
      <c r="D1237" s="6" t="inlineStr">
        <is>
          <t>p75</t>
        </is>
      </c>
      <c r="E1237" s="6" t="inlineStr">
        <is>
          <t>Overall</t>
        </is>
      </c>
      <c r="F1237" s="6" t="inlineStr">
        <is>
          <t>Deciles</t>
        </is>
      </c>
      <c r="G1237" s="6" t="inlineStr">
        <is>
          <t>ret</t>
        </is>
      </c>
      <c r="H1237" s="6" t="inlineStr">
        <is>
          <t>%</t>
        </is>
      </c>
      <c r="Q1237" s="12">
        <f>INDIRECT_EFFECT("ret","rectourism_share","rectourism_elasticity",DECILE_ARRAY,"Overall","p75")</f>
        <v/>
      </c>
    </row>
    <row r="1238">
      <c r="D1238" s="6" t="inlineStr">
        <is>
          <t>p75</t>
        </is>
      </c>
      <c r="E1238" s="6" t="inlineStr">
        <is>
          <t>Urban</t>
        </is>
      </c>
      <c r="F1238" s="6" t="inlineStr">
        <is>
          <t>Basket</t>
        </is>
      </c>
      <c r="G1238" s="6" t="inlineStr">
        <is>
          <t>ret</t>
        </is>
      </c>
      <c r="H1238" s="6" t="inlineStr">
        <is>
          <t>%</t>
        </is>
      </c>
      <c r="P1238" s="12">
        <f>INDIRECT_EFFECT("ret","rectourism_share","rectourism_elasticity",0,"Urban","p75")</f>
        <v/>
      </c>
    </row>
    <row r="1239">
      <c r="D1239" s="6" t="inlineStr">
        <is>
          <t>p75</t>
        </is>
      </c>
      <c r="E1239" s="6" t="inlineStr">
        <is>
          <t>Urban</t>
        </is>
      </c>
      <c r="F1239" s="6" t="inlineStr">
        <is>
          <t>Deciles</t>
        </is>
      </c>
      <c r="G1239" s="6" t="inlineStr">
        <is>
          <t>ret</t>
        </is>
      </c>
      <c r="H1239" s="6" t="inlineStr">
        <is>
          <t>%</t>
        </is>
      </c>
      <c r="Q1239" s="12">
        <f>INDIRECT_EFFECT("ret","rectourism_share","rectourism_elasticity",DECILE_ARRAY,"Urban","p75")</f>
        <v/>
      </c>
    </row>
    <row r="1240">
      <c r="D1240" s="6" t="inlineStr">
        <is>
          <t>p75</t>
        </is>
      </c>
      <c r="E1240" s="6" t="inlineStr">
        <is>
          <t>Rural</t>
        </is>
      </c>
      <c r="F1240" s="6" t="inlineStr">
        <is>
          <t>Basket</t>
        </is>
      </c>
      <c r="G1240" s="6" t="inlineStr">
        <is>
          <t>ret</t>
        </is>
      </c>
      <c r="H1240" s="6" t="inlineStr">
        <is>
          <t>%</t>
        </is>
      </c>
      <c r="P1240" s="12">
        <f>INDIRECT_EFFECT("ret","rectourism_share","rectourism_elasticity",0,"Rural","p75")</f>
        <v/>
      </c>
    </row>
    <row r="1241">
      <c r="D1241" s="6" t="inlineStr">
        <is>
          <t>p75</t>
        </is>
      </c>
      <c r="E1241" s="6" t="inlineStr">
        <is>
          <t>Rural</t>
        </is>
      </c>
      <c r="F1241" s="6" t="inlineStr">
        <is>
          <t>Deciles</t>
        </is>
      </c>
      <c r="G1241" s="6" t="inlineStr">
        <is>
          <t>ret</t>
        </is>
      </c>
      <c r="H1241" s="6" t="inlineStr">
        <is>
          <t>%</t>
        </is>
      </c>
      <c r="Q1241" s="12">
        <f>INDIRECT_EFFECT("ret","rectourism_share","rectourism_elasticity",DECILE_ARRAY,"Rural","p75")</f>
        <v/>
      </c>
    </row>
    <row r="1243">
      <c r="C1243" s="7" t="inlineStr">
        <is>
          <t>Transportation Equipment Indirect Effect (% Total Consumption)</t>
        </is>
      </c>
      <c r="G1243" s="6" t="inlineStr">
        <is>
          <t>teq</t>
        </is>
      </c>
      <c r="O1243" s="8" t="inlineStr">
        <is>
          <t>Decile --&gt;</t>
        </is>
      </c>
      <c r="Q1243" s="8" t="n">
        <v>1</v>
      </c>
      <c r="R1243" s="8" t="n">
        <v>2</v>
      </c>
      <c r="S1243" s="8" t="n">
        <v>3</v>
      </c>
      <c r="T1243" s="8" t="n">
        <v>4</v>
      </c>
      <c r="U1243" s="8" t="n">
        <v>5</v>
      </c>
      <c r="V1243" s="8" t="n">
        <v>6</v>
      </c>
      <c r="W1243" s="8" t="n">
        <v>7</v>
      </c>
      <c r="X1243" s="8" t="n">
        <v>8</v>
      </c>
      <c r="Y1243" s="8" t="n">
        <v>9</v>
      </c>
      <c r="Z1243" s="8" t="n">
        <v>10</v>
      </c>
    </row>
    <row r="1244">
      <c r="D1244" s="6" t="inlineStr">
        <is>
          <t>mean</t>
        </is>
      </c>
      <c r="E1244" s="6" t="inlineStr">
        <is>
          <t>Overall</t>
        </is>
      </c>
      <c r="F1244" s="6" t="inlineStr">
        <is>
          <t>Basket</t>
        </is>
      </c>
      <c r="G1244" s="6" t="inlineStr">
        <is>
          <t>teq</t>
        </is>
      </c>
      <c r="H1244" s="6" t="inlineStr">
        <is>
          <t>%</t>
        </is>
      </c>
      <c r="P1244" s="12">
        <f>INDIRECT_EFFECT("teq","transp_eqt_share","transp_eqt_elasticity",0,"Overall","mean")</f>
        <v/>
      </c>
    </row>
    <row r="1245">
      <c r="D1245" s="6" t="inlineStr">
        <is>
          <t>mean</t>
        </is>
      </c>
      <c r="E1245" s="6" t="inlineStr">
        <is>
          <t>Overall</t>
        </is>
      </c>
      <c r="F1245" s="6" t="inlineStr">
        <is>
          <t>Deciles</t>
        </is>
      </c>
      <c r="G1245" s="6" t="inlineStr">
        <is>
          <t>teq</t>
        </is>
      </c>
      <c r="H1245" s="6" t="inlineStr">
        <is>
          <t>%</t>
        </is>
      </c>
      <c r="Q1245" s="12">
        <f>INDIRECT_EFFECT("teq","transp_eqt_share","transp_eqt_elasticity",DECILE_ARRAY,"Overall","mean")</f>
        <v/>
      </c>
    </row>
    <row r="1246">
      <c r="D1246" s="6" t="inlineStr">
        <is>
          <t>mean</t>
        </is>
      </c>
      <c r="E1246" s="6" t="inlineStr">
        <is>
          <t>Urban</t>
        </is>
      </c>
      <c r="F1246" s="6" t="inlineStr">
        <is>
          <t>Basket</t>
        </is>
      </c>
      <c r="G1246" s="6" t="inlineStr">
        <is>
          <t>teq</t>
        </is>
      </c>
      <c r="H1246" s="6" t="inlineStr">
        <is>
          <t>%</t>
        </is>
      </c>
      <c r="P1246" s="12">
        <f>INDIRECT_EFFECT("teq","transp_eqt_share","transp_eqt_elasticity",0,"Urban","mean")</f>
        <v/>
      </c>
    </row>
    <row r="1247">
      <c r="D1247" s="6" t="inlineStr">
        <is>
          <t>mean</t>
        </is>
      </c>
      <c r="E1247" s="6" t="inlineStr">
        <is>
          <t>Urban</t>
        </is>
      </c>
      <c r="F1247" s="6" t="inlineStr">
        <is>
          <t>Deciles</t>
        </is>
      </c>
      <c r="G1247" s="6" t="inlineStr">
        <is>
          <t>teq</t>
        </is>
      </c>
      <c r="H1247" s="6" t="inlineStr">
        <is>
          <t>%</t>
        </is>
      </c>
      <c r="Q1247" s="12">
        <f>INDIRECT_EFFECT("teq","transp_eqt_share","transp_eqt_elasticity",DECILE_ARRAY,"Urban","mean")</f>
        <v/>
      </c>
    </row>
    <row r="1248">
      <c r="D1248" s="6" t="inlineStr">
        <is>
          <t>mean</t>
        </is>
      </c>
      <c r="E1248" s="6" t="inlineStr">
        <is>
          <t>Rural</t>
        </is>
      </c>
      <c r="F1248" s="6" t="inlineStr">
        <is>
          <t>Basket</t>
        </is>
      </c>
      <c r="G1248" s="6" t="inlineStr">
        <is>
          <t>teq</t>
        </is>
      </c>
      <c r="H1248" s="6" t="inlineStr">
        <is>
          <t>%</t>
        </is>
      </c>
      <c r="P1248" s="12">
        <f>INDIRECT_EFFECT("teq","transp_eqt_share","transp_eqt_elasticity",0,"Rural","mean")</f>
        <v/>
      </c>
    </row>
    <row r="1249">
      <c r="D1249" s="6" t="inlineStr">
        <is>
          <t>mean</t>
        </is>
      </c>
      <c r="E1249" s="6" t="inlineStr">
        <is>
          <t>Rural</t>
        </is>
      </c>
      <c r="F1249" s="6" t="inlineStr">
        <is>
          <t>Deciles</t>
        </is>
      </c>
      <c r="G1249" s="6" t="inlineStr">
        <is>
          <t>teq</t>
        </is>
      </c>
      <c r="H1249" s="6" t="inlineStr">
        <is>
          <t>%</t>
        </is>
      </c>
      <c r="Q1249" s="12">
        <f>INDIRECT_EFFECT("teq","transp_eqt_share","transp_eqt_elasticity",DECILE_ARRAY,"Rural","mean")</f>
        <v/>
      </c>
    </row>
    <row r="1250">
      <c r="D1250" s="6" t="inlineStr">
        <is>
          <t>median</t>
        </is>
      </c>
      <c r="E1250" s="6" t="inlineStr">
        <is>
          <t>Overall</t>
        </is>
      </c>
      <c r="F1250" s="6" t="inlineStr">
        <is>
          <t>Basket</t>
        </is>
      </c>
      <c r="G1250" s="6" t="inlineStr">
        <is>
          <t>teq</t>
        </is>
      </c>
      <c r="H1250" s="6" t="inlineStr">
        <is>
          <t>%</t>
        </is>
      </c>
      <c r="P1250" s="12">
        <f>INDIRECT_EFFECT("teq","transp_eqt_share","transp_eqt_elasticity",0,"Overall","median")</f>
        <v/>
      </c>
    </row>
    <row r="1251">
      <c r="D1251" s="6" t="inlineStr">
        <is>
          <t>median</t>
        </is>
      </c>
      <c r="E1251" s="6" t="inlineStr">
        <is>
          <t>Overall</t>
        </is>
      </c>
      <c r="F1251" s="6" t="inlineStr">
        <is>
          <t>Deciles</t>
        </is>
      </c>
      <c r="G1251" s="6" t="inlineStr">
        <is>
          <t>teq</t>
        </is>
      </c>
      <c r="H1251" s="6" t="inlineStr">
        <is>
          <t>%</t>
        </is>
      </c>
      <c r="Q1251" s="12">
        <f>INDIRECT_EFFECT("teq","transp_eqt_share","transp_eqt_elasticity",DECILE_ARRAY,"Overall","median")</f>
        <v/>
      </c>
    </row>
    <row r="1252">
      <c r="D1252" s="6" t="inlineStr">
        <is>
          <t>median</t>
        </is>
      </c>
      <c r="E1252" s="6" t="inlineStr">
        <is>
          <t>Urban</t>
        </is>
      </c>
      <c r="F1252" s="6" t="inlineStr">
        <is>
          <t>Basket</t>
        </is>
      </c>
      <c r="G1252" s="6" t="inlineStr">
        <is>
          <t>teq</t>
        </is>
      </c>
      <c r="H1252" s="6" t="inlineStr">
        <is>
          <t>%</t>
        </is>
      </c>
      <c r="P1252" s="12">
        <f>INDIRECT_EFFECT("teq","transp_eqt_share","transp_eqt_elasticity",0,"Urban","median")</f>
        <v/>
      </c>
    </row>
    <row r="1253">
      <c r="D1253" s="6" t="inlineStr">
        <is>
          <t>median</t>
        </is>
      </c>
      <c r="E1253" s="6" t="inlineStr">
        <is>
          <t>Urban</t>
        </is>
      </c>
      <c r="F1253" s="6" t="inlineStr">
        <is>
          <t>Deciles</t>
        </is>
      </c>
      <c r="G1253" s="6" t="inlineStr">
        <is>
          <t>teq</t>
        </is>
      </c>
      <c r="H1253" s="6" t="inlineStr">
        <is>
          <t>%</t>
        </is>
      </c>
      <c r="Q1253" s="12">
        <f>INDIRECT_EFFECT("teq","transp_eqt_share","transp_eqt_elasticity",DECILE_ARRAY,"Urban","median")</f>
        <v/>
      </c>
    </row>
    <row r="1254">
      <c r="D1254" s="6" t="inlineStr">
        <is>
          <t>median</t>
        </is>
      </c>
      <c r="E1254" s="6" t="inlineStr">
        <is>
          <t>Rural</t>
        </is>
      </c>
      <c r="F1254" s="6" t="inlineStr">
        <is>
          <t>Basket</t>
        </is>
      </c>
      <c r="G1254" s="6" t="inlineStr">
        <is>
          <t>teq</t>
        </is>
      </c>
      <c r="H1254" s="6" t="inlineStr">
        <is>
          <t>%</t>
        </is>
      </c>
      <c r="P1254" s="12">
        <f>INDIRECT_EFFECT("teq","transp_eqt_share","transp_eqt_elasticity",0,"Rural","median")</f>
        <v/>
      </c>
    </row>
    <row r="1255">
      <c r="D1255" s="6" t="inlineStr">
        <is>
          <t>median</t>
        </is>
      </c>
      <c r="E1255" s="6" t="inlineStr">
        <is>
          <t>Rural</t>
        </is>
      </c>
      <c r="F1255" s="6" t="inlineStr">
        <is>
          <t>Deciles</t>
        </is>
      </c>
      <c r="G1255" s="6" t="inlineStr">
        <is>
          <t>teq</t>
        </is>
      </c>
      <c r="H1255" s="6" t="inlineStr">
        <is>
          <t>%</t>
        </is>
      </c>
      <c r="Q1255" s="12">
        <f>INDIRECT_EFFECT("teq","transp_eqt_share","transp_eqt_elasticity",DECILE_ARRAY,"Rural","median")</f>
        <v/>
      </c>
    </row>
    <row r="1256">
      <c r="D1256" s="6" t="inlineStr">
        <is>
          <t>p25</t>
        </is>
      </c>
      <c r="E1256" s="6" t="inlineStr">
        <is>
          <t>Overall</t>
        </is>
      </c>
      <c r="F1256" s="6" t="inlineStr">
        <is>
          <t>Basket</t>
        </is>
      </c>
      <c r="G1256" s="6" t="inlineStr">
        <is>
          <t>teq</t>
        </is>
      </c>
      <c r="H1256" s="6" t="inlineStr">
        <is>
          <t>%</t>
        </is>
      </c>
      <c r="P1256" s="12">
        <f>INDIRECT_EFFECT("teq","transp_eqt_share","transp_eqt_elasticity",0,"Overall","p25")</f>
        <v/>
      </c>
    </row>
    <row r="1257">
      <c r="D1257" s="6" t="inlineStr">
        <is>
          <t>p25</t>
        </is>
      </c>
      <c r="E1257" s="6" t="inlineStr">
        <is>
          <t>Overall</t>
        </is>
      </c>
      <c r="F1257" s="6" t="inlineStr">
        <is>
          <t>Deciles</t>
        </is>
      </c>
      <c r="G1257" s="6" t="inlineStr">
        <is>
          <t>teq</t>
        </is>
      </c>
      <c r="H1257" s="6" t="inlineStr">
        <is>
          <t>%</t>
        </is>
      </c>
      <c r="Q1257" s="12">
        <f>INDIRECT_EFFECT("teq","transp_eqt_share","transp_eqt_elasticity",DECILE_ARRAY,"Overall","p25")</f>
        <v/>
      </c>
    </row>
    <row r="1258">
      <c r="D1258" s="6" t="inlineStr">
        <is>
          <t>p25</t>
        </is>
      </c>
      <c r="E1258" s="6" t="inlineStr">
        <is>
          <t>Urban</t>
        </is>
      </c>
      <c r="F1258" s="6" t="inlineStr">
        <is>
          <t>Basket</t>
        </is>
      </c>
      <c r="G1258" s="6" t="inlineStr">
        <is>
          <t>teq</t>
        </is>
      </c>
      <c r="H1258" s="6" t="inlineStr">
        <is>
          <t>%</t>
        </is>
      </c>
      <c r="P1258" s="12">
        <f>INDIRECT_EFFECT("teq","transp_eqt_share","transp_eqt_elasticity",0,"Urban","p25")</f>
        <v/>
      </c>
    </row>
    <row r="1259">
      <c r="D1259" s="6" t="inlineStr">
        <is>
          <t>p25</t>
        </is>
      </c>
      <c r="E1259" s="6" t="inlineStr">
        <is>
          <t>Urban</t>
        </is>
      </c>
      <c r="F1259" s="6" t="inlineStr">
        <is>
          <t>Deciles</t>
        </is>
      </c>
      <c r="G1259" s="6" t="inlineStr">
        <is>
          <t>teq</t>
        </is>
      </c>
      <c r="H1259" s="6" t="inlineStr">
        <is>
          <t>%</t>
        </is>
      </c>
      <c r="Q1259" s="12">
        <f>INDIRECT_EFFECT("teq","transp_eqt_share","transp_eqt_elasticity",DECILE_ARRAY,"Urban","p25")</f>
        <v/>
      </c>
    </row>
    <row r="1260">
      <c r="D1260" s="6" t="inlineStr">
        <is>
          <t>p25</t>
        </is>
      </c>
      <c r="E1260" s="6" t="inlineStr">
        <is>
          <t>Rural</t>
        </is>
      </c>
      <c r="F1260" s="6" t="inlineStr">
        <is>
          <t>Basket</t>
        </is>
      </c>
      <c r="G1260" s="6" t="inlineStr">
        <is>
          <t>teq</t>
        </is>
      </c>
      <c r="H1260" s="6" t="inlineStr">
        <is>
          <t>%</t>
        </is>
      </c>
      <c r="P1260" s="12">
        <f>INDIRECT_EFFECT("teq","transp_eqt_share","transp_eqt_elasticity",0,"Rural","p25")</f>
        <v/>
      </c>
    </row>
    <row r="1261">
      <c r="D1261" s="6" t="inlineStr">
        <is>
          <t>p25</t>
        </is>
      </c>
      <c r="E1261" s="6" t="inlineStr">
        <is>
          <t>Rural</t>
        </is>
      </c>
      <c r="F1261" s="6" t="inlineStr">
        <is>
          <t>Deciles</t>
        </is>
      </c>
      <c r="G1261" s="6" t="inlineStr">
        <is>
          <t>teq</t>
        </is>
      </c>
      <c r="H1261" s="6" t="inlineStr">
        <is>
          <t>%</t>
        </is>
      </c>
      <c r="Q1261" s="12">
        <f>INDIRECT_EFFECT("teq","transp_eqt_share","transp_eqt_elasticity",DECILE_ARRAY,"Rural","p25")</f>
        <v/>
      </c>
    </row>
    <row r="1262">
      <c r="D1262" s="6" t="inlineStr">
        <is>
          <t>p75</t>
        </is>
      </c>
      <c r="E1262" s="6" t="inlineStr">
        <is>
          <t>Overall</t>
        </is>
      </c>
      <c r="F1262" s="6" t="inlineStr">
        <is>
          <t>Basket</t>
        </is>
      </c>
      <c r="G1262" s="6" t="inlineStr">
        <is>
          <t>teq</t>
        </is>
      </c>
      <c r="H1262" s="6" t="inlineStr">
        <is>
          <t>%</t>
        </is>
      </c>
      <c r="P1262" s="12">
        <f>INDIRECT_EFFECT("teq","transp_eqt_share","transp_eqt_elasticity",0,"Overall","p75")</f>
        <v/>
      </c>
    </row>
    <row r="1263">
      <c r="D1263" s="6" t="inlineStr">
        <is>
          <t>p75</t>
        </is>
      </c>
      <c r="E1263" s="6" t="inlineStr">
        <is>
          <t>Overall</t>
        </is>
      </c>
      <c r="F1263" s="6" t="inlineStr">
        <is>
          <t>Deciles</t>
        </is>
      </c>
      <c r="G1263" s="6" t="inlineStr">
        <is>
          <t>teq</t>
        </is>
      </c>
      <c r="H1263" s="6" t="inlineStr">
        <is>
          <t>%</t>
        </is>
      </c>
      <c r="Q1263" s="12">
        <f>INDIRECT_EFFECT("teq","transp_eqt_share","transp_eqt_elasticity",DECILE_ARRAY,"Overall","p75")</f>
        <v/>
      </c>
    </row>
    <row r="1264">
      <c r="D1264" s="6" t="inlineStr">
        <is>
          <t>p75</t>
        </is>
      </c>
      <c r="E1264" s="6" t="inlineStr">
        <is>
          <t>Urban</t>
        </is>
      </c>
      <c r="F1264" s="6" t="inlineStr">
        <is>
          <t>Basket</t>
        </is>
      </c>
      <c r="G1264" s="6" t="inlineStr">
        <is>
          <t>teq</t>
        </is>
      </c>
      <c r="H1264" s="6" t="inlineStr">
        <is>
          <t>%</t>
        </is>
      </c>
      <c r="P1264" s="12">
        <f>INDIRECT_EFFECT("teq","transp_eqt_share","transp_eqt_elasticity",0,"Urban","p75")</f>
        <v/>
      </c>
    </row>
    <row r="1265">
      <c r="D1265" s="6" t="inlineStr">
        <is>
          <t>p75</t>
        </is>
      </c>
      <c r="E1265" s="6" t="inlineStr">
        <is>
          <t>Urban</t>
        </is>
      </c>
      <c r="F1265" s="6" t="inlineStr">
        <is>
          <t>Deciles</t>
        </is>
      </c>
      <c r="G1265" s="6" t="inlineStr">
        <is>
          <t>teq</t>
        </is>
      </c>
      <c r="H1265" s="6" t="inlineStr">
        <is>
          <t>%</t>
        </is>
      </c>
      <c r="Q1265" s="12">
        <f>INDIRECT_EFFECT("teq","transp_eqt_share","transp_eqt_elasticity",DECILE_ARRAY,"Urban","p75")</f>
        <v/>
      </c>
    </row>
    <row r="1266">
      <c r="D1266" s="6" t="inlineStr">
        <is>
          <t>p75</t>
        </is>
      </c>
      <c r="E1266" s="6" t="inlineStr">
        <is>
          <t>Rural</t>
        </is>
      </c>
      <c r="F1266" s="6" t="inlineStr">
        <is>
          <t>Basket</t>
        </is>
      </c>
      <c r="G1266" s="6" t="inlineStr">
        <is>
          <t>teq</t>
        </is>
      </c>
      <c r="H1266" s="6" t="inlineStr">
        <is>
          <t>%</t>
        </is>
      </c>
      <c r="P1266" s="12">
        <f>INDIRECT_EFFECT("teq","transp_eqt_share","transp_eqt_elasticity",0,"Rural","p75")</f>
        <v/>
      </c>
    </row>
    <row r="1267">
      <c r="D1267" s="6" t="inlineStr">
        <is>
          <t>p75</t>
        </is>
      </c>
      <c r="E1267" s="6" t="inlineStr">
        <is>
          <t>Rural</t>
        </is>
      </c>
      <c r="F1267" s="6" t="inlineStr">
        <is>
          <t>Deciles</t>
        </is>
      </c>
      <c r="G1267" s="6" t="inlineStr">
        <is>
          <t>teq</t>
        </is>
      </c>
      <c r="H1267" s="6" t="inlineStr">
        <is>
          <t>%</t>
        </is>
      </c>
      <c r="Q1267" s="12">
        <f>INDIRECT_EFFECT("teq","transp_eqt_share","transp_eqt_elasticity",DECILE_ARRAY,"Rural","p75")</f>
        <v/>
      </c>
    </row>
    <row r="1269">
      <c r="C1269" s="7" t="inlineStr">
        <is>
          <t>Public Transportation Indirect Effect (% Total Consumption)</t>
        </is>
      </c>
      <c r="G1269" s="6" t="inlineStr">
        <is>
          <t>tpu</t>
        </is>
      </c>
      <c r="O1269" s="8" t="inlineStr">
        <is>
          <t>Decile --&gt;</t>
        </is>
      </c>
      <c r="Q1269" s="8" t="n">
        <v>1</v>
      </c>
      <c r="R1269" s="8" t="n">
        <v>2</v>
      </c>
      <c r="S1269" s="8" t="n">
        <v>3</v>
      </c>
      <c r="T1269" s="8" t="n">
        <v>4</v>
      </c>
      <c r="U1269" s="8" t="n">
        <v>5</v>
      </c>
      <c r="V1269" s="8" t="n">
        <v>6</v>
      </c>
      <c r="W1269" s="8" t="n">
        <v>7</v>
      </c>
      <c r="X1269" s="8" t="n">
        <v>8</v>
      </c>
      <c r="Y1269" s="8" t="n">
        <v>9</v>
      </c>
      <c r="Z1269" s="8" t="n">
        <v>10</v>
      </c>
    </row>
    <row r="1270">
      <c r="D1270" s="6" t="inlineStr">
        <is>
          <t>mean</t>
        </is>
      </c>
      <c r="E1270" s="6" t="inlineStr">
        <is>
          <t>Overall</t>
        </is>
      </c>
      <c r="F1270" s="6" t="inlineStr">
        <is>
          <t>Basket</t>
        </is>
      </c>
      <c r="G1270" s="6" t="inlineStr">
        <is>
          <t>tpu</t>
        </is>
      </c>
      <c r="H1270" s="6" t="inlineStr">
        <is>
          <t>%</t>
        </is>
      </c>
      <c r="P1270" s="12">
        <f>INDIRECT_EFFECT("tpu","transp_pub_share","transp_pub_elasticity",0,"Overall","mean")</f>
        <v/>
      </c>
    </row>
    <row r="1271">
      <c r="D1271" s="6" t="inlineStr">
        <is>
          <t>mean</t>
        </is>
      </c>
      <c r="E1271" s="6" t="inlineStr">
        <is>
          <t>Overall</t>
        </is>
      </c>
      <c r="F1271" s="6" t="inlineStr">
        <is>
          <t>Deciles</t>
        </is>
      </c>
      <c r="G1271" s="6" t="inlineStr">
        <is>
          <t>tpu</t>
        </is>
      </c>
      <c r="H1271" s="6" t="inlineStr">
        <is>
          <t>%</t>
        </is>
      </c>
      <c r="Q1271" s="12">
        <f>INDIRECT_EFFECT("tpu","transp_pub_share","transp_pub_elasticity",DECILE_ARRAY,"Overall","mean")</f>
        <v/>
      </c>
    </row>
    <row r="1272">
      <c r="D1272" s="6" t="inlineStr">
        <is>
          <t>mean</t>
        </is>
      </c>
      <c r="E1272" s="6" t="inlineStr">
        <is>
          <t>Urban</t>
        </is>
      </c>
      <c r="F1272" s="6" t="inlineStr">
        <is>
          <t>Basket</t>
        </is>
      </c>
      <c r="G1272" s="6" t="inlineStr">
        <is>
          <t>tpu</t>
        </is>
      </c>
      <c r="H1272" s="6" t="inlineStr">
        <is>
          <t>%</t>
        </is>
      </c>
      <c r="P1272" s="12">
        <f>INDIRECT_EFFECT("tpu","transp_pub_share","transp_pub_elasticity",0,"Urban","mean")</f>
        <v/>
      </c>
    </row>
    <row r="1273">
      <c r="D1273" s="6" t="inlineStr">
        <is>
          <t>mean</t>
        </is>
      </c>
      <c r="E1273" s="6" t="inlineStr">
        <is>
          <t>Urban</t>
        </is>
      </c>
      <c r="F1273" s="6" t="inlineStr">
        <is>
          <t>Deciles</t>
        </is>
      </c>
      <c r="G1273" s="6" t="inlineStr">
        <is>
          <t>tpu</t>
        </is>
      </c>
      <c r="H1273" s="6" t="inlineStr">
        <is>
          <t>%</t>
        </is>
      </c>
      <c r="Q1273" s="12">
        <f>INDIRECT_EFFECT("tpu","transp_pub_share","transp_pub_elasticity",DECILE_ARRAY,"Urban","mean")</f>
        <v/>
      </c>
    </row>
    <row r="1274">
      <c r="D1274" s="6" t="inlineStr">
        <is>
          <t>mean</t>
        </is>
      </c>
      <c r="E1274" s="6" t="inlineStr">
        <is>
          <t>Rural</t>
        </is>
      </c>
      <c r="F1274" s="6" t="inlineStr">
        <is>
          <t>Basket</t>
        </is>
      </c>
      <c r="G1274" s="6" t="inlineStr">
        <is>
          <t>tpu</t>
        </is>
      </c>
      <c r="H1274" s="6" t="inlineStr">
        <is>
          <t>%</t>
        </is>
      </c>
      <c r="P1274" s="12">
        <f>INDIRECT_EFFECT("tpu","transp_pub_share","transp_pub_elasticity",0,"Rural","mean")</f>
        <v/>
      </c>
    </row>
    <row r="1275">
      <c r="D1275" s="6" t="inlineStr">
        <is>
          <t>mean</t>
        </is>
      </c>
      <c r="E1275" s="6" t="inlineStr">
        <is>
          <t>Rural</t>
        </is>
      </c>
      <c r="F1275" s="6" t="inlineStr">
        <is>
          <t>Deciles</t>
        </is>
      </c>
      <c r="G1275" s="6" t="inlineStr">
        <is>
          <t>tpu</t>
        </is>
      </c>
      <c r="H1275" s="6" t="inlineStr">
        <is>
          <t>%</t>
        </is>
      </c>
      <c r="Q1275" s="12">
        <f>INDIRECT_EFFECT("tpu","transp_pub_share","transp_pub_elasticity",DECILE_ARRAY,"Rural","mean")</f>
        <v/>
      </c>
    </row>
    <row r="1276">
      <c r="D1276" s="6" t="inlineStr">
        <is>
          <t>median</t>
        </is>
      </c>
      <c r="E1276" s="6" t="inlineStr">
        <is>
          <t>Overall</t>
        </is>
      </c>
      <c r="F1276" s="6" t="inlineStr">
        <is>
          <t>Basket</t>
        </is>
      </c>
      <c r="G1276" s="6" t="inlineStr">
        <is>
          <t>tpu</t>
        </is>
      </c>
      <c r="H1276" s="6" t="inlineStr">
        <is>
          <t>%</t>
        </is>
      </c>
      <c r="P1276" s="12">
        <f>INDIRECT_EFFECT("tpu","transp_pub_share","transp_pub_elasticity",0,"Overall","median")</f>
        <v/>
      </c>
    </row>
    <row r="1277">
      <c r="D1277" s="6" t="inlineStr">
        <is>
          <t>median</t>
        </is>
      </c>
      <c r="E1277" s="6" t="inlineStr">
        <is>
          <t>Overall</t>
        </is>
      </c>
      <c r="F1277" s="6" t="inlineStr">
        <is>
          <t>Deciles</t>
        </is>
      </c>
      <c r="G1277" s="6" t="inlineStr">
        <is>
          <t>tpu</t>
        </is>
      </c>
      <c r="H1277" s="6" t="inlineStr">
        <is>
          <t>%</t>
        </is>
      </c>
      <c r="Q1277" s="12">
        <f>INDIRECT_EFFECT("tpu","transp_pub_share","transp_pub_elasticity",DECILE_ARRAY,"Overall","median")</f>
        <v/>
      </c>
    </row>
    <row r="1278">
      <c r="D1278" s="6" t="inlineStr">
        <is>
          <t>median</t>
        </is>
      </c>
      <c r="E1278" s="6" t="inlineStr">
        <is>
          <t>Urban</t>
        </is>
      </c>
      <c r="F1278" s="6" t="inlineStr">
        <is>
          <t>Basket</t>
        </is>
      </c>
      <c r="G1278" s="6" t="inlineStr">
        <is>
          <t>tpu</t>
        </is>
      </c>
      <c r="H1278" s="6" t="inlineStr">
        <is>
          <t>%</t>
        </is>
      </c>
      <c r="P1278" s="12">
        <f>INDIRECT_EFFECT("tpu","transp_pub_share","transp_pub_elasticity",0,"Urban","median")</f>
        <v/>
      </c>
    </row>
    <row r="1279">
      <c r="D1279" s="6" t="inlineStr">
        <is>
          <t>median</t>
        </is>
      </c>
      <c r="E1279" s="6" t="inlineStr">
        <is>
          <t>Urban</t>
        </is>
      </c>
      <c r="F1279" s="6" t="inlineStr">
        <is>
          <t>Deciles</t>
        </is>
      </c>
      <c r="G1279" s="6" t="inlineStr">
        <is>
          <t>tpu</t>
        </is>
      </c>
      <c r="H1279" s="6" t="inlineStr">
        <is>
          <t>%</t>
        </is>
      </c>
      <c r="Q1279" s="12">
        <f>INDIRECT_EFFECT("tpu","transp_pub_share","transp_pub_elasticity",DECILE_ARRAY,"Urban","median")</f>
        <v/>
      </c>
    </row>
    <row r="1280">
      <c r="D1280" s="6" t="inlineStr">
        <is>
          <t>median</t>
        </is>
      </c>
      <c r="E1280" s="6" t="inlineStr">
        <is>
          <t>Rural</t>
        </is>
      </c>
      <c r="F1280" s="6" t="inlineStr">
        <is>
          <t>Basket</t>
        </is>
      </c>
      <c r="G1280" s="6" t="inlineStr">
        <is>
          <t>tpu</t>
        </is>
      </c>
      <c r="H1280" s="6" t="inlineStr">
        <is>
          <t>%</t>
        </is>
      </c>
      <c r="P1280" s="12">
        <f>INDIRECT_EFFECT("tpu","transp_pub_share","transp_pub_elasticity",0,"Rural","median")</f>
        <v/>
      </c>
    </row>
    <row r="1281">
      <c r="D1281" s="6" t="inlineStr">
        <is>
          <t>median</t>
        </is>
      </c>
      <c r="E1281" s="6" t="inlineStr">
        <is>
          <t>Rural</t>
        </is>
      </c>
      <c r="F1281" s="6" t="inlineStr">
        <is>
          <t>Deciles</t>
        </is>
      </c>
      <c r="G1281" s="6" t="inlineStr">
        <is>
          <t>tpu</t>
        </is>
      </c>
      <c r="H1281" s="6" t="inlineStr">
        <is>
          <t>%</t>
        </is>
      </c>
      <c r="Q1281" s="12">
        <f>INDIRECT_EFFECT("tpu","transp_pub_share","transp_pub_elasticity",DECILE_ARRAY,"Rural","median")</f>
        <v/>
      </c>
    </row>
    <row r="1282">
      <c r="D1282" s="6" t="inlineStr">
        <is>
          <t>p25</t>
        </is>
      </c>
      <c r="E1282" s="6" t="inlineStr">
        <is>
          <t>Overall</t>
        </is>
      </c>
      <c r="F1282" s="6" t="inlineStr">
        <is>
          <t>Basket</t>
        </is>
      </c>
      <c r="G1282" s="6" t="inlineStr">
        <is>
          <t>tpu</t>
        </is>
      </c>
      <c r="H1282" s="6" t="inlineStr">
        <is>
          <t>%</t>
        </is>
      </c>
      <c r="P1282" s="12">
        <f>INDIRECT_EFFECT("tpu","transp_pub_share","transp_pub_elasticity",0,"Overall","p25")</f>
        <v/>
      </c>
    </row>
    <row r="1283">
      <c r="D1283" s="6" t="inlineStr">
        <is>
          <t>p25</t>
        </is>
      </c>
      <c r="E1283" s="6" t="inlineStr">
        <is>
          <t>Overall</t>
        </is>
      </c>
      <c r="F1283" s="6" t="inlineStr">
        <is>
          <t>Deciles</t>
        </is>
      </c>
      <c r="G1283" s="6" t="inlineStr">
        <is>
          <t>tpu</t>
        </is>
      </c>
      <c r="H1283" s="6" t="inlineStr">
        <is>
          <t>%</t>
        </is>
      </c>
      <c r="Q1283" s="12">
        <f>INDIRECT_EFFECT("tpu","transp_pub_share","transp_pub_elasticity",DECILE_ARRAY,"Overall","p25")</f>
        <v/>
      </c>
    </row>
    <row r="1284">
      <c r="D1284" s="6" t="inlineStr">
        <is>
          <t>p25</t>
        </is>
      </c>
      <c r="E1284" s="6" t="inlineStr">
        <is>
          <t>Urban</t>
        </is>
      </c>
      <c r="F1284" s="6" t="inlineStr">
        <is>
          <t>Basket</t>
        </is>
      </c>
      <c r="G1284" s="6" t="inlineStr">
        <is>
          <t>tpu</t>
        </is>
      </c>
      <c r="H1284" s="6" t="inlineStr">
        <is>
          <t>%</t>
        </is>
      </c>
      <c r="P1284" s="12">
        <f>INDIRECT_EFFECT("tpu","transp_pub_share","transp_pub_elasticity",0,"Urban","p25")</f>
        <v/>
      </c>
    </row>
    <row r="1285">
      <c r="D1285" s="6" t="inlineStr">
        <is>
          <t>p25</t>
        </is>
      </c>
      <c r="E1285" s="6" t="inlineStr">
        <is>
          <t>Urban</t>
        </is>
      </c>
      <c r="F1285" s="6" t="inlineStr">
        <is>
          <t>Deciles</t>
        </is>
      </c>
      <c r="G1285" s="6" t="inlineStr">
        <is>
          <t>tpu</t>
        </is>
      </c>
      <c r="H1285" s="6" t="inlineStr">
        <is>
          <t>%</t>
        </is>
      </c>
      <c r="Q1285" s="12">
        <f>INDIRECT_EFFECT("tpu","transp_pub_share","transp_pub_elasticity",DECILE_ARRAY,"Urban","p25")</f>
        <v/>
      </c>
    </row>
    <row r="1286">
      <c r="D1286" s="6" t="inlineStr">
        <is>
          <t>p25</t>
        </is>
      </c>
      <c r="E1286" s="6" t="inlineStr">
        <is>
          <t>Rural</t>
        </is>
      </c>
      <c r="F1286" s="6" t="inlineStr">
        <is>
          <t>Basket</t>
        </is>
      </c>
      <c r="G1286" s="6" t="inlineStr">
        <is>
          <t>tpu</t>
        </is>
      </c>
      <c r="H1286" s="6" t="inlineStr">
        <is>
          <t>%</t>
        </is>
      </c>
      <c r="P1286" s="12">
        <f>INDIRECT_EFFECT("tpu","transp_pub_share","transp_pub_elasticity",0,"Rural","p25")</f>
        <v/>
      </c>
    </row>
    <row r="1287">
      <c r="D1287" s="6" t="inlineStr">
        <is>
          <t>p25</t>
        </is>
      </c>
      <c r="E1287" s="6" t="inlineStr">
        <is>
          <t>Rural</t>
        </is>
      </c>
      <c r="F1287" s="6" t="inlineStr">
        <is>
          <t>Deciles</t>
        </is>
      </c>
      <c r="G1287" s="6" t="inlineStr">
        <is>
          <t>tpu</t>
        </is>
      </c>
      <c r="H1287" s="6" t="inlineStr">
        <is>
          <t>%</t>
        </is>
      </c>
      <c r="Q1287" s="12">
        <f>INDIRECT_EFFECT("tpu","transp_pub_share","transp_pub_elasticity",DECILE_ARRAY,"Rural","p25")</f>
        <v/>
      </c>
    </row>
    <row r="1288">
      <c r="D1288" s="6" t="inlineStr">
        <is>
          <t>p75</t>
        </is>
      </c>
      <c r="E1288" s="6" t="inlineStr">
        <is>
          <t>Overall</t>
        </is>
      </c>
      <c r="F1288" s="6" t="inlineStr">
        <is>
          <t>Basket</t>
        </is>
      </c>
      <c r="G1288" s="6" t="inlineStr">
        <is>
          <t>tpu</t>
        </is>
      </c>
      <c r="H1288" s="6" t="inlineStr">
        <is>
          <t>%</t>
        </is>
      </c>
      <c r="P1288" s="12">
        <f>INDIRECT_EFFECT("tpu","transp_pub_share","transp_pub_elasticity",0,"Overall","p75")</f>
        <v/>
      </c>
    </row>
    <row r="1289">
      <c r="D1289" s="6" t="inlineStr">
        <is>
          <t>p75</t>
        </is>
      </c>
      <c r="E1289" s="6" t="inlineStr">
        <is>
          <t>Overall</t>
        </is>
      </c>
      <c r="F1289" s="6" t="inlineStr">
        <is>
          <t>Deciles</t>
        </is>
      </c>
      <c r="G1289" s="6" t="inlineStr">
        <is>
          <t>tpu</t>
        </is>
      </c>
      <c r="H1289" s="6" t="inlineStr">
        <is>
          <t>%</t>
        </is>
      </c>
      <c r="Q1289" s="12">
        <f>INDIRECT_EFFECT("tpu","transp_pub_share","transp_pub_elasticity",DECILE_ARRAY,"Overall","p75")</f>
        <v/>
      </c>
    </row>
    <row r="1290">
      <c r="D1290" s="6" t="inlineStr">
        <is>
          <t>p75</t>
        </is>
      </c>
      <c r="E1290" s="6" t="inlineStr">
        <is>
          <t>Urban</t>
        </is>
      </c>
      <c r="F1290" s="6" t="inlineStr">
        <is>
          <t>Basket</t>
        </is>
      </c>
      <c r="G1290" s="6" t="inlineStr">
        <is>
          <t>tpu</t>
        </is>
      </c>
      <c r="H1290" s="6" t="inlineStr">
        <is>
          <t>%</t>
        </is>
      </c>
      <c r="P1290" s="12">
        <f>INDIRECT_EFFECT("tpu","transp_pub_share","transp_pub_elasticity",0,"Urban","p75")</f>
        <v/>
      </c>
    </row>
    <row r="1291">
      <c r="D1291" s="6" t="inlineStr">
        <is>
          <t>p75</t>
        </is>
      </c>
      <c r="E1291" s="6" t="inlineStr">
        <is>
          <t>Urban</t>
        </is>
      </c>
      <c r="F1291" s="6" t="inlineStr">
        <is>
          <t>Deciles</t>
        </is>
      </c>
      <c r="G1291" s="6" t="inlineStr">
        <is>
          <t>tpu</t>
        </is>
      </c>
      <c r="H1291" s="6" t="inlineStr">
        <is>
          <t>%</t>
        </is>
      </c>
      <c r="Q1291" s="12">
        <f>INDIRECT_EFFECT("tpu","transp_pub_share","transp_pub_elasticity",DECILE_ARRAY,"Urban","p75")</f>
        <v/>
      </c>
    </row>
    <row r="1292">
      <c r="D1292" s="6" t="inlineStr">
        <is>
          <t>p75</t>
        </is>
      </c>
      <c r="E1292" s="6" t="inlineStr">
        <is>
          <t>Rural</t>
        </is>
      </c>
      <c r="F1292" s="6" t="inlineStr">
        <is>
          <t>Basket</t>
        </is>
      </c>
      <c r="G1292" s="6" t="inlineStr">
        <is>
          <t>tpu</t>
        </is>
      </c>
      <c r="H1292" s="6" t="inlineStr">
        <is>
          <t>%</t>
        </is>
      </c>
      <c r="P1292" s="12">
        <f>INDIRECT_EFFECT("tpu","transp_pub_share","transp_pub_elasticity",0,"Rural","p75")</f>
        <v/>
      </c>
    </row>
    <row r="1293">
      <c r="D1293" s="6" t="inlineStr">
        <is>
          <t>p75</t>
        </is>
      </c>
      <c r="E1293" s="6" t="inlineStr">
        <is>
          <t>Rural</t>
        </is>
      </c>
      <c r="F1293" s="6" t="inlineStr">
        <is>
          <t>Deciles</t>
        </is>
      </c>
      <c r="G1293" s="6" t="inlineStr">
        <is>
          <t>tpu</t>
        </is>
      </c>
      <c r="H1293" s="6" t="inlineStr">
        <is>
          <t>%</t>
        </is>
      </c>
      <c r="Q1293" s="12">
        <f>INDIRECT_EFFECT("tpu","transp_pub_share","transp_pub_elasticity",DECILE_ARRAY,"Rural","p75")</f>
        <v/>
      </c>
    </row>
    <row r="1295">
      <c r="C1295" s="7" t="inlineStr">
        <is>
          <t>Total Indirect Effect (% Total Consumption)</t>
        </is>
      </c>
      <c r="G1295" s="6" t="inlineStr">
        <is>
          <t>tot</t>
        </is>
      </c>
      <c r="O1295" s="8" t="inlineStr">
        <is>
          <t>Decile --&gt;</t>
        </is>
      </c>
      <c r="Q1295" s="8" t="n">
        <v>1</v>
      </c>
      <c r="R1295" s="8" t="n">
        <v>2</v>
      </c>
      <c r="S1295" s="8" t="n">
        <v>3</v>
      </c>
      <c r="T1295" s="8" t="n">
        <v>4</v>
      </c>
      <c r="U1295" s="8" t="n">
        <v>5</v>
      </c>
      <c r="V1295" s="8" t="n">
        <v>6</v>
      </c>
      <c r="W1295" s="8" t="n">
        <v>7</v>
      </c>
      <c r="X1295" s="8" t="n">
        <v>8</v>
      </c>
      <c r="Y1295" s="8" t="n">
        <v>9</v>
      </c>
      <c r="Z1295" s="8" t="n">
        <v>10</v>
      </c>
    </row>
    <row r="1296">
      <c r="D1296" s="6" t="inlineStr">
        <is>
          <t>mean</t>
        </is>
      </c>
      <c r="E1296" s="6" t="inlineStr">
        <is>
          <t>Overall</t>
        </is>
      </c>
      <c r="F1296" s="6" t="inlineStr">
        <is>
          <t>Basket</t>
        </is>
      </c>
      <c r="G1296" s="6" t="inlineStr">
        <is>
          <t>tot</t>
        </is>
      </c>
      <c r="H1296" s="6" t="inlineStr">
        <is>
          <t>%</t>
        </is>
      </c>
      <c r="P1296" s="12">
        <f>TOTAL_INDIRECT_EFFECT(0,"Overall","mean")</f>
        <v/>
      </c>
    </row>
    <row r="1297">
      <c r="D1297" s="6" t="inlineStr">
        <is>
          <t>mean</t>
        </is>
      </c>
      <c r="E1297" s="6" t="inlineStr">
        <is>
          <t>Overall</t>
        </is>
      </c>
      <c r="F1297" s="6" t="inlineStr">
        <is>
          <t>Deciles</t>
        </is>
      </c>
      <c r="G1297" s="6" t="inlineStr">
        <is>
          <t>tot</t>
        </is>
      </c>
      <c r="H1297" s="6" t="inlineStr">
        <is>
          <t>%</t>
        </is>
      </c>
      <c r="Q1297" s="12">
        <f>TOTAL_INDIRECT_EFFECT(DECILE_ARRAY,"Overall","mean")</f>
        <v/>
      </c>
    </row>
    <row r="1298">
      <c r="D1298" s="6" t="inlineStr">
        <is>
          <t>mean</t>
        </is>
      </c>
      <c r="E1298" s="6" t="inlineStr">
        <is>
          <t>Urban</t>
        </is>
      </c>
      <c r="F1298" s="6" t="inlineStr">
        <is>
          <t>Basket</t>
        </is>
      </c>
      <c r="G1298" s="6" t="inlineStr">
        <is>
          <t>tot</t>
        </is>
      </c>
      <c r="H1298" s="6" t="inlineStr">
        <is>
          <t>%</t>
        </is>
      </c>
      <c r="P1298" s="12">
        <f>TOTAL_INDIRECT_EFFECT(0,"Urban","mean")</f>
        <v/>
      </c>
    </row>
    <row r="1299">
      <c r="D1299" s="6" t="inlineStr">
        <is>
          <t>mean</t>
        </is>
      </c>
      <c r="E1299" s="6" t="inlineStr">
        <is>
          <t>Urban</t>
        </is>
      </c>
      <c r="F1299" s="6" t="inlineStr">
        <is>
          <t>Deciles</t>
        </is>
      </c>
      <c r="G1299" s="6" t="inlineStr">
        <is>
          <t>tot</t>
        </is>
      </c>
      <c r="H1299" s="6" t="inlineStr">
        <is>
          <t>%</t>
        </is>
      </c>
      <c r="Q1299" s="12">
        <f>TOTAL_INDIRECT_EFFECT(DECILE_ARRAY,"Urban","mean")</f>
        <v/>
      </c>
    </row>
    <row r="1300">
      <c r="D1300" s="6" t="inlineStr">
        <is>
          <t>mean</t>
        </is>
      </c>
      <c r="E1300" s="6" t="inlineStr">
        <is>
          <t>Rural</t>
        </is>
      </c>
      <c r="F1300" s="6" t="inlineStr">
        <is>
          <t>Basket</t>
        </is>
      </c>
      <c r="G1300" s="6" t="inlineStr">
        <is>
          <t>tot</t>
        </is>
      </c>
      <c r="H1300" s="6" t="inlineStr">
        <is>
          <t>%</t>
        </is>
      </c>
      <c r="P1300" s="12">
        <f>TOTAL_INDIRECT_EFFECT(0,"Rural","mean")</f>
        <v/>
      </c>
    </row>
    <row r="1301">
      <c r="D1301" s="6" t="inlineStr">
        <is>
          <t>mean</t>
        </is>
      </c>
      <c r="E1301" s="6" t="inlineStr">
        <is>
          <t>Rural</t>
        </is>
      </c>
      <c r="F1301" s="6" t="inlineStr">
        <is>
          <t>Deciles</t>
        </is>
      </c>
      <c r="G1301" s="6" t="inlineStr">
        <is>
          <t>tot</t>
        </is>
      </c>
      <c r="H1301" s="6" t="inlineStr">
        <is>
          <t>%</t>
        </is>
      </c>
      <c r="Q1301" s="12">
        <f>TOTAL_INDIRECT_EFFECT(DECILE_ARRAY,"Rural","mean")</f>
        <v/>
      </c>
    </row>
    <row r="1302">
      <c r="D1302" s="6" t="inlineStr">
        <is>
          <t>median</t>
        </is>
      </c>
      <c r="E1302" s="6" t="inlineStr">
        <is>
          <t>Overall</t>
        </is>
      </c>
      <c r="F1302" s="6" t="inlineStr">
        <is>
          <t>Basket</t>
        </is>
      </c>
      <c r="G1302" s="6" t="inlineStr">
        <is>
          <t>tot</t>
        </is>
      </c>
      <c r="H1302" s="6" t="inlineStr">
        <is>
          <t>%</t>
        </is>
      </c>
      <c r="P1302" s="12">
        <f>TOTAL_INDIRECT_EFFECT(0,"Overall","median")</f>
        <v/>
      </c>
    </row>
    <row r="1303">
      <c r="D1303" s="6" t="inlineStr">
        <is>
          <t>median</t>
        </is>
      </c>
      <c r="E1303" s="6" t="inlineStr">
        <is>
          <t>Overall</t>
        </is>
      </c>
      <c r="F1303" s="6" t="inlineStr">
        <is>
          <t>Deciles</t>
        </is>
      </c>
      <c r="G1303" s="6" t="inlineStr">
        <is>
          <t>tot</t>
        </is>
      </c>
      <c r="H1303" s="6" t="inlineStr">
        <is>
          <t>%</t>
        </is>
      </c>
      <c r="Q1303" s="12">
        <f>TOTAL_INDIRECT_EFFECT(DECILE_ARRAY,"Overall","median")</f>
        <v/>
      </c>
    </row>
    <row r="1304">
      <c r="D1304" s="6" t="inlineStr">
        <is>
          <t>median</t>
        </is>
      </c>
      <c r="E1304" s="6" t="inlineStr">
        <is>
          <t>Urban</t>
        </is>
      </c>
      <c r="F1304" s="6" t="inlineStr">
        <is>
          <t>Basket</t>
        </is>
      </c>
      <c r="G1304" s="6" t="inlineStr">
        <is>
          <t>tot</t>
        </is>
      </c>
      <c r="H1304" s="6" t="inlineStr">
        <is>
          <t>%</t>
        </is>
      </c>
      <c r="P1304" s="12">
        <f>TOTAL_INDIRECT_EFFECT(0,"Urban","median")</f>
        <v/>
      </c>
    </row>
    <row r="1305">
      <c r="D1305" s="6" t="inlineStr">
        <is>
          <t>median</t>
        </is>
      </c>
      <c r="E1305" s="6" t="inlineStr">
        <is>
          <t>Urban</t>
        </is>
      </c>
      <c r="F1305" s="6" t="inlineStr">
        <is>
          <t>Deciles</t>
        </is>
      </c>
      <c r="G1305" s="6" t="inlineStr">
        <is>
          <t>tot</t>
        </is>
      </c>
      <c r="H1305" s="6" t="inlineStr">
        <is>
          <t>%</t>
        </is>
      </c>
      <c r="Q1305" s="12">
        <f>TOTAL_INDIRECT_EFFECT(DECILE_ARRAY,"Urban","median")</f>
        <v/>
      </c>
    </row>
    <row r="1306">
      <c r="D1306" s="6" t="inlineStr">
        <is>
          <t>median</t>
        </is>
      </c>
      <c r="E1306" s="6" t="inlineStr">
        <is>
          <t>Rural</t>
        </is>
      </c>
      <c r="F1306" s="6" t="inlineStr">
        <is>
          <t>Basket</t>
        </is>
      </c>
      <c r="G1306" s="6" t="inlineStr">
        <is>
          <t>tot</t>
        </is>
      </c>
      <c r="H1306" s="6" t="inlineStr">
        <is>
          <t>%</t>
        </is>
      </c>
      <c r="P1306" s="12">
        <f>TOTAL_INDIRECT_EFFECT(0,"Rural","median")</f>
        <v/>
      </c>
    </row>
    <row r="1307">
      <c r="D1307" s="6" t="inlineStr">
        <is>
          <t>median</t>
        </is>
      </c>
      <c r="E1307" s="6" t="inlineStr">
        <is>
          <t>Rural</t>
        </is>
      </c>
      <c r="F1307" s="6" t="inlineStr">
        <is>
          <t>Deciles</t>
        </is>
      </c>
      <c r="G1307" s="6" t="inlineStr">
        <is>
          <t>tot</t>
        </is>
      </c>
      <c r="H1307" s="6" t="inlineStr">
        <is>
          <t>%</t>
        </is>
      </c>
      <c r="Q1307" s="12">
        <f>TOTAL_INDIRECT_EFFECT(DECILE_ARRAY,"Rural","median")</f>
        <v/>
      </c>
    </row>
    <row r="1308">
      <c r="D1308" s="6" t="inlineStr">
        <is>
          <t>p25</t>
        </is>
      </c>
      <c r="E1308" s="6" t="inlineStr">
        <is>
          <t>Overall</t>
        </is>
      </c>
      <c r="F1308" s="6" t="inlineStr">
        <is>
          <t>Basket</t>
        </is>
      </c>
      <c r="G1308" s="6" t="inlineStr">
        <is>
          <t>tot</t>
        </is>
      </c>
      <c r="H1308" s="6" t="inlineStr">
        <is>
          <t>%</t>
        </is>
      </c>
      <c r="P1308" s="12">
        <f>TOTAL_INDIRECT_EFFECT(0,"Overall","p25")</f>
        <v/>
      </c>
    </row>
    <row r="1309">
      <c r="D1309" s="6" t="inlineStr">
        <is>
          <t>p25</t>
        </is>
      </c>
      <c r="E1309" s="6" t="inlineStr">
        <is>
          <t>Overall</t>
        </is>
      </c>
      <c r="F1309" s="6" t="inlineStr">
        <is>
          <t>Deciles</t>
        </is>
      </c>
      <c r="G1309" s="6" t="inlineStr">
        <is>
          <t>tot</t>
        </is>
      </c>
      <c r="H1309" s="6" t="inlineStr">
        <is>
          <t>%</t>
        </is>
      </c>
      <c r="Q1309" s="12">
        <f>TOTAL_INDIRECT_EFFECT(DECILE_ARRAY,"Overall","p25")</f>
        <v/>
      </c>
    </row>
    <row r="1310">
      <c r="D1310" s="6" t="inlineStr">
        <is>
          <t>p25</t>
        </is>
      </c>
      <c r="E1310" s="6" t="inlineStr">
        <is>
          <t>Urban</t>
        </is>
      </c>
      <c r="F1310" s="6" t="inlineStr">
        <is>
          <t>Basket</t>
        </is>
      </c>
      <c r="G1310" s="6" t="inlineStr">
        <is>
          <t>tot</t>
        </is>
      </c>
      <c r="H1310" s="6" t="inlineStr">
        <is>
          <t>%</t>
        </is>
      </c>
      <c r="P1310" s="12">
        <f>TOTAL_INDIRECT_EFFECT(0,"Urban","p25")</f>
        <v/>
      </c>
    </row>
    <row r="1311">
      <c r="D1311" s="6" t="inlineStr">
        <is>
          <t>p25</t>
        </is>
      </c>
      <c r="E1311" s="6" t="inlineStr">
        <is>
          <t>Urban</t>
        </is>
      </c>
      <c r="F1311" s="6" t="inlineStr">
        <is>
          <t>Deciles</t>
        </is>
      </c>
      <c r="G1311" s="6" t="inlineStr">
        <is>
          <t>tot</t>
        </is>
      </c>
      <c r="H1311" s="6" t="inlineStr">
        <is>
          <t>%</t>
        </is>
      </c>
      <c r="Q1311" s="12">
        <f>TOTAL_INDIRECT_EFFECT(DECILE_ARRAY,"Urban","p25")</f>
        <v/>
      </c>
    </row>
    <row r="1312">
      <c r="D1312" s="6" t="inlineStr">
        <is>
          <t>p25</t>
        </is>
      </c>
      <c r="E1312" s="6" t="inlineStr">
        <is>
          <t>Rural</t>
        </is>
      </c>
      <c r="F1312" s="6" t="inlineStr">
        <is>
          <t>Basket</t>
        </is>
      </c>
      <c r="G1312" s="6" t="inlineStr">
        <is>
          <t>tot</t>
        </is>
      </c>
      <c r="H1312" s="6" t="inlineStr">
        <is>
          <t>%</t>
        </is>
      </c>
      <c r="P1312" s="12">
        <f>TOTAL_INDIRECT_EFFECT(0,"Rural","p25")</f>
        <v/>
      </c>
    </row>
    <row r="1313">
      <c r="D1313" s="6" t="inlineStr">
        <is>
          <t>p25</t>
        </is>
      </c>
      <c r="E1313" s="6" t="inlineStr">
        <is>
          <t>Rural</t>
        </is>
      </c>
      <c r="F1313" s="6" t="inlineStr">
        <is>
          <t>Deciles</t>
        </is>
      </c>
      <c r="G1313" s="6" t="inlineStr">
        <is>
          <t>tot</t>
        </is>
      </c>
      <c r="H1313" s="6" t="inlineStr">
        <is>
          <t>%</t>
        </is>
      </c>
      <c r="Q1313" s="12">
        <f>TOTAL_INDIRECT_EFFECT(DECILE_ARRAY,"Rural","p25")</f>
        <v/>
      </c>
    </row>
    <row r="1314">
      <c r="D1314" s="6" t="inlineStr">
        <is>
          <t>p75</t>
        </is>
      </c>
      <c r="E1314" s="6" t="inlineStr">
        <is>
          <t>Overall</t>
        </is>
      </c>
      <c r="F1314" s="6" t="inlineStr">
        <is>
          <t>Basket</t>
        </is>
      </c>
      <c r="G1314" s="6" t="inlineStr">
        <is>
          <t>tot</t>
        </is>
      </c>
      <c r="H1314" s="6" t="inlineStr">
        <is>
          <t>%</t>
        </is>
      </c>
      <c r="P1314" s="12">
        <f>TOTAL_INDIRECT_EFFECT(0,"Overall","p75")</f>
        <v/>
      </c>
    </row>
    <row r="1315">
      <c r="D1315" s="6" t="inlineStr">
        <is>
          <t>p75</t>
        </is>
      </c>
      <c r="E1315" s="6" t="inlineStr">
        <is>
          <t>Overall</t>
        </is>
      </c>
      <c r="F1315" s="6" t="inlineStr">
        <is>
          <t>Deciles</t>
        </is>
      </c>
      <c r="G1315" s="6" t="inlineStr">
        <is>
          <t>tot</t>
        </is>
      </c>
      <c r="H1315" s="6" t="inlineStr">
        <is>
          <t>%</t>
        </is>
      </c>
      <c r="Q1315" s="12">
        <f>TOTAL_INDIRECT_EFFECT(DECILE_ARRAY,"Overall","p75")</f>
        <v/>
      </c>
    </row>
    <row r="1316">
      <c r="D1316" s="6" t="inlineStr">
        <is>
          <t>p75</t>
        </is>
      </c>
      <c r="E1316" s="6" t="inlineStr">
        <is>
          <t>Urban</t>
        </is>
      </c>
      <c r="F1316" s="6" t="inlineStr">
        <is>
          <t>Basket</t>
        </is>
      </c>
      <c r="G1316" s="6" t="inlineStr">
        <is>
          <t>tot</t>
        </is>
      </c>
      <c r="H1316" s="6" t="inlineStr">
        <is>
          <t>%</t>
        </is>
      </c>
      <c r="P1316" s="12">
        <f>TOTAL_INDIRECT_EFFECT(0,"Urban","p75")</f>
        <v/>
      </c>
    </row>
    <row r="1317">
      <c r="D1317" s="6" t="inlineStr">
        <is>
          <t>p75</t>
        </is>
      </c>
      <c r="E1317" s="6" t="inlineStr">
        <is>
          <t>Urban</t>
        </is>
      </c>
      <c r="F1317" s="6" t="inlineStr">
        <is>
          <t>Deciles</t>
        </is>
      </c>
      <c r="G1317" s="6" t="inlineStr">
        <is>
          <t>tot</t>
        </is>
      </c>
      <c r="H1317" s="6" t="inlineStr">
        <is>
          <t>%</t>
        </is>
      </c>
      <c r="Q1317" s="12">
        <f>TOTAL_INDIRECT_EFFECT(DECILE_ARRAY,"Urban","p75")</f>
        <v/>
      </c>
    </row>
    <row r="1318">
      <c r="D1318" s="6" t="inlineStr">
        <is>
          <t>p75</t>
        </is>
      </c>
      <c r="E1318" s="6" t="inlineStr">
        <is>
          <t>Rural</t>
        </is>
      </c>
      <c r="F1318" s="6" t="inlineStr">
        <is>
          <t>Basket</t>
        </is>
      </c>
      <c r="G1318" s="6" t="inlineStr">
        <is>
          <t>tot</t>
        </is>
      </c>
      <c r="H1318" s="6" t="inlineStr">
        <is>
          <t>%</t>
        </is>
      </c>
      <c r="P1318" s="12">
        <f>TOTAL_INDIRECT_EFFECT(0,"Rural","p75")</f>
        <v/>
      </c>
    </row>
    <row r="1319">
      <c r="D1319" s="6" t="inlineStr">
        <is>
          <t>p75</t>
        </is>
      </c>
      <c r="E1319" s="6" t="inlineStr">
        <is>
          <t>Rural</t>
        </is>
      </c>
      <c r="F1319" s="6" t="inlineStr">
        <is>
          <t>Deciles</t>
        </is>
      </c>
      <c r="G1319" s="6" t="inlineStr">
        <is>
          <t>tot</t>
        </is>
      </c>
      <c r="H1319" s="6" t="inlineStr">
        <is>
          <t>%</t>
        </is>
      </c>
      <c r="Q1319" s="12">
        <f>TOTAL_INDIRECT_EFFECT(DECILE_ARRAY,"Rural","p75")</f>
        <v/>
      </c>
    </row>
    <row r="1321">
      <c r="A1321" s="4" t="inlineStr">
        <is>
          <t>C.VII.</t>
        </is>
      </c>
      <c r="B1321" s="4" t="inlineStr">
        <is>
          <t>Consumption losses - total effect</t>
        </is>
      </c>
      <c r="C1321" s="5" t="n"/>
      <c r="D1321" s="5" t="n"/>
      <c r="E1321" s="5" t="n"/>
      <c r="F1321" s="5" t="n"/>
      <c r="G1321" s="5" t="n"/>
      <c r="H1321" s="5" t="n"/>
      <c r="I1321" s="5" t="n"/>
      <c r="J1321" s="5" t="n"/>
      <c r="K1321" s="5" t="n"/>
      <c r="L1321" s="5" t="n"/>
      <c r="M1321" s="5" t="n"/>
      <c r="N1321" s="5" t="n"/>
    </row>
    <row r="1323">
      <c r="C1323" s="7" t="inlineStr">
        <is>
          <t>Total Effect - Carbon Tax Burden (% Total Consumption)</t>
        </is>
      </c>
      <c r="G1323" s="6" t="inlineStr">
        <is>
          <t>tot</t>
        </is>
      </c>
      <c r="O1323" s="8" t="inlineStr">
        <is>
          <t>Decile --&gt;</t>
        </is>
      </c>
      <c r="Q1323" s="8" t="n">
        <v>1</v>
      </c>
      <c r="R1323" s="8" t="n">
        <v>2</v>
      </c>
      <c r="S1323" s="8" t="n">
        <v>3</v>
      </c>
      <c r="T1323" s="8" t="n">
        <v>4</v>
      </c>
      <c r="U1323" s="8" t="n">
        <v>5</v>
      </c>
      <c r="V1323" s="8" t="n">
        <v>6</v>
      </c>
      <c r="W1323" s="8" t="n">
        <v>7</v>
      </c>
      <c r="X1323" s="8" t="n">
        <v>8</v>
      </c>
      <c r="Y1323" s="8" t="n">
        <v>9</v>
      </c>
      <c r="Z1323" s="8" t="n">
        <v>10</v>
      </c>
    </row>
    <row r="1324">
      <c r="D1324" s="6" t="inlineStr">
        <is>
          <t>mean</t>
        </is>
      </c>
      <c r="E1324" s="6" t="inlineStr">
        <is>
          <t>Overall</t>
        </is>
      </c>
      <c r="F1324" s="6" t="inlineStr">
        <is>
          <t>Basket</t>
        </is>
      </c>
      <c r="G1324" s="6" t="inlineStr">
        <is>
          <t>tot</t>
        </is>
      </c>
      <c r="H1324" s="6" t="inlineStr">
        <is>
          <t>%</t>
        </is>
      </c>
      <c r="P1324" s="12">
        <f>TOTAL_EFFECT(0,"Overall","mean")</f>
        <v/>
      </c>
    </row>
    <row r="1325">
      <c r="D1325" s="6" t="inlineStr">
        <is>
          <t>mean</t>
        </is>
      </c>
      <c r="E1325" s="6" t="inlineStr">
        <is>
          <t>Overall</t>
        </is>
      </c>
      <c r="F1325" s="6" t="inlineStr">
        <is>
          <t>Deciles</t>
        </is>
      </c>
      <c r="G1325" s="6" t="inlineStr">
        <is>
          <t>tot</t>
        </is>
      </c>
      <c r="H1325" s="6" t="inlineStr">
        <is>
          <t>%</t>
        </is>
      </c>
      <c r="Q1325" s="12">
        <f>TOTAL_EFFECT(DECILE_ARRAY,"Overall","mean")</f>
        <v/>
      </c>
    </row>
    <row r="1326">
      <c r="D1326" s="6" t="inlineStr">
        <is>
          <t>mean</t>
        </is>
      </c>
      <c r="E1326" s="6" t="inlineStr">
        <is>
          <t>Urban</t>
        </is>
      </c>
      <c r="F1326" s="6" t="inlineStr">
        <is>
          <t>Basket</t>
        </is>
      </c>
      <c r="G1326" s="6" t="inlineStr">
        <is>
          <t>tot</t>
        </is>
      </c>
      <c r="H1326" s="6" t="inlineStr">
        <is>
          <t>%</t>
        </is>
      </c>
      <c r="P1326" s="12">
        <f>TOTAL_EFFECT(0,"Urban","mean")</f>
        <v/>
      </c>
    </row>
    <row r="1327">
      <c r="D1327" s="6" t="inlineStr">
        <is>
          <t>mean</t>
        </is>
      </c>
      <c r="E1327" s="6" t="inlineStr">
        <is>
          <t>Urban</t>
        </is>
      </c>
      <c r="F1327" s="6" t="inlineStr">
        <is>
          <t>Deciles</t>
        </is>
      </c>
      <c r="G1327" s="6" t="inlineStr">
        <is>
          <t>tot</t>
        </is>
      </c>
      <c r="H1327" s="6" t="inlineStr">
        <is>
          <t>%</t>
        </is>
      </c>
      <c r="Q1327" s="12">
        <f>TOTAL_EFFECT(DECILE_ARRAY,"Urban","mean")</f>
        <v/>
      </c>
    </row>
    <row r="1328">
      <c r="D1328" s="6" t="inlineStr">
        <is>
          <t>mean</t>
        </is>
      </c>
      <c r="E1328" s="6" t="inlineStr">
        <is>
          <t>Rural</t>
        </is>
      </c>
      <c r="F1328" s="6" t="inlineStr">
        <is>
          <t>Basket</t>
        </is>
      </c>
      <c r="G1328" s="6" t="inlineStr">
        <is>
          <t>tot</t>
        </is>
      </c>
      <c r="H1328" s="6" t="inlineStr">
        <is>
          <t>%</t>
        </is>
      </c>
      <c r="P1328" s="12">
        <f>TOTAL_EFFECT(0,"Rural","mean")</f>
        <v/>
      </c>
    </row>
    <row r="1329">
      <c r="D1329" s="6" t="inlineStr">
        <is>
          <t>mean</t>
        </is>
      </c>
      <c r="E1329" s="6" t="inlineStr">
        <is>
          <t>Rural</t>
        </is>
      </c>
      <c r="F1329" s="6" t="inlineStr">
        <is>
          <t>Deciles</t>
        </is>
      </c>
      <c r="G1329" s="6" t="inlineStr">
        <is>
          <t>tot</t>
        </is>
      </c>
      <c r="H1329" s="6" t="inlineStr">
        <is>
          <t>%</t>
        </is>
      </c>
      <c r="Q1329" s="12">
        <f>TOTAL_EFFECT(DECILE_ARRAY,"Rural","mean")</f>
        <v/>
      </c>
    </row>
    <row r="1330">
      <c r="D1330" s="6" t="inlineStr">
        <is>
          <t>median</t>
        </is>
      </c>
      <c r="E1330" s="6" t="inlineStr">
        <is>
          <t>Overall</t>
        </is>
      </c>
      <c r="F1330" s="6" t="inlineStr">
        <is>
          <t>Basket</t>
        </is>
      </c>
      <c r="G1330" s="6" t="inlineStr">
        <is>
          <t>tot</t>
        </is>
      </c>
      <c r="H1330" s="6" t="inlineStr">
        <is>
          <t>%</t>
        </is>
      </c>
      <c r="P1330" s="12">
        <f>TOTAL_EFFECT(0,"Overall","median")</f>
        <v/>
      </c>
    </row>
    <row r="1331">
      <c r="D1331" s="6" t="inlineStr">
        <is>
          <t>median</t>
        </is>
      </c>
      <c r="E1331" s="6" t="inlineStr">
        <is>
          <t>Overall</t>
        </is>
      </c>
      <c r="F1331" s="6" t="inlineStr">
        <is>
          <t>Deciles</t>
        </is>
      </c>
      <c r="G1331" s="6" t="inlineStr">
        <is>
          <t>tot</t>
        </is>
      </c>
      <c r="H1331" s="6" t="inlineStr">
        <is>
          <t>%</t>
        </is>
      </c>
      <c r="Q1331" s="12">
        <f>TOTAL_EFFECT(DECILE_ARRAY,"Overall","median")</f>
        <v/>
      </c>
    </row>
    <row r="1332">
      <c r="D1332" s="6" t="inlineStr">
        <is>
          <t>median</t>
        </is>
      </c>
      <c r="E1332" s="6" t="inlineStr">
        <is>
          <t>Urban</t>
        </is>
      </c>
      <c r="F1332" s="6" t="inlineStr">
        <is>
          <t>Basket</t>
        </is>
      </c>
      <c r="G1332" s="6" t="inlineStr">
        <is>
          <t>tot</t>
        </is>
      </c>
      <c r="H1332" s="6" t="inlineStr">
        <is>
          <t>%</t>
        </is>
      </c>
      <c r="P1332" s="12">
        <f>TOTAL_EFFECT(0,"Urban","median")</f>
        <v/>
      </c>
    </row>
    <row r="1333">
      <c r="D1333" s="6" t="inlineStr">
        <is>
          <t>median</t>
        </is>
      </c>
      <c r="E1333" s="6" t="inlineStr">
        <is>
          <t>Urban</t>
        </is>
      </c>
      <c r="F1333" s="6" t="inlineStr">
        <is>
          <t>Deciles</t>
        </is>
      </c>
      <c r="G1333" s="6" t="inlineStr">
        <is>
          <t>tot</t>
        </is>
      </c>
      <c r="H1333" s="6" t="inlineStr">
        <is>
          <t>%</t>
        </is>
      </c>
      <c r="Q1333" s="12">
        <f>TOTAL_EFFECT(DECILE_ARRAY,"Urban","median")</f>
        <v/>
      </c>
    </row>
    <row r="1334">
      <c r="D1334" s="6" t="inlineStr">
        <is>
          <t>median</t>
        </is>
      </c>
      <c r="E1334" s="6" t="inlineStr">
        <is>
          <t>Rural</t>
        </is>
      </c>
      <c r="F1334" s="6" t="inlineStr">
        <is>
          <t>Basket</t>
        </is>
      </c>
      <c r="G1334" s="6" t="inlineStr">
        <is>
          <t>tot</t>
        </is>
      </c>
      <c r="H1334" s="6" t="inlineStr">
        <is>
          <t>%</t>
        </is>
      </c>
      <c r="P1334" s="12">
        <f>TOTAL_EFFECT(0,"Rural","median")</f>
        <v/>
      </c>
    </row>
    <row r="1335">
      <c r="D1335" s="6" t="inlineStr">
        <is>
          <t>median</t>
        </is>
      </c>
      <c r="E1335" s="6" t="inlineStr">
        <is>
          <t>Rural</t>
        </is>
      </c>
      <c r="F1335" s="6" t="inlineStr">
        <is>
          <t>Deciles</t>
        </is>
      </c>
      <c r="G1335" s="6" t="inlineStr">
        <is>
          <t>tot</t>
        </is>
      </c>
      <c r="H1335" s="6" t="inlineStr">
        <is>
          <t>%</t>
        </is>
      </c>
      <c r="Q1335" s="12">
        <f>TOTAL_EFFECT(DECILE_ARRAY,"Rural","median")</f>
        <v/>
      </c>
    </row>
    <row r="1336">
      <c r="D1336" s="6" t="inlineStr">
        <is>
          <t>p25</t>
        </is>
      </c>
      <c r="E1336" s="6" t="inlineStr">
        <is>
          <t>Overall</t>
        </is>
      </c>
      <c r="F1336" s="6" t="inlineStr">
        <is>
          <t>Basket</t>
        </is>
      </c>
      <c r="G1336" s="6" t="inlineStr">
        <is>
          <t>tot</t>
        </is>
      </c>
      <c r="H1336" s="6" t="inlineStr">
        <is>
          <t>%</t>
        </is>
      </c>
      <c r="P1336" s="12">
        <f>TOTAL_EFFECT(0,"Overall","p25")</f>
        <v/>
      </c>
    </row>
    <row r="1337">
      <c r="D1337" s="6" t="inlineStr">
        <is>
          <t>p25</t>
        </is>
      </c>
      <c r="E1337" s="6" t="inlineStr">
        <is>
          <t>Overall</t>
        </is>
      </c>
      <c r="F1337" s="6" t="inlineStr">
        <is>
          <t>Deciles</t>
        </is>
      </c>
      <c r="G1337" s="6" t="inlineStr">
        <is>
          <t>tot</t>
        </is>
      </c>
      <c r="H1337" s="6" t="inlineStr">
        <is>
          <t>%</t>
        </is>
      </c>
      <c r="Q1337" s="12">
        <f>TOTAL_EFFECT(DECILE_ARRAY,"Overall","p25")</f>
        <v/>
      </c>
    </row>
    <row r="1338">
      <c r="D1338" s="6" t="inlineStr">
        <is>
          <t>p25</t>
        </is>
      </c>
      <c r="E1338" s="6" t="inlineStr">
        <is>
          <t>Urban</t>
        </is>
      </c>
      <c r="F1338" s="6" t="inlineStr">
        <is>
          <t>Basket</t>
        </is>
      </c>
      <c r="G1338" s="6" t="inlineStr">
        <is>
          <t>tot</t>
        </is>
      </c>
      <c r="H1338" s="6" t="inlineStr">
        <is>
          <t>%</t>
        </is>
      </c>
      <c r="P1338" s="12">
        <f>TOTAL_EFFECT(0,"Urban","p25")</f>
        <v/>
      </c>
    </row>
    <row r="1339">
      <c r="D1339" s="6" t="inlineStr">
        <is>
          <t>p25</t>
        </is>
      </c>
      <c r="E1339" s="6" t="inlineStr">
        <is>
          <t>Urban</t>
        </is>
      </c>
      <c r="F1339" s="6" t="inlineStr">
        <is>
          <t>Deciles</t>
        </is>
      </c>
      <c r="G1339" s="6" t="inlineStr">
        <is>
          <t>tot</t>
        </is>
      </c>
      <c r="H1339" s="6" t="inlineStr">
        <is>
          <t>%</t>
        </is>
      </c>
      <c r="Q1339" s="12">
        <f>TOTAL_EFFECT(DECILE_ARRAY,"Urban","p25")</f>
        <v/>
      </c>
    </row>
    <row r="1340">
      <c r="D1340" s="6" t="inlineStr">
        <is>
          <t>p25</t>
        </is>
      </c>
      <c r="E1340" s="6" t="inlineStr">
        <is>
          <t>Rural</t>
        </is>
      </c>
      <c r="F1340" s="6" t="inlineStr">
        <is>
          <t>Basket</t>
        </is>
      </c>
      <c r="G1340" s="6" t="inlineStr">
        <is>
          <t>tot</t>
        </is>
      </c>
      <c r="H1340" s="6" t="inlineStr">
        <is>
          <t>%</t>
        </is>
      </c>
      <c r="P1340" s="12">
        <f>TOTAL_EFFECT(0,"Rural","p25")</f>
        <v/>
      </c>
    </row>
    <row r="1341">
      <c r="D1341" s="6" t="inlineStr">
        <is>
          <t>p25</t>
        </is>
      </c>
      <c r="E1341" s="6" t="inlineStr">
        <is>
          <t>Rural</t>
        </is>
      </c>
      <c r="F1341" s="6" t="inlineStr">
        <is>
          <t>Deciles</t>
        </is>
      </c>
      <c r="G1341" s="6" t="inlineStr">
        <is>
          <t>tot</t>
        </is>
      </c>
      <c r="H1341" s="6" t="inlineStr">
        <is>
          <t>%</t>
        </is>
      </c>
      <c r="Q1341" s="12">
        <f>TOTAL_EFFECT(DECILE_ARRAY,"Rural","p25")</f>
        <v/>
      </c>
    </row>
    <row r="1342">
      <c r="D1342" s="6" t="inlineStr">
        <is>
          <t>p75</t>
        </is>
      </c>
      <c r="E1342" s="6" t="inlineStr">
        <is>
          <t>Overall</t>
        </is>
      </c>
      <c r="F1342" s="6" t="inlineStr">
        <is>
          <t>Basket</t>
        </is>
      </c>
      <c r="G1342" s="6" t="inlineStr">
        <is>
          <t>tot</t>
        </is>
      </c>
      <c r="H1342" s="6" t="inlineStr">
        <is>
          <t>%</t>
        </is>
      </c>
      <c r="P1342" s="12">
        <f>TOTAL_EFFECT(0,"Overall","p75")</f>
        <v/>
      </c>
    </row>
    <row r="1343">
      <c r="D1343" s="6" t="inlineStr">
        <is>
          <t>p75</t>
        </is>
      </c>
      <c r="E1343" s="6" t="inlineStr">
        <is>
          <t>Overall</t>
        </is>
      </c>
      <c r="F1343" s="6" t="inlineStr">
        <is>
          <t>Deciles</t>
        </is>
      </c>
      <c r="G1343" s="6" t="inlineStr">
        <is>
          <t>tot</t>
        </is>
      </c>
      <c r="H1343" s="6" t="inlineStr">
        <is>
          <t>%</t>
        </is>
      </c>
      <c r="Q1343" s="12">
        <f>TOTAL_EFFECT(DECILE_ARRAY,"Overall","p75")</f>
        <v/>
      </c>
    </row>
    <row r="1344">
      <c r="D1344" s="6" t="inlineStr">
        <is>
          <t>p75</t>
        </is>
      </c>
      <c r="E1344" s="6" t="inlineStr">
        <is>
          <t>Urban</t>
        </is>
      </c>
      <c r="F1344" s="6" t="inlineStr">
        <is>
          <t>Basket</t>
        </is>
      </c>
      <c r="G1344" s="6" t="inlineStr">
        <is>
          <t>tot</t>
        </is>
      </c>
      <c r="H1344" s="6" t="inlineStr">
        <is>
          <t>%</t>
        </is>
      </c>
      <c r="P1344" s="12">
        <f>TOTAL_EFFECT(0,"Urban","p75")</f>
        <v/>
      </c>
    </row>
    <row r="1345">
      <c r="D1345" s="6" t="inlineStr">
        <is>
          <t>p75</t>
        </is>
      </c>
      <c r="E1345" s="6" t="inlineStr">
        <is>
          <t>Urban</t>
        </is>
      </c>
      <c r="F1345" s="6" t="inlineStr">
        <is>
          <t>Deciles</t>
        </is>
      </c>
      <c r="G1345" s="6" t="inlineStr">
        <is>
          <t>tot</t>
        </is>
      </c>
      <c r="H1345" s="6" t="inlineStr">
        <is>
          <t>%</t>
        </is>
      </c>
      <c r="Q1345" s="12">
        <f>TOTAL_EFFECT(DECILE_ARRAY,"Urban","p75")</f>
        <v/>
      </c>
    </row>
    <row r="1346">
      <c r="D1346" s="6" t="inlineStr">
        <is>
          <t>p75</t>
        </is>
      </c>
      <c r="E1346" s="6" t="inlineStr">
        <is>
          <t>Rural</t>
        </is>
      </c>
      <c r="F1346" s="6" t="inlineStr">
        <is>
          <t>Basket</t>
        </is>
      </c>
      <c r="G1346" s="6" t="inlineStr">
        <is>
          <t>tot</t>
        </is>
      </c>
      <c r="H1346" s="6" t="inlineStr">
        <is>
          <t>%</t>
        </is>
      </c>
      <c r="P1346" s="12">
        <f>TOTAL_EFFECT(0,"Rural","p75")</f>
        <v/>
      </c>
    </row>
    <row r="1347">
      <c r="D1347" s="6" t="inlineStr">
        <is>
          <t>p75</t>
        </is>
      </c>
      <c r="E1347" s="6" t="inlineStr">
        <is>
          <t>Rural</t>
        </is>
      </c>
      <c r="F1347" s="6" t="inlineStr">
        <is>
          <t>Deciles</t>
        </is>
      </c>
      <c r="G1347" s="6" t="inlineStr">
        <is>
          <t>tot</t>
        </is>
      </c>
      <c r="H1347" s="6" t="inlineStr">
        <is>
          <t>%</t>
        </is>
      </c>
      <c r="Q1347" s="12">
        <f>TOTAL_EFFECT(DECILE_ARRAY,"Rural","p75")</f>
        <v/>
      </c>
    </row>
    <row r="1349">
      <c r="A1349" s="4" t="inlineStr">
        <is>
          <t>C.VIII.</t>
        </is>
      </c>
      <c r="B1349" s="4" t="inlineStr">
        <is>
          <t>Household-survey-to-national-accounts adjustments</t>
        </is>
      </c>
      <c r="C1349" s="5" t="n"/>
      <c r="D1349" s="5" t="n"/>
      <c r="E1349" s="5" t="n"/>
      <c r="F1349" s="5" t="n"/>
      <c r="G1349" s="5" t="n"/>
      <c r="H1349" s="5" t="n"/>
      <c r="I1349" s="5" t="n"/>
      <c r="J1349" s="5" t="n"/>
      <c r="K1349" s="5" t="n"/>
      <c r="L1349" s="5" t="n"/>
      <c r="M1349" s="5" t="n"/>
      <c r="N1349" s="5" t="n"/>
    </row>
    <row r="1351">
      <c r="C1351" s="7" t="inlineStr">
        <is>
          <t>Adjusted population and consumption (Step 7)</t>
        </is>
      </c>
      <c r="G1351" s="6" t="inlineStr"/>
      <c r="O1351" s="8" t="inlineStr">
        <is>
          <t>Decile --&gt;</t>
        </is>
      </c>
      <c r="Q1351" s="8" t="n">
        <v>1</v>
      </c>
      <c r="R1351" s="8" t="n">
        <v>2</v>
      </c>
      <c r="S1351" s="8" t="n">
        <v>3</v>
      </c>
      <c r="T1351" s="8" t="n">
        <v>4</v>
      </c>
      <c r="U1351" s="8" t="n">
        <v>5</v>
      </c>
      <c r="V1351" s="8" t="n">
        <v>6</v>
      </c>
      <c r="W1351" s="8" t="n">
        <v>7</v>
      </c>
      <c r="X1351" s="8" t="n">
        <v>8</v>
      </c>
      <c r="Y1351" s="8" t="n">
        <v>9</v>
      </c>
      <c r="Z1351" s="8" t="n">
        <v>10</v>
      </c>
    </row>
    <row r="1352">
      <c r="C1352" s="6" t="inlineStr">
        <is>
          <t>Adjusted Population (Overall)</t>
        </is>
      </c>
      <c r="G1352" s="6" t="inlineStr">
        <is>
          <t>pop_tot_adj</t>
        </is>
      </c>
      <c r="H1352" s="6" t="inlineStr">
        <is>
          <t>Individuals</t>
        </is>
      </c>
      <c r="P1352" s="12">
        <f>SUM(ADJ_POP(DECILE_ARRAY,"Overall"))</f>
        <v/>
      </c>
      <c r="Q1352" s="12">
        <f>ADJ_POP(DECILE_ARRAY,"Overall")</f>
        <v/>
      </c>
    </row>
    <row r="1353">
      <c r="C1353" s="6" t="inlineStr">
        <is>
          <t>Adjusted Population (Urban)</t>
        </is>
      </c>
      <c r="G1353" s="6" t="inlineStr">
        <is>
          <t>pop_tot_adj</t>
        </is>
      </c>
      <c r="H1353" s="6" t="inlineStr">
        <is>
          <t>Individuals</t>
        </is>
      </c>
      <c r="P1353" s="12">
        <f>SUM(ADJ_POP(DECILE_ARRAY,"Urban"))</f>
        <v/>
      </c>
      <c r="Q1353" s="12">
        <f>ADJ_POP(DECILE_ARRAY,"Urban")</f>
        <v/>
      </c>
    </row>
    <row r="1354">
      <c r="C1354" s="6" t="inlineStr">
        <is>
          <t>Adjusted Population (Rural)</t>
        </is>
      </c>
      <c r="G1354" s="6" t="inlineStr">
        <is>
          <t>pop_tot_adj</t>
        </is>
      </c>
      <c r="H1354" s="6" t="inlineStr">
        <is>
          <t>Individuals</t>
        </is>
      </c>
      <c r="P1354" s="12">
        <f>SUM(ADJ_POP(DECILE_ARRAY,"Rural"))</f>
        <v/>
      </c>
      <c r="Q1354" s="12">
        <f>ADJ_POP(DECILE_ARRAY,"Rural")</f>
        <v/>
      </c>
    </row>
    <row r="1355">
      <c r="C1355" s="6" t="inlineStr">
        <is>
          <t>NA-Adjusted Per-Capita Consumption (Overall)</t>
        </is>
      </c>
      <c r="G1355" s="6" t="inlineStr">
        <is>
          <t>cons_pc_na</t>
        </is>
      </c>
      <c r="H1355" s="6" t="inlineStr">
        <is>
          <t>Real 2026 LCU/Individual</t>
        </is>
      </c>
      <c r="P1355" s="12">
        <f>ADJ_CONS_PC(0,"Overall")</f>
        <v/>
      </c>
      <c r="Q1355" s="12">
        <f>ADJ_CONS_PC(DECILE_ARRAY,"Overall")</f>
        <v/>
      </c>
    </row>
    <row r="1356">
      <c r="C1356" s="6" t="inlineStr">
        <is>
          <t>NA-Adjusted Per-Capita Consumption (Urban)</t>
        </is>
      </c>
      <c r="G1356" s="6" t="inlineStr">
        <is>
          <t>cons_pc_na</t>
        </is>
      </c>
      <c r="H1356" s="6" t="inlineStr">
        <is>
          <t>Real 2026 LCU/Individual</t>
        </is>
      </c>
      <c r="P1356" s="12">
        <f>ADJ_CONS_PC(0,"Urban")</f>
        <v/>
      </c>
      <c r="Q1356" s="12">
        <f>ADJ_CONS_PC(DECILE_ARRAY,"Urban")</f>
        <v/>
      </c>
    </row>
    <row r="1357">
      <c r="C1357" s="6" t="inlineStr">
        <is>
          <t>NA-Adjusted Per-Capita Consumption (Rural)</t>
        </is>
      </c>
      <c r="G1357" s="6" t="inlineStr">
        <is>
          <t>cons_pc_na</t>
        </is>
      </c>
      <c r="H1357" s="6" t="inlineStr">
        <is>
          <t>Real 2026 LCU/Individual</t>
        </is>
      </c>
      <c r="P1357" s="12">
        <f>ADJ_CONS_PC(0,"Rural")</f>
        <v/>
      </c>
      <c r="Q1357" s="12">
        <f>ADJ_CONS_PC(DECILE_ARRAY,"Rural")</f>
        <v/>
      </c>
    </row>
    <row r="1358">
      <c r="C1358" s="6" t="inlineStr">
        <is>
          <t>NA-Adjusted Total Consumption (Overall)</t>
        </is>
      </c>
      <c r="G1358" s="6" t="inlineStr">
        <is>
          <t>cons_tot_na</t>
        </is>
      </c>
      <c r="H1358" s="6" t="inlineStr">
        <is>
          <t>Real 2026 LCU</t>
        </is>
      </c>
      <c r="P1358" s="12">
        <f>SUM(ADJ_CONS_TOT(DECILE_ARRAY,"Overall"))</f>
        <v/>
      </c>
      <c r="Q1358" s="12">
        <f>ADJ_CONS_TOT(DECILE_ARRAY,"Overall")</f>
        <v/>
      </c>
    </row>
    <row r="1359">
      <c r="C1359" s="6" t="inlineStr">
        <is>
          <t>NA-Adjusted Total Consumption (Urban)</t>
        </is>
      </c>
      <c r="G1359" s="6" t="inlineStr">
        <is>
          <t>cons_tot_na</t>
        </is>
      </c>
      <c r="H1359" s="6" t="inlineStr">
        <is>
          <t>Real 2026 LCU</t>
        </is>
      </c>
      <c r="P1359" s="12">
        <f>SUM(ADJ_CONS_TOT(DECILE_ARRAY,"Urban"))</f>
        <v/>
      </c>
      <c r="Q1359" s="12">
        <f>ADJ_CONS_TOT(DECILE_ARRAY,"Urban")</f>
        <v/>
      </c>
    </row>
    <row r="1360">
      <c r="C1360" s="6" t="inlineStr">
        <is>
          <t>NA-Adjusted Total Consumption (Rural)</t>
        </is>
      </c>
      <c r="G1360" s="6" t="inlineStr">
        <is>
          <t>cons_tot_na</t>
        </is>
      </c>
      <c r="H1360" s="6" t="inlineStr">
        <is>
          <t>Real 2026 LCU</t>
        </is>
      </c>
      <c r="P1360" s="12">
        <f>SUM(ADJ_CONS_TOT(DECILE_ARRAY,"Rural"))</f>
        <v/>
      </c>
      <c r="Q1360" s="12">
        <f>ADJ_CONS_TOT(DECILE_ARRAY,"Rural")</f>
        <v/>
      </c>
    </row>
    <row r="1361">
      <c r="C1361" s="6" t="inlineStr">
        <is>
          <t>Tax Burden, Pre-Behavioral Response (Overall)</t>
        </is>
      </c>
      <c r="G1361" s="6" t="inlineStr">
        <is>
          <t>ct_bdn_pre</t>
        </is>
      </c>
      <c r="H1361" s="6" t="inlineStr">
        <is>
          <t>Real 2026 LCU</t>
        </is>
      </c>
      <c r="P1361" s="12">
        <f>SUM(TAX_BURDEN_PRE(DECILE_ARRAY,"Overall"))</f>
        <v/>
      </c>
      <c r="Q1361" s="12">
        <f>TAX_BURDEN_PRE(DECILE_ARRAY,"Overall")</f>
        <v/>
      </c>
    </row>
    <row r="1362">
      <c r="C1362" s="6" t="inlineStr">
        <is>
          <t>Tax Burden, Pre-Behavioral Response (Urban)</t>
        </is>
      </c>
      <c r="G1362" s="6" t="inlineStr">
        <is>
          <t>ct_bdn_pre</t>
        </is>
      </c>
      <c r="H1362" s="6" t="inlineStr">
        <is>
          <t>Real 2026 LCU</t>
        </is>
      </c>
      <c r="P1362" s="12">
        <f>SUM(TAX_BURDEN_PRE(DECILE_ARRAY,"Urban"))</f>
        <v/>
      </c>
      <c r="Q1362" s="12">
        <f>TAX_BURDEN_PRE(DECILE_ARRAY,"Urban")</f>
        <v/>
      </c>
    </row>
    <row r="1363">
      <c r="C1363" s="6" t="inlineStr">
        <is>
          <t>Tax Burden, Pre-Behavioral Response (Rural)</t>
        </is>
      </c>
      <c r="G1363" s="6" t="inlineStr">
        <is>
          <t>ct_bdn_pre</t>
        </is>
      </c>
      <c r="H1363" s="6" t="inlineStr">
        <is>
          <t>Real 2026 LCU</t>
        </is>
      </c>
      <c r="P1363" s="12">
        <f>SUM(TAX_BURDEN_PRE(DECILE_ARRAY,"Rural"))</f>
        <v/>
      </c>
      <c r="Q1363" s="12">
        <f>TAX_BURDEN_PRE(DECILE_ARRAY,"Rural")</f>
        <v/>
      </c>
    </row>
    <row r="1365">
      <c r="A1365" s="4" t="inlineStr">
        <is>
          <t>C.IX.</t>
        </is>
      </c>
      <c r="B1365" s="4" t="inlineStr">
        <is>
          <t>Change in Gini coefficient (Lorenz curve)</t>
        </is>
      </c>
      <c r="C1365" s="5" t="n"/>
      <c r="D1365" s="5" t="n"/>
      <c r="E1365" s="5" t="n"/>
      <c r="F1365" s="5" t="n"/>
      <c r="G1365" s="5" t="n"/>
      <c r="H1365" s="5" t="n"/>
      <c r="I1365" s="5" t="n"/>
      <c r="J1365" s="5" t="n"/>
      <c r="K1365" s="5" t="n"/>
      <c r="L1365" s="5" t="n"/>
      <c r="M1365" s="5" t="n"/>
      <c r="N1365" s="5" t="n"/>
    </row>
    <row r="1367">
      <c r="C1367" s="7" t="inlineStr">
        <is>
          <t>Consumption shares &amp; cumulative shares (Overall sample, mean)</t>
        </is>
      </c>
      <c r="G1367" s="6" t="inlineStr"/>
      <c r="O1367" s="8" t="inlineStr">
        <is>
          <t>Decile --&gt;</t>
        </is>
      </c>
      <c r="Q1367" s="8" t="n">
        <v>1</v>
      </c>
      <c r="R1367" s="8" t="n">
        <v>2</v>
      </c>
      <c r="S1367" s="8" t="n">
        <v>3</v>
      </c>
      <c r="T1367" s="8" t="n">
        <v>4</v>
      </c>
      <c r="U1367" s="8" t="n">
        <v>5</v>
      </c>
      <c r="V1367" s="8" t="n">
        <v>6</v>
      </c>
      <c r="W1367" s="8" t="n">
        <v>7</v>
      </c>
      <c r="X1367" s="8" t="n">
        <v>8</v>
      </c>
      <c r="Y1367" s="8" t="n">
        <v>9</v>
      </c>
      <c r="Z1367" s="8" t="n">
        <v>10</v>
      </c>
    </row>
    <row r="1368">
      <c r="C1368" s="6" t="inlineStr">
        <is>
          <t>Baseline Consumption Share per Decile</t>
        </is>
      </c>
      <c r="G1368" s="6" t="inlineStr">
        <is>
          <t>shr_base</t>
        </is>
      </c>
      <c r="H1368" s="6" t="inlineStr">
        <is>
          <t>Ratio</t>
        </is>
      </c>
      <c r="P1368" s="12" t="inlineStr"/>
      <c r="Q1368" s="12">
        <f>ADJ_CONS_TOT(DECILE_ARRAY,"Overall")/SUM(ADJ_CONS_TOT(DECILE_ARRAY,"Overall"))</f>
        <v/>
      </c>
    </row>
    <row r="1369">
      <c r="C1369" s="6" t="inlineStr">
        <is>
          <t>Post-CP Consumption Share, excl. Recycling</t>
        </is>
      </c>
      <c r="G1369" s="6" t="inlineStr">
        <is>
          <t>shr_excl</t>
        </is>
      </c>
      <c r="H1369" s="6" t="inlineStr">
        <is>
          <t>Ratio</t>
        </is>
      </c>
      <c r="P1369" s="12" t="inlineStr"/>
      <c r="Q1369" s="12">
        <f>POST_CP_EXCL_RECYCLING(DECILE_ARRAY,"Overall")/SUM(POST_CP_EXCL_RECYCLING(DECILE_ARRAY,"Overall"))</f>
        <v/>
      </c>
    </row>
    <row r="1370">
      <c r="C1370" s="6" t="inlineStr">
        <is>
          <t>Post-CP Consumption Share, incl. Recycling</t>
        </is>
      </c>
      <c r="G1370" s="6" t="inlineStr">
        <is>
          <t>shr_incl</t>
        </is>
      </c>
      <c r="H1370" s="6" t="inlineStr">
        <is>
          <t>Ratio</t>
        </is>
      </c>
      <c r="P1370" s="12" t="inlineStr"/>
      <c r="Q1370" s="12">
        <f>POST_CP_INCL_RECYCLING(DECILE_ARRAY,"Overall")/SUM(POST_CP_INCL_RECYCLING(DECILE_ARRAY,"Overall"))</f>
        <v/>
      </c>
    </row>
    <row r="1371">
      <c r="C1371" s="6" t="inlineStr">
        <is>
          <t>Cumulative Baseline Consumption Share</t>
        </is>
      </c>
      <c r="G1371" s="6" t="inlineStr">
        <is>
          <t>cum_base</t>
        </is>
      </c>
      <c r="H1371" s="6" t="inlineStr">
        <is>
          <t>Ratio</t>
        </is>
      </c>
      <c r="P1371" s="12">
        <f>0</f>
        <v/>
      </c>
      <c r="Q1371" s="12">
        <f>SCAN(0,Q1368:Z1368,LAMBDA(a,v,a+v))</f>
        <v/>
      </c>
    </row>
    <row r="1372">
      <c r="C1372" s="6" t="inlineStr">
        <is>
          <t>Cumulative Post-CP Share, excl. Recycling</t>
        </is>
      </c>
      <c r="G1372" s="6" t="inlineStr">
        <is>
          <t>cum_excl</t>
        </is>
      </c>
      <c r="H1372" s="6" t="inlineStr">
        <is>
          <t>Ratio</t>
        </is>
      </c>
      <c r="P1372" s="12">
        <f>0</f>
        <v/>
      </c>
      <c r="Q1372" s="12">
        <f>SCAN(0,Q1369:Z1369,LAMBDA(a,v,a+v))</f>
        <v/>
      </c>
    </row>
    <row r="1373">
      <c r="C1373" s="6" t="inlineStr">
        <is>
          <t>Cumulative Post-CP Share, incl. Recycling</t>
        </is>
      </c>
      <c r="G1373" s="6" t="inlineStr">
        <is>
          <t>cum_incl</t>
        </is>
      </c>
      <c r="H1373" s="6" t="inlineStr">
        <is>
          <t>Ratio</t>
        </is>
      </c>
      <c r="P1373" s="12">
        <f>0</f>
        <v/>
      </c>
      <c r="Q1373" s="12">
        <f>SCAN(0,Q1370:Z1370,LAMBDA(a,v,a+v))</f>
        <v/>
      </c>
    </row>
    <row r="1374">
      <c r="C1374" s="6" t="inlineStr">
        <is>
          <t>Cumulative Share, Perfect Equality</t>
        </is>
      </c>
      <c r="G1374" s="6" t="inlineStr">
        <is>
          <t>cum_eq</t>
        </is>
      </c>
      <c r="H1374" s="6" t="inlineStr">
        <is>
          <t>Ratio</t>
        </is>
      </c>
      <c r="P1374" s="12">
        <f>0</f>
        <v/>
      </c>
      <c r="Q1374" s="12">
        <f>DECILE_ARRAY/10</f>
        <v/>
      </c>
    </row>
    <row r="1376">
      <c r="C1376" s="7" t="inlineStr">
        <is>
          <t>Gini coefficient (Baseline / Post-CP excl. / incl. recycling / Perfect equality)</t>
        </is>
      </c>
    </row>
    <row r="1377">
      <c r="C1377" s="6" t="inlineStr">
        <is>
          <t>Gini - Baseline</t>
        </is>
      </c>
      <c r="P1377" s="12">
        <f>1-2*SUMPRODUCT(ADJ_POP(DECILE_ARRAY,"Overall")/SUM(ADJ_POP(DECILE_ARRAY,"Overall"))*(HSTACK(0,Q1371:INDEX(Q1371:Z1371,1,9))+Q1371:Z1371)/2)</f>
        <v/>
      </c>
    </row>
    <row r="1378">
      <c r="C1378" s="6" t="inlineStr">
        <is>
          <t>Gini - Post-CP excl. recycling</t>
        </is>
      </c>
      <c r="P1378" s="12">
        <f>1-2*SUMPRODUCT(ADJ_POP(DECILE_ARRAY,"Overall")/SUM(ADJ_POP(DECILE_ARRAY,"Overall"))*(HSTACK(0,Q1372:INDEX(Q1372:Z1372,1,9))+Q1372:Z1372)/2)</f>
        <v/>
      </c>
    </row>
    <row r="1379">
      <c r="C1379" s="6" t="inlineStr">
        <is>
          <t>Gini - Post-CP incl. recycling</t>
        </is>
      </c>
      <c r="P1379" s="12">
        <f>1-2*SUMPRODUCT(ADJ_POP(DECILE_ARRAY,"Overall")/SUM(ADJ_POP(DECILE_ARRAY,"Overall"))*(HSTACK(0,Q1373:INDEX(Q1373:Z1373,1,9))+Q1373:Z1373)/2)</f>
        <v/>
      </c>
    </row>
    <row r="1380">
      <c r="C1380" s="6" t="inlineStr">
        <is>
          <t>Gini - Perfect equality</t>
        </is>
      </c>
      <c r="P1380" s="12">
        <f>1-2*SUMPRODUCT(ADJ_POP(DECILE_ARRAY,"Overall")/SUM(ADJ_POP(DECILE_ARRAY,"Overall"))*(HSTACK(0,Q1374:INDEX(Q1374:Z1374,1,9))+Q1374:Z1374)/2)</f>
        <v/>
      </c>
    </row>
    <row r="1381">
      <c r="C1381" s="6" t="inlineStr">
        <is>
          <t>Delta Gini (excl. recycling)</t>
        </is>
      </c>
      <c r="P1381" s="12">
        <f>P1378-P1377</f>
        <v/>
      </c>
    </row>
    <row r="1382">
      <c r="C1382" s="6" t="inlineStr">
        <is>
          <t>Delta Gini (incl. recycling)</t>
        </is>
      </c>
      <c r="P1382" s="12">
        <f>P1379-P1377</f>
        <v/>
      </c>
    </row>
    <row r="1384">
      <c r="A1384" s="4" t="inlineStr">
        <is>
          <t>C.X.</t>
        </is>
      </c>
      <c r="B1384" s="4" t="inlineStr">
        <is>
          <t>Targeted transfers, public investment and current spending</t>
        </is>
      </c>
      <c r="C1384" s="5" t="n"/>
      <c r="D1384" s="5" t="n"/>
      <c r="E1384" s="5" t="n"/>
      <c r="F1384" s="5" t="n"/>
      <c r="G1384" s="5" t="n"/>
      <c r="H1384" s="5" t="n"/>
      <c r="I1384" s="5" t="n"/>
      <c r="J1384" s="5" t="n"/>
      <c r="K1384" s="5" t="n"/>
      <c r="L1384" s="5" t="n"/>
      <c r="M1384" s="5" t="n"/>
      <c r="N1384" s="5" t="n"/>
    </row>
    <row r="1386" ht="60" customHeight="1">
      <c r="C1386" s="11" t="inlineStr">
        <is>
          <t>Targeted transfers and public investment are allocated using the infrastructure-access shortfall (INFRA_SHARE -- population share currently lacking access, from HHSurvey all_acs_share), consistent with Egypt's non-ASPIRE targeted-transfer configuration. The source workbook's targeted transfer instead uses a bottom-40%-of-population poverty-line proxy with coverage/leakage adjustments (see Distribution_Inputs B.I); that specific targeting mechanism is approximated here by INFRA_SHARE for tractability -- amounts sum to the same total revenue, decile allocation will differ somewhat from the source. Current spending uses ASPIRE incidence (program 'allsp', by quintile).</t>
        </is>
      </c>
    </row>
    <row r="1387"/>
    <row r="1388"/>
    <row r="1389"/>
    <row r="1391">
      <c r="C1391" s="6" t="inlineStr">
        <is>
          <t>Labor Tax / PIT Reduction</t>
        </is>
      </c>
      <c r="G1391" s="6" t="inlineStr">
        <is>
          <t>pit</t>
        </is>
      </c>
      <c r="H1391" s="6" t="inlineStr">
        <is>
          <t>Real 2026 LCU</t>
        </is>
      </c>
      <c r="P1391" s="12">
        <f>SUM(PIT_REDUCTION(DECILE_ARRAY))</f>
        <v/>
      </c>
      <c r="Q1391" s="12">
        <f>PIT_REDUCTION(DECILE_ARRAY)</f>
        <v/>
      </c>
    </row>
    <row r="1392">
      <c r="C1392" s="6" t="inlineStr">
        <is>
          <t>Targeted Transfers Received</t>
        </is>
      </c>
      <c r="G1392" s="6" t="inlineStr">
        <is>
          <t>trns</t>
        </is>
      </c>
      <c r="H1392" s="6" t="inlineStr">
        <is>
          <t>Real 2026 LCU</t>
        </is>
      </c>
      <c r="P1392" s="12">
        <f>SUM(TARGETED_TRANSFER(DECILE_ARRAY))</f>
        <v/>
      </c>
      <c r="Q1392" s="12">
        <f>TARGETED_TRANSFER(DECILE_ARRAY)</f>
        <v/>
      </c>
    </row>
    <row r="1393">
      <c r="C1393" s="6" t="inlineStr">
        <is>
          <t>Public Investment Received</t>
        </is>
      </c>
      <c r="G1393" s="6" t="inlineStr">
        <is>
          <t>inv</t>
        </is>
      </c>
      <c r="H1393" s="6" t="inlineStr">
        <is>
          <t>Real 2026 LCU</t>
        </is>
      </c>
      <c r="P1393" s="12">
        <f>SUM(PUBLIC_INVESTMENT(DECILE_ARRAY))</f>
        <v/>
      </c>
      <c r="Q1393" s="12">
        <f>PUBLIC_INVESTMENT(DECILE_ARRAY)</f>
        <v/>
      </c>
    </row>
    <row r="1394">
      <c r="C1394" s="6" t="inlineStr">
        <is>
          <t>Current Spending Received</t>
        </is>
      </c>
      <c r="G1394" s="6" t="inlineStr">
        <is>
          <t>spnd</t>
        </is>
      </c>
      <c r="H1394" s="6" t="inlineStr">
        <is>
          <t>Real 2026 LCU</t>
        </is>
      </c>
      <c r="P1394" s="12">
        <f>SUM(CURRENT_SPENDING(DECILE_ARRAY))</f>
        <v/>
      </c>
      <c r="Q1394" s="12">
        <f>CURRENT_SPENDING(DECILE_ARRAY)</f>
        <v/>
      </c>
    </row>
    <row r="1395">
      <c r="C1395" s="6" t="inlineStr">
        <is>
          <t>Total Amount Recycled</t>
        </is>
      </c>
      <c r="G1395" s="6" t="inlineStr">
        <is>
          <t>tot</t>
        </is>
      </c>
      <c r="H1395" s="6" t="inlineStr">
        <is>
          <t>Real 2026 LCU</t>
        </is>
      </c>
      <c r="P1395" s="12">
        <f>SUM(AMOUNT_RECYCLED(DECILE_ARRAY))</f>
        <v/>
      </c>
      <c r="Q1395" s="12">
        <f>AMOUNT_RECYCLED(DECILE_ARRAY)</f>
        <v/>
      </c>
    </row>
    <row r="1397">
      <c r="A1397" s="4" t="inlineStr">
        <is>
          <t>C.XI.</t>
        </is>
      </c>
      <c r="B1397" s="4" t="inlineStr">
        <is>
          <t>Personal income tax (PIT) reductions</t>
        </is>
      </c>
      <c r="C1397" s="5" t="n"/>
      <c r="D1397" s="5" t="n"/>
      <c r="E1397" s="5" t="n"/>
      <c r="F1397" s="5" t="n"/>
      <c r="G1397" s="5" t="n"/>
      <c r="H1397" s="5" t="n"/>
      <c r="I1397" s="5" t="n"/>
      <c r="J1397" s="5" t="n"/>
      <c r="K1397" s="5" t="n"/>
      <c r="L1397" s="5" t="n"/>
      <c r="M1397" s="5" t="n"/>
      <c r="N1397" s="5" t="n"/>
    </row>
    <row r="1399" ht="30" customHeight="1">
      <c r="C1399" s="11" t="inlineStr">
        <is>
          <t>Active method: Distribution_Inputs "Labor Tax Reduction Method" (LaborTaxMethod). Personal Allowance caps each decile's per-capita tax cut at the average revenue-per-capita, then redistributes the unused allowance from below-cap deciles as an equal per-capita top-up to every decile -- see PIT_REDUCTION in the Name Manager.</t>
        </is>
      </c>
    </row>
    <row r="1400"/>
    <row r="1402">
      <c r="C1402" s="6" t="inlineStr">
        <is>
          <t>PIT Liability (baseline)</t>
        </is>
      </c>
      <c r="G1402" s="6" t="inlineStr">
        <is>
          <t>liab</t>
        </is>
      </c>
      <c r="H1402" s="6" t="inlineStr">
        <is>
          <t>Real 2026 LCU</t>
        </is>
      </c>
      <c r="P1402" s="12">
        <f>SUM(PIT_LIABILITY(DECILE_ARRAY))</f>
        <v/>
      </c>
      <c r="Q1402" s="12">
        <f>PIT_LIABILITY(DECILE_ARRAY)</f>
        <v/>
      </c>
    </row>
    <row r="1403">
      <c r="C1403" s="6" t="inlineStr">
        <is>
          <t>PIT Reduction Received</t>
        </is>
      </c>
      <c r="G1403" s="6" t="inlineStr">
        <is>
          <t>pit</t>
        </is>
      </c>
      <c r="H1403" s="6" t="inlineStr">
        <is>
          <t>Real 2026 LCU</t>
        </is>
      </c>
      <c r="P1403" s="12">
        <f>SUM(PIT_REDUCTION(DECILE_ARRAY))</f>
        <v/>
      </c>
      <c r="Q1403" s="12">
        <f>PIT_REDUCTION(DECILE_ARRAY)</f>
        <v/>
      </c>
    </row>
    <row r="1405">
      <c r="A1405" s="4" t="inlineStr">
        <is>
          <t>C.XII.</t>
        </is>
      </c>
      <c r="B1405" s="4" t="inlineStr">
        <is>
          <t>Net effect and post-CP consumption (Step 9)</t>
        </is>
      </c>
      <c r="C1405" s="5" t="n"/>
      <c r="D1405" s="5" t="n"/>
      <c r="E1405" s="5" t="n"/>
      <c r="F1405" s="5" t="n"/>
      <c r="G1405" s="5" t="n"/>
      <c r="H1405" s="5" t="n"/>
      <c r="I1405" s="5" t="n"/>
      <c r="J1405" s="5" t="n"/>
      <c r="K1405" s="5" t="n"/>
      <c r="L1405" s="5" t="n"/>
      <c r="M1405" s="5" t="n"/>
      <c r="N1405" s="5" t="n"/>
    </row>
    <row r="1407">
      <c r="C1407" s="7" t="inlineStr">
        <is>
          <t>Net Effect, Post-Recycling (Overall, % Total Consumption)</t>
        </is>
      </c>
      <c r="G1407" s="6" t="inlineStr">
        <is>
          <t>tot</t>
        </is>
      </c>
      <c r="O1407" s="8" t="inlineStr">
        <is>
          <t>Decile --&gt;</t>
        </is>
      </c>
      <c r="Q1407" s="8" t="n">
        <v>1</v>
      </c>
      <c r="R1407" s="8" t="n">
        <v>2</v>
      </c>
      <c r="S1407" s="8" t="n">
        <v>3</v>
      </c>
      <c r="T1407" s="8" t="n">
        <v>4</v>
      </c>
      <c r="U1407" s="8" t="n">
        <v>5</v>
      </c>
      <c r="V1407" s="8" t="n">
        <v>6</v>
      </c>
      <c r="W1407" s="8" t="n">
        <v>7</v>
      </c>
      <c r="X1407" s="8" t="n">
        <v>8</v>
      </c>
      <c r="Y1407" s="8" t="n">
        <v>9</v>
      </c>
      <c r="Z1407" s="8" t="n">
        <v>10</v>
      </c>
    </row>
    <row r="1408">
      <c r="P1408" s="12">
        <f>NET_EFFECT(0,"Overall")</f>
        <v/>
      </c>
      <c r="Q1408" s="12">
        <f>NET_EFFECT(DECILE_ARRAY,"Overall")</f>
        <v/>
      </c>
    </row>
    <row r="1410">
      <c r="C1410" s="7" t="inlineStr">
        <is>
          <t>Net Effect, Post-Recycling (Urban, % Total Consumption)</t>
        </is>
      </c>
      <c r="G1410" s="6" t="inlineStr">
        <is>
          <t>tot</t>
        </is>
      </c>
      <c r="O1410" s="8" t="inlineStr">
        <is>
          <t>Decile --&gt;</t>
        </is>
      </c>
      <c r="Q1410" s="8" t="n">
        <v>1</v>
      </c>
      <c r="R1410" s="8" t="n">
        <v>2</v>
      </c>
      <c r="S1410" s="8" t="n">
        <v>3</v>
      </c>
      <c r="T1410" s="8" t="n">
        <v>4</v>
      </c>
      <c r="U1410" s="8" t="n">
        <v>5</v>
      </c>
      <c r="V1410" s="8" t="n">
        <v>6</v>
      </c>
      <c r="W1410" s="8" t="n">
        <v>7</v>
      </c>
      <c r="X1410" s="8" t="n">
        <v>8</v>
      </c>
      <c r="Y1410" s="8" t="n">
        <v>9</v>
      </c>
      <c r="Z1410" s="8" t="n">
        <v>10</v>
      </c>
    </row>
    <row r="1411">
      <c r="P1411" s="12">
        <f>NET_EFFECT(0,"Urban")</f>
        <v/>
      </c>
      <c r="Q1411" s="12">
        <f>NET_EFFECT(DECILE_ARRAY,"Urban")</f>
        <v/>
      </c>
    </row>
    <row r="1413">
      <c r="C1413" s="7" t="inlineStr">
        <is>
          <t>Net Effect, Post-Recycling (Rural, % Total Consumption)</t>
        </is>
      </c>
      <c r="G1413" s="6" t="inlineStr">
        <is>
          <t>tot</t>
        </is>
      </c>
      <c r="O1413" s="8" t="inlineStr">
        <is>
          <t>Decile --&gt;</t>
        </is>
      </c>
      <c r="Q1413" s="8" t="n">
        <v>1</v>
      </c>
      <c r="R1413" s="8" t="n">
        <v>2</v>
      </c>
      <c r="S1413" s="8" t="n">
        <v>3</v>
      </c>
      <c r="T1413" s="8" t="n">
        <v>4</v>
      </c>
      <c r="U1413" s="8" t="n">
        <v>5</v>
      </c>
      <c r="V1413" s="8" t="n">
        <v>6</v>
      </c>
      <c r="W1413" s="8" t="n">
        <v>7</v>
      </c>
      <c r="X1413" s="8" t="n">
        <v>8</v>
      </c>
      <c r="Y1413" s="8" t="n">
        <v>9</v>
      </c>
      <c r="Z1413" s="8" t="n">
        <v>10</v>
      </c>
    </row>
    <row r="1414">
      <c r="P1414" s="12">
        <f>NET_EFFECT(0,"Rural")</f>
        <v/>
      </c>
      <c r="Q1414" s="12">
        <f>NET_EFFECT(DECILE_ARRAY,"Rural")</f>
        <v/>
      </c>
    </row>
    <row r="1416">
      <c r="C1416" s="6" t="inlineStr">
        <is>
          <t>Post-CP Consumption, excl. Recycling (Overall)</t>
        </is>
      </c>
      <c r="G1416" s="6" t="inlineStr">
        <is>
          <t>cons_excl</t>
        </is>
      </c>
      <c r="H1416" s="6" t="inlineStr">
        <is>
          <t>Real 2026 LCU</t>
        </is>
      </c>
      <c r="P1416" s="12">
        <f>SUM(POST_CP_EXCL_RECYCLING(DECILE_ARRAY,"Overall"))</f>
        <v/>
      </c>
      <c r="Q1416" s="12">
        <f>POST_CP_EXCL_RECYCLING(DECILE_ARRAY,"Overall")</f>
        <v/>
      </c>
    </row>
    <row r="1417">
      <c r="C1417" s="6" t="inlineStr">
        <is>
          <t>Post-CP Consumption, excl. Recycling (Urban)</t>
        </is>
      </c>
      <c r="G1417" s="6" t="inlineStr">
        <is>
          <t>cons_excl</t>
        </is>
      </c>
      <c r="H1417" s="6" t="inlineStr">
        <is>
          <t>Real 2026 LCU</t>
        </is>
      </c>
      <c r="P1417" s="12">
        <f>SUM(POST_CP_EXCL_RECYCLING(DECILE_ARRAY,"Urban"))</f>
        <v/>
      </c>
      <c r="Q1417" s="12">
        <f>POST_CP_EXCL_RECYCLING(DECILE_ARRAY,"Urban")</f>
        <v/>
      </c>
    </row>
    <row r="1418">
      <c r="C1418" s="6" t="inlineStr">
        <is>
          <t>Post-CP Consumption, excl. Recycling (Rural)</t>
        </is>
      </c>
      <c r="G1418" s="6" t="inlineStr">
        <is>
          <t>cons_excl</t>
        </is>
      </c>
      <c r="H1418" s="6" t="inlineStr">
        <is>
          <t>Real 2026 LCU</t>
        </is>
      </c>
      <c r="P1418" s="12">
        <f>SUM(POST_CP_EXCL_RECYCLING(DECILE_ARRAY,"Rural"))</f>
        <v/>
      </c>
      <c r="Q1418" s="12">
        <f>POST_CP_EXCL_RECYCLING(DECILE_ARRAY,"Rural")</f>
        <v/>
      </c>
    </row>
    <row r="1419">
      <c r="C1419" s="6" t="inlineStr">
        <is>
          <t>Post-CP Consumption, incl. Recycling (Overall)</t>
        </is>
      </c>
      <c r="G1419" s="6" t="inlineStr">
        <is>
          <t>cons_incl</t>
        </is>
      </c>
      <c r="H1419" s="6" t="inlineStr">
        <is>
          <t>Real 2026 LCU</t>
        </is>
      </c>
      <c r="P1419" s="12">
        <f>SUM(POST_CP_INCL_RECYCLING(DECILE_ARRAY,"Overall"))</f>
        <v/>
      </c>
      <c r="Q1419" s="12">
        <f>POST_CP_INCL_RECYCLING(DECILE_ARRAY,"Overall")</f>
        <v/>
      </c>
    </row>
    <row r="1420">
      <c r="C1420" s="6" t="inlineStr">
        <is>
          <t>Post-CP Consumption, incl. Recycling (Urban)</t>
        </is>
      </c>
      <c r="G1420" s="6" t="inlineStr">
        <is>
          <t>cons_incl</t>
        </is>
      </c>
      <c r="H1420" s="6" t="inlineStr">
        <is>
          <t>Real 2026 LCU</t>
        </is>
      </c>
      <c r="P1420" s="12">
        <f>SUM(POST_CP_INCL_RECYCLING(DECILE_ARRAY,"Urban"))</f>
        <v/>
      </c>
      <c r="Q1420" s="12">
        <f>POST_CP_INCL_RECYCLING(DECILE_ARRAY,"Urban")</f>
        <v/>
      </c>
    </row>
    <row r="1421">
      <c r="C1421" s="6" t="inlineStr">
        <is>
          <t>Post-CP Consumption, incl. Recycling (Rural)</t>
        </is>
      </c>
      <c r="G1421" s="6" t="inlineStr">
        <is>
          <t>cons_incl</t>
        </is>
      </c>
      <c r="H1421" s="6" t="inlineStr">
        <is>
          <t>Real 2026 LCU</t>
        </is>
      </c>
      <c r="P1421" s="12">
        <f>SUM(POST_CP_INCL_RECYCLING(DECILE_ARRAY,"Rural"))</f>
        <v/>
      </c>
      <c r="Q1421" s="12">
        <f>POST_CP_INCL_RECYCLING(DECILE_ARRAY,"Rural")</f>
        <v/>
      </c>
    </row>
    <row r="1423">
      <c r="A1423" s="4" t="inlineStr">
        <is>
          <t>C.XIII.</t>
        </is>
      </c>
      <c r="B1423" s="4" t="inlineStr">
        <is>
          <t>Compensation requirement (share of CP revenue needed per decile)</t>
        </is>
      </c>
      <c r="C1423" s="5" t="n"/>
      <c r="D1423" s="5" t="n"/>
      <c r="E1423" s="5" t="n"/>
      <c r="F1423" s="5" t="n"/>
      <c r="G1423" s="5" t="n"/>
      <c r="H1423" s="5" t="n"/>
      <c r="I1423" s="5" t="n"/>
      <c r="J1423" s="5" t="n"/>
      <c r="K1423" s="5" t="n"/>
      <c r="L1423" s="5" t="n"/>
      <c r="M1423" s="5" t="n"/>
      <c r="N1423" s="5" t="n"/>
    </row>
    <row r="1425">
      <c r="C1425" s="6" t="inlineStr">
        <is>
          <t>Loss Amount (Total Effect x Baseline Consumption Share)</t>
        </is>
      </c>
      <c r="G1425" s="6" t="inlineStr">
        <is>
          <t>loss</t>
        </is>
      </c>
      <c r="H1425" s="6" t="inlineStr">
        <is>
          <t>Real 2026 LCU</t>
        </is>
      </c>
      <c r="P1425" s="12">
        <f>SUM(TOTAL_EFFECT(DECILE_ARRAY,"Overall","mean")/100*ADJ_CONS_TOT(DECILE_ARRAY,"Overall"))</f>
        <v/>
      </c>
      <c r="Q1425" s="12">
        <f>TOTAL_EFFECT(DECILE_ARRAY,"Overall","mean")/100*ADJ_CONS_TOT(DECILE_ARRAY,"Overall")</f>
        <v/>
      </c>
    </row>
    <row r="1426">
      <c r="C1426" s="6" t="inlineStr">
        <is>
          <t>Share of CP Revenue Required to Compensate Decile</t>
        </is>
      </c>
      <c r="Q1426" s="12">
        <f>Q1425:Z1425/P1425</f>
        <v/>
      </c>
    </row>
    <row r="1427">
      <c r="C1427" s="6" t="inlineStr">
        <is>
          <t>Cumulative Share of CP Revenue Required (poorest -&gt; richest)</t>
        </is>
      </c>
      <c r="P1427" s="6">
        <f>0</f>
        <v/>
      </c>
      <c r="Q1427" s="12">
        <f>SCAN(0,Q1426:Z1426,LAMBDA(a,v,a+v))</f>
        <v/>
      </c>
    </row>
    <row r="1429">
      <c r="A1429" s="4" t="inlineStr">
        <is>
          <t>D.</t>
        </is>
      </c>
      <c r="B1429" s="4" t="inlineStr">
        <is>
          <t>Outputs for charts</t>
        </is>
      </c>
      <c r="C1429" s="5" t="n"/>
      <c r="D1429" s="5" t="n"/>
      <c r="E1429" s="5" t="n"/>
      <c r="F1429" s="5" t="n"/>
      <c r="G1429" s="5" t="n"/>
      <c r="H1429" s="5" t="n"/>
      <c r="I1429" s="5" t="n"/>
      <c r="J1429" s="5" t="n"/>
      <c r="K1429" s="5" t="n"/>
      <c r="L1429" s="5" t="n"/>
      <c r="M1429" s="5" t="n"/>
      <c r="N1429" s="5" t="n"/>
    </row>
    <row r="1431" ht="90" customHeight="1">
      <c r="C1431" s="11" t="inlineStr">
        <is>
          <t>Chart-ready values are direct references to the C-section cells above (no new computation) -- build charts in Excel directly off the C.III-C.XIII ranges, filtered to the "Statistic - Outputs" / sample of interest, exactly as the source workbook's D section re-projects its own C-section data. A pivot-friendly export of the core outputs (budget share, direct/indirect/total/net effect, all stats x samples x deciles) is on the Distribution_Outputs sheet above; the sectoral GTAP top-20 chart (source D.VI) is out of scope here since sector-level price increases are a given input in this build, not computed (see Distribution_Inputs A.II).</t>
        </is>
      </c>
    </row>
    <row r="1432"/>
    <row r="1433"/>
    <row r="1434"/>
    <row r="1435"/>
    <row r="1437">
      <c r="A1437" s="4" t="inlineStr">
        <is>
          <t>E.</t>
        </is>
      </c>
      <c r="B1437" s="4" t="inlineStr">
        <is>
          <t>Notes</t>
        </is>
      </c>
      <c r="C1437" s="5" t="n"/>
      <c r="D1437" s="5" t="n"/>
      <c r="E1437" s="5" t="n"/>
      <c r="F1437" s="5" t="n"/>
      <c r="G1437" s="5" t="n"/>
      <c r="H1437" s="5" t="n"/>
      <c r="I1437" s="5" t="n"/>
      <c r="J1437" s="5" t="n"/>
      <c r="K1437" s="5" t="n"/>
      <c r="L1437" s="5" t="n"/>
      <c r="M1437" s="5" t="n"/>
      <c r="N1437" s="5" t="n"/>
    </row>
    <row r="1439">
      <c r="C1439" s="7" t="inlineStr">
        <is>
          <t>Direct effect</t>
        </is>
      </c>
    </row>
    <row r="1440">
      <c r="C1440" s="11" t="inlineStr">
        <is>
          <t>budget_share x price_change_direct x behavior_adj - DWL, summed over the 8 taxed fuels. See LAMBDA DIRECT_EFFECT / TOTAL_DIRECT_EFFECT.</t>
        </is>
      </c>
    </row>
    <row r="1442">
      <c r="C1442" s="7" t="inlineStr">
        <is>
          <t>Indirect effect</t>
        </is>
      </c>
    </row>
    <row r="1443">
      <c r="C1443" s="11" t="inlineStr">
        <is>
          <t>budget_share x price_change_indirect x behavior_adj - DWL, summed over the 14 CPAT consumption categories. See LAMBDA INDIRECT_EFFECT / TOTAL_INDIRECT_EFFECT.</t>
        </is>
      </c>
    </row>
    <row r="1445">
      <c r="C1445" s="7" t="inlineStr">
        <is>
          <t>Deadweight loss (Harberger triangle)</t>
        </is>
      </c>
    </row>
    <row r="1446">
      <c r="C1446" s="11" t="inlineStr">
        <is>
          <t>0.5 x elasticity x price_change^2 x budget_share (only applied if Distribution_Inputs 'Adjust for deadweight losses?' = Yes).</t>
        </is>
      </c>
    </row>
    <row r="1448">
      <c r="C1448" s="7" t="inlineStr">
        <is>
          <t>Survey-to-national-accounts rebasing</t>
        </is>
      </c>
    </row>
    <row r="1449">
      <c r="C1449" s="11" t="inlineStr">
        <is>
          <t>per-capita consumption from HHSurvey is deflated to the analysis year and rescaled by Household Consumption Adj. Factor = National Accounts Consumption / Total Household Consumption (Survey Year); population is rescaled by Population Adj. Factor = Population (Analysis Year) / Population (Survey Year).</t>
        </is>
      </c>
    </row>
    <row r="1451">
      <c r="C1451" s="7" t="inlineStr">
        <is>
          <t>Gini coefficient</t>
        </is>
      </c>
    </row>
    <row r="1452">
      <c r="C1452" s="11" t="inlineStr">
        <is>
          <t>1 - 2 x (population-share-weighted trapezoidal area under the Lorenz curve), using each decile's actual survey-weighted population share as the trapezoid width.</t>
        </is>
      </c>
    </row>
    <row r="1454">
      <c r="C1454" s="7" t="inlineStr">
        <is>
          <t>Revenue recycling</t>
        </is>
      </c>
    </row>
    <row r="1455">
      <c r="C1455" s="11" t="inlineStr">
        <is>
          <t>labor tax / PIT reduction via the active method in Distribution_Inputs (Personal Allowance / Proportional Compensation / Targeted Exemption); targeted transfers and public investment via the infrastructure-access shortfall; current spending via ASPIRE incidence.</t>
        </is>
      </c>
    </row>
    <row r="1457">
      <c r="A1457" s="4" t="inlineStr">
        <is>
          <t>F.</t>
        </is>
      </c>
      <c r="B1457" s="4" t="inlineStr">
        <is>
          <t>Results for MT (handoff to Mitigation module)</t>
        </is>
      </c>
      <c r="C1457" s="5" t="n"/>
      <c r="D1457" s="5" t="n"/>
      <c r="E1457" s="5" t="n"/>
      <c r="F1457" s="5" t="n"/>
      <c r="G1457" s="5" t="n"/>
      <c r="H1457" s="5" t="n"/>
      <c r="I1457" s="5" t="n"/>
      <c r="J1457" s="5" t="n"/>
      <c r="K1457" s="5" t="n"/>
      <c r="L1457" s="5" t="n"/>
      <c r="M1457" s="5" t="n"/>
      <c r="N1457" s="5" t="n"/>
    </row>
    <row r="1459" ht="55" customHeight="1">
      <c r="C1459" s="11" t="inlineStr">
        <is>
          <t>Direct and indirect price changes are echoed back from the given inputs (Price_Changes tab) for consistency display in the Mitigation module's own results view. The GTAP-sector-level revenue-reconciliation factor and the top-20-most-affected-sectors table (source F, from C.I/D.VI) are out of scope here -- see Distribution_Inputs A.II.</t>
        </is>
      </c>
    </row>
    <row r="1460"/>
    <row r="1461"/>
    <row r="1463">
      <c r="C1463" s="7" t="inlineStr">
        <is>
          <t>Direct price changes by fuel (%)</t>
        </is>
      </c>
    </row>
    <row r="1464">
      <c r="C1464" s="6" t="inlineStr">
        <is>
          <t>Coal</t>
        </is>
      </c>
      <c r="G1464" s="6" t="inlineStr">
        <is>
          <t>coa</t>
        </is>
      </c>
      <c r="P1464" s="12">
        <f>PCHANGE_DIRECT("coa")</f>
        <v/>
      </c>
    </row>
    <row r="1465">
      <c r="C1465" s="6" t="inlineStr">
        <is>
          <t>Electricity</t>
        </is>
      </c>
      <c r="G1465" s="6" t="inlineStr">
        <is>
          <t>ely</t>
        </is>
      </c>
      <c r="P1465" s="12">
        <f>PCHANGE_DIRECT("ely")</f>
        <v/>
      </c>
    </row>
    <row r="1466">
      <c r="C1466" s="6" t="inlineStr">
        <is>
          <t>Natural Gas</t>
        </is>
      </c>
      <c r="G1466" s="6" t="inlineStr">
        <is>
          <t>nga</t>
        </is>
      </c>
      <c r="P1466" s="12">
        <f>PCHANGE_DIRECT("nga")</f>
        <v/>
      </c>
    </row>
    <row r="1467">
      <c r="C1467" s="6" t="inlineStr">
        <is>
          <t>Non-Road Oil</t>
        </is>
      </c>
      <c r="G1467" s="6" t="inlineStr">
        <is>
          <t>oil</t>
        </is>
      </c>
      <c r="P1467" s="12">
        <f>PCHANGE_DIRECT("oil")</f>
        <v/>
      </c>
    </row>
    <row r="1468">
      <c r="C1468" s="6" t="inlineStr">
        <is>
          <t>Gasoline</t>
        </is>
      </c>
      <c r="G1468" s="6" t="inlineStr">
        <is>
          <t>gso</t>
        </is>
      </c>
      <c r="P1468" s="12">
        <f>PCHANGE_DIRECT("gso")</f>
        <v/>
      </c>
    </row>
    <row r="1469">
      <c r="C1469" s="6" t="inlineStr">
        <is>
          <t>Diesel</t>
        </is>
      </c>
      <c r="G1469" s="6" t="inlineStr">
        <is>
          <t>die</t>
        </is>
      </c>
      <c r="P1469" s="12">
        <f>PCHANGE_DIRECT("die")</f>
        <v/>
      </c>
    </row>
    <row r="1470">
      <c r="C1470" s="6" t="inlineStr">
        <is>
          <t>Kerosene</t>
        </is>
      </c>
      <c r="G1470" s="6" t="inlineStr">
        <is>
          <t>ker</t>
        </is>
      </c>
      <c r="P1470" s="12">
        <f>PCHANGE_DIRECT("ker")</f>
        <v/>
      </c>
    </row>
    <row r="1471">
      <c r="C1471" s="6" t="inlineStr">
        <is>
          <t>LPG</t>
        </is>
      </c>
      <c r="G1471" s="6" t="inlineStr">
        <is>
          <t>lpg</t>
        </is>
      </c>
      <c r="P1471" s="12">
        <f>PCHANGE_DIRECT("lpg")</f>
        <v/>
      </c>
    </row>
    <row r="1473">
      <c r="C1473" s="7" t="inlineStr">
        <is>
          <t>Indirect price changes by CPAT category (%)</t>
        </is>
      </c>
    </row>
    <row r="1474">
      <c r="C1474" s="6" t="inlineStr">
        <is>
          <t>Appliances</t>
        </is>
      </c>
      <c r="G1474" s="6" t="inlineStr">
        <is>
          <t>app</t>
        </is>
      </c>
      <c r="P1474" s="12">
        <f>PCHANGE_INDIRECT("app")</f>
        <v/>
      </c>
    </row>
    <row r="1475">
      <c r="C1475" s="6" t="inlineStr">
        <is>
          <t>Chemicals</t>
        </is>
      </c>
      <c r="G1475" s="6" t="inlineStr">
        <is>
          <t>che</t>
        </is>
      </c>
      <c r="P1475" s="12">
        <f>PCHANGE_INDIRECT("che")</f>
        <v/>
      </c>
    </row>
    <row r="1476">
      <c r="C1476" s="6" t="inlineStr">
        <is>
          <t>Clothing</t>
        </is>
      </c>
      <c r="G1476" s="6" t="inlineStr">
        <is>
          <t>clo</t>
        </is>
      </c>
      <c r="P1476" s="12">
        <f>PCHANGE_INDIRECT("clo")</f>
        <v/>
      </c>
    </row>
    <row r="1477">
      <c r="C1477" s="6" t="inlineStr">
        <is>
          <t>Communications</t>
        </is>
      </c>
      <c r="G1477" s="6" t="inlineStr">
        <is>
          <t>com</t>
        </is>
      </c>
      <c r="P1477" s="12">
        <f>PCHANGE_INDIRECT("com")</f>
        <v/>
      </c>
    </row>
    <row r="1478">
      <c r="C1478" s="6" t="inlineStr">
        <is>
          <t>Education</t>
        </is>
      </c>
      <c r="G1478" s="6" t="inlineStr">
        <is>
          <t>edu</t>
        </is>
      </c>
      <c r="P1478" s="12">
        <f>PCHANGE_INDIRECT("edu")</f>
        <v/>
      </c>
    </row>
    <row r="1479">
      <c r="C1479" s="6" t="inlineStr">
        <is>
          <t>Food</t>
        </is>
      </c>
      <c r="G1479" s="6" t="inlineStr">
        <is>
          <t>food</t>
        </is>
      </c>
      <c r="P1479" s="12">
        <f>PCHANGE_INDIRECT("food")</f>
        <v/>
      </c>
    </row>
    <row r="1480">
      <c r="C1480" s="6" t="inlineStr">
        <is>
          <t>Health Services</t>
        </is>
      </c>
      <c r="G1480" s="6" t="inlineStr">
        <is>
          <t>hea</t>
        </is>
      </c>
      <c r="P1480" s="12">
        <f>PCHANGE_INDIRECT("hea")</f>
        <v/>
      </c>
    </row>
    <row r="1481">
      <c r="C1481" s="6" t="inlineStr">
        <is>
          <t>Housing</t>
        </is>
      </c>
      <c r="G1481" s="6" t="inlineStr">
        <is>
          <t>hou</t>
        </is>
      </c>
      <c r="P1481" s="12">
        <f>PCHANGE_INDIRECT("hou")</f>
        <v/>
      </c>
    </row>
    <row r="1482">
      <c r="C1482" s="6" t="inlineStr">
        <is>
          <t>Other</t>
        </is>
      </c>
      <c r="G1482" s="6" t="inlineStr">
        <is>
          <t>oth</t>
        </is>
      </c>
      <c r="P1482" s="12">
        <f>PCHANGE_INDIRECT("oth")</f>
        <v/>
      </c>
    </row>
    <row r="1483">
      <c r="C1483" s="6" t="inlineStr">
        <is>
          <t>Paper</t>
        </is>
      </c>
      <c r="G1483" s="6" t="inlineStr">
        <is>
          <t>pap</t>
        </is>
      </c>
      <c r="P1483" s="12">
        <f>PCHANGE_INDIRECT("pap")</f>
        <v/>
      </c>
    </row>
    <row r="1484">
      <c r="C1484" s="6" t="inlineStr">
        <is>
          <t>Pharmaceuticals</t>
        </is>
      </c>
      <c r="G1484" s="6" t="inlineStr">
        <is>
          <t>pha</t>
        </is>
      </c>
      <c r="P1484" s="12">
        <f>PCHANGE_INDIRECT("pha")</f>
        <v/>
      </c>
    </row>
    <row r="1485">
      <c r="C1485" s="6" t="inlineStr">
        <is>
          <t>Recreation/Tourism</t>
        </is>
      </c>
      <c r="G1485" s="6" t="inlineStr">
        <is>
          <t>ret</t>
        </is>
      </c>
      <c r="P1485" s="12">
        <f>PCHANGE_INDIRECT("ret")</f>
        <v/>
      </c>
    </row>
    <row r="1486">
      <c r="C1486" s="6" t="inlineStr">
        <is>
          <t>Transportation Equipment</t>
        </is>
      </c>
      <c r="G1486" s="6" t="inlineStr">
        <is>
          <t>teq</t>
        </is>
      </c>
      <c r="P1486" s="12">
        <f>PCHANGE_INDIRECT("teq")</f>
        <v/>
      </c>
    </row>
    <row r="1487">
      <c r="C1487" s="6" t="inlineStr">
        <is>
          <t>Public Transportation</t>
        </is>
      </c>
      <c r="G1487" s="6" t="inlineStr">
        <is>
          <t>tpu</t>
        </is>
      </c>
      <c r="P1487" s="12">
        <f>PCHANGE_INDIRECT("tpu")</f>
        <v/>
      </c>
    </row>
  </sheetData>
  <mergeCells count="29">
    <mergeCell ref="B1349:N1349"/>
    <mergeCell ref="C1455:T1455"/>
    <mergeCell ref="B1321:N1321"/>
    <mergeCell ref="C7:T8"/>
    <mergeCell ref="B1423:N1423"/>
    <mergeCell ref="C1446:T1446"/>
    <mergeCell ref="C1459:T1461"/>
    <mergeCell ref="B929:N929"/>
    <mergeCell ref="B1429:N1429"/>
    <mergeCell ref="B1365:N1365"/>
    <mergeCell ref="C1386:T1389"/>
    <mergeCell ref="B1437:N1437"/>
    <mergeCell ref="B5:N5"/>
    <mergeCell ref="B1405:N1405"/>
    <mergeCell ref="B693:N693"/>
    <mergeCell ref="C1440:T1440"/>
    <mergeCell ref="B3:N3"/>
    <mergeCell ref="C1449:T1449"/>
    <mergeCell ref="B327:N327"/>
    <mergeCell ref="C1431:T1435"/>
    <mergeCell ref="C1452:T1452"/>
    <mergeCell ref="C1399:T1400"/>
    <mergeCell ref="B1397:N1397"/>
    <mergeCell ref="B39:N39"/>
    <mergeCell ref="B1384:N1384"/>
    <mergeCell ref="C12:T13"/>
    <mergeCell ref="B1457:N1457"/>
    <mergeCell ref="C1443:T1443"/>
    <mergeCell ref="B10:N1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Q133"/>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 width="15" customWidth="1" min="65" max="65"/>
    <col width="15" customWidth="1" min="66" max="66"/>
    <col width="15" customWidth="1" min="67" max="67"/>
    <col width="15" customWidth="1" min="68" max="68"/>
    <col width="15" customWidth="1" min="69" max="69"/>
  </cols>
  <sheetData>
    <row r="1">
      <c r="A1" s="13" t="inlineStr">
        <is>
          <t>code</t>
        </is>
      </c>
      <c r="B1" s="13" t="inlineStr">
        <is>
          <t>iso3</t>
        </is>
      </c>
      <c r="C1" s="13" t="inlineStr">
        <is>
          <t>year</t>
        </is>
      </c>
      <c r="D1" s="13" t="inlineStr">
        <is>
          <t>sample</t>
        </is>
      </c>
      <c r="E1" s="13" t="inlineStr">
        <is>
          <t>type</t>
        </is>
      </c>
      <c r="F1" s="13" t="inlineStr">
        <is>
          <t>stat_type</t>
        </is>
      </c>
      <c r="G1" s="13" t="inlineStr">
        <is>
          <t>quant_cons</t>
        </is>
      </c>
      <c r="H1" s="13" t="inlineStr">
        <is>
          <t>appliances_share</t>
        </is>
      </c>
      <c r="I1" s="13" t="inlineStr">
        <is>
          <t>ccl_share</t>
        </is>
      </c>
      <c r="J1" s="13" t="inlineStr">
        <is>
          <t>chemicals_share</t>
        </is>
      </c>
      <c r="K1" s="13" t="inlineStr">
        <is>
          <t>clothing_share</t>
        </is>
      </c>
      <c r="L1" s="13" t="inlineStr">
        <is>
          <t>coa_share</t>
        </is>
      </c>
      <c r="M1" s="13" t="inlineStr">
        <is>
          <t>communications_share</t>
        </is>
      </c>
      <c r="N1" s="13" t="inlineStr">
        <is>
          <t>die_share</t>
        </is>
      </c>
      <c r="O1" s="13" t="inlineStr">
        <is>
          <t>education_share</t>
        </is>
      </c>
      <c r="P1" s="13" t="inlineStr">
        <is>
          <t>ethanol_share</t>
        </is>
      </c>
      <c r="Q1" s="13" t="inlineStr">
        <is>
          <t>ely_share</t>
        </is>
      </c>
      <c r="R1" s="13" t="inlineStr">
        <is>
          <t>food_share</t>
        </is>
      </c>
      <c r="S1" s="13" t="inlineStr">
        <is>
          <t>fwd_share</t>
        </is>
      </c>
      <c r="T1" s="13" t="inlineStr">
        <is>
          <t>gso_share</t>
        </is>
      </c>
      <c r="U1" s="13" t="inlineStr">
        <is>
          <t>health_srv_share</t>
        </is>
      </c>
      <c r="V1" s="13" t="inlineStr">
        <is>
          <t>housing_share</t>
        </is>
      </c>
      <c r="W1" s="13" t="inlineStr">
        <is>
          <t>ker_share</t>
        </is>
      </c>
      <c r="X1" s="13" t="inlineStr">
        <is>
          <t>lpg_share</t>
        </is>
      </c>
      <c r="Y1" s="13" t="inlineStr">
        <is>
          <t>nga_share</t>
        </is>
      </c>
      <c r="Z1" s="13" t="inlineStr">
        <is>
          <t>oil_share</t>
        </is>
      </c>
      <c r="AA1" s="13" t="inlineStr">
        <is>
          <t>other_share</t>
        </is>
      </c>
      <c r="AB1" s="13" t="inlineStr">
        <is>
          <t>paper_share</t>
        </is>
      </c>
      <c r="AC1" s="13" t="inlineStr">
        <is>
          <t>pharma_share</t>
        </is>
      </c>
      <c r="AD1" s="13" t="inlineStr">
        <is>
          <t>rectourism_share</t>
        </is>
      </c>
      <c r="AE1" s="13" t="inlineStr">
        <is>
          <t>transp_eqt_share</t>
        </is>
      </c>
      <c r="AF1" s="13" t="inlineStr">
        <is>
          <t>transp_pub_share</t>
        </is>
      </c>
      <c r="AG1" s="13" t="inlineStr">
        <is>
          <t>dec_1_p1</t>
        </is>
      </c>
      <c r="AH1" s="13" t="inlineStr">
        <is>
          <t>dec_1_p99</t>
        </is>
      </c>
      <c r="AI1" s="13" t="inlineStr">
        <is>
          <t>dec_2_p1</t>
        </is>
      </c>
      <c r="AJ1" s="13" t="inlineStr">
        <is>
          <t>dec_2_p99</t>
        </is>
      </c>
      <c r="AK1" s="13" t="inlineStr">
        <is>
          <t>dec_3_p1</t>
        </is>
      </c>
      <c r="AL1" s="13" t="inlineStr">
        <is>
          <t>dec_3_p99</t>
        </is>
      </c>
      <c r="AM1" s="13" t="inlineStr">
        <is>
          <t>dec_4_p1</t>
        </is>
      </c>
      <c r="AN1" s="13" t="inlineStr">
        <is>
          <t>dec_4_p99</t>
        </is>
      </c>
      <c r="AO1" s="13" t="inlineStr">
        <is>
          <t>dec_5_p1</t>
        </is>
      </c>
      <c r="AP1" s="13" t="inlineStr">
        <is>
          <t>dec_5_p99</t>
        </is>
      </c>
      <c r="AQ1" s="13" t="inlineStr">
        <is>
          <t>dec_6_p1</t>
        </is>
      </c>
      <c r="AR1" s="13" t="inlineStr">
        <is>
          <t>dec_6_p99</t>
        </is>
      </c>
      <c r="AS1" s="13" t="inlineStr">
        <is>
          <t>dec_7_p1</t>
        </is>
      </c>
      <c r="AT1" s="13" t="inlineStr">
        <is>
          <t>dec_7_p99</t>
        </is>
      </c>
      <c r="AU1" s="13" t="inlineStr">
        <is>
          <t>dec_8_p1</t>
        </is>
      </c>
      <c r="AV1" s="13" t="inlineStr">
        <is>
          <t>dec_8_p99</t>
        </is>
      </c>
      <c r="AW1" s="13" t="inlineStr">
        <is>
          <t>dec_9_p1</t>
        </is>
      </c>
      <c r="AX1" s="13" t="inlineStr">
        <is>
          <t>dec_9_p99</t>
        </is>
      </c>
      <c r="AY1" s="13" t="inlineStr">
        <is>
          <t>dec_10_p1</t>
        </is>
      </c>
      <c r="AZ1" s="13" t="inlineStr">
        <is>
          <t>dec_10_p99</t>
        </is>
      </c>
      <c r="BA1" s="13" t="inlineStr">
        <is>
          <t>cons_pc_acrent</t>
        </is>
      </c>
      <c r="BB1" s="13" t="inlineStr">
        <is>
          <t>popw</t>
        </is>
      </c>
      <c r="BC1" s="13" t="inlineStr">
        <is>
          <t>cons_pct_acct</t>
        </is>
      </c>
      <c r="BD1" s="13" t="inlineStr">
        <is>
          <t>mean_cons_pct_acct</t>
        </is>
      </c>
      <c r="BE1" s="13" t="inlineStr">
        <is>
          <t>ely_acs_share</t>
        </is>
      </c>
      <c r="BF1" s="13" t="inlineStr">
        <is>
          <t>ICT_acs_share</t>
        </is>
      </c>
      <c r="BG1" s="13" t="inlineStr">
        <is>
          <t>sani_acs_share</t>
        </is>
      </c>
      <c r="BH1" s="13" t="inlineStr">
        <is>
          <t>wtr_acs_share</t>
        </is>
      </c>
      <c r="BI1" s="13" t="inlineStr">
        <is>
          <t>transp_pub_acs_share</t>
        </is>
      </c>
      <c r="BJ1" s="13" t="inlineStr">
        <is>
          <t>all_acs_share</t>
        </is>
      </c>
      <c r="BK1" s="13" t="inlineStr">
        <is>
          <t>pct_belowpl_215</t>
        </is>
      </c>
      <c r="BL1" s="13" t="inlineStr">
        <is>
          <t>pct_belowpl_365</t>
        </is>
      </c>
      <c r="BM1" s="13" t="inlineStr">
        <is>
          <t>pct_belowpl_685</t>
        </is>
      </c>
      <c r="BN1" s="13" t="inlineStr">
        <is>
          <t>pit_share_region</t>
        </is>
      </c>
      <c r="BO1" s="13" t="inlineStr">
        <is>
          <t>pit_share_income</t>
        </is>
      </c>
      <c r="BP1" s="13" t="inlineStr">
        <is>
          <t>indv</t>
        </is>
      </c>
      <c r="BQ1" s="13" t="inlineStr">
        <is>
          <t>key</t>
        </is>
      </c>
    </row>
    <row r="2">
      <c r="A2" s="14" t="inlineStr">
        <is>
          <t>EGY.distn.bsh.dec.ove.mean.1</t>
        </is>
      </c>
      <c r="B2" s="14" t="inlineStr">
        <is>
          <t>EGY</t>
        </is>
      </c>
      <c r="C2" s="14" t="n">
        <v>2017</v>
      </c>
      <c r="D2" s="14" t="inlineStr">
        <is>
          <t>Overall</t>
        </is>
      </c>
      <c r="E2" s="14" t="inlineStr">
        <is>
          <t>Deciles</t>
        </is>
      </c>
      <c r="F2" s="14" t="inlineStr">
        <is>
          <t>mean</t>
        </is>
      </c>
      <c r="G2" s="14" t="n">
        <v>1</v>
      </c>
      <c r="H2" s="14" t="n">
        <v>1.755035630461325</v>
      </c>
      <c r="I2" s="14" t="n">
        <v>0.00902897665505489</v>
      </c>
      <c r="J2" s="14" t="n">
        <v>4.44362658958456</v>
      </c>
      <c r="K2" s="14" t="n">
        <v>6.03280342997361</v>
      </c>
      <c r="L2" s="14" t="n">
        <v>0</v>
      </c>
      <c r="M2" s="14" t="n">
        <v>2.178704763725762</v>
      </c>
      <c r="N2" s="14" t="n">
        <v>0</v>
      </c>
      <c r="O2" s="14" t="n">
        <v>2.946697026824231</v>
      </c>
      <c r="P2" s="14" t="n">
        <v>0</v>
      </c>
      <c r="Q2" s="14" t="n">
        <v>3.662860372212913</v>
      </c>
      <c r="R2" s="14" t="n">
        <v>54.58038658197393</v>
      </c>
      <c r="S2" s="14" t="n">
        <v>0.0005341891399374182</v>
      </c>
      <c r="T2" s="14" t="n">
        <v>0.2981991897979022</v>
      </c>
      <c r="U2" s="14" t="n">
        <v>3.077114415832753</v>
      </c>
      <c r="V2" s="14" t="n">
        <v>5.226548763690845</v>
      </c>
      <c r="W2" s="14" t="n">
        <v>2.007991092078152e-05</v>
      </c>
      <c r="X2" s="14" t="n">
        <v>2.732878313095273</v>
      </c>
      <c r="Y2" s="14" t="n">
        <v>0.283275584083339</v>
      </c>
      <c r="Z2" s="14" t="n">
        <v>0.09981951152686198</v>
      </c>
      <c r="AA2" s="14" t="n">
        <v>0.01310867309642412</v>
      </c>
      <c r="AB2" s="14" t="n">
        <v>2.273089296039874</v>
      </c>
      <c r="AC2" s="14" t="n">
        <v>4.937988985870935</v>
      </c>
      <c r="AD2" s="14" t="n">
        <v>6.901447746814765</v>
      </c>
      <c r="AE2" s="14" t="n">
        <v>0.3200998946549786</v>
      </c>
      <c r="AF2" s="14" t="n">
        <v>4.708125228043048</v>
      </c>
      <c r="AG2" s="14" t="n">
        <v>3320.285842838357</v>
      </c>
      <c r="AH2" s="14" t="n">
        <v>7117.851176258463</v>
      </c>
      <c r="AI2" s="14" t="n">
        <v>7369.252119386199</v>
      </c>
      <c r="AJ2" s="14" t="n">
        <v>9073.981598454275</v>
      </c>
      <c r="AK2" s="14" t="n">
        <v>8900.444527801626</v>
      </c>
      <c r="AL2" s="14" t="n">
        <v>10307.18655076216</v>
      </c>
      <c r="AM2" s="14" t="n">
        <v>9875.920928777979</v>
      </c>
      <c r="AN2" s="14" t="n">
        <v>10331.5593010942</v>
      </c>
      <c r="AO2" s="14" t="n">
        <v>11717.95984239002</v>
      </c>
      <c r="AP2" s="14" t="n">
        <v>13068.95254748408</v>
      </c>
      <c r="AQ2" s="14" t="n">
        <v>12674.62428066101</v>
      </c>
      <c r="AR2" s="14" t="n">
        <v>14085.5491178252</v>
      </c>
      <c r="AS2" s="14" t="n">
        <v>14125.1306201763</v>
      </c>
      <c r="AT2" s="14" t="n">
        <v>15445.63865713994</v>
      </c>
      <c r="AU2" s="14" t="n">
        <v>15913.59722586261</v>
      </c>
      <c r="AV2" s="14" t="n">
        <v>18247.43720324653</v>
      </c>
      <c r="AW2" s="14" t="n">
        <v>19578.57379745363</v>
      </c>
      <c r="AX2" s="14" t="n">
        <v>22186.9116862624</v>
      </c>
      <c r="AY2" s="14" t="n">
        <v>22661.38180696556</v>
      </c>
      <c r="AZ2" s="14" t="n">
        <v>62711.86686450889</v>
      </c>
      <c r="BA2" s="14" t="n">
        <v>5316.450441728693</v>
      </c>
      <c r="BB2" s="14" t="n">
        <v>9942776.140414724</v>
      </c>
      <c r="BC2" s="14" t="n">
        <v>100.2510521652959</v>
      </c>
      <c r="BD2" s="14" t="n">
        <v>100.9360092433443</v>
      </c>
      <c r="BE2" s="14" t="n">
        <v>108.5298415041645</v>
      </c>
      <c r="BF2" s="14" t="n">
        <v>34.52427512231024</v>
      </c>
      <c r="BG2" s="14" t="n">
        <v>43.07757072872103</v>
      </c>
      <c r="BH2" s="14" t="n">
        <v>97.45571001024597</v>
      </c>
      <c r="BI2" s="14" t="n">
        <v>114.3637668090362</v>
      </c>
      <c r="BJ2" s="14" t="n">
        <v>71.29878391490028</v>
      </c>
      <c r="BK2" s="14" t="n">
        <v>0.1749581252697163</v>
      </c>
      <c r="BL2" s="14" t="n">
        <v>2.999166361102897</v>
      </c>
      <c r="BM2" s="14" t="n">
        <v>10.20150931116272</v>
      </c>
      <c r="BN2" s="14" t="n">
        <v>0.720321251934456</v>
      </c>
      <c r="BO2" s="14" t="n">
        <v>0.8108662071532077</v>
      </c>
      <c r="BP2" s="14" t="n">
        <v>1.569999477391376</v>
      </c>
      <c r="BQ2" s="14" t="inlineStr">
        <is>
          <t>Overall|Deciles|mean|1</t>
        </is>
      </c>
    </row>
    <row r="3">
      <c r="A3" s="14" t="inlineStr">
        <is>
          <t>EGY.distn.bsh.dec.ove.mean.2</t>
        </is>
      </c>
      <c r="B3" s="14" t="inlineStr">
        <is>
          <t>EGY</t>
        </is>
      </c>
      <c r="C3" s="14" t="n">
        <v>2017</v>
      </c>
      <c r="D3" s="14" t="inlineStr">
        <is>
          <t>Overall</t>
        </is>
      </c>
      <c r="E3" s="14" t="inlineStr">
        <is>
          <t>Deciles</t>
        </is>
      </c>
      <c r="F3" s="14" t="inlineStr">
        <is>
          <t>mean</t>
        </is>
      </c>
      <c r="G3" s="14" t="n">
        <v>2</v>
      </c>
      <c r="H3" s="14" t="n">
        <v>1.694090003747357</v>
      </c>
      <c r="I3" s="14" t="n">
        <v>0.005217982900853417</v>
      </c>
      <c r="J3" s="14" t="n">
        <v>4.010761966903173</v>
      </c>
      <c r="K3" s="14" t="n">
        <v>5.574286058392713</v>
      </c>
      <c r="L3" s="14" t="n">
        <v>0</v>
      </c>
      <c r="M3" s="14" t="n">
        <v>2.327584240215824</v>
      </c>
      <c r="N3" s="14" t="n">
        <v>0</v>
      </c>
      <c r="O3" s="14" t="n">
        <v>3.959406622839178</v>
      </c>
      <c r="P3" s="14" t="n">
        <v>0</v>
      </c>
      <c r="Q3" s="14" t="n">
        <v>3.408518407778748</v>
      </c>
      <c r="R3" s="14" t="n">
        <v>59.91791438333294</v>
      </c>
      <c r="S3" s="14" t="n">
        <v>0.0002688376026619259</v>
      </c>
      <c r="T3" s="14" t="n">
        <v>0.355679200134815</v>
      </c>
      <c r="U3" s="14" t="n">
        <v>3.061186127995035</v>
      </c>
      <c r="V3" s="14" t="n">
        <v>4.483250241098802</v>
      </c>
      <c r="W3" s="14" t="n">
        <v>2.278565642010661e-05</v>
      </c>
      <c r="X3" s="14" t="n">
        <v>2.347839307810304</v>
      </c>
      <c r="Y3" s="14" t="n">
        <v>0.2683738281177165</v>
      </c>
      <c r="Z3" s="14" t="n">
        <v>0.1033276688496843</v>
      </c>
      <c r="AA3" s="14" t="n">
        <v>0.008955674392771671</v>
      </c>
      <c r="AB3" s="14" t="n">
        <v>2.254818705970005</v>
      </c>
      <c r="AC3" s="14" t="n">
        <v>4.816906301525308</v>
      </c>
      <c r="AD3" s="14" t="n">
        <v>6.712899943600356</v>
      </c>
      <c r="AE3" s="14" t="n">
        <v>0.3082469670377453</v>
      </c>
      <c r="AF3" s="14" t="n">
        <v>4.335741488902785</v>
      </c>
      <c r="AG3" s="14" t="n">
        <v>3082.297125000734</v>
      </c>
      <c r="AH3" s="14" t="n">
        <v>7288.4479633085</v>
      </c>
      <c r="AI3" s="14" t="n">
        <v>6706.750669538637</v>
      </c>
      <c r="AJ3" s="14" t="n">
        <v>8653.951574917153</v>
      </c>
      <c r="AK3" s="14" t="n">
        <v>8816.049310724029</v>
      </c>
      <c r="AL3" s="14" t="n">
        <v>9102.172669184487</v>
      </c>
      <c r="AM3" s="14" t="n">
        <v>9720.063773475724</v>
      </c>
      <c r="AN3" s="14" t="n">
        <v>11803.58642947883</v>
      </c>
      <c r="AO3" s="14" t="n">
        <v>11469.96684746541</v>
      </c>
      <c r="AP3" s="14" t="n">
        <v>11893.19159088737</v>
      </c>
      <c r="AQ3" s="14" t="n">
        <v>12760.27198720585</v>
      </c>
      <c r="AR3" s="14" t="n">
        <v>14323.21577482635</v>
      </c>
      <c r="AS3" s="14" t="n">
        <v>14701.40911576142</v>
      </c>
      <c r="AT3" s="14" t="n">
        <v>15416.37830085092</v>
      </c>
      <c r="AU3" s="14" t="n">
        <v>15554.17011766513</v>
      </c>
      <c r="AV3" s="14" t="n">
        <v>18075.86047020829</v>
      </c>
      <c r="AW3" s="14" t="n">
        <v>18370.7477487451</v>
      </c>
      <c r="AX3" s="14" t="n">
        <v>23723.9362424789</v>
      </c>
      <c r="AY3" s="14" t="n">
        <v>24669.48515244822</v>
      </c>
      <c r="AZ3" s="14" t="n">
        <v>65128.30620136828</v>
      </c>
      <c r="BA3" s="14" t="n">
        <v>6774.641488347366</v>
      </c>
      <c r="BB3" s="14" t="n">
        <v>9769176.619459534</v>
      </c>
      <c r="BC3" s="14" t="n">
        <v>107.4304425084268</v>
      </c>
      <c r="BD3" s="14" t="n">
        <v>112.5275191258933</v>
      </c>
      <c r="BE3" s="14" t="n">
        <v>106.8685600734381</v>
      </c>
      <c r="BF3" s="14" t="n">
        <v>43.57428790029478</v>
      </c>
      <c r="BG3" s="14" t="n">
        <v>59.01074735673141</v>
      </c>
      <c r="BH3" s="14" t="n">
        <v>105.939692233198</v>
      </c>
      <c r="BI3" s="14" t="n">
        <v>115.3220566193758</v>
      </c>
      <c r="BJ3" s="14" t="n">
        <v>78.24350216102414</v>
      </c>
      <c r="BK3" s="14" t="n">
        <v>0.00992265909854733</v>
      </c>
      <c r="BL3" s="14" t="n">
        <v>0.01162286575894107</v>
      </c>
      <c r="BM3" s="14" t="n">
        <v>11.13702389579723</v>
      </c>
      <c r="BN3" s="14" t="n">
        <v>1.923977578326553</v>
      </c>
      <c r="BO3" s="14" t="n">
        <v>2.133190162369108</v>
      </c>
      <c r="BP3" s="14" t="n">
        <v>1.667676451744006</v>
      </c>
      <c r="BQ3" s="14" t="inlineStr">
        <is>
          <t>Overall|Deciles|mean|2</t>
        </is>
      </c>
    </row>
    <row r="4">
      <c r="A4" s="14" t="inlineStr">
        <is>
          <t>EGY.distn.bsh.dec.ove.mean.3</t>
        </is>
      </c>
      <c r="B4" s="14" t="inlineStr">
        <is>
          <t>EGY</t>
        </is>
      </c>
      <c r="C4" s="14" t="n">
        <v>2017</v>
      </c>
      <c r="D4" s="14" t="inlineStr">
        <is>
          <t>Overall</t>
        </is>
      </c>
      <c r="E4" s="14" t="inlineStr">
        <is>
          <t>Deciles</t>
        </is>
      </c>
      <c r="F4" s="14" t="inlineStr">
        <is>
          <t>mean</t>
        </is>
      </c>
      <c r="G4" s="14" t="n">
        <v>3</v>
      </c>
      <c r="H4" s="14" t="n">
        <v>1.645201946542239</v>
      </c>
      <c r="I4" s="14" t="n">
        <v>0.005587873128969549</v>
      </c>
      <c r="J4" s="14" t="n">
        <v>3.522672797654661</v>
      </c>
      <c r="K4" s="14" t="n">
        <v>6.42835448266968</v>
      </c>
      <c r="L4" s="14" t="n">
        <v>0</v>
      </c>
      <c r="M4" s="14" t="n">
        <v>2.376022366313373</v>
      </c>
      <c r="N4" s="14" t="n">
        <v>0</v>
      </c>
      <c r="O4" s="14" t="n">
        <v>4.213716537663631</v>
      </c>
      <c r="P4" s="14" t="n">
        <v>0</v>
      </c>
      <c r="Q4" s="14" t="n">
        <v>3.419369533696806</v>
      </c>
      <c r="R4" s="14" t="n">
        <v>55.25572768448318</v>
      </c>
      <c r="S4" s="14" t="n">
        <v>0.0003079593247779623</v>
      </c>
      <c r="T4" s="14" t="n">
        <v>0.4266981110859476</v>
      </c>
      <c r="U4" s="14" t="n">
        <v>3.759926843135341</v>
      </c>
      <c r="V4" s="14" t="n">
        <v>4.792830466900387</v>
      </c>
      <c r="W4" s="14" t="n">
        <v>1.02555962916753e-05</v>
      </c>
      <c r="X4" s="14" t="n">
        <v>2.066171666044051</v>
      </c>
      <c r="Y4" s="14" t="n">
        <v>0.2856063412918847</v>
      </c>
      <c r="Z4" s="14" t="n">
        <v>0.1351727638232263</v>
      </c>
      <c r="AA4" s="14" t="n">
        <v>0.006513791023949674</v>
      </c>
      <c r="AB4" s="14" t="n">
        <v>2.261796316285711</v>
      </c>
      <c r="AC4" s="14" t="n">
        <v>4.89688378841177</v>
      </c>
      <c r="AD4" s="14" t="n">
        <v>6.889418483816435</v>
      </c>
      <c r="AE4" s="14" t="n">
        <v>0.3119857691978264</v>
      </c>
      <c r="AF4" s="14" t="n">
        <v>4.268952842251398</v>
      </c>
      <c r="AG4" s="14" t="n">
        <v>3078.098849186505</v>
      </c>
      <c r="AH4" s="14" t="n">
        <v>7473.946575815709</v>
      </c>
      <c r="AI4" s="14" t="n">
        <v>7148.953357801768</v>
      </c>
      <c r="AJ4" s="14" t="n">
        <v>9038.437413809297</v>
      </c>
      <c r="AK4" s="14" t="n">
        <v>8481.337478295878</v>
      </c>
      <c r="AL4" s="14" t="n">
        <v>9155.25336594996</v>
      </c>
      <c r="AM4" s="14" t="n">
        <v>10050.57835561599</v>
      </c>
      <c r="AN4" s="14" t="n">
        <v>11427.34264318112</v>
      </c>
      <c r="AO4" s="14" t="n">
        <v>11409.01725156585</v>
      </c>
      <c r="AP4" s="14" t="n">
        <v>12859.83101402666</v>
      </c>
      <c r="AQ4" s="14" t="n">
        <v>12842.44204165191</v>
      </c>
      <c r="AR4" s="14" t="n">
        <v>13450.70091047231</v>
      </c>
      <c r="AS4" s="14" t="n">
        <v>14164.14244833931</v>
      </c>
      <c r="AT4" s="14" t="n">
        <v>14619.23948641053</v>
      </c>
      <c r="AU4" s="14" t="n">
        <v>14896.60164069152</v>
      </c>
      <c r="AV4" s="14" t="n">
        <v>17391.46968793006</v>
      </c>
      <c r="AW4" s="14" t="n">
        <v>19276.79658270601</v>
      </c>
      <c r="AX4" s="14" t="n">
        <v>21737.71253789552</v>
      </c>
      <c r="AY4" s="14" t="n">
        <v>23534.1362002086</v>
      </c>
      <c r="AZ4" s="14" t="n">
        <v>62281.8155149275</v>
      </c>
      <c r="BA4" s="14" t="n">
        <v>8368.166384666636</v>
      </c>
      <c r="BB4" s="14" t="n">
        <v>11107330.69828401</v>
      </c>
      <c r="BC4" s="14" t="n">
        <v>100.048153045205</v>
      </c>
      <c r="BD4" s="14" t="n">
        <v>108.5650509301131</v>
      </c>
      <c r="BE4" s="14" t="n">
        <v>99.5417557278345</v>
      </c>
      <c r="BF4" s="14" t="n">
        <v>51.29229884711506</v>
      </c>
      <c r="BG4" s="14" t="n">
        <v>60.72285761281429</v>
      </c>
      <c r="BH4" s="14" t="n">
        <v>103.3271498466016</v>
      </c>
      <c r="BI4" s="14" t="n">
        <v>107.1823382263581</v>
      </c>
      <c r="BJ4" s="14" t="n">
        <v>87.00327799095476</v>
      </c>
      <c r="BK4" s="14" t="n">
        <v>0</v>
      </c>
      <c r="BL4" s="14" t="n">
        <v>0.007102259716622935</v>
      </c>
      <c r="BM4" s="14" t="n">
        <v>10.52336936298502</v>
      </c>
      <c r="BN4" s="14" t="n">
        <v>3.099776500892287</v>
      </c>
      <c r="BO4" s="14" t="n">
        <v>2.7818909842869</v>
      </c>
      <c r="BP4" s="14" t="n">
        <v>1.624423207162911</v>
      </c>
      <c r="BQ4" s="14" t="inlineStr">
        <is>
          <t>Overall|Deciles|mean|3</t>
        </is>
      </c>
    </row>
    <row r="5">
      <c r="A5" s="14" t="inlineStr">
        <is>
          <t>EGY.distn.bsh.dec.ove.mean.4</t>
        </is>
      </c>
      <c r="B5" s="14" t="inlineStr">
        <is>
          <t>EGY</t>
        </is>
      </c>
      <c r="C5" s="14" t="n">
        <v>2017</v>
      </c>
      <c r="D5" s="14" t="inlineStr">
        <is>
          <t>Overall</t>
        </is>
      </c>
      <c r="E5" s="14" t="inlineStr">
        <is>
          <t>Deciles</t>
        </is>
      </c>
      <c r="F5" s="14" t="inlineStr">
        <is>
          <t>mean</t>
        </is>
      </c>
      <c r="G5" s="14" t="n">
        <v>4</v>
      </c>
      <c r="H5" s="14" t="n">
        <v>1.563419738301665</v>
      </c>
      <c r="I5" s="14" t="n">
        <v>0.003812470711426131</v>
      </c>
      <c r="J5" s="14" t="n">
        <v>3.698318715654664</v>
      </c>
      <c r="K5" s="14" t="n">
        <v>5.756979324737229</v>
      </c>
      <c r="L5" s="14" t="n">
        <v>0</v>
      </c>
      <c r="M5" s="14" t="n">
        <v>2.820105096499784</v>
      </c>
      <c r="N5" s="14" t="n">
        <v>0</v>
      </c>
      <c r="O5" s="14" t="n">
        <v>4.092771715307416</v>
      </c>
      <c r="P5" s="14" t="n">
        <v>0</v>
      </c>
      <c r="Q5" s="14" t="n">
        <v>3.296899460605775</v>
      </c>
      <c r="R5" s="14" t="n">
        <v>55.77309261054311</v>
      </c>
      <c r="S5" s="14" t="n">
        <v>0.0002165494667629994</v>
      </c>
      <c r="T5" s="14" t="n">
        <v>0.4282234972926754</v>
      </c>
      <c r="U5" s="14" t="n">
        <v>3.708710755705519</v>
      </c>
      <c r="V5" s="14" t="n">
        <v>4.150937211943607</v>
      </c>
      <c r="W5" s="14" t="n">
        <v>5.672685703231701e-05</v>
      </c>
      <c r="X5" s="14" t="n">
        <v>1.771361052151576</v>
      </c>
      <c r="Y5" s="14" t="n">
        <v>0.2978854180586199</v>
      </c>
      <c r="Z5" s="14" t="n">
        <v>0.09994018589958671</v>
      </c>
      <c r="AA5" s="14" t="n">
        <v>0.008978666323109155</v>
      </c>
      <c r="AB5" s="14" t="n">
        <v>2.048814269111949</v>
      </c>
      <c r="AC5" s="14" t="n">
        <v>5.145600408815143</v>
      </c>
      <c r="AD5" s="14" t="n">
        <v>6.41435418783313</v>
      </c>
      <c r="AE5" s="14" t="n">
        <v>0.2844974470564032</v>
      </c>
      <c r="AF5" s="14" t="n">
        <v>4.331742900259846</v>
      </c>
      <c r="AG5" s="14" t="n">
        <v>3294.78473243331</v>
      </c>
      <c r="AH5" s="14" t="n">
        <v>6950.263193699084</v>
      </c>
      <c r="AI5" s="14" t="n">
        <v>7513.83972044853</v>
      </c>
      <c r="AJ5" s="14" t="n">
        <v>8588.961127448096</v>
      </c>
      <c r="AK5" s="14" t="n">
        <v>8433.200066064264</v>
      </c>
      <c r="AL5" s="14" t="n">
        <v>10244.11281479082</v>
      </c>
      <c r="AM5" s="14" t="n">
        <v>9768.771817574365</v>
      </c>
      <c r="AN5" s="14" t="n">
        <v>11242.94919641738</v>
      </c>
      <c r="AO5" s="14" t="n">
        <v>11196.84384672394</v>
      </c>
      <c r="AP5" s="14" t="n">
        <v>11402.44887306313</v>
      </c>
      <c r="AQ5" s="14" t="n">
        <v>12100.6794070934</v>
      </c>
      <c r="AR5" s="14" t="n">
        <v>14284.72717935829</v>
      </c>
      <c r="AS5" s="14" t="n">
        <v>13117.05383889187</v>
      </c>
      <c r="AT5" s="14" t="n">
        <v>16347.91325574141</v>
      </c>
      <c r="AU5" s="14" t="n">
        <v>15889.89662411764</v>
      </c>
      <c r="AV5" s="14" t="n">
        <v>19570.12261293048</v>
      </c>
      <c r="AW5" s="14" t="n">
        <v>19637.46343756072</v>
      </c>
      <c r="AX5" s="14" t="n">
        <v>23848.91046193019</v>
      </c>
      <c r="AY5" s="14" t="n">
        <v>23430.00302532752</v>
      </c>
      <c r="AZ5" s="14" t="n">
        <v>63657.75894441952</v>
      </c>
      <c r="BA5" s="14" t="n">
        <v>9974.527581536568</v>
      </c>
      <c r="BB5" s="14" t="n">
        <v>9991490.687151534</v>
      </c>
      <c r="BC5" s="14" t="n">
        <v>103.0060760747261</v>
      </c>
      <c r="BD5" s="14" t="n">
        <v>112.6617083655214</v>
      </c>
      <c r="BE5" s="14" t="n">
        <v>105.003483162133</v>
      </c>
      <c r="BF5" s="14" t="n">
        <v>63.49339398337352</v>
      </c>
      <c r="BG5" s="14" t="n">
        <v>65.18095856298807</v>
      </c>
      <c r="BH5" s="14" t="n">
        <v>98.23867423825259</v>
      </c>
      <c r="BI5" s="14" t="n">
        <v>101.9248538405196</v>
      </c>
      <c r="BJ5" s="14" t="n">
        <v>88.5869722696272</v>
      </c>
      <c r="BK5" s="14" t="n">
        <v>0</v>
      </c>
      <c r="BL5" s="14" t="n">
        <v>0</v>
      </c>
      <c r="BM5" s="14" t="n">
        <v>5.064591996693436</v>
      </c>
      <c r="BN5" s="14" t="n">
        <v>3.53481457541298</v>
      </c>
      <c r="BO5" s="14" t="n">
        <v>3.920200006865426</v>
      </c>
      <c r="BP5" s="14" t="n">
        <v>1.489572354726907</v>
      </c>
      <c r="BQ5" s="14" t="inlineStr">
        <is>
          <t>Overall|Deciles|mean|4</t>
        </is>
      </c>
    </row>
    <row r="6">
      <c r="A6" s="14" t="inlineStr">
        <is>
          <t>EGY.distn.bsh.dec.ove.mean.5</t>
        </is>
      </c>
      <c r="B6" s="14" t="inlineStr">
        <is>
          <t>EGY</t>
        </is>
      </c>
      <c r="C6" s="14" t="n">
        <v>2017</v>
      </c>
      <c r="D6" s="14" t="inlineStr">
        <is>
          <t>Overall</t>
        </is>
      </c>
      <c r="E6" s="14" t="inlineStr">
        <is>
          <t>Deciles</t>
        </is>
      </c>
      <c r="F6" s="14" t="inlineStr">
        <is>
          <t>mean</t>
        </is>
      </c>
      <c r="G6" s="14" t="n">
        <v>5</v>
      </c>
      <c r="H6" s="14" t="n">
        <v>1.704217947151114</v>
      </c>
      <c r="I6" s="14" t="n">
        <v>0.002939657810329119</v>
      </c>
      <c r="J6" s="14" t="n">
        <v>3.885564565364296</v>
      </c>
      <c r="K6" s="14" t="n">
        <v>6.032147912793521</v>
      </c>
      <c r="L6" s="14" t="n">
        <v>0</v>
      </c>
      <c r="M6" s="14" t="n">
        <v>2.850079128227403</v>
      </c>
      <c r="N6" s="14" t="n">
        <v>0</v>
      </c>
      <c r="O6" s="14" t="n">
        <v>4.573411282222439</v>
      </c>
      <c r="P6" s="14" t="n">
        <v>0</v>
      </c>
      <c r="Q6" s="14" t="n">
        <v>3.223797107722242</v>
      </c>
      <c r="R6" s="14" t="n">
        <v>53.40879359817428</v>
      </c>
      <c r="S6" s="14" t="n">
        <v>0.0001611201079633168</v>
      </c>
      <c r="T6" s="14" t="n">
        <v>0.5073430002214641</v>
      </c>
      <c r="U6" s="14" t="n">
        <v>4.03256865239503</v>
      </c>
      <c r="V6" s="14" t="n">
        <v>4.766145804283788</v>
      </c>
      <c r="W6" s="14" t="n">
        <v>5.659026394098394e-05</v>
      </c>
      <c r="X6" s="14" t="n">
        <v>1.729992103661582</v>
      </c>
      <c r="Y6" s="14" t="n">
        <v>0.3066752581174817</v>
      </c>
      <c r="Z6" s="14" t="n">
        <v>0.1398534838933621</v>
      </c>
      <c r="AA6" s="14" t="n">
        <v>0.02060788320275213</v>
      </c>
      <c r="AB6" s="14" t="n">
        <v>2.019078627123822</v>
      </c>
      <c r="AC6" s="14" t="n">
        <v>5.85972423193722</v>
      </c>
      <c r="AD6" s="14" t="n">
        <v>7.25443641062837</v>
      </c>
      <c r="AE6" s="14" t="n">
        <v>0.3795508712681104</v>
      </c>
      <c r="AF6" s="14" t="n">
        <v>4.471895373127912</v>
      </c>
      <c r="AG6" s="14" t="n">
        <v>3056.574170974269</v>
      </c>
      <c r="AH6" s="14" t="n">
        <v>7075.49766802878</v>
      </c>
      <c r="AI6" s="14" t="n">
        <v>7035.145084748073</v>
      </c>
      <c r="AJ6" s="14" t="n">
        <v>8224.765348566274</v>
      </c>
      <c r="AK6" s="14" t="n">
        <v>8865.751498092994</v>
      </c>
      <c r="AL6" s="14" t="n">
        <v>9353.853760808099</v>
      </c>
      <c r="AM6" s="14" t="n">
        <v>9749.043426595366</v>
      </c>
      <c r="AN6" s="14" t="n">
        <v>11257.62630365465</v>
      </c>
      <c r="AO6" s="14" t="n">
        <v>11332.31429960749</v>
      </c>
      <c r="AP6" s="14" t="n">
        <v>12492.17021923092</v>
      </c>
      <c r="AQ6" s="14" t="n">
        <v>12925.06551520556</v>
      </c>
      <c r="AR6" s="14" t="n">
        <v>14663.40849959666</v>
      </c>
      <c r="AS6" s="14" t="n">
        <v>13762.12466690139</v>
      </c>
      <c r="AT6" s="14" t="n">
        <v>14564.32264017414</v>
      </c>
      <c r="AU6" s="14" t="n">
        <v>15864.07892908329</v>
      </c>
      <c r="AV6" s="14" t="n">
        <v>17375.81460154316</v>
      </c>
      <c r="AW6" s="14" t="n">
        <v>18453.38855444867</v>
      </c>
      <c r="AX6" s="14" t="n">
        <v>23446.58169069266</v>
      </c>
      <c r="AY6" s="14" t="n">
        <v>22858.74964893634</v>
      </c>
      <c r="AZ6" s="14" t="n">
        <v>65143.28848545516</v>
      </c>
      <c r="BA6" s="14" t="n">
        <v>10520.12234342251</v>
      </c>
      <c r="BB6" s="14" t="n">
        <v>10193105.6876218</v>
      </c>
      <c r="BC6" s="14" t="n">
        <v>113.8586404578363</v>
      </c>
      <c r="BD6" s="14" t="n">
        <v>102.7483450780253</v>
      </c>
      <c r="BE6" s="14" t="n">
        <v>101.4027545740323</v>
      </c>
      <c r="BF6" s="14" t="n">
        <v>63.61604714625551</v>
      </c>
      <c r="BG6" s="14" t="n">
        <v>72.56269694036938</v>
      </c>
      <c r="BH6" s="14" t="n">
        <v>102.8135777843039</v>
      </c>
      <c r="BI6" s="14" t="n">
        <v>114.8596385068326</v>
      </c>
      <c r="BJ6" s="14" t="n">
        <v>86.15323716189877</v>
      </c>
      <c r="BK6" s="14" t="n">
        <v>0</v>
      </c>
      <c r="BL6" s="14" t="n">
        <v>0</v>
      </c>
      <c r="BM6" s="14" t="n">
        <v>0.6902323683348367</v>
      </c>
      <c r="BN6" s="14" t="n">
        <v>5.113211756971847</v>
      </c>
      <c r="BO6" s="14" t="n">
        <v>4.84792142443234</v>
      </c>
      <c r="BP6" s="14" t="n">
        <v>1.493623460006563</v>
      </c>
      <c r="BQ6" s="14" t="inlineStr">
        <is>
          <t>Overall|Deciles|mean|5</t>
        </is>
      </c>
    </row>
    <row r="7">
      <c r="A7" s="14" t="inlineStr">
        <is>
          <t>EGY.distn.bsh.dec.ove.mean.6</t>
        </is>
      </c>
      <c r="B7" s="14" t="inlineStr">
        <is>
          <t>EGY</t>
        </is>
      </c>
      <c r="C7" s="14" t="n">
        <v>2017</v>
      </c>
      <c r="D7" s="14" t="inlineStr">
        <is>
          <t>Overall</t>
        </is>
      </c>
      <c r="E7" s="14" t="inlineStr">
        <is>
          <t>Deciles</t>
        </is>
      </c>
      <c r="F7" s="14" t="inlineStr">
        <is>
          <t>mean</t>
        </is>
      </c>
      <c r="G7" s="14" t="n">
        <v>6</v>
      </c>
      <c r="H7" s="14" t="n">
        <v>1.641295524416765</v>
      </c>
      <c r="I7" s="14" t="n">
        <v>0.002790797129249626</v>
      </c>
      <c r="J7" s="14" t="n">
        <v>3.676361735762871</v>
      </c>
      <c r="K7" s="14" t="n">
        <v>5.769560896817531</v>
      </c>
      <c r="L7" s="14" t="n">
        <v>0</v>
      </c>
      <c r="M7" s="14" t="n">
        <v>2.903339467936522</v>
      </c>
      <c r="N7" s="14" t="n">
        <v>0</v>
      </c>
      <c r="O7" s="14" t="n">
        <v>4.24540273564703</v>
      </c>
      <c r="P7" s="14" t="n">
        <v>1.083766149420668e-05</v>
      </c>
      <c r="Q7" s="14" t="n">
        <v>3.268011611477392</v>
      </c>
      <c r="R7" s="14" t="n">
        <v>59.24615093906738</v>
      </c>
      <c r="S7" s="14" t="n">
        <v>0.0001473703380388435</v>
      </c>
      <c r="T7" s="14" t="n">
        <v>0.5405468400065624</v>
      </c>
      <c r="U7" s="14" t="n">
        <v>3.993599870334924</v>
      </c>
      <c r="V7" s="14" t="n">
        <v>4.619353948869653</v>
      </c>
      <c r="W7" s="14" t="n">
        <v>4.647021853757486e-05</v>
      </c>
      <c r="X7" s="14" t="n">
        <v>1.600655486697883</v>
      </c>
      <c r="Y7" s="14" t="n">
        <v>0.3279730900762368</v>
      </c>
      <c r="Z7" s="14" t="n">
        <v>0.1372538586351458</v>
      </c>
      <c r="AA7" s="14" t="n">
        <v>0.01537789745493419</v>
      </c>
      <c r="AB7" s="14" t="n">
        <v>1.898514352397634</v>
      </c>
      <c r="AC7" s="14" t="n">
        <v>6.58966181155912</v>
      </c>
      <c r="AD7" s="14" t="n">
        <v>6.451885626400369</v>
      </c>
      <c r="AE7" s="14" t="n">
        <v>0.4570567046882881</v>
      </c>
      <c r="AF7" s="14" t="n">
        <v>4.540748444813043</v>
      </c>
      <c r="AG7" s="14" t="n">
        <v>3057.453288706691</v>
      </c>
      <c r="AH7" s="14" t="n">
        <v>6917.099231598452</v>
      </c>
      <c r="AI7" s="14" t="n">
        <v>6914.82056678659</v>
      </c>
      <c r="AJ7" s="14" t="n">
        <v>8932.393491845492</v>
      </c>
      <c r="AK7" s="14" t="n">
        <v>8260.767025924033</v>
      </c>
      <c r="AL7" s="14" t="n">
        <v>9820.759755408953</v>
      </c>
      <c r="AM7" s="14" t="n">
        <v>10404.91960160515</v>
      </c>
      <c r="AN7" s="14" t="n">
        <v>11011.19620649962</v>
      </c>
      <c r="AO7" s="14" t="n">
        <v>10479.977450491</v>
      </c>
      <c r="AP7" s="14" t="n">
        <v>12088.66460115628</v>
      </c>
      <c r="AQ7" s="14" t="n">
        <v>12849.45306001555</v>
      </c>
      <c r="AR7" s="14" t="n">
        <v>14038.27794503499</v>
      </c>
      <c r="AS7" s="14" t="n">
        <v>14870.17662723056</v>
      </c>
      <c r="AT7" s="14" t="n">
        <v>16286.45171773106</v>
      </c>
      <c r="AU7" s="14" t="n">
        <v>16830.44731522021</v>
      </c>
      <c r="AV7" s="14" t="n">
        <v>19416.81243346513</v>
      </c>
      <c r="AW7" s="14" t="n">
        <v>19211.85530490944</v>
      </c>
      <c r="AX7" s="14" t="n">
        <v>22248.8339605357</v>
      </c>
      <c r="AY7" s="14" t="n">
        <v>22235.76965726171</v>
      </c>
      <c r="AZ7" s="14" t="n">
        <v>61076.76609857928</v>
      </c>
      <c r="BA7" s="14" t="n">
        <v>11195.96720261516</v>
      </c>
      <c r="BB7" s="14" t="n">
        <v>11194230.4871516</v>
      </c>
      <c r="BC7" s="14" t="n">
        <v>108.0030223300021</v>
      </c>
      <c r="BD7" s="14" t="n">
        <v>110.6719456325428</v>
      </c>
      <c r="BE7" s="14" t="n">
        <v>113.9364510600381</v>
      </c>
      <c r="BF7" s="14" t="n">
        <v>73.87221509210117</v>
      </c>
      <c r="BG7" s="14" t="n">
        <v>71.72774634040438</v>
      </c>
      <c r="BH7" s="14" t="n">
        <v>111.8035082928472</v>
      </c>
      <c r="BI7" s="14" t="n">
        <v>100.1494578028219</v>
      </c>
      <c r="BJ7" s="14" t="n">
        <v>93.45911356745215</v>
      </c>
      <c r="BK7" s="14" t="n">
        <v>0</v>
      </c>
      <c r="BL7" s="14" t="n">
        <v>0</v>
      </c>
      <c r="BM7" s="14" t="n">
        <v>0.1650844932504103</v>
      </c>
      <c r="BN7" s="14" t="n">
        <v>5.997907483854939</v>
      </c>
      <c r="BO7" s="14" t="n">
        <v>6.786554669451694</v>
      </c>
      <c r="BP7" s="14" t="n">
        <v>1.673155037027576</v>
      </c>
      <c r="BQ7" s="14" t="inlineStr">
        <is>
          <t>Overall|Deciles|mean|6</t>
        </is>
      </c>
    </row>
    <row r="8">
      <c r="A8" s="14" t="inlineStr">
        <is>
          <t>EGY.distn.bsh.dec.ove.mean.7</t>
        </is>
      </c>
      <c r="B8" s="14" t="inlineStr">
        <is>
          <t>EGY</t>
        </is>
      </c>
      <c r="C8" s="14" t="n">
        <v>2017</v>
      </c>
      <c r="D8" s="14" t="inlineStr">
        <is>
          <t>Overall</t>
        </is>
      </c>
      <c r="E8" s="14" t="inlineStr">
        <is>
          <t>Deciles</t>
        </is>
      </c>
      <c r="F8" s="14" t="inlineStr">
        <is>
          <t>mean</t>
        </is>
      </c>
      <c r="G8" s="14" t="n">
        <v>7</v>
      </c>
      <c r="H8" s="14" t="n">
        <v>1.808909928284024</v>
      </c>
      <c r="I8" s="14" t="n">
        <v>0.003117537254047056</v>
      </c>
      <c r="J8" s="14" t="n">
        <v>3.562139853371693</v>
      </c>
      <c r="K8" s="14" t="n">
        <v>6.008203008048008</v>
      </c>
      <c r="L8" s="14" t="n">
        <v>0</v>
      </c>
      <c r="M8" s="14" t="n">
        <v>2.803770177483278</v>
      </c>
      <c r="N8" s="14" t="n">
        <v>0</v>
      </c>
      <c r="O8" s="14" t="n">
        <v>4.366731796834555</v>
      </c>
      <c r="P8" s="14" t="n">
        <v>0</v>
      </c>
      <c r="Q8" s="14" t="n">
        <v>3.44586144281987</v>
      </c>
      <c r="R8" s="14" t="n">
        <v>52.96290256512891</v>
      </c>
      <c r="S8" s="14" t="n">
        <v>0.0001587696480006269</v>
      </c>
      <c r="T8" s="14" t="n">
        <v>0.6089354612545156</v>
      </c>
      <c r="U8" s="14" t="n">
        <v>4.86783715498053</v>
      </c>
      <c r="V8" s="14" t="n">
        <v>4.691320277513182</v>
      </c>
      <c r="W8" s="14" t="n">
        <v>2.134950537996008e-05</v>
      </c>
      <c r="X8" s="14" t="n">
        <v>1.598236862680213</v>
      </c>
      <c r="Y8" s="14" t="n">
        <v>0.3662128331967788</v>
      </c>
      <c r="Z8" s="14" t="n">
        <v>0.14024283954895</v>
      </c>
      <c r="AA8" s="14" t="n">
        <v>0.01416784452288668</v>
      </c>
      <c r="AB8" s="14" t="n">
        <v>1.712490250296749</v>
      </c>
      <c r="AC8" s="14" t="n">
        <v>6.478107274194761</v>
      </c>
      <c r="AD8" s="14" t="n">
        <v>6.31164830559923</v>
      </c>
      <c r="AE8" s="14" t="n">
        <v>0.518589645750027</v>
      </c>
      <c r="AF8" s="14" t="n">
        <v>5.054151666175673</v>
      </c>
      <c r="AG8" s="14" t="n">
        <v>3042.424849615173</v>
      </c>
      <c r="AH8" s="14" t="n">
        <v>7327.139429538371</v>
      </c>
      <c r="AI8" s="14" t="n">
        <v>7327.117504821322</v>
      </c>
      <c r="AJ8" s="14" t="n">
        <v>8041.630683269921</v>
      </c>
      <c r="AK8" s="14" t="n">
        <v>8086.804888498178</v>
      </c>
      <c r="AL8" s="14" t="n">
        <v>9036.328228502329</v>
      </c>
      <c r="AM8" s="14" t="n">
        <v>9191.159614415723</v>
      </c>
      <c r="AN8" s="14" t="n">
        <v>11627.39021412413</v>
      </c>
      <c r="AO8" s="14" t="n">
        <v>10222.58352970365</v>
      </c>
      <c r="AP8" s="14" t="n">
        <v>11546.05911715561</v>
      </c>
      <c r="AQ8" s="14" t="n">
        <v>12793.78971028342</v>
      </c>
      <c r="AR8" s="14" t="n">
        <v>12792.83574776508</v>
      </c>
      <c r="AS8" s="14" t="n">
        <v>13155.71380735996</v>
      </c>
      <c r="AT8" s="14" t="n">
        <v>15494.23714579316</v>
      </c>
      <c r="AU8" s="14" t="n">
        <v>15640.21814035311</v>
      </c>
      <c r="AV8" s="14" t="n">
        <v>18195.69543201719</v>
      </c>
      <c r="AW8" s="14" t="n">
        <v>17120.76986425428</v>
      </c>
      <c r="AX8" s="14" t="n">
        <v>23006.31547157375</v>
      </c>
      <c r="AY8" s="14" t="n">
        <v>24105.42470497836</v>
      </c>
      <c r="AZ8" s="14" t="n">
        <v>67848.21411132683</v>
      </c>
      <c r="BA8" s="14" t="n">
        <v>14051.5989372174</v>
      </c>
      <c r="BB8" s="14" t="n">
        <v>10409614.41706669</v>
      </c>
      <c r="BC8" s="14" t="n">
        <v>108.1414425453143</v>
      </c>
      <c r="BD8" s="14" t="n">
        <v>103.5942711174742</v>
      </c>
      <c r="BE8" s="14" t="n">
        <v>104.6634733419017</v>
      </c>
      <c r="BF8" s="14" t="n">
        <v>68.21511925891627</v>
      </c>
      <c r="BG8" s="14" t="n">
        <v>77.49547147423203</v>
      </c>
      <c r="BH8" s="14" t="n">
        <v>104.9700473427722</v>
      </c>
      <c r="BI8" s="14" t="n">
        <v>107.8469135955868</v>
      </c>
      <c r="BJ8" s="14" t="n">
        <v>95.68734627793103</v>
      </c>
      <c r="BK8" s="14" t="n">
        <v>0</v>
      </c>
      <c r="BL8" s="14" t="n">
        <v>0</v>
      </c>
      <c r="BM8" s="14" t="n">
        <v>0.03089945889677518</v>
      </c>
      <c r="BN8" s="14" t="n">
        <v>8.331443147242627</v>
      </c>
      <c r="BO8" s="14" t="n">
        <v>7.980679048785937</v>
      </c>
      <c r="BP8" s="14" t="n">
        <v>1.602874968036796</v>
      </c>
      <c r="BQ8" s="14" t="inlineStr">
        <is>
          <t>Overall|Deciles|mean|7</t>
        </is>
      </c>
    </row>
    <row r="9">
      <c r="A9" s="14" t="inlineStr">
        <is>
          <t>EGY.distn.bsh.dec.ove.mean.8</t>
        </is>
      </c>
      <c r="B9" s="14" t="inlineStr">
        <is>
          <t>EGY</t>
        </is>
      </c>
      <c r="C9" s="14" t="n">
        <v>2017</v>
      </c>
      <c r="D9" s="14" t="inlineStr">
        <is>
          <t>Overall</t>
        </is>
      </c>
      <c r="E9" s="14" t="inlineStr">
        <is>
          <t>Deciles</t>
        </is>
      </c>
      <c r="F9" s="14" t="inlineStr">
        <is>
          <t>mean</t>
        </is>
      </c>
      <c r="G9" s="14" t="n">
        <v>8</v>
      </c>
      <c r="H9" s="14" t="n">
        <v>1.775747979049075</v>
      </c>
      <c r="I9" s="14" t="n">
        <v>0.003120762325396446</v>
      </c>
      <c r="J9" s="14" t="n">
        <v>3.674580799189082</v>
      </c>
      <c r="K9" s="14" t="n">
        <v>5.11925845817134</v>
      </c>
      <c r="L9" s="14" t="n">
        <v>0</v>
      </c>
      <c r="M9" s="14" t="n">
        <v>2.934290519707844</v>
      </c>
      <c r="N9" s="14" t="n">
        <v>0</v>
      </c>
      <c r="O9" s="14" t="n">
        <v>3.701719314676974</v>
      </c>
      <c r="P9" s="14" t="n">
        <v>1.072327421885693e-05</v>
      </c>
      <c r="Q9" s="14" t="n">
        <v>3.64814725058366</v>
      </c>
      <c r="R9" s="14" t="n">
        <v>56.94114176698496</v>
      </c>
      <c r="S9" s="14" t="n">
        <v>0.0001773920837667564</v>
      </c>
      <c r="T9" s="14" t="n">
        <v>0.6630642815986387</v>
      </c>
      <c r="U9" s="14" t="n">
        <v>4.620355913684664</v>
      </c>
      <c r="V9" s="14" t="n">
        <v>4.430075390282753</v>
      </c>
      <c r="W9" s="14" t="n">
        <v>8.175186013846001e-05</v>
      </c>
      <c r="X9" s="14" t="n">
        <v>1.367792566030258</v>
      </c>
      <c r="Y9" s="14" t="n">
        <v>0.4474678754544769</v>
      </c>
      <c r="Z9" s="14" t="n">
        <v>0.1418461725745313</v>
      </c>
      <c r="AA9" s="14" t="n">
        <v>0.01847465109333369</v>
      </c>
      <c r="AB9" s="14" t="n">
        <v>1.31210118211588</v>
      </c>
      <c r="AC9" s="14" t="n">
        <v>8.257907400149474</v>
      </c>
      <c r="AD9" s="14" t="n">
        <v>6.38075944743144</v>
      </c>
      <c r="AE9" s="14" t="n">
        <v>0.6074475964079666</v>
      </c>
      <c r="AF9" s="14" t="n">
        <v>4.9568858865895</v>
      </c>
      <c r="AG9" s="14" t="n">
        <v>3291.333232447228</v>
      </c>
      <c r="AH9" s="14" t="n">
        <v>6820.604659234677</v>
      </c>
      <c r="AI9" s="14" t="n">
        <v>6880.596959255559</v>
      </c>
      <c r="AJ9" s="14" t="n">
        <v>8029.895336781635</v>
      </c>
      <c r="AK9" s="14" t="n">
        <v>7945.690770193621</v>
      </c>
      <c r="AL9" s="14" t="n">
        <v>9019.481149971423</v>
      </c>
      <c r="AM9" s="14" t="n">
        <v>10097.45530965214</v>
      </c>
      <c r="AN9" s="14" t="n">
        <v>10818.87199091926</v>
      </c>
      <c r="AO9" s="14" t="n">
        <v>10732.1360912227</v>
      </c>
      <c r="AP9" s="14" t="n">
        <v>12408.00057954071</v>
      </c>
      <c r="AQ9" s="14" t="n">
        <v>12543.74399787164</v>
      </c>
      <c r="AR9" s="14" t="n">
        <v>14032.72907134814</v>
      </c>
      <c r="AS9" s="14" t="n">
        <v>13550.81879979739</v>
      </c>
      <c r="AT9" s="14" t="n">
        <v>15580.90441133651</v>
      </c>
      <c r="AU9" s="14" t="n">
        <v>14753.49884322148</v>
      </c>
      <c r="AV9" s="14" t="n">
        <v>18953.21503077622</v>
      </c>
      <c r="AW9" s="14" t="n">
        <v>18301.4910076877</v>
      </c>
      <c r="AX9" s="14" t="n">
        <v>23528.02823085261</v>
      </c>
      <c r="AY9" s="14" t="n">
        <v>24070.30982396871</v>
      </c>
      <c r="AZ9" s="14" t="n">
        <v>65793.02588398245</v>
      </c>
      <c r="BA9" s="14" t="n">
        <v>16133.79964390557</v>
      </c>
      <c r="BB9" s="14" t="n">
        <v>10888960.80708582</v>
      </c>
      <c r="BC9" s="14" t="n">
        <v>106.334432981392</v>
      </c>
      <c r="BD9" s="14" t="n">
        <v>107.4709144457882</v>
      </c>
      <c r="BE9" s="14" t="n">
        <v>111.3315051317938</v>
      </c>
      <c r="BF9" s="14" t="n">
        <v>67.59494803581084</v>
      </c>
      <c r="BG9" s="14" t="n">
        <v>80.53811021301712</v>
      </c>
      <c r="BH9" s="14" t="n">
        <v>98.53757116194809</v>
      </c>
      <c r="BI9" s="14" t="n">
        <v>103.1087158503493</v>
      </c>
      <c r="BJ9" s="14" t="n">
        <v>97.01333243906407</v>
      </c>
      <c r="BK9" s="14" t="n">
        <v>0</v>
      </c>
      <c r="BL9" s="14" t="n">
        <v>0</v>
      </c>
      <c r="BM9" s="14" t="n">
        <v>0.01735933069943214</v>
      </c>
      <c r="BN9" s="14" t="n">
        <v>10.4313703389869</v>
      </c>
      <c r="BO9" s="14" t="n">
        <v>10.0775307091063</v>
      </c>
      <c r="BP9" s="14" t="n">
        <v>1.625638461519137</v>
      </c>
      <c r="BQ9" s="14" t="inlineStr">
        <is>
          <t>Overall|Deciles|mean|8</t>
        </is>
      </c>
    </row>
    <row r="10">
      <c r="A10" s="14" t="inlineStr">
        <is>
          <t>EGY.distn.bsh.dec.ove.mean.9</t>
        </is>
      </c>
      <c r="B10" s="14" t="inlineStr">
        <is>
          <t>EGY</t>
        </is>
      </c>
      <c r="C10" s="14" t="n">
        <v>2017</v>
      </c>
      <c r="D10" s="14" t="inlineStr">
        <is>
          <t>Overall</t>
        </is>
      </c>
      <c r="E10" s="14" t="inlineStr">
        <is>
          <t>Deciles</t>
        </is>
      </c>
      <c r="F10" s="14" t="inlineStr">
        <is>
          <t>mean</t>
        </is>
      </c>
      <c r="G10" s="14" t="n">
        <v>9</v>
      </c>
      <c r="H10" s="14" t="n">
        <v>1.613441191048476</v>
      </c>
      <c r="I10" s="14" t="n">
        <v>0.002354328701921259</v>
      </c>
      <c r="J10" s="14" t="n">
        <v>3.719640709256866</v>
      </c>
      <c r="K10" s="14" t="n">
        <v>5.20640570759533</v>
      </c>
      <c r="L10" s="14" t="n">
        <v>0</v>
      </c>
      <c r="M10" s="14" t="n">
        <v>3.320145132218661</v>
      </c>
      <c r="N10" s="14" t="n">
        <v>0</v>
      </c>
      <c r="O10" s="14" t="n">
        <v>2.722517763251207</v>
      </c>
      <c r="P10" s="14" t="n">
        <v>1.046448443565175e-05</v>
      </c>
      <c r="Q10" s="14" t="n">
        <v>3.665421611313798</v>
      </c>
      <c r="R10" s="14" t="n">
        <v>58.19082690567494</v>
      </c>
      <c r="S10" s="14" t="n">
        <v>0.0001113089939790087</v>
      </c>
      <c r="T10" s="14" t="n">
        <v>0.6042343412148473</v>
      </c>
      <c r="U10" s="14" t="n">
        <v>5.092236448686966</v>
      </c>
      <c r="V10" s="14" t="n">
        <v>4.423010336429061</v>
      </c>
      <c r="W10" s="14" t="n">
        <v>0.0001149866307181042</v>
      </c>
      <c r="X10" s="14" t="n">
        <v>1.180808895013426</v>
      </c>
      <c r="Y10" s="14" t="n">
        <v>0.4386110220715544</v>
      </c>
      <c r="Z10" s="14" t="n">
        <v>0.1447419180596157</v>
      </c>
      <c r="AA10" s="14" t="n">
        <v>0.01678636897813678</v>
      </c>
      <c r="AB10" s="14" t="n">
        <v>1.180805432124059</v>
      </c>
      <c r="AC10" s="14" t="n">
        <v>8.381884169350608</v>
      </c>
      <c r="AD10" s="14" t="n">
        <v>6.5757768039674</v>
      </c>
      <c r="AE10" s="14" t="n">
        <v>0.6825495565238616</v>
      </c>
      <c r="AF10" s="14" t="n">
        <v>4.574116814637175</v>
      </c>
      <c r="AG10" s="14" t="n">
        <v>3134.705892696697</v>
      </c>
      <c r="AH10" s="14" t="n">
        <v>7069.745767317994</v>
      </c>
      <c r="AI10" s="14" t="n">
        <v>7334.070210743594</v>
      </c>
      <c r="AJ10" s="14" t="n">
        <v>9074.373998643361</v>
      </c>
      <c r="AK10" s="14" t="n">
        <v>8894.956512573091</v>
      </c>
      <c r="AL10" s="14" t="n">
        <v>10226.32425235566</v>
      </c>
      <c r="AM10" s="14" t="n">
        <v>10490.90583127117</v>
      </c>
      <c r="AN10" s="14" t="n">
        <v>10704.83067250169</v>
      </c>
      <c r="AO10" s="14" t="n">
        <v>10481.21114931358</v>
      </c>
      <c r="AP10" s="14" t="n">
        <v>12326.80384227721</v>
      </c>
      <c r="AQ10" s="14" t="n">
        <v>12109.2905733812</v>
      </c>
      <c r="AR10" s="14" t="n">
        <v>13372.07897865427</v>
      </c>
      <c r="AS10" s="14" t="n">
        <v>12864.37409431508</v>
      </c>
      <c r="AT10" s="14" t="n">
        <v>15115.75220175253</v>
      </c>
      <c r="AU10" s="14" t="n">
        <v>15560.39043004157</v>
      </c>
      <c r="AV10" s="14" t="n">
        <v>18717.05881391282</v>
      </c>
      <c r="AW10" s="14" t="n">
        <v>18455.17357099307</v>
      </c>
      <c r="AX10" s="14" t="n">
        <v>24518.12469622248</v>
      </c>
      <c r="AY10" s="14" t="n">
        <v>23184.42399688362</v>
      </c>
      <c r="AZ10" s="14" t="n">
        <v>69824.50865805242</v>
      </c>
      <c r="BA10" s="14" t="n">
        <v>19214.42845852649</v>
      </c>
      <c r="BB10" s="14" t="n">
        <v>9998899.328392392</v>
      </c>
      <c r="BC10" s="14" t="n">
        <v>103.6890783312132</v>
      </c>
      <c r="BD10" s="14" t="n">
        <v>107.231146166422</v>
      </c>
      <c r="BE10" s="14" t="n">
        <v>115.0974483029776</v>
      </c>
      <c r="BF10" s="14" t="n">
        <v>63.39406621415828</v>
      </c>
      <c r="BG10" s="14" t="n">
        <v>85.65146309967315</v>
      </c>
      <c r="BH10" s="14" t="n">
        <v>107.7288104105466</v>
      </c>
      <c r="BI10" s="14" t="n">
        <v>114.2602704893641</v>
      </c>
      <c r="BJ10" s="14" t="n">
        <v>93.23378600908025</v>
      </c>
      <c r="BK10" s="14" t="n">
        <v>0</v>
      </c>
      <c r="BL10" s="14" t="n">
        <v>0</v>
      </c>
      <c r="BM10" s="14" t="n">
        <v>0</v>
      </c>
      <c r="BN10" s="14" t="n">
        <v>15.03529675654013</v>
      </c>
      <c r="BO10" s="14" t="n">
        <v>14.40506356886309</v>
      </c>
      <c r="BP10" s="14" t="n">
        <v>1.483208261058449</v>
      </c>
      <c r="BQ10" s="14" t="inlineStr">
        <is>
          <t>Overall|Deciles|mean|9</t>
        </is>
      </c>
    </row>
    <row r="11">
      <c r="A11" s="14" t="inlineStr">
        <is>
          <t>EGY.distn.bsh.dec.ove.mean.10</t>
        </is>
      </c>
      <c r="B11" s="14" t="inlineStr">
        <is>
          <t>EGY</t>
        </is>
      </c>
      <c r="C11" s="14" t="n">
        <v>2017</v>
      </c>
      <c r="D11" s="14" t="inlineStr">
        <is>
          <t>Overall</t>
        </is>
      </c>
      <c r="E11" s="14" t="inlineStr">
        <is>
          <t>Deciles</t>
        </is>
      </c>
      <c r="F11" s="14" t="inlineStr">
        <is>
          <t>mean</t>
        </is>
      </c>
      <c r="G11" s="14" t="n">
        <v>10</v>
      </c>
      <c r="H11" s="14" t="n">
        <v>1.80744366883074</v>
      </c>
      <c r="I11" s="14" t="n">
        <v>0.001178011657878852</v>
      </c>
      <c r="J11" s="14" t="n">
        <v>3.603608415639351</v>
      </c>
      <c r="K11" s="14" t="n">
        <v>4.260004717867489</v>
      </c>
      <c r="L11" s="14" t="n">
        <v>0</v>
      </c>
      <c r="M11" s="14" t="n">
        <v>3.340869375385191</v>
      </c>
      <c r="N11" s="14" t="n">
        <v>0</v>
      </c>
      <c r="O11" s="14" t="n">
        <v>1.488474433159424</v>
      </c>
      <c r="P11" s="14" t="n">
        <v>1.022111194711938e-05</v>
      </c>
      <c r="Q11" s="14" t="n">
        <v>3.863916620186428</v>
      </c>
      <c r="R11" s="14" t="n">
        <v>50.13601126670928</v>
      </c>
      <c r="S11" s="14" t="n">
        <v>6.914614584305991e-05</v>
      </c>
      <c r="T11" s="14" t="n">
        <v>0.7783857550486857</v>
      </c>
      <c r="U11" s="14" t="n">
        <v>5.999239877822515</v>
      </c>
      <c r="V11" s="14" t="n">
        <v>6.002621829773441</v>
      </c>
      <c r="W11" s="14" t="n">
        <v>7.732654860958214e-05</v>
      </c>
      <c r="X11" s="14" t="n">
        <v>1.008182819886205</v>
      </c>
      <c r="Y11" s="14" t="n">
        <v>0.5858446491660518</v>
      </c>
      <c r="Z11" s="14" t="n">
        <v>0.1575164927712771</v>
      </c>
      <c r="AA11" s="14" t="n">
        <v>0.02841770595075438</v>
      </c>
      <c r="AB11" s="14" t="n">
        <v>0.8562161036414579</v>
      </c>
      <c r="AC11" s="14" t="n">
        <v>10.22344938687841</v>
      </c>
      <c r="AD11" s="14" t="n">
        <v>8.014992485257808</v>
      </c>
      <c r="AE11" s="14" t="n">
        <v>0.8812537957036082</v>
      </c>
      <c r="AF11" s="14" t="n">
        <v>4.172703964848428</v>
      </c>
      <c r="AG11" s="14" t="n">
        <v>2972.992525091227</v>
      </c>
      <c r="AH11" s="14" t="n">
        <v>7647.430629193808</v>
      </c>
      <c r="AI11" s="14" t="n">
        <v>6698.897355280763</v>
      </c>
      <c r="AJ11" s="14" t="n">
        <v>9055.999403014917</v>
      </c>
      <c r="AK11" s="14" t="n">
        <v>9230.951088752423</v>
      </c>
      <c r="AL11" s="14" t="n">
        <v>9167.413249491581</v>
      </c>
      <c r="AM11" s="14" t="n">
        <v>9823.746963015557</v>
      </c>
      <c r="AN11" s="14" t="n">
        <v>10213.14536354215</v>
      </c>
      <c r="AO11" s="14" t="n">
        <v>10917.06835206653</v>
      </c>
      <c r="AP11" s="14" t="n">
        <v>12746.04132398424</v>
      </c>
      <c r="AQ11" s="14" t="n">
        <v>12821.20394686784</v>
      </c>
      <c r="AR11" s="14" t="n">
        <v>13864.59036154755</v>
      </c>
      <c r="AS11" s="14" t="n">
        <v>12930.6361343032</v>
      </c>
      <c r="AT11" s="14" t="n">
        <v>14871.74136523962</v>
      </c>
      <c r="AU11" s="14" t="n">
        <v>15515.98748590046</v>
      </c>
      <c r="AV11" s="14" t="n">
        <v>17134.09048986726</v>
      </c>
      <c r="AW11" s="14" t="n">
        <v>19755.39477946256</v>
      </c>
      <c r="AX11" s="14" t="n">
        <v>24224.86522203152</v>
      </c>
      <c r="AY11" s="14" t="n">
        <v>24810.12289784955</v>
      </c>
      <c r="AZ11" s="14" t="n">
        <v>68108.18950863362</v>
      </c>
      <c r="BA11" s="14" t="n">
        <v>26724.98793139221</v>
      </c>
      <c r="BB11" s="14" t="n">
        <v>9650051.198518392</v>
      </c>
      <c r="BC11" s="14" t="n">
        <v>109.2474276587328</v>
      </c>
      <c r="BD11" s="14" t="n">
        <v>108.1909745923272</v>
      </c>
      <c r="BE11" s="14" t="n">
        <v>111.0918691256514</v>
      </c>
      <c r="BF11" s="14" t="n">
        <v>56.55288315835875</v>
      </c>
      <c r="BG11" s="14" t="n">
        <v>96.98402491765715</v>
      </c>
      <c r="BH11" s="14" t="n">
        <v>106.9674332639955</v>
      </c>
      <c r="BI11" s="14" t="n">
        <v>109.75922116859</v>
      </c>
      <c r="BJ11" s="14" t="n">
        <v>99.19404541709329</v>
      </c>
      <c r="BK11" s="14" t="n">
        <v>0</v>
      </c>
      <c r="BL11" s="14" t="n">
        <v>0</v>
      </c>
      <c r="BM11" s="14" t="n">
        <v>0</v>
      </c>
      <c r="BN11" s="14" t="n">
        <v>56.06146077326417</v>
      </c>
      <c r="BO11" s="14" t="n">
        <v>55.49076775269468</v>
      </c>
      <c r="BP11" s="14" t="n">
        <v>1.475564002586501</v>
      </c>
      <c r="BQ11" s="14" t="inlineStr">
        <is>
          <t>Overall|Deciles|mean|10</t>
        </is>
      </c>
    </row>
    <row r="12">
      <c r="A12" s="14" t="inlineStr">
        <is>
          <t>EGY.distn.bsh.bkt.ove.mean.9999</t>
        </is>
      </c>
      <c r="B12" s="14" t="inlineStr">
        <is>
          <t>EGY</t>
        </is>
      </c>
      <c r="C12" s="14" t="n">
        <v>2017</v>
      </c>
      <c r="D12" s="14" t="inlineStr">
        <is>
          <t>Overall</t>
        </is>
      </c>
      <c r="E12" s="14" t="inlineStr">
        <is>
          <t>Basket</t>
        </is>
      </c>
      <c r="F12" s="14" t="inlineStr">
        <is>
          <t>mean</t>
        </is>
      </c>
      <c r="G12" s="14" t="n">
        <v>9999</v>
      </c>
      <c r="H12" s="14" t="n">
        <v>1.738053346896713</v>
      </c>
      <c r="I12" s="14" t="n">
        <v>0.004080784633072502</v>
      </c>
      <c r="J12" s="14" t="n">
        <v>3.799474696951615</v>
      </c>
      <c r="K12" s="14" t="n">
        <v>5.846357171408407</v>
      </c>
      <c r="L12" s="14" t="n">
        <v>0</v>
      </c>
      <c r="M12" s="14" t="n">
        <v>2.560279764140953</v>
      </c>
      <c r="N12" s="14" t="n">
        <v>0</v>
      </c>
      <c r="O12" s="14" t="n">
        <v>3.554916441584782</v>
      </c>
      <c r="P12" s="14" t="n">
        <v>0</v>
      </c>
      <c r="Q12" s="14" t="n">
        <v>3.504916062410245</v>
      </c>
      <c r="R12" s="14" t="n">
        <v>52.29224957575893</v>
      </c>
      <c r="S12" s="14" t="n">
        <v>0.0002127301922559838</v>
      </c>
      <c r="T12" s="14" t="n">
        <v>0.529305559831027</v>
      </c>
      <c r="U12" s="14" t="n">
        <v>4.047027517708186</v>
      </c>
      <c r="V12" s="14" t="n">
        <v>4.711808110803045</v>
      </c>
      <c r="W12" s="14" t="n">
        <v>5.47104619642875e-05</v>
      </c>
      <c r="X12" s="14" t="n">
        <v>1.764627246801565</v>
      </c>
      <c r="Y12" s="14" t="n">
        <v>0.3500263293054099</v>
      </c>
      <c r="Z12" s="14" t="n">
        <v>0.1321102983936765</v>
      </c>
      <c r="AA12" s="14" t="n">
        <v>0.015549701214305</v>
      </c>
      <c r="AB12" s="14" t="n">
        <v>1.673039187300743</v>
      </c>
      <c r="AC12" s="14" t="n">
        <v>6.959599313126096</v>
      </c>
      <c r="AD12" s="14" t="n">
        <v>7.42940212927848</v>
      </c>
      <c r="AE12" s="14" t="n">
        <v>0.4246805859221146</v>
      </c>
      <c r="AF12" s="14" t="n">
        <v>4.290565751420677</v>
      </c>
      <c r="AG12" s="14" t="n">
        <v>3375.907287675177</v>
      </c>
      <c r="AH12" s="14" t="n">
        <v>6650.980187371791</v>
      </c>
      <c r="AI12" s="14" t="n">
        <v>6856.203397547708</v>
      </c>
      <c r="AJ12" s="14" t="n">
        <v>9004.425088604297</v>
      </c>
      <c r="AK12" s="14" t="n">
        <v>8923.42088134414</v>
      </c>
      <c r="AL12" s="14" t="n">
        <v>9371.683435392282</v>
      </c>
      <c r="AM12" s="14" t="n">
        <v>9995.881925138327</v>
      </c>
      <c r="AN12" s="14" t="n">
        <v>10565.67850903533</v>
      </c>
      <c r="AO12" s="14" t="n">
        <v>10522.19082764648</v>
      </c>
      <c r="AP12" s="14" t="n">
        <v>13077.51099796977</v>
      </c>
      <c r="AQ12" s="14" t="n">
        <v>11786.2278525037</v>
      </c>
      <c r="AR12" s="14" t="n">
        <v>13474.94443739507</v>
      </c>
      <c r="AS12" s="14" t="n">
        <v>14859.59388044628</v>
      </c>
      <c r="AT12" s="14" t="n">
        <v>15696.60094119817</v>
      </c>
      <c r="AU12" s="14" t="n">
        <v>15365.72807623788</v>
      </c>
      <c r="AV12" s="14" t="n">
        <v>18382.16317940912</v>
      </c>
      <c r="AW12" s="14" t="n">
        <v>19215.54417864915</v>
      </c>
      <c r="AX12" s="14" t="n">
        <v>24409.04774315892</v>
      </c>
      <c r="AY12" s="14" t="n">
        <v>22147.93382271884</v>
      </c>
      <c r="AZ12" s="14" t="n">
        <v>67225.42770146359</v>
      </c>
      <c r="BA12" s="14" t="n">
        <v>12565.63265605558</v>
      </c>
      <c r="BB12" s="14" t="n">
        <v>110589782.3240585</v>
      </c>
      <c r="BC12" s="14" t="n">
        <v>102.2384462216467</v>
      </c>
      <c r="BD12" s="14" t="n">
        <v>107.007281690163</v>
      </c>
      <c r="BE12" s="14" t="n">
        <v>104.507266584752</v>
      </c>
      <c r="BF12" s="14" t="n">
        <v>61.29894429879605</v>
      </c>
      <c r="BG12" s="14" t="n">
        <v>68.92520384043451</v>
      </c>
      <c r="BH12" s="14" t="n">
        <v>98.62325595146795</v>
      </c>
      <c r="BI12" s="14" t="n">
        <v>105.9144266049825</v>
      </c>
      <c r="BJ12" s="14" t="n">
        <v>91.61598073911382</v>
      </c>
      <c r="BK12" s="14" t="n">
        <v>0.1760399627610217</v>
      </c>
      <c r="BL12" s="14" t="n">
        <v>3.143140614023143</v>
      </c>
      <c r="BM12" s="14" t="n">
        <v>35.1892762618378</v>
      </c>
      <c r="BN12" s="14" t="n">
        <v>0</v>
      </c>
      <c r="BO12" s="14" t="n">
        <v>0</v>
      </c>
      <c r="BP12" s="14" t="n">
        <v>0</v>
      </c>
      <c r="BQ12" s="14" t="inlineStr">
        <is>
          <t>Overall|Basket|mean|9999</t>
        </is>
      </c>
    </row>
    <row r="13">
      <c r="A13" s="14" t="inlineStr">
        <is>
          <t>EGY.distn.bsh.dec.ove.median.1</t>
        </is>
      </c>
      <c r="B13" s="14" t="inlineStr">
        <is>
          <t>EGY</t>
        </is>
      </c>
      <c r="C13" s="14" t="n">
        <v>2017</v>
      </c>
      <c r="D13" s="14" t="inlineStr">
        <is>
          <t>Overall</t>
        </is>
      </c>
      <c r="E13" s="14" t="inlineStr">
        <is>
          <t>Deciles</t>
        </is>
      </c>
      <c r="F13" s="14" t="inlineStr">
        <is>
          <t>median</t>
        </is>
      </c>
      <c r="G13" s="14" t="n">
        <v>1</v>
      </c>
      <c r="H13" s="14" t="n">
        <v>1.355173508208077</v>
      </c>
      <c r="I13" s="14" t="n">
        <v>0</v>
      </c>
      <c r="J13" s="14" t="n">
        <v>4.106567497087153</v>
      </c>
      <c r="K13" s="14" t="n">
        <v>5.015519980629247</v>
      </c>
      <c r="L13" s="14" t="n">
        <v>0</v>
      </c>
      <c r="M13" s="14" t="n">
        <v>1.874106297950767</v>
      </c>
      <c r="N13" s="14" t="n">
        <v>0</v>
      </c>
      <c r="O13" s="14" t="n">
        <v>1.698773704249643</v>
      </c>
      <c r="P13" s="14" t="n">
        <v>0</v>
      </c>
      <c r="Q13" s="14" t="n">
        <v>3.523200969175181</v>
      </c>
      <c r="R13" s="14" t="n">
        <v>57.49311502059041</v>
      </c>
      <c r="S13" s="14" t="n">
        <v>0</v>
      </c>
      <c r="T13" s="14" t="n">
        <v>0</v>
      </c>
      <c r="U13" s="14" t="n">
        <v>1.651080818788438</v>
      </c>
      <c r="V13" s="14" t="n">
        <v>3.16389068055393</v>
      </c>
      <c r="W13" s="14" t="n">
        <v>0</v>
      </c>
      <c r="X13" s="14" t="n">
        <v>2.970307015238689</v>
      </c>
      <c r="Y13" s="14" t="n">
        <v>0</v>
      </c>
      <c r="Z13" s="14" t="n">
        <v>0</v>
      </c>
      <c r="AA13" s="14" t="n">
        <v>0</v>
      </c>
      <c r="AB13" s="14" t="n">
        <v>1.751567963296517</v>
      </c>
      <c r="AC13" s="14" t="n">
        <v>3.232850022092265</v>
      </c>
      <c r="AD13" s="14" t="n">
        <v>6.173303700454122</v>
      </c>
      <c r="AE13" s="14" t="n">
        <v>0</v>
      </c>
      <c r="AF13" s="14" t="n">
        <v>3.341321116597356</v>
      </c>
      <c r="AG13" s="14" t="n">
        <v>3253.327425788024</v>
      </c>
      <c r="AH13" s="14" t="n">
        <v>6786.566214346144</v>
      </c>
      <c r="AI13" s="14" t="n">
        <v>7577.821348819944</v>
      </c>
      <c r="AJ13" s="14" t="n">
        <v>8020.902858759571</v>
      </c>
      <c r="AK13" s="14" t="n">
        <v>8074.175942497989</v>
      </c>
      <c r="AL13" s="14" t="n">
        <v>10478.12838313952</v>
      </c>
      <c r="AM13" s="14" t="n">
        <v>10362.07311215165</v>
      </c>
      <c r="AN13" s="14" t="n">
        <v>10950.43159984899</v>
      </c>
      <c r="AO13" s="14" t="n">
        <v>11684.3912011789</v>
      </c>
      <c r="AP13" s="14" t="n">
        <v>12803.08997100641</v>
      </c>
      <c r="AQ13" s="14" t="n">
        <v>12321.98958224209</v>
      </c>
      <c r="AR13" s="14" t="n">
        <v>13125.94015646129</v>
      </c>
      <c r="AS13" s="14" t="n">
        <v>14683.7129237889</v>
      </c>
      <c r="AT13" s="14" t="n">
        <v>16153.63061504389</v>
      </c>
      <c r="AU13" s="14" t="n">
        <v>15492.55522440036</v>
      </c>
      <c r="AV13" s="14" t="n">
        <v>18873.78524798084</v>
      </c>
      <c r="AW13" s="14" t="n">
        <v>17892.42877291435</v>
      </c>
      <c r="AX13" s="14" t="n">
        <v>24709.11084361777</v>
      </c>
      <c r="AY13" s="14" t="n">
        <v>22635.05976650778</v>
      </c>
      <c r="AZ13" s="14" t="n">
        <v>67169.96986471479</v>
      </c>
      <c r="BA13" s="14" t="n">
        <v>5173.499588834768</v>
      </c>
      <c r="BB13" s="14" t="n">
        <v>9697299.474127637</v>
      </c>
      <c r="BC13" s="14" t="n">
        <v>0</v>
      </c>
      <c r="BD13" s="14" t="n">
        <v>0</v>
      </c>
      <c r="BE13" s="14" t="n">
        <v>0</v>
      </c>
      <c r="BF13" s="14" t="n">
        <v>0</v>
      </c>
      <c r="BG13" s="14" t="n">
        <v>0</v>
      </c>
      <c r="BH13" s="14" t="n">
        <v>0</v>
      </c>
      <c r="BI13" s="14" t="n">
        <v>0</v>
      </c>
      <c r="BJ13" s="14" t="n">
        <v>0</v>
      </c>
      <c r="BK13" s="14" t="n">
        <v>0.1698824499830095</v>
      </c>
      <c r="BL13" s="14" t="n">
        <v>3.128116445495543</v>
      </c>
      <c r="BM13" s="14" t="n">
        <v>10.42034097675989</v>
      </c>
      <c r="BN13" s="14" t="n">
        <v>0.7550249488999973</v>
      </c>
      <c r="BO13" s="14" t="n">
        <v>0.7790343823184266</v>
      </c>
      <c r="BP13" s="14" t="n">
        <v>1.620159015445344</v>
      </c>
      <c r="BQ13" s="14" t="inlineStr">
        <is>
          <t>Overall|Deciles|median|1</t>
        </is>
      </c>
    </row>
    <row r="14">
      <c r="A14" s="14" t="inlineStr">
        <is>
          <t>EGY.distn.bsh.dec.ove.median.2</t>
        </is>
      </c>
      <c r="B14" s="14" t="inlineStr">
        <is>
          <t>EGY</t>
        </is>
      </c>
      <c r="C14" s="14" t="n">
        <v>2017</v>
      </c>
      <c r="D14" s="14" t="inlineStr">
        <is>
          <t>Overall</t>
        </is>
      </c>
      <c r="E14" s="14" t="inlineStr">
        <is>
          <t>Deciles</t>
        </is>
      </c>
      <c r="F14" s="14" t="inlineStr">
        <is>
          <t>median</t>
        </is>
      </c>
      <c r="G14" s="14" t="n">
        <v>2</v>
      </c>
      <c r="H14" s="14" t="n">
        <v>1.180402280019929</v>
      </c>
      <c r="I14" s="14" t="n">
        <v>0</v>
      </c>
      <c r="J14" s="14" t="n">
        <v>3.477605262940548</v>
      </c>
      <c r="K14" s="14" t="n">
        <v>5.295337437808156</v>
      </c>
      <c r="L14" s="14" t="n">
        <v>0</v>
      </c>
      <c r="M14" s="14" t="n">
        <v>1.831660826490271</v>
      </c>
      <c r="N14" s="14" t="n">
        <v>0</v>
      </c>
      <c r="O14" s="14" t="n">
        <v>2.252471775747762</v>
      </c>
      <c r="P14" s="14" t="n">
        <v>0</v>
      </c>
      <c r="Q14" s="14" t="n">
        <v>2.98557936679922</v>
      </c>
      <c r="R14" s="14" t="n">
        <v>59.32228162775086</v>
      </c>
      <c r="S14" s="14" t="n">
        <v>0</v>
      </c>
      <c r="T14" s="14" t="n">
        <v>0</v>
      </c>
      <c r="U14" s="14" t="n">
        <v>2.047130412370875</v>
      </c>
      <c r="V14" s="14" t="n">
        <v>3.019870612798347</v>
      </c>
      <c r="W14" s="14" t="n">
        <v>0</v>
      </c>
      <c r="X14" s="14" t="n">
        <v>2.416590556083912</v>
      </c>
      <c r="Y14" s="14" t="n">
        <v>0</v>
      </c>
      <c r="Z14" s="14" t="n">
        <v>0</v>
      </c>
      <c r="AA14" s="14" t="n">
        <v>0</v>
      </c>
      <c r="AB14" s="14" t="n">
        <v>1.842445214007148</v>
      </c>
      <c r="AC14" s="14" t="n">
        <v>3.453686147616745</v>
      </c>
      <c r="AD14" s="14" t="n">
        <v>5.804411197346154</v>
      </c>
      <c r="AE14" s="14" t="n">
        <v>0</v>
      </c>
      <c r="AF14" s="14" t="n">
        <v>3.401191567960529</v>
      </c>
      <c r="AG14" s="14" t="n">
        <v>2944.405821531166</v>
      </c>
      <c r="AH14" s="14" t="n">
        <v>7499.577978399754</v>
      </c>
      <c r="AI14" s="14" t="n">
        <v>7742.563794732732</v>
      </c>
      <c r="AJ14" s="14" t="n">
        <v>7964.304475525772</v>
      </c>
      <c r="AK14" s="14" t="n">
        <v>8514.674637911521</v>
      </c>
      <c r="AL14" s="14" t="n">
        <v>10159.4359592046</v>
      </c>
      <c r="AM14" s="14" t="n">
        <v>9390.919206298815</v>
      </c>
      <c r="AN14" s="14" t="n">
        <v>10420.78220222126</v>
      </c>
      <c r="AO14" s="14" t="n">
        <v>11402.82353806627</v>
      </c>
      <c r="AP14" s="14" t="n">
        <v>12042.71204708228</v>
      </c>
      <c r="AQ14" s="14" t="n">
        <v>13059.7858842385</v>
      </c>
      <c r="AR14" s="14" t="n">
        <v>14160.96035123092</v>
      </c>
      <c r="AS14" s="14" t="n">
        <v>14651.53986000174</v>
      </c>
      <c r="AT14" s="14" t="n">
        <v>16142.94374881954</v>
      </c>
      <c r="AU14" s="14" t="n">
        <v>16055.52632394461</v>
      </c>
      <c r="AV14" s="14" t="n">
        <v>17369.83586824301</v>
      </c>
      <c r="AW14" s="14" t="n">
        <v>19596.02774539032</v>
      </c>
      <c r="AX14" s="14" t="n">
        <v>23036.39882114582</v>
      </c>
      <c r="AY14" s="14" t="n">
        <v>24301.79019700183</v>
      </c>
      <c r="AZ14" s="14" t="n">
        <v>65919.54009220138</v>
      </c>
      <c r="BA14" s="14" t="n">
        <v>6713.353138099012</v>
      </c>
      <c r="BB14" s="14" t="n">
        <v>10278424.30480366</v>
      </c>
      <c r="BC14" s="14" t="n">
        <v>0</v>
      </c>
      <c r="BD14" s="14" t="n">
        <v>0</v>
      </c>
      <c r="BE14" s="14" t="n">
        <v>0</v>
      </c>
      <c r="BF14" s="14" t="n">
        <v>0</v>
      </c>
      <c r="BG14" s="14" t="n">
        <v>0</v>
      </c>
      <c r="BH14" s="14" t="n">
        <v>0</v>
      </c>
      <c r="BI14" s="14" t="n">
        <v>0</v>
      </c>
      <c r="BJ14" s="14" t="n">
        <v>0</v>
      </c>
      <c r="BK14" s="14" t="n">
        <v>0.009687270654690354</v>
      </c>
      <c r="BL14" s="14" t="n">
        <v>0.01137355208039039</v>
      </c>
      <c r="BM14" s="14" t="n">
        <v>10.25518388513168</v>
      </c>
      <c r="BN14" s="14" t="n">
        <v>1.851886209846588</v>
      </c>
      <c r="BO14" s="14" t="n">
        <v>1.856506690025211</v>
      </c>
      <c r="BP14" s="14" t="n">
        <v>1.56124710918727</v>
      </c>
      <c r="BQ14" s="14" t="inlineStr">
        <is>
          <t>Overall|Deciles|median|2</t>
        </is>
      </c>
    </row>
    <row r="15">
      <c r="A15" s="14" t="inlineStr">
        <is>
          <t>EGY.distn.bsh.dec.ove.median.3</t>
        </is>
      </c>
      <c r="B15" s="14" t="inlineStr">
        <is>
          <t>EGY</t>
        </is>
      </c>
      <c r="C15" s="14" t="n">
        <v>2017</v>
      </c>
      <c r="D15" s="14" t="inlineStr">
        <is>
          <t>Overall</t>
        </is>
      </c>
      <c r="E15" s="14" t="inlineStr">
        <is>
          <t>Deciles</t>
        </is>
      </c>
      <c r="F15" s="14" t="inlineStr">
        <is>
          <t>median</t>
        </is>
      </c>
      <c r="G15" s="14" t="n">
        <v>3</v>
      </c>
      <c r="H15" s="14" t="n">
        <v>1.261231276391139</v>
      </c>
      <c r="I15" s="14" t="n">
        <v>0</v>
      </c>
      <c r="J15" s="14" t="n">
        <v>3.618714616023418</v>
      </c>
      <c r="K15" s="14" t="n">
        <v>5.423636621550692</v>
      </c>
      <c r="L15" s="14" t="n">
        <v>0</v>
      </c>
      <c r="M15" s="14" t="n">
        <v>2.099565772181581</v>
      </c>
      <c r="N15" s="14" t="n">
        <v>0</v>
      </c>
      <c r="O15" s="14" t="n">
        <v>2.473536541445641</v>
      </c>
      <c r="P15" s="14" t="n">
        <v>0</v>
      </c>
      <c r="Q15" s="14" t="n">
        <v>3.084693033406818</v>
      </c>
      <c r="R15" s="14" t="n">
        <v>56.99227087449913</v>
      </c>
      <c r="S15" s="14" t="n">
        <v>0</v>
      </c>
      <c r="T15" s="14" t="n">
        <v>0</v>
      </c>
      <c r="U15" s="14" t="n">
        <v>2.082194672567675</v>
      </c>
      <c r="V15" s="14" t="n">
        <v>2.990584340006289</v>
      </c>
      <c r="W15" s="14" t="n">
        <v>0</v>
      </c>
      <c r="X15" s="14" t="n">
        <v>2.01343936194921</v>
      </c>
      <c r="Y15" s="14" t="n">
        <v>0</v>
      </c>
      <c r="Z15" s="14" t="n">
        <v>0</v>
      </c>
      <c r="AA15" s="14" t="n">
        <v>0</v>
      </c>
      <c r="AB15" s="14" t="n">
        <v>1.95679206398635</v>
      </c>
      <c r="AC15" s="14" t="n">
        <v>3.48110962623974</v>
      </c>
      <c r="AD15" s="14" t="n">
        <v>5.994402916158379</v>
      </c>
      <c r="AE15" s="14" t="n">
        <v>0</v>
      </c>
      <c r="AF15" s="14" t="n">
        <v>3.353145525093281</v>
      </c>
      <c r="AG15" s="14" t="n">
        <v>3127.37370524721</v>
      </c>
      <c r="AH15" s="14" t="n">
        <v>6704.565442977345</v>
      </c>
      <c r="AI15" s="14" t="n">
        <v>7458.602225108746</v>
      </c>
      <c r="AJ15" s="14" t="n">
        <v>8649.462918078898</v>
      </c>
      <c r="AK15" s="14" t="n">
        <v>7959.933292322227</v>
      </c>
      <c r="AL15" s="14" t="n">
        <v>10507.04185990806</v>
      </c>
      <c r="AM15" s="14" t="n">
        <v>9295.098523711546</v>
      </c>
      <c r="AN15" s="14" t="n">
        <v>10276.81035179159</v>
      </c>
      <c r="AO15" s="14" t="n">
        <v>10315.15259439432</v>
      </c>
      <c r="AP15" s="14" t="n">
        <v>11411.6928011956</v>
      </c>
      <c r="AQ15" s="14" t="n">
        <v>12353.20411439539</v>
      </c>
      <c r="AR15" s="14" t="n">
        <v>14671.36992181837</v>
      </c>
      <c r="AS15" s="14" t="n">
        <v>14656.3780380563</v>
      </c>
      <c r="AT15" s="14" t="n">
        <v>14826.92436387655</v>
      </c>
      <c r="AU15" s="14" t="n">
        <v>16443.62781872051</v>
      </c>
      <c r="AV15" s="14" t="n">
        <v>17485.05983380997</v>
      </c>
      <c r="AW15" s="14" t="n">
        <v>18369.36236052003</v>
      </c>
      <c r="AX15" s="14" t="n">
        <v>24406.14801163811</v>
      </c>
      <c r="AY15" s="14" t="n">
        <v>24461.87279756588</v>
      </c>
      <c r="AZ15" s="14" t="n">
        <v>68306.78500742417</v>
      </c>
      <c r="BA15" s="14" t="n">
        <v>8575.287382495224</v>
      </c>
      <c r="BB15" s="14" t="n">
        <v>10109885.9528663</v>
      </c>
      <c r="BC15" s="14" t="n">
        <v>0</v>
      </c>
      <c r="BD15" s="14" t="n">
        <v>0</v>
      </c>
      <c r="BE15" s="14" t="n">
        <v>0</v>
      </c>
      <c r="BF15" s="14" t="n">
        <v>0</v>
      </c>
      <c r="BG15" s="14" t="n">
        <v>0</v>
      </c>
      <c r="BH15" s="14" t="n">
        <v>0</v>
      </c>
      <c r="BI15" s="14" t="n">
        <v>0</v>
      </c>
      <c r="BJ15" s="14" t="n">
        <v>0</v>
      </c>
      <c r="BK15" s="14" t="n">
        <v>0</v>
      </c>
      <c r="BL15" s="14" t="n">
        <v>0.007012357342488649</v>
      </c>
      <c r="BM15" s="14" t="n">
        <v>9.626022186202219</v>
      </c>
      <c r="BN15" s="14" t="n">
        <v>3.12386148701955</v>
      </c>
      <c r="BO15" s="14" t="n">
        <v>2.775024699194319</v>
      </c>
      <c r="BP15" s="14" t="n">
        <v>1.492486533782486</v>
      </c>
      <c r="BQ15" s="14" t="inlineStr">
        <is>
          <t>Overall|Deciles|median|3</t>
        </is>
      </c>
    </row>
    <row r="16">
      <c r="A16" s="14" t="inlineStr">
        <is>
          <t>EGY.distn.bsh.dec.ove.median.4</t>
        </is>
      </c>
      <c r="B16" s="14" t="inlineStr">
        <is>
          <t>EGY</t>
        </is>
      </c>
      <c r="C16" s="14" t="n">
        <v>2017</v>
      </c>
      <c r="D16" s="14" t="inlineStr">
        <is>
          <t>Overall</t>
        </is>
      </c>
      <c r="E16" s="14" t="inlineStr">
        <is>
          <t>Deciles</t>
        </is>
      </c>
      <c r="F16" s="14" t="inlineStr">
        <is>
          <t>median</t>
        </is>
      </c>
      <c r="G16" s="14" t="n">
        <v>4</v>
      </c>
      <c r="H16" s="14" t="n">
        <v>1.221442940301287</v>
      </c>
      <c r="I16" s="14" t="n">
        <v>0</v>
      </c>
      <c r="J16" s="14" t="n">
        <v>3.324896314421707</v>
      </c>
      <c r="K16" s="14" t="n">
        <v>5.9265685690326</v>
      </c>
      <c r="L16" s="14" t="n">
        <v>0</v>
      </c>
      <c r="M16" s="14" t="n">
        <v>2.200315166304661</v>
      </c>
      <c r="N16" s="14" t="n">
        <v>0</v>
      </c>
      <c r="O16" s="14" t="n">
        <v>2.357475078191575</v>
      </c>
      <c r="P16" s="14" t="n">
        <v>0</v>
      </c>
      <c r="Q16" s="14" t="n">
        <v>3.001261015275653</v>
      </c>
      <c r="R16" s="14" t="n">
        <v>56.84671914217596</v>
      </c>
      <c r="S16" s="14" t="n">
        <v>0</v>
      </c>
      <c r="T16" s="14" t="n">
        <v>0</v>
      </c>
      <c r="U16" s="14" t="n">
        <v>2.224731109306886</v>
      </c>
      <c r="V16" s="14" t="n">
        <v>2.988943672345441</v>
      </c>
      <c r="W16" s="14" t="n">
        <v>0</v>
      </c>
      <c r="X16" s="14" t="n">
        <v>1.942625308448605</v>
      </c>
      <c r="Y16" s="14" t="n">
        <v>0</v>
      </c>
      <c r="Z16" s="14" t="n">
        <v>0</v>
      </c>
      <c r="AA16" s="14" t="n">
        <v>0</v>
      </c>
      <c r="AB16" s="14" t="n">
        <v>1.626316621835163</v>
      </c>
      <c r="AC16" s="14" t="n">
        <v>3.665838747390545</v>
      </c>
      <c r="AD16" s="14" t="n">
        <v>6.459442179210393</v>
      </c>
      <c r="AE16" s="14" t="n">
        <v>0</v>
      </c>
      <c r="AF16" s="14" t="n">
        <v>3.732641541993216</v>
      </c>
      <c r="AG16" s="14" t="n">
        <v>2974.418675836334</v>
      </c>
      <c r="AH16" s="14" t="n">
        <v>7462.999944189635</v>
      </c>
      <c r="AI16" s="14" t="n">
        <v>7206.585515831287</v>
      </c>
      <c r="AJ16" s="14" t="n">
        <v>8291.752378445488</v>
      </c>
      <c r="AK16" s="14" t="n">
        <v>8221.751323092891</v>
      </c>
      <c r="AL16" s="14" t="n">
        <v>9389.259550291128</v>
      </c>
      <c r="AM16" s="14" t="n">
        <v>10520.66933107492</v>
      </c>
      <c r="AN16" s="14" t="n">
        <v>11576.07287477961</v>
      </c>
      <c r="AO16" s="14" t="n">
        <v>11372.23711827432</v>
      </c>
      <c r="AP16" s="14" t="n">
        <v>12004.26992861016</v>
      </c>
      <c r="AQ16" s="14" t="n">
        <v>11384.84048979407</v>
      </c>
      <c r="AR16" s="14" t="n">
        <v>14862.98173549484</v>
      </c>
      <c r="AS16" s="14" t="n">
        <v>14615.16763985943</v>
      </c>
      <c r="AT16" s="14" t="n">
        <v>16830.76496879858</v>
      </c>
      <c r="AU16" s="14" t="n">
        <v>16292.8987768882</v>
      </c>
      <c r="AV16" s="14" t="n">
        <v>17544.1258323832</v>
      </c>
      <c r="AW16" s="14" t="n">
        <v>18724.9973427419</v>
      </c>
      <c r="AX16" s="14" t="n">
        <v>24921.41290254328</v>
      </c>
      <c r="AY16" s="14" t="n">
        <v>23729.56521984156</v>
      </c>
      <c r="AZ16" s="14" t="n">
        <v>69807.0093337688</v>
      </c>
      <c r="BA16" s="14" t="n">
        <v>9217.950961035431</v>
      </c>
      <c r="BB16" s="14" t="n">
        <v>11150509.34357422</v>
      </c>
      <c r="BC16" s="14" t="n">
        <v>0</v>
      </c>
      <c r="BD16" s="14" t="n">
        <v>0</v>
      </c>
      <c r="BE16" s="14" t="n">
        <v>0</v>
      </c>
      <c r="BF16" s="14" t="n">
        <v>0</v>
      </c>
      <c r="BG16" s="14" t="n">
        <v>0</v>
      </c>
      <c r="BH16" s="14" t="n">
        <v>0</v>
      </c>
      <c r="BI16" s="14" t="n">
        <v>0</v>
      </c>
      <c r="BJ16" s="14" t="n">
        <v>0</v>
      </c>
      <c r="BK16" s="14" t="n">
        <v>0</v>
      </c>
      <c r="BL16" s="14" t="n">
        <v>0</v>
      </c>
      <c r="BM16" s="14" t="n">
        <v>5.168607995032761</v>
      </c>
      <c r="BN16" s="14" t="n">
        <v>3.541225503449175</v>
      </c>
      <c r="BO16" s="14" t="n">
        <v>4.085651893721362</v>
      </c>
      <c r="BP16" s="14" t="n">
        <v>1.491687571398498</v>
      </c>
      <c r="BQ16" s="14" t="inlineStr">
        <is>
          <t>Overall|Deciles|median|4</t>
        </is>
      </c>
    </row>
    <row r="17">
      <c r="A17" s="14" t="inlineStr">
        <is>
          <t>EGY.distn.bsh.dec.ove.median.5</t>
        </is>
      </c>
      <c r="B17" s="14" t="inlineStr">
        <is>
          <t>EGY</t>
        </is>
      </c>
      <c r="C17" s="14" t="n">
        <v>2017</v>
      </c>
      <c r="D17" s="14" t="inlineStr">
        <is>
          <t>Overall</t>
        </is>
      </c>
      <c r="E17" s="14" t="inlineStr">
        <is>
          <t>Deciles</t>
        </is>
      </c>
      <c r="F17" s="14" t="inlineStr">
        <is>
          <t>median</t>
        </is>
      </c>
      <c r="G17" s="14" t="n">
        <v>5</v>
      </c>
      <c r="H17" s="14" t="n">
        <v>1.356880930927138</v>
      </c>
      <c r="I17" s="14" t="n">
        <v>0</v>
      </c>
      <c r="J17" s="14" t="n">
        <v>3.729856706922948</v>
      </c>
      <c r="K17" s="14" t="n">
        <v>5.978907786698284</v>
      </c>
      <c r="L17" s="14" t="n">
        <v>0</v>
      </c>
      <c r="M17" s="14" t="n">
        <v>2.499167100025327</v>
      </c>
      <c r="N17" s="14" t="n">
        <v>0</v>
      </c>
      <c r="O17" s="14" t="n">
        <v>2.440624645161142</v>
      </c>
      <c r="P17" s="14" t="n">
        <v>0</v>
      </c>
      <c r="Q17" s="14" t="n">
        <v>3.04450317710406</v>
      </c>
      <c r="R17" s="14" t="n">
        <v>58.50377593219351</v>
      </c>
      <c r="S17" s="14" t="n">
        <v>0</v>
      </c>
      <c r="T17" s="14" t="n">
        <v>0</v>
      </c>
      <c r="U17" s="14" t="n">
        <v>2.536437895995908</v>
      </c>
      <c r="V17" s="14" t="n">
        <v>2.914831467671449</v>
      </c>
      <c r="W17" s="14" t="n">
        <v>0</v>
      </c>
      <c r="X17" s="14" t="n">
        <v>1.827709424101064</v>
      </c>
      <c r="Y17" s="14" t="n">
        <v>0</v>
      </c>
      <c r="Z17" s="14" t="n">
        <v>0</v>
      </c>
      <c r="AA17" s="14" t="n">
        <v>0</v>
      </c>
      <c r="AB17" s="14" t="n">
        <v>1.899495956935214</v>
      </c>
      <c r="AC17" s="14" t="n">
        <v>4.196666728874973</v>
      </c>
      <c r="AD17" s="14" t="n">
        <v>6.100889068924415</v>
      </c>
      <c r="AE17" s="14" t="n">
        <v>0</v>
      </c>
      <c r="AF17" s="14" t="n">
        <v>4.070475345313165</v>
      </c>
      <c r="AG17" s="14" t="n">
        <v>3087.886533665149</v>
      </c>
      <c r="AH17" s="14" t="n">
        <v>6645.900704106508</v>
      </c>
      <c r="AI17" s="14" t="n">
        <v>6843.858285171153</v>
      </c>
      <c r="AJ17" s="14" t="n">
        <v>9031.055841304744</v>
      </c>
      <c r="AK17" s="14" t="n">
        <v>8083.204714225441</v>
      </c>
      <c r="AL17" s="14" t="n">
        <v>9842.907920983458</v>
      </c>
      <c r="AM17" s="14" t="n">
        <v>10279.1037776008</v>
      </c>
      <c r="AN17" s="14" t="n">
        <v>11375.24352112787</v>
      </c>
      <c r="AO17" s="14" t="n">
        <v>10773.47835755683</v>
      </c>
      <c r="AP17" s="14" t="n">
        <v>11968.56462610184</v>
      </c>
      <c r="AQ17" s="14" t="n">
        <v>11610.51344730264</v>
      </c>
      <c r="AR17" s="14" t="n">
        <v>14782.53751655357</v>
      </c>
      <c r="AS17" s="14" t="n">
        <v>12865.24319356028</v>
      </c>
      <c r="AT17" s="14" t="n">
        <v>15241.19200295685</v>
      </c>
      <c r="AU17" s="14" t="n">
        <v>14889.27043959889</v>
      </c>
      <c r="AV17" s="14" t="n">
        <v>17748.23465682114</v>
      </c>
      <c r="AW17" s="14" t="n">
        <v>19320.92125385865</v>
      </c>
      <c r="AX17" s="14" t="n">
        <v>25020.6116796459</v>
      </c>
      <c r="AY17" s="14" t="n">
        <v>21702.04417950108</v>
      </c>
      <c r="AZ17" s="14" t="n">
        <v>64186.04009205766</v>
      </c>
      <c r="BA17" s="14" t="n">
        <v>10467.59677844169</v>
      </c>
      <c r="BB17" s="14" t="n">
        <v>10502549.69941853</v>
      </c>
      <c r="BC17" s="14" t="n">
        <v>0</v>
      </c>
      <c r="BD17" s="14" t="n">
        <v>0</v>
      </c>
      <c r="BE17" s="14" t="n">
        <v>0</v>
      </c>
      <c r="BF17" s="14" t="n">
        <v>0</v>
      </c>
      <c r="BG17" s="14" t="n">
        <v>0</v>
      </c>
      <c r="BH17" s="14" t="n">
        <v>0</v>
      </c>
      <c r="BI17" s="14" t="n">
        <v>0</v>
      </c>
      <c r="BJ17" s="14" t="n">
        <v>0</v>
      </c>
      <c r="BK17" s="14" t="n">
        <v>0</v>
      </c>
      <c r="BL17" s="14" t="n">
        <v>0</v>
      </c>
      <c r="BM17" s="14" t="n">
        <v>0.7071505149734961</v>
      </c>
      <c r="BN17" s="14" t="n">
        <v>5.467751024350018</v>
      </c>
      <c r="BO17" s="14" t="n">
        <v>5.264141426397019</v>
      </c>
      <c r="BP17" s="14" t="n">
        <v>1.52867325579649</v>
      </c>
      <c r="BQ17" s="14" t="inlineStr">
        <is>
          <t>Overall|Deciles|median|5</t>
        </is>
      </c>
    </row>
    <row r="18">
      <c r="A18" s="14" t="inlineStr">
        <is>
          <t>EGY.distn.bsh.dec.ove.median.6</t>
        </is>
      </c>
      <c r="B18" s="14" t="inlineStr">
        <is>
          <t>EGY</t>
        </is>
      </c>
      <c r="C18" s="14" t="n">
        <v>2017</v>
      </c>
      <c r="D18" s="14" t="inlineStr">
        <is>
          <t>Overall</t>
        </is>
      </c>
      <c r="E18" s="14" t="inlineStr">
        <is>
          <t>Deciles</t>
        </is>
      </c>
      <c r="F18" s="14" t="inlineStr">
        <is>
          <t>median</t>
        </is>
      </c>
      <c r="G18" s="14" t="n">
        <v>6</v>
      </c>
      <c r="H18" s="14" t="n">
        <v>1.196976986820401</v>
      </c>
      <c r="I18" s="14" t="n">
        <v>0</v>
      </c>
      <c r="J18" s="14" t="n">
        <v>3.655081931482199</v>
      </c>
      <c r="K18" s="14" t="n">
        <v>5.291569921101403</v>
      </c>
      <c r="L18" s="14" t="n">
        <v>0</v>
      </c>
      <c r="M18" s="14" t="n">
        <v>2.379357637914802</v>
      </c>
      <c r="N18" s="14" t="n">
        <v>0</v>
      </c>
      <c r="O18" s="14" t="n">
        <v>1.759027364593122</v>
      </c>
      <c r="P18" s="14" t="n">
        <v>0</v>
      </c>
      <c r="Q18" s="14" t="n">
        <v>3.014071445760777</v>
      </c>
      <c r="R18" s="14" t="n">
        <v>57.92695070907611</v>
      </c>
      <c r="S18" s="14" t="n">
        <v>0</v>
      </c>
      <c r="T18" s="14" t="n">
        <v>0</v>
      </c>
      <c r="U18" s="14" t="n">
        <v>2.59380496225072</v>
      </c>
      <c r="V18" s="14" t="n">
        <v>2.820511531894354</v>
      </c>
      <c r="W18" s="14" t="n">
        <v>0</v>
      </c>
      <c r="X18" s="14" t="n">
        <v>1.654055981548828</v>
      </c>
      <c r="Y18" s="14" t="n">
        <v>0</v>
      </c>
      <c r="Z18" s="14" t="n">
        <v>0</v>
      </c>
      <c r="AA18" s="14" t="n">
        <v>0</v>
      </c>
      <c r="AB18" s="14" t="n">
        <v>1.4767073249139</v>
      </c>
      <c r="AC18" s="14" t="n">
        <v>4.217398112445828</v>
      </c>
      <c r="AD18" s="14" t="n">
        <v>6.27821775669861</v>
      </c>
      <c r="AE18" s="14" t="n">
        <v>0</v>
      </c>
      <c r="AF18" s="14" t="n">
        <v>3.984286041662415</v>
      </c>
      <c r="AG18" s="14" t="n">
        <v>3401.200800776479</v>
      </c>
      <c r="AH18" s="14" t="n">
        <v>7065.256263948008</v>
      </c>
      <c r="AI18" s="14" t="n">
        <v>6775.709023633282</v>
      </c>
      <c r="AJ18" s="14" t="n">
        <v>8797.616550267718</v>
      </c>
      <c r="AK18" s="14" t="n">
        <v>8238.941375203507</v>
      </c>
      <c r="AL18" s="14" t="n">
        <v>10495.13060398516</v>
      </c>
      <c r="AM18" s="14" t="n">
        <v>9557.234941969666</v>
      </c>
      <c r="AN18" s="14" t="n">
        <v>10370.4051506268</v>
      </c>
      <c r="AO18" s="14" t="n">
        <v>11100.95117388959</v>
      </c>
      <c r="AP18" s="14" t="n">
        <v>12508.40671510312</v>
      </c>
      <c r="AQ18" s="14" t="n">
        <v>11555.05115835395</v>
      </c>
      <c r="AR18" s="14" t="n">
        <v>14778.51793409694</v>
      </c>
      <c r="AS18" s="14" t="n">
        <v>14349.70904178515</v>
      </c>
      <c r="AT18" s="14" t="n">
        <v>16068.37071081935</v>
      </c>
      <c r="AU18" s="14" t="n">
        <v>15546.62722861851</v>
      </c>
      <c r="AV18" s="14" t="n">
        <v>19318.40669014315</v>
      </c>
      <c r="AW18" s="14" t="n">
        <v>17871.37038746533</v>
      </c>
      <c r="AX18" s="14" t="n">
        <v>22127.72812182911</v>
      </c>
      <c r="AY18" s="14" t="n">
        <v>21917.69348200757</v>
      </c>
      <c r="AZ18" s="14" t="n">
        <v>70144.69722586879</v>
      </c>
      <c r="BA18" s="14" t="n">
        <v>11987.64991925164</v>
      </c>
      <c r="BB18" s="14" t="n">
        <v>10162317.53009148</v>
      </c>
      <c r="BC18" s="14" t="n">
        <v>0</v>
      </c>
      <c r="BD18" s="14" t="n">
        <v>0</v>
      </c>
      <c r="BE18" s="14" t="n">
        <v>0</v>
      </c>
      <c r="BF18" s="14" t="n">
        <v>0</v>
      </c>
      <c r="BG18" s="14" t="n">
        <v>0</v>
      </c>
      <c r="BH18" s="14" t="n">
        <v>0</v>
      </c>
      <c r="BI18" s="14" t="n">
        <v>0</v>
      </c>
      <c r="BJ18" s="14" t="n">
        <v>0</v>
      </c>
      <c r="BK18" s="14" t="n">
        <v>0</v>
      </c>
      <c r="BL18" s="14" t="n">
        <v>0</v>
      </c>
      <c r="BM18" s="14" t="n">
        <v>0.1523403293952745</v>
      </c>
      <c r="BN18" s="14" t="n">
        <v>6.094227611571486</v>
      </c>
      <c r="BO18" s="14" t="n">
        <v>6.524089565129489</v>
      </c>
      <c r="BP18" s="14" t="n">
        <v>1.664623602204194</v>
      </c>
      <c r="BQ18" s="14" t="inlineStr">
        <is>
          <t>Overall|Deciles|median|6</t>
        </is>
      </c>
    </row>
    <row r="19">
      <c r="A19" s="14" t="inlineStr">
        <is>
          <t>EGY.distn.bsh.dec.ove.median.7</t>
        </is>
      </c>
      <c r="B19" s="14" t="inlineStr">
        <is>
          <t>EGY</t>
        </is>
      </c>
      <c r="C19" s="14" t="n">
        <v>2017</v>
      </c>
      <c r="D19" s="14" t="inlineStr">
        <is>
          <t>Overall</t>
        </is>
      </c>
      <c r="E19" s="14" t="inlineStr">
        <is>
          <t>Deciles</t>
        </is>
      </c>
      <c r="F19" s="14" t="inlineStr">
        <is>
          <t>median</t>
        </is>
      </c>
      <c r="G19" s="14" t="n">
        <v>7</v>
      </c>
      <c r="H19" s="14" t="n">
        <v>1.177497456373166</v>
      </c>
      <c r="I19" s="14" t="n">
        <v>0</v>
      </c>
      <c r="J19" s="14" t="n">
        <v>3.535636847675021</v>
      </c>
      <c r="K19" s="14" t="n">
        <v>5.561657428763759</v>
      </c>
      <c r="L19" s="14" t="n">
        <v>0</v>
      </c>
      <c r="M19" s="14" t="n">
        <v>2.542128771436526</v>
      </c>
      <c r="N19" s="14" t="n">
        <v>0</v>
      </c>
      <c r="O19" s="14" t="n">
        <v>0.7228393427342881</v>
      </c>
      <c r="P19" s="14" t="n">
        <v>0</v>
      </c>
      <c r="Q19" s="14" t="n">
        <v>2.900457696450638</v>
      </c>
      <c r="R19" s="14" t="n">
        <v>56.16219453362733</v>
      </c>
      <c r="S19" s="14" t="n">
        <v>0</v>
      </c>
      <c r="T19" s="14" t="n">
        <v>0</v>
      </c>
      <c r="U19" s="14" t="n">
        <v>3.152551116601176</v>
      </c>
      <c r="V19" s="14" t="n">
        <v>2.80711069881205</v>
      </c>
      <c r="W19" s="14" t="n">
        <v>0</v>
      </c>
      <c r="X19" s="14" t="n">
        <v>1.502470193928711</v>
      </c>
      <c r="Y19" s="14" t="n">
        <v>0</v>
      </c>
      <c r="Z19" s="14" t="n">
        <v>0</v>
      </c>
      <c r="AA19" s="14" t="n">
        <v>0</v>
      </c>
      <c r="AB19" s="14" t="n">
        <v>1.210994847663454</v>
      </c>
      <c r="AC19" s="14" t="n">
        <v>4.846540316427839</v>
      </c>
      <c r="AD19" s="14" t="n">
        <v>6.10423852317946</v>
      </c>
      <c r="AE19" s="14" t="n">
        <v>0</v>
      </c>
      <c r="AF19" s="14" t="n">
        <v>4.11636708974105</v>
      </c>
      <c r="AG19" s="14" t="n">
        <v>3195.30872920945</v>
      </c>
      <c r="AH19" s="14" t="n">
        <v>6627.473667840231</v>
      </c>
      <c r="AI19" s="14" t="n">
        <v>7505.741269027276</v>
      </c>
      <c r="AJ19" s="14" t="n">
        <v>8718.376454998686</v>
      </c>
      <c r="AK19" s="14" t="n">
        <v>8023.882993618193</v>
      </c>
      <c r="AL19" s="14" t="n">
        <v>10027.19448613841</v>
      </c>
      <c r="AM19" s="14" t="n">
        <v>9328.078601007945</v>
      </c>
      <c r="AN19" s="14" t="n">
        <v>10489.36516023019</v>
      </c>
      <c r="AO19" s="14" t="n">
        <v>11160.68860021466</v>
      </c>
      <c r="AP19" s="14" t="n">
        <v>11719.25283516345</v>
      </c>
      <c r="AQ19" s="14" t="n">
        <v>11882.22990492915</v>
      </c>
      <c r="AR19" s="14" t="n">
        <v>13430.24692504815</v>
      </c>
      <c r="AS19" s="14" t="n">
        <v>13181.47813854525</v>
      </c>
      <c r="AT19" s="14" t="n">
        <v>15119.8546062707</v>
      </c>
      <c r="AU19" s="14" t="n">
        <v>16173.14517601722</v>
      </c>
      <c r="AV19" s="14" t="n">
        <v>18960.79864271266</v>
      </c>
      <c r="AW19" s="14" t="n">
        <v>18117.16957834103</v>
      </c>
      <c r="AX19" s="14" t="n">
        <v>23805.41138428805</v>
      </c>
      <c r="AY19" s="14" t="n">
        <v>24341.01216603658</v>
      </c>
      <c r="AZ19" s="14" t="n">
        <v>63013.52806234145</v>
      </c>
      <c r="BA19" s="14" t="n">
        <v>13985.17719758599</v>
      </c>
      <c r="BB19" s="14" t="n">
        <v>9771685.678307766</v>
      </c>
      <c r="BC19" s="14" t="n">
        <v>0</v>
      </c>
      <c r="BD19" s="14" t="n">
        <v>0</v>
      </c>
      <c r="BE19" s="14" t="n">
        <v>0</v>
      </c>
      <c r="BF19" s="14" t="n">
        <v>0</v>
      </c>
      <c r="BG19" s="14" t="n">
        <v>0</v>
      </c>
      <c r="BH19" s="14" t="n">
        <v>0</v>
      </c>
      <c r="BI19" s="14" t="n">
        <v>0</v>
      </c>
      <c r="BJ19" s="14" t="n">
        <v>0</v>
      </c>
      <c r="BK19" s="14" t="n">
        <v>0</v>
      </c>
      <c r="BL19" s="14" t="n">
        <v>0</v>
      </c>
      <c r="BM19" s="14" t="n">
        <v>0.03221189581278178</v>
      </c>
      <c r="BN19" s="14" t="n">
        <v>7.868883170671753</v>
      </c>
      <c r="BO19" s="14" t="n">
        <v>8.21123596678939</v>
      </c>
      <c r="BP19" s="14" t="n">
        <v>1.514567226105607</v>
      </c>
      <c r="BQ19" s="14" t="inlineStr">
        <is>
          <t>Overall|Deciles|median|7</t>
        </is>
      </c>
    </row>
    <row r="20">
      <c r="A20" s="14" t="inlineStr">
        <is>
          <t>EGY.distn.bsh.dec.ove.median.8</t>
        </is>
      </c>
      <c r="B20" s="14" t="inlineStr">
        <is>
          <t>EGY</t>
        </is>
      </c>
      <c r="C20" s="14" t="n">
        <v>2017</v>
      </c>
      <c r="D20" s="14" t="inlineStr">
        <is>
          <t>Overall</t>
        </is>
      </c>
      <c r="E20" s="14" t="inlineStr">
        <is>
          <t>Deciles</t>
        </is>
      </c>
      <c r="F20" s="14" t="inlineStr">
        <is>
          <t>median</t>
        </is>
      </c>
      <c r="G20" s="14" t="n">
        <v>8</v>
      </c>
      <c r="H20" s="14" t="n">
        <v>1.086430660113972</v>
      </c>
      <c r="I20" s="14" t="n">
        <v>0</v>
      </c>
      <c r="J20" s="14" t="n">
        <v>3.433285945888787</v>
      </c>
      <c r="K20" s="14" t="n">
        <v>4.344405004464776</v>
      </c>
      <c r="L20" s="14" t="n">
        <v>0</v>
      </c>
      <c r="M20" s="14" t="n">
        <v>2.672157038815326</v>
      </c>
      <c r="N20" s="14" t="n">
        <v>0</v>
      </c>
      <c r="O20" s="14" t="n">
        <v>0</v>
      </c>
      <c r="P20" s="14" t="n">
        <v>0</v>
      </c>
      <c r="Q20" s="14" t="n">
        <v>3.122215870202258</v>
      </c>
      <c r="R20" s="14" t="n">
        <v>55.64261772937422</v>
      </c>
      <c r="S20" s="14" t="n">
        <v>0</v>
      </c>
      <c r="T20" s="14" t="n">
        <v>0</v>
      </c>
      <c r="U20" s="14" t="n">
        <v>2.992489292428341</v>
      </c>
      <c r="V20" s="14" t="n">
        <v>3.269584346883238</v>
      </c>
      <c r="W20" s="14" t="n">
        <v>0</v>
      </c>
      <c r="X20" s="14" t="n">
        <v>1.354861305549502</v>
      </c>
      <c r="Y20" s="14" t="n">
        <v>0</v>
      </c>
      <c r="Z20" s="14" t="n">
        <v>0</v>
      </c>
      <c r="AA20" s="14" t="n">
        <v>0</v>
      </c>
      <c r="AB20" s="14" t="n">
        <v>0.8032225549020953</v>
      </c>
      <c r="AC20" s="14" t="n">
        <v>5.570736647044368</v>
      </c>
      <c r="AD20" s="14" t="n">
        <v>5.328858854161749</v>
      </c>
      <c r="AE20" s="14" t="n">
        <v>0</v>
      </c>
      <c r="AF20" s="14" t="n">
        <v>3.807240121964313</v>
      </c>
      <c r="AG20" s="14" t="n">
        <v>3019.209666659087</v>
      </c>
      <c r="AH20" s="14" t="n">
        <v>7629.00499323459</v>
      </c>
      <c r="AI20" s="14" t="n">
        <v>7230.732986308236</v>
      </c>
      <c r="AJ20" s="14" t="n">
        <v>8161.887677342195</v>
      </c>
      <c r="AK20" s="14" t="n">
        <v>8567.717236096232</v>
      </c>
      <c r="AL20" s="14" t="n">
        <v>9531.654734007687</v>
      </c>
      <c r="AM20" s="14" t="n">
        <v>10288.12556645409</v>
      </c>
      <c r="AN20" s="14" t="n">
        <v>11160.16908660714</v>
      </c>
      <c r="AO20" s="14" t="n">
        <v>11314.25050340382</v>
      </c>
      <c r="AP20" s="14" t="n">
        <v>12861.16971088289</v>
      </c>
      <c r="AQ20" s="14" t="n">
        <v>11732.55589092675</v>
      </c>
      <c r="AR20" s="14" t="n">
        <v>14675.09650643877</v>
      </c>
      <c r="AS20" s="14" t="n">
        <v>12860.98121336912</v>
      </c>
      <c r="AT20" s="14" t="n">
        <v>14603.67352492096</v>
      </c>
      <c r="AU20" s="14" t="n">
        <v>16068.8064547895</v>
      </c>
      <c r="AV20" s="14" t="n">
        <v>18416.63438554498</v>
      </c>
      <c r="AW20" s="14" t="n">
        <v>18357.38853729888</v>
      </c>
      <c r="AX20" s="14" t="n">
        <v>22794.01610820846</v>
      </c>
      <c r="AY20" s="14" t="n">
        <v>21622.96680695685</v>
      </c>
      <c r="AZ20" s="14" t="n">
        <v>65152.6487740849</v>
      </c>
      <c r="BA20" s="14" t="n">
        <v>15583.51437118249</v>
      </c>
      <c r="BB20" s="14" t="n">
        <v>11013459.09273643</v>
      </c>
      <c r="BC20" s="14" t="n">
        <v>0</v>
      </c>
      <c r="BD20" s="14" t="n">
        <v>0</v>
      </c>
      <c r="BE20" s="14" t="n">
        <v>0</v>
      </c>
      <c r="BF20" s="14" t="n">
        <v>0</v>
      </c>
      <c r="BG20" s="14" t="n">
        <v>0</v>
      </c>
      <c r="BH20" s="14" t="n">
        <v>0</v>
      </c>
      <c r="BI20" s="14" t="n">
        <v>0</v>
      </c>
      <c r="BJ20" s="14" t="n">
        <v>0</v>
      </c>
      <c r="BK20" s="14" t="n">
        <v>0</v>
      </c>
      <c r="BL20" s="14" t="n">
        <v>0</v>
      </c>
      <c r="BM20" s="14" t="n">
        <v>0.01724615463495942</v>
      </c>
      <c r="BN20" s="14" t="n">
        <v>10.30054339886133</v>
      </c>
      <c r="BO20" s="14" t="n">
        <v>10.06497687459463</v>
      </c>
      <c r="BP20" s="14" t="n">
        <v>1.59082300331486</v>
      </c>
      <c r="BQ20" s="14" t="inlineStr">
        <is>
          <t>Overall|Deciles|median|8</t>
        </is>
      </c>
    </row>
    <row r="21">
      <c r="A21" s="14" t="inlineStr">
        <is>
          <t>EGY.distn.bsh.dec.ove.median.9</t>
        </is>
      </c>
      <c r="B21" s="14" t="inlineStr">
        <is>
          <t>EGY</t>
        </is>
      </c>
      <c r="C21" s="14" t="n">
        <v>2017</v>
      </c>
      <c r="D21" s="14" t="inlineStr">
        <is>
          <t>Overall</t>
        </is>
      </c>
      <c r="E21" s="14" t="inlineStr">
        <is>
          <t>Deciles</t>
        </is>
      </c>
      <c r="F21" s="14" t="inlineStr">
        <is>
          <t>median</t>
        </is>
      </c>
      <c r="G21" s="14" t="n">
        <v>9</v>
      </c>
      <c r="H21" s="14" t="n">
        <v>1.221311927930016</v>
      </c>
      <c r="I21" s="14" t="n">
        <v>0</v>
      </c>
      <c r="J21" s="14" t="n">
        <v>3.31358219209041</v>
      </c>
      <c r="K21" s="14" t="n">
        <v>4.306166983934792</v>
      </c>
      <c r="L21" s="14" t="n">
        <v>0</v>
      </c>
      <c r="M21" s="14" t="n">
        <v>2.479385940358718</v>
      </c>
      <c r="N21" s="14" t="n">
        <v>0</v>
      </c>
      <c r="O21" s="14" t="n">
        <v>0</v>
      </c>
      <c r="P21" s="14" t="n">
        <v>0</v>
      </c>
      <c r="Q21" s="14" t="n">
        <v>3.302503607663672</v>
      </c>
      <c r="R21" s="14" t="n">
        <v>52.8326991099639</v>
      </c>
      <c r="S21" s="14" t="n">
        <v>0</v>
      </c>
      <c r="T21" s="14" t="n">
        <v>0</v>
      </c>
      <c r="U21" s="14" t="n">
        <v>3.232551550466922</v>
      </c>
      <c r="V21" s="14" t="n">
        <v>3.050801570659825</v>
      </c>
      <c r="W21" s="14" t="n">
        <v>0</v>
      </c>
      <c r="X21" s="14" t="n">
        <v>1.190499826565945</v>
      </c>
      <c r="Y21" s="14" t="n">
        <v>0</v>
      </c>
      <c r="Z21" s="14" t="n">
        <v>0</v>
      </c>
      <c r="AA21" s="14" t="n">
        <v>0</v>
      </c>
      <c r="AB21" s="14" t="n">
        <v>0.6290854856399054</v>
      </c>
      <c r="AC21" s="14" t="n">
        <v>6.58468886157943</v>
      </c>
      <c r="AD21" s="14" t="n">
        <v>5.07149048725825</v>
      </c>
      <c r="AE21" s="14" t="n">
        <v>0</v>
      </c>
      <c r="AF21" s="14" t="n">
        <v>3.952589618478888</v>
      </c>
      <c r="AG21" s="14" t="n">
        <v>3386.313484525941</v>
      </c>
      <c r="AH21" s="14" t="n">
        <v>7042.321538743624</v>
      </c>
      <c r="AI21" s="14" t="n">
        <v>7225.758282415337</v>
      </c>
      <c r="AJ21" s="14" t="n">
        <v>8272.139811939614</v>
      </c>
      <c r="AK21" s="14" t="n">
        <v>9139.945374703366</v>
      </c>
      <c r="AL21" s="14" t="n">
        <v>9230.727785843963</v>
      </c>
      <c r="AM21" s="14" t="n">
        <v>9534.288488492995</v>
      </c>
      <c r="AN21" s="14" t="n">
        <v>11554.706278057</v>
      </c>
      <c r="AO21" s="14" t="n">
        <v>10663.49425641447</v>
      </c>
      <c r="AP21" s="14" t="n">
        <v>13200.1498074323</v>
      </c>
      <c r="AQ21" s="14" t="n">
        <v>11995.83522982871</v>
      </c>
      <c r="AR21" s="14" t="n">
        <v>13047.23906336592</v>
      </c>
      <c r="AS21" s="14" t="n">
        <v>13225.5935531729</v>
      </c>
      <c r="AT21" s="14" t="n">
        <v>14563.89327310182</v>
      </c>
      <c r="AU21" s="14" t="n">
        <v>16843.28340437029</v>
      </c>
      <c r="AV21" s="14" t="n">
        <v>19771.15715166403</v>
      </c>
      <c r="AW21" s="14" t="n">
        <v>19616.32259314641</v>
      </c>
      <c r="AX21" s="14" t="n">
        <v>23398.58163667029</v>
      </c>
      <c r="AY21" s="14" t="n">
        <v>22100.3042917469</v>
      </c>
      <c r="AZ21" s="14" t="n">
        <v>69760.75654910335</v>
      </c>
      <c r="BA21" s="14" t="n">
        <v>18471.83776158655</v>
      </c>
      <c r="BB21" s="14" t="n">
        <v>10974043.28514574</v>
      </c>
      <c r="BC21" s="14" t="n">
        <v>0</v>
      </c>
      <c r="BD21" s="14" t="n">
        <v>0</v>
      </c>
      <c r="BE21" s="14" t="n">
        <v>0</v>
      </c>
      <c r="BF21" s="14" t="n">
        <v>0</v>
      </c>
      <c r="BG21" s="14" t="n">
        <v>0</v>
      </c>
      <c r="BH21" s="14" t="n">
        <v>0</v>
      </c>
      <c r="BI21" s="14" t="n">
        <v>0</v>
      </c>
      <c r="BJ21" s="14" t="n">
        <v>0</v>
      </c>
      <c r="BK21" s="14" t="n">
        <v>0</v>
      </c>
      <c r="BL21" s="14" t="n">
        <v>0</v>
      </c>
      <c r="BM21" s="14" t="n">
        <v>0</v>
      </c>
      <c r="BN21" s="14" t="n">
        <v>14.30150528865359</v>
      </c>
      <c r="BO21" s="14" t="n">
        <v>15.45124881720906</v>
      </c>
      <c r="BP21" s="14" t="n">
        <v>1.563464218814655</v>
      </c>
      <c r="BQ21" s="14" t="inlineStr">
        <is>
          <t>Overall|Deciles|median|9</t>
        </is>
      </c>
    </row>
    <row r="22">
      <c r="A22" s="14" t="inlineStr">
        <is>
          <t>EGY.distn.bsh.dec.ove.median.10</t>
        </is>
      </c>
      <c r="B22" s="14" t="inlineStr">
        <is>
          <t>EGY</t>
        </is>
      </c>
      <c r="C22" s="14" t="n">
        <v>2017</v>
      </c>
      <c r="D22" s="14" t="inlineStr">
        <is>
          <t>Overall</t>
        </is>
      </c>
      <c r="E22" s="14" t="inlineStr">
        <is>
          <t>Deciles</t>
        </is>
      </c>
      <c r="F22" s="14" t="inlineStr">
        <is>
          <t>median</t>
        </is>
      </c>
      <c r="G22" s="14" t="n">
        <v>10</v>
      </c>
      <c r="H22" s="14" t="n">
        <v>1.002069304112984</v>
      </c>
      <c r="I22" s="14" t="n">
        <v>0</v>
      </c>
      <c r="J22" s="14" t="n">
        <v>3.521469413323413</v>
      </c>
      <c r="K22" s="14" t="n">
        <v>3.365800041365215</v>
      </c>
      <c r="L22" s="14" t="n">
        <v>0</v>
      </c>
      <c r="M22" s="14" t="n">
        <v>2.657318174602826</v>
      </c>
      <c r="N22" s="14" t="n">
        <v>0</v>
      </c>
      <c r="O22" s="14" t="n">
        <v>0</v>
      </c>
      <c r="P22" s="14" t="n">
        <v>0</v>
      </c>
      <c r="Q22" s="14" t="n">
        <v>3.236847554284322</v>
      </c>
      <c r="R22" s="14" t="n">
        <v>53.12294558476597</v>
      </c>
      <c r="S22" s="14" t="n">
        <v>0</v>
      </c>
      <c r="T22" s="14" t="n">
        <v>0</v>
      </c>
      <c r="U22" s="14" t="n">
        <v>3.39426773579945</v>
      </c>
      <c r="V22" s="14" t="n">
        <v>4.106645028751548</v>
      </c>
      <c r="W22" s="14" t="n">
        <v>0</v>
      </c>
      <c r="X22" s="14" t="n">
        <v>0</v>
      </c>
      <c r="Y22" s="14" t="n">
        <v>0.366188086802964</v>
      </c>
      <c r="Z22" s="14" t="n">
        <v>0</v>
      </c>
      <c r="AA22" s="14" t="n">
        <v>0</v>
      </c>
      <c r="AB22" s="14" t="n">
        <v>0.4245566627814586</v>
      </c>
      <c r="AC22" s="14" t="n">
        <v>7.255391555690783</v>
      </c>
      <c r="AD22" s="14" t="n">
        <v>4.38744840211114</v>
      </c>
      <c r="AE22" s="14" t="n">
        <v>0</v>
      </c>
      <c r="AF22" s="14" t="n">
        <v>3.761437296651928</v>
      </c>
      <c r="AG22" s="14" t="n">
        <v>3167.029429250404</v>
      </c>
      <c r="AH22" s="14" t="n">
        <v>7479.033418254712</v>
      </c>
      <c r="AI22" s="14" t="n">
        <v>7716.764769241803</v>
      </c>
      <c r="AJ22" s="14" t="n">
        <v>8157.738866517049</v>
      </c>
      <c r="AK22" s="14" t="n">
        <v>9098.329880471872</v>
      </c>
      <c r="AL22" s="14" t="n">
        <v>9590.659579789924</v>
      </c>
      <c r="AM22" s="14" t="n">
        <v>9854.781601625029</v>
      </c>
      <c r="AN22" s="14" t="n">
        <v>11514.77447980523</v>
      </c>
      <c r="AO22" s="14" t="n">
        <v>11020.82770464094</v>
      </c>
      <c r="AP22" s="14" t="n">
        <v>11375.26130972182</v>
      </c>
      <c r="AQ22" s="14" t="n">
        <v>11570.17457136043</v>
      </c>
      <c r="AR22" s="14" t="n">
        <v>14691.08566636771</v>
      </c>
      <c r="AS22" s="14" t="n">
        <v>14515.24874688868</v>
      </c>
      <c r="AT22" s="14" t="n">
        <v>14718.8761466834</v>
      </c>
      <c r="AU22" s="14" t="n">
        <v>14801.59084397331</v>
      </c>
      <c r="AV22" s="14" t="n">
        <v>17949.34709189799</v>
      </c>
      <c r="AW22" s="14" t="n">
        <v>17499.20297249203</v>
      </c>
      <c r="AX22" s="14" t="n">
        <v>23840.03286057951</v>
      </c>
      <c r="AY22" s="14" t="n">
        <v>22271.06868131266</v>
      </c>
      <c r="AZ22" s="14" t="n">
        <v>63911.57124298413</v>
      </c>
      <c r="BA22" s="14" t="n">
        <v>26357.87263586037</v>
      </c>
      <c r="BB22" s="14" t="n">
        <v>10393575.3691731</v>
      </c>
      <c r="BC22" s="14" t="n">
        <v>0</v>
      </c>
      <c r="BD22" s="14" t="n">
        <v>0</v>
      </c>
      <c r="BE22" s="14" t="n">
        <v>0</v>
      </c>
      <c r="BF22" s="14" t="n">
        <v>0</v>
      </c>
      <c r="BG22" s="14" t="n">
        <v>0</v>
      </c>
      <c r="BH22" s="14" t="n">
        <v>0</v>
      </c>
      <c r="BI22" s="14" t="n">
        <v>0</v>
      </c>
      <c r="BJ22" s="14" t="n">
        <v>0</v>
      </c>
      <c r="BK22" s="14" t="n">
        <v>0</v>
      </c>
      <c r="BL22" s="14" t="n">
        <v>0</v>
      </c>
      <c r="BM22" s="14" t="n">
        <v>0</v>
      </c>
      <c r="BN22" s="14" t="n">
        <v>53.20097552586507</v>
      </c>
      <c r="BO22" s="14" t="n">
        <v>55.43077642953643</v>
      </c>
      <c r="BP22" s="14" t="n">
        <v>1.455569125545476</v>
      </c>
      <c r="BQ22" s="14" t="inlineStr">
        <is>
          <t>Overall|Deciles|median|10</t>
        </is>
      </c>
    </row>
    <row r="23">
      <c r="A23" s="14" t="inlineStr">
        <is>
          <t>EGY.distn.bsh.bkt.ove.median.9999</t>
        </is>
      </c>
      <c r="B23" s="14" t="inlineStr">
        <is>
          <t>EGY</t>
        </is>
      </c>
      <c r="C23" s="14" t="n">
        <v>2017</v>
      </c>
      <c r="D23" s="14" t="inlineStr">
        <is>
          <t>Overall</t>
        </is>
      </c>
      <c r="E23" s="14" t="inlineStr">
        <is>
          <t>Basket</t>
        </is>
      </c>
      <c r="F23" s="14" t="inlineStr">
        <is>
          <t>median</t>
        </is>
      </c>
      <c r="G23" s="14" t="n">
        <v>9999</v>
      </c>
      <c r="H23" s="14" t="n">
        <v>1.247555031011599</v>
      </c>
      <c r="I23" s="14" t="n">
        <v>0</v>
      </c>
      <c r="J23" s="14" t="n">
        <v>3.437105295925039</v>
      </c>
      <c r="K23" s="14" t="n">
        <v>4.903817988401169</v>
      </c>
      <c r="L23" s="14" t="n">
        <v>0</v>
      </c>
      <c r="M23" s="14" t="n">
        <v>2.305287819268919</v>
      </c>
      <c r="N23" s="14" t="n">
        <v>0</v>
      </c>
      <c r="O23" s="14" t="n">
        <v>1.041229806940814</v>
      </c>
      <c r="P23" s="14" t="n">
        <v>0</v>
      </c>
      <c r="Q23" s="14" t="n">
        <v>3.099639251076149</v>
      </c>
      <c r="R23" s="14" t="n">
        <v>53.09439533619719</v>
      </c>
      <c r="S23" s="14" t="n">
        <v>0</v>
      </c>
      <c r="T23" s="14" t="n">
        <v>0</v>
      </c>
      <c r="U23" s="14" t="n">
        <v>2.547250195917848</v>
      </c>
      <c r="V23" s="14" t="n">
        <v>2.967881473768923</v>
      </c>
      <c r="W23" s="14" t="n">
        <v>0</v>
      </c>
      <c r="X23" s="14" t="n">
        <v>1.859314183321209</v>
      </c>
      <c r="Y23" s="14" t="n">
        <v>0</v>
      </c>
      <c r="Z23" s="14" t="n">
        <v>0</v>
      </c>
      <c r="AA23" s="14" t="n">
        <v>0</v>
      </c>
      <c r="AB23" s="14" t="n">
        <v>1.364621171263054</v>
      </c>
      <c r="AC23" s="14" t="n">
        <v>4.480992790666702</v>
      </c>
      <c r="AD23" s="14" t="n">
        <v>5.39809672828373</v>
      </c>
      <c r="AE23" s="14" t="n">
        <v>0</v>
      </c>
      <c r="AF23" s="14" t="n">
        <v>3.92266187368897</v>
      </c>
      <c r="AG23" s="14" t="n">
        <v>3047.660396354201</v>
      </c>
      <c r="AH23" s="14" t="n">
        <v>7528.817913843905</v>
      </c>
      <c r="AI23" s="14" t="n">
        <v>7388.56535049584</v>
      </c>
      <c r="AJ23" s="14" t="n">
        <v>8441.515495736066</v>
      </c>
      <c r="AK23" s="14" t="n">
        <v>8466.068838807687</v>
      </c>
      <c r="AL23" s="14" t="n">
        <v>9849.105779050404</v>
      </c>
      <c r="AM23" s="14" t="n">
        <v>10512.2248389281</v>
      </c>
      <c r="AN23" s="14" t="n">
        <v>10152.729441256</v>
      </c>
      <c r="AO23" s="14" t="n">
        <v>10477.80176996836</v>
      </c>
      <c r="AP23" s="14" t="n">
        <v>13180.63853817066</v>
      </c>
      <c r="AQ23" s="14" t="n">
        <v>12787.43957509855</v>
      </c>
      <c r="AR23" s="14" t="n">
        <v>14433.68029279237</v>
      </c>
      <c r="AS23" s="14" t="n">
        <v>13944.80779585241</v>
      </c>
      <c r="AT23" s="14" t="n">
        <v>16360.21859300696</v>
      </c>
      <c r="AU23" s="14" t="n">
        <v>15587.14056181741</v>
      </c>
      <c r="AV23" s="14" t="n">
        <v>19804.02068694555</v>
      </c>
      <c r="AW23" s="14" t="n">
        <v>17208.38081706238</v>
      </c>
      <c r="AX23" s="14" t="n">
        <v>21969.48715340117</v>
      </c>
      <c r="AY23" s="14" t="n">
        <v>22729.34447474707</v>
      </c>
      <c r="AZ23" s="14" t="n">
        <v>68003.03045553414</v>
      </c>
      <c r="BA23" s="14" t="n">
        <v>11291.46234645347</v>
      </c>
      <c r="BB23" s="14" t="n">
        <v>108629919.9715804</v>
      </c>
      <c r="BC23" s="14" t="n">
        <v>0</v>
      </c>
      <c r="BD23" s="14" t="n">
        <v>0</v>
      </c>
      <c r="BE23" s="14" t="n">
        <v>0</v>
      </c>
      <c r="BF23" s="14" t="n">
        <v>0</v>
      </c>
      <c r="BG23" s="14" t="n">
        <v>0</v>
      </c>
      <c r="BH23" s="14" t="n">
        <v>0</v>
      </c>
      <c r="BI23" s="14" t="n">
        <v>0</v>
      </c>
      <c r="BJ23" s="14" t="n">
        <v>0</v>
      </c>
      <c r="BK23" s="14" t="n">
        <v>0.174808271279537</v>
      </c>
      <c r="BL23" s="14" t="n">
        <v>2.903402266386133</v>
      </c>
      <c r="BM23" s="14" t="n">
        <v>35.57721630347627</v>
      </c>
      <c r="BN23" s="14" t="n">
        <v>0</v>
      </c>
      <c r="BO23" s="14" t="n">
        <v>0</v>
      </c>
      <c r="BP23" s="14" t="n">
        <v>0</v>
      </c>
      <c r="BQ23" s="14" t="inlineStr">
        <is>
          <t>Overall|Basket|median|9999</t>
        </is>
      </c>
    </row>
    <row r="24">
      <c r="A24" s="14" t="inlineStr">
        <is>
          <t>EGY.distn.bsh.dec.ove.p25.1</t>
        </is>
      </c>
      <c r="B24" s="14" t="inlineStr">
        <is>
          <t>EGY</t>
        </is>
      </c>
      <c r="C24" s="14" t="n">
        <v>2017</v>
      </c>
      <c r="D24" s="14" t="inlineStr">
        <is>
          <t>Overall</t>
        </is>
      </c>
      <c r="E24" s="14" t="inlineStr">
        <is>
          <t>Deciles</t>
        </is>
      </c>
      <c r="F24" s="14" t="inlineStr">
        <is>
          <t>p25</t>
        </is>
      </c>
      <c r="G24" s="14" t="n">
        <v>1</v>
      </c>
      <c r="H24" s="14" t="n">
        <v>0.7512100659060575</v>
      </c>
      <c r="I24" s="14" t="n">
        <v>0</v>
      </c>
      <c r="J24" s="14" t="n">
        <v>2.898112876457486</v>
      </c>
      <c r="K24" s="14" t="n">
        <v>2.860064442496894</v>
      </c>
      <c r="L24" s="14" t="n">
        <v>0</v>
      </c>
      <c r="M24" s="14" t="n">
        <v>1.193265021443316</v>
      </c>
      <c r="N24" s="14" t="n">
        <v>0</v>
      </c>
      <c r="O24" s="14" t="n">
        <v>0.4718684524935639</v>
      </c>
      <c r="P24" s="14" t="n">
        <v>0</v>
      </c>
      <c r="Q24" s="14" t="n">
        <v>2.233852503457269</v>
      </c>
      <c r="R24" s="14" t="n">
        <v>48.57165299206942</v>
      </c>
      <c r="S24" s="14" t="n">
        <v>0</v>
      </c>
      <c r="T24" s="14" t="n">
        <v>0</v>
      </c>
      <c r="U24" s="14" t="n">
        <v>0.56392054905942</v>
      </c>
      <c r="V24" s="14" t="n">
        <v>1.811965306092325</v>
      </c>
      <c r="W24" s="14" t="n">
        <v>0</v>
      </c>
      <c r="X24" s="14" t="n">
        <v>1.954911690587537</v>
      </c>
      <c r="Y24" s="14" t="n">
        <v>0</v>
      </c>
      <c r="Z24" s="14" t="n">
        <v>0</v>
      </c>
      <c r="AA24" s="14" t="n">
        <v>0</v>
      </c>
      <c r="AB24" s="14" t="n">
        <v>1.053610369525885</v>
      </c>
      <c r="AC24" s="14" t="n">
        <v>1.509948468536959</v>
      </c>
      <c r="AD24" s="14" t="n">
        <v>3.664586418034939</v>
      </c>
      <c r="AE24" s="14" t="n">
        <v>0</v>
      </c>
      <c r="AF24" s="14" t="n">
        <v>2.074408489947272</v>
      </c>
      <c r="AG24" s="14" t="n">
        <v>3320.743708996848</v>
      </c>
      <c r="AH24" s="14" t="n">
        <v>6794.831594654634</v>
      </c>
      <c r="AI24" s="14" t="n">
        <v>7504.994160517528</v>
      </c>
      <c r="AJ24" s="14" t="n">
        <v>9106.147723814354</v>
      </c>
      <c r="AK24" s="14" t="n">
        <v>8964.628526556122</v>
      </c>
      <c r="AL24" s="14" t="n">
        <v>9642.51497152392</v>
      </c>
      <c r="AM24" s="14" t="n">
        <v>10404.90565524664</v>
      </c>
      <c r="AN24" s="14" t="n">
        <v>10516.50754904659</v>
      </c>
      <c r="AO24" s="14" t="n">
        <v>10444.1213599852</v>
      </c>
      <c r="AP24" s="14" t="n">
        <v>13145.92019033602</v>
      </c>
      <c r="AQ24" s="14" t="n">
        <v>12240.34500057016</v>
      </c>
      <c r="AR24" s="14" t="n">
        <v>14197.15862088051</v>
      </c>
      <c r="AS24" s="14" t="n">
        <v>14472.86871680306</v>
      </c>
      <c r="AT24" s="14" t="n">
        <v>16824.25514630108</v>
      </c>
      <c r="AU24" s="14" t="n">
        <v>15286.06084592547</v>
      </c>
      <c r="AV24" s="14" t="n">
        <v>18697.62646449658</v>
      </c>
      <c r="AW24" s="14" t="n">
        <v>18702.73895789949</v>
      </c>
      <c r="AX24" s="14" t="n">
        <v>24469.67438817108</v>
      </c>
      <c r="AY24" s="14" t="n">
        <v>22491.05863738358</v>
      </c>
      <c r="AZ24" s="14" t="n">
        <v>66264.19466895421</v>
      </c>
      <c r="BA24" s="14" t="n">
        <v>4850.726125784419</v>
      </c>
      <c r="BB24" s="14" t="n">
        <v>11133180.69319473</v>
      </c>
      <c r="BC24" s="14" t="n">
        <v>0</v>
      </c>
      <c r="BD24" s="14" t="n">
        <v>0</v>
      </c>
      <c r="BE24" s="14" t="n">
        <v>109.3803183668086</v>
      </c>
      <c r="BF24" s="14" t="n">
        <v>27.82926307662431</v>
      </c>
      <c r="BG24" s="14" t="n">
        <v>36.15908905531312</v>
      </c>
      <c r="BH24" s="14" t="n">
        <v>83.13249895998459</v>
      </c>
      <c r="BI24" s="14" t="n">
        <v>110.5165139821546</v>
      </c>
      <c r="BJ24" s="14" t="n">
        <v>77.42810430687163</v>
      </c>
      <c r="BK24" s="14" t="n">
        <v>0.1702384060142103</v>
      </c>
      <c r="BL24" s="14" t="n">
        <v>3.077469551997477</v>
      </c>
      <c r="BM24" s="14" t="n">
        <v>11.17938262330429</v>
      </c>
      <c r="BN24" s="14" t="n">
        <v>0</v>
      </c>
      <c r="BO24" s="14" t="n">
        <v>0</v>
      </c>
      <c r="BP24" s="14" t="n">
        <v>0</v>
      </c>
      <c r="BQ24" s="14" t="inlineStr">
        <is>
          <t>Overall|Deciles|p25|1</t>
        </is>
      </c>
    </row>
    <row r="25">
      <c r="A25" s="14" t="inlineStr">
        <is>
          <t>EGY.distn.bsh.dec.ove.p25.2</t>
        </is>
      </c>
      <c r="B25" s="14" t="inlineStr">
        <is>
          <t>EGY</t>
        </is>
      </c>
      <c r="C25" s="14" t="n">
        <v>2017</v>
      </c>
      <c r="D25" s="14" t="inlineStr">
        <is>
          <t>Overall</t>
        </is>
      </c>
      <c r="E25" s="14" t="inlineStr">
        <is>
          <t>Deciles</t>
        </is>
      </c>
      <c r="F25" s="14" t="inlineStr">
        <is>
          <t>p25</t>
        </is>
      </c>
      <c r="G25" s="14" t="n">
        <v>2</v>
      </c>
      <c r="H25" s="14" t="n">
        <v>0.6828678814115103</v>
      </c>
      <c r="I25" s="14" t="n">
        <v>0</v>
      </c>
      <c r="J25" s="14" t="n">
        <v>3.037774930528917</v>
      </c>
      <c r="K25" s="14" t="n">
        <v>3.390021677239634</v>
      </c>
      <c r="L25" s="14" t="n">
        <v>0</v>
      </c>
      <c r="M25" s="14" t="n">
        <v>1.335838354155191</v>
      </c>
      <c r="N25" s="14" t="n">
        <v>0</v>
      </c>
      <c r="O25" s="14" t="n">
        <v>0.5002902400482078</v>
      </c>
      <c r="P25" s="14" t="n">
        <v>0</v>
      </c>
      <c r="Q25" s="14" t="n">
        <v>2.255800645506225</v>
      </c>
      <c r="R25" s="14" t="n">
        <v>49.07832256904478</v>
      </c>
      <c r="S25" s="14" t="n">
        <v>0</v>
      </c>
      <c r="T25" s="14" t="n">
        <v>0</v>
      </c>
      <c r="U25" s="14" t="n">
        <v>0.6532248527557772</v>
      </c>
      <c r="V25" s="14" t="n">
        <v>1.945149220130808</v>
      </c>
      <c r="W25" s="14" t="n">
        <v>0</v>
      </c>
      <c r="X25" s="14" t="n">
        <v>1.65111594226166</v>
      </c>
      <c r="Y25" s="14" t="n">
        <v>0</v>
      </c>
      <c r="Z25" s="14" t="n">
        <v>0</v>
      </c>
      <c r="AA25" s="14" t="n">
        <v>0</v>
      </c>
      <c r="AB25" s="14" t="n">
        <v>0.9899146358807793</v>
      </c>
      <c r="AC25" s="14" t="n">
        <v>1.545345471318949</v>
      </c>
      <c r="AD25" s="14" t="n">
        <v>3.848665197835779</v>
      </c>
      <c r="AE25" s="14" t="n">
        <v>0</v>
      </c>
      <c r="AF25" s="14" t="n">
        <v>2.159101991068854</v>
      </c>
      <c r="AG25" s="14" t="n">
        <v>3313.670116402873</v>
      </c>
      <c r="AH25" s="14" t="n">
        <v>7539.555071866173</v>
      </c>
      <c r="AI25" s="14" t="n">
        <v>6983.677251503384</v>
      </c>
      <c r="AJ25" s="14" t="n">
        <v>8259.079878536455</v>
      </c>
      <c r="AK25" s="14" t="n">
        <v>8979.586988417914</v>
      </c>
      <c r="AL25" s="14" t="n">
        <v>9424.018272619507</v>
      </c>
      <c r="AM25" s="14" t="n">
        <v>9995.072757637632</v>
      </c>
      <c r="AN25" s="14" t="n">
        <v>11103.25607339693</v>
      </c>
      <c r="AO25" s="14" t="n">
        <v>10981.19087380982</v>
      </c>
      <c r="AP25" s="14" t="n">
        <v>12988.08702460847</v>
      </c>
      <c r="AQ25" s="14" t="n">
        <v>13056.57643620041</v>
      </c>
      <c r="AR25" s="14" t="n">
        <v>14630.36782407218</v>
      </c>
      <c r="AS25" s="14" t="n">
        <v>14814.68255786737</v>
      </c>
      <c r="AT25" s="14" t="n">
        <v>16416.67916321094</v>
      </c>
      <c r="AU25" s="14" t="n">
        <v>15442.942150494</v>
      </c>
      <c r="AV25" s="14" t="n">
        <v>17789.7436542774</v>
      </c>
      <c r="AW25" s="14" t="n">
        <v>18659.42942811228</v>
      </c>
      <c r="AX25" s="14" t="n">
        <v>22489.44583517234</v>
      </c>
      <c r="AY25" s="14" t="n">
        <v>22075.97532657857</v>
      </c>
      <c r="AZ25" s="14" t="n">
        <v>63746.06901097512</v>
      </c>
      <c r="BA25" s="14" t="n">
        <v>6620.110382223594</v>
      </c>
      <c r="BB25" s="14" t="n">
        <v>10821827.1809252</v>
      </c>
      <c r="BC25" s="14" t="n">
        <v>0</v>
      </c>
      <c r="BD25" s="14" t="n">
        <v>0</v>
      </c>
      <c r="BE25" s="14" t="n">
        <v>105.025666193785</v>
      </c>
      <c r="BF25" s="14" t="n">
        <v>45.26543775759772</v>
      </c>
      <c r="BG25" s="14" t="n">
        <v>64.15506969016961</v>
      </c>
      <c r="BH25" s="14" t="n">
        <v>101.3934489716064</v>
      </c>
      <c r="BI25" s="14" t="n">
        <v>106.6655564765264</v>
      </c>
      <c r="BJ25" s="14" t="n">
        <v>85.37762728342305</v>
      </c>
      <c r="BK25" s="14" t="n">
        <v>0.009921475865757385</v>
      </c>
      <c r="BL25" s="14" t="n">
        <v>0.01192117512299283</v>
      </c>
      <c r="BM25" s="14" t="n">
        <v>10.05896255486085</v>
      </c>
      <c r="BN25" s="14" t="n">
        <v>0</v>
      </c>
      <c r="BO25" s="14" t="n">
        <v>0</v>
      </c>
      <c r="BP25" s="14" t="n">
        <v>0</v>
      </c>
      <c r="BQ25" s="14" t="inlineStr">
        <is>
          <t>Overall|Deciles|p25|2</t>
        </is>
      </c>
    </row>
    <row r="26">
      <c r="A26" s="14" t="inlineStr">
        <is>
          <t>EGY.distn.bsh.dec.ove.p25.3</t>
        </is>
      </c>
      <c r="B26" s="14" t="inlineStr">
        <is>
          <t>EGY</t>
        </is>
      </c>
      <c r="C26" s="14" t="n">
        <v>2017</v>
      </c>
      <c r="D26" s="14" t="inlineStr">
        <is>
          <t>Overall</t>
        </is>
      </c>
      <c r="E26" s="14" t="inlineStr">
        <is>
          <t>Deciles</t>
        </is>
      </c>
      <c r="F26" s="14" t="inlineStr">
        <is>
          <t>p25</t>
        </is>
      </c>
      <c r="G26" s="14" t="n">
        <v>3</v>
      </c>
      <c r="H26" s="14" t="n">
        <v>0.7750565001132017</v>
      </c>
      <c r="I26" s="14" t="n">
        <v>0</v>
      </c>
      <c r="J26" s="14" t="n">
        <v>2.747507025471164</v>
      </c>
      <c r="K26" s="14" t="n">
        <v>3.3363360301247</v>
      </c>
      <c r="L26" s="14" t="n">
        <v>0</v>
      </c>
      <c r="M26" s="14" t="n">
        <v>1.307758362532074</v>
      </c>
      <c r="N26" s="14" t="n">
        <v>0</v>
      </c>
      <c r="O26" s="14" t="n">
        <v>0.408612610494618</v>
      </c>
      <c r="P26" s="14" t="n">
        <v>0</v>
      </c>
      <c r="Q26" s="14" t="n">
        <v>2.243939493718778</v>
      </c>
      <c r="R26" s="14" t="n">
        <v>52.67864706398354</v>
      </c>
      <c r="S26" s="14" t="n">
        <v>0</v>
      </c>
      <c r="T26" s="14" t="n">
        <v>0</v>
      </c>
      <c r="U26" s="14" t="n">
        <v>0.8405711050749578</v>
      </c>
      <c r="V26" s="14" t="n">
        <v>1.86479456020635</v>
      </c>
      <c r="W26" s="14" t="n">
        <v>0</v>
      </c>
      <c r="X26" s="14" t="n">
        <v>1.328605304957218</v>
      </c>
      <c r="Y26" s="14" t="n">
        <v>0</v>
      </c>
      <c r="Z26" s="14" t="n">
        <v>0</v>
      </c>
      <c r="AA26" s="14" t="n">
        <v>0</v>
      </c>
      <c r="AB26" s="14" t="n">
        <v>0.9526054148546236</v>
      </c>
      <c r="AC26" s="14" t="n">
        <v>1.654309483626873</v>
      </c>
      <c r="AD26" s="14" t="n">
        <v>4.429445248812375</v>
      </c>
      <c r="AE26" s="14" t="n">
        <v>0</v>
      </c>
      <c r="AF26" s="14" t="n">
        <v>2.224758340499932</v>
      </c>
      <c r="AG26" s="14" t="n">
        <v>3045.694641067761</v>
      </c>
      <c r="AH26" s="14" t="n">
        <v>6953.323318617009</v>
      </c>
      <c r="AI26" s="14" t="n">
        <v>6740.521990850268</v>
      </c>
      <c r="AJ26" s="14" t="n">
        <v>8534.089498253297</v>
      </c>
      <c r="AK26" s="14" t="n">
        <v>8183.37605582854</v>
      </c>
      <c r="AL26" s="14" t="n">
        <v>10504.63712137841</v>
      </c>
      <c r="AM26" s="14" t="n">
        <v>9334.907026779152</v>
      </c>
      <c r="AN26" s="14" t="n">
        <v>11721.21994695554</v>
      </c>
      <c r="AO26" s="14" t="n">
        <v>10857.22394070978</v>
      </c>
      <c r="AP26" s="14" t="n">
        <v>11525.86142033434</v>
      </c>
      <c r="AQ26" s="14" t="n">
        <v>12129.76041338751</v>
      </c>
      <c r="AR26" s="14" t="n">
        <v>12865.3843372405</v>
      </c>
      <c r="AS26" s="14" t="n">
        <v>14786.28358963533</v>
      </c>
      <c r="AT26" s="14" t="n">
        <v>14900.31772389287</v>
      </c>
      <c r="AU26" s="14" t="n">
        <v>15473.82571692169</v>
      </c>
      <c r="AV26" s="14" t="n">
        <v>19060.81907733736</v>
      </c>
      <c r="AW26" s="14" t="n">
        <v>17659.37262928707</v>
      </c>
      <c r="AX26" s="14" t="n">
        <v>22497.64006024733</v>
      </c>
      <c r="AY26" s="14" t="n">
        <v>23112.711005128</v>
      </c>
      <c r="AZ26" s="14" t="n">
        <v>61839.04359739989</v>
      </c>
      <c r="BA26" s="14" t="n">
        <v>7729.057146103582</v>
      </c>
      <c r="BB26" s="14" t="n">
        <v>11205096.26674112</v>
      </c>
      <c r="BC26" s="14" t="n">
        <v>0</v>
      </c>
      <c r="BD26" s="14" t="n">
        <v>0</v>
      </c>
      <c r="BE26" s="14" t="n">
        <v>108.077869156325</v>
      </c>
      <c r="BF26" s="14" t="n">
        <v>56.0666201833856</v>
      </c>
      <c r="BG26" s="14" t="n">
        <v>72.48393307091973</v>
      </c>
      <c r="BH26" s="14" t="n">
        <v>108.5655053266812</v>
      </c>
      <c r="BI26" s="14" t="n">
        <v>104.7832625040101</v>
      </c>
      <c r="BJ26" s="14" t="n">
        <v>92.15775751428839</v>
      </c>
      <c r="BK26" s="14" t="n">
        <v>0</v>
      </c>
      <c r="BL26" s="14" t="n">
        <v>0.006582053425391077</v>
      </c>
      <c r="BM26" s="14" t="n">
        <v>10.77877288829915</v>
      </c>
      <c r="BN26" s="14" t="n">
        <v>0</v>
      </c>
      <c r="BO26" s="14" t="n">
        <v>0</v>
      </c>
      <c r="BP26" s="14" t="n">
        <v>0</v>
      </c>
      <c r="BQ26" s="14" t="inlineStr">
        <is>
          <t>Overall|Deciles|p25|3</t>
        </is>
      </c>
    </row>
    <row r="27">
      <c r="A27" s="14" t="inlineStr">
        <is>
          <t>EGY.distn.bsh.dec.ove.p25.4</t>
        </is>
      </c>
      <c r="B27" s="14" t="inlineStr">
        <is>
          <t>EGY</t>
        </is>
      </c>
      <c r="C27" s="14" t="n">
        <v>2017</v>
      </c>
      <c r="D27" s="14" t="inlineStr">
        <is>
          <t>Overall</t>
        </is>
      </c>
      <c r="E27" s="14" t="inlineStr">
        <is>
          <t>Deciles</t>
        </is>
      </c>
      <c r="F27" s="14" t="inlineStr">
        <is>
          <t>p25</t>
        </is>
      </c>
      <c r="G27" s="14" t="n">
        <v>4</v>
      </c>
      <c r="H27" s="14" t="n">
        <v>0.8018510989819131</v>
      </c>
      <c r="I27" s="14" t="n">
        <v>0</v>
      </c>
      <c r="J27" s="14" t="n">
        <v>2.972199091052234</v>
      </c>
      <c r="K27" s="14" t="n">
        <v>3.613588463966967</v>
      </c>
      <c r="L27" s="14" t="n">
        <v>0</v>
      </c>
      <c r="M27" s="14" t="n">
        <v>1.330187021828585</v>
      </c>
      <c r="N27" s="14" t="n">
        <v>0</v>
      </c>
      <c r="O27" s="14" t="n">
        <v>0</v>
      </c>
      <c r="P27" s="14" t="n">
        <v>0</v>
      </c>
      <c r="Q27" s="14" t="n">
        <v>2.117346310479923</v>
      </c>
      <c r="R27" s="14" t="n">
        <v>51.69735885445478</v>
      </c>
      <c r="S27" s="14" t="n">
        <v>0</v>
      </c>
      <c r="T27" s="14" t="n">
        <v>0</v>
      </c>
      <c r="U27" s="14" t="n">
        <v>0.9062660950928848</v>
      </c>
      <c r="V27" s="14" t="n">
        <v>1.756364668745281</v>
      </c>
      <c r="W27" s="14" t="n">
        <v>0</v>
      </c>
      <c r="X27" s="14" t="n">
        <v>1.053400152491202</v>
      </c>
      <c r="Y27" s="14" t="n">
        <v>0</v>
      </c>
      <c r="Z27" s="14" t="n">
        <v>0</v>
      </c>
      <c r="AA27" s="14" t="n">
        <v>0</v>
      </c>
      <c r="AB27" s="14" t="n">
        <v>0.8005707074835954</v>
      </c>
      <c r="AC27" s="14" t="n">
        <v>1.649747532005547</v>
      </c>
      <c r="AD27" s="14" t="n">
        <v>4.214357441362473</v>
      </c>
      <c r="AE27" s="14" t="n">
        <v>0</v>
      </c>
      <c r="AF27" s="14" t="n">
        <v>2.342526160595882</v>
      </c>
      <c r="AG27" s="14" t="n">
        <v>3349.160970383159</v>
      </c>
      <c r="AH27" s="14" t="n">
        <v>7004.704374254834</v>
      </c>
      <c r="AI27" s="14" t="n">
        <v>7383.573108820554</v>
      </c>
      <c r="AJ27" s="14" t="n">
        <v>7975.65212234049</v>
      </c>
      <c r="AK27" s="14" t="n">
        <v>7944.307018112812</v>
      </c>
      <c r="AL27" s="14" t="n">
        <v>9615.320246914489</v>
      </c>
      <c r="AM27" s="14" t="n">
        <v>9599.263938410359</v>
      </c>
      <c r="AN27" s="14" t="n">
        <v>11348.92272844556</v>
      </c>
      <c r="AO27" s="14" t="n">
        <v>10836.02375325503</v>
      </c>
      <c r="AP27" s="14" t="n">
        <v>11928.92144677392</v>
      </c>
      <c r="AQ27" s="14" t="n">
        <v>12527.71088288302</v>
      </c>
      <c r="AR27" s="14" t="n">
        <v>13757.93949779991</v>
      </c>
      <c r="AS27" s="14" t="n">
        <v>13562.70230824332</v>
      </c>
      <c r="AT27" s="14" t="n">
        <v>16909.27028693909</v>
      </c>
      <c r="AU27" s="14" t="n">
        <v>16217.51029226537</v>
      </c>
      <c r="AV27" s="14" t="n">
        <v>19589.08298294411</v>
      </c>
      <c r="AW27" s="14" t="n">
        <v>18339.13450231285</v>
      </c>
      <c r="AX27" s="14" t="n">
        <v>24989.04801258478</v>
      </c>
      <c r="AY27" s="14" t="n">
        <v>24797.65475223771</v>
      </c>
      <c r="AZ27" s="14" t="n">
        <v>63349.07060859669</v>
      </c>
      <c r="BA27" s="14" t="n">
        <v>8381.317403807476</v>
      </c>
      <c r="BB27" s="14" t="n">
        <v>9792105.28774306</v>
      </c>
      <c r="BC27" s="14" t="n">
        <v>0</v>
      </c>
      <c r="BD27" s="14" t="n">
        <v>0</v>
      </c>
      <c r="BE27" s="14" t="n">
        <v>110.9507419737678</v>
      </c>
      <c r="BF27" s="14" t="n">
        <v>55.59762345810086</v>
      </c>
      <c r="BG27" s="14" t="n">
        <v>75.988297610505</v>
      </c>
      <c r="BH27" s="14" t="n">
        <v>95.49835744984169</v>
      </c>
      <c r="BI27" s="14" t="n">
        <v>115.3741474770647</v>
      </c>
      <c r="BJ27" s="14" t="n">
        <v>90.91226854190735</v>
      </c>
      <c r="BK27" s="14" t="n">
        <v>0</v>
      </c>
      <c r="BL27" s="14" t="n">
        <v>0</v>
      </c>
      <c r="BM27" s="14" t="n">
        <v>4.776203217465761</v>
      </c>
      <c r="BN27" s="14" t="n">
        <v>0</v>
      </c>
      <c r="BO27" s="14" t="n">
        <v>0</v>
      </c>
      <c r="BP27" s="14" t="n">
        <v>0</v>
      </c>
      <c r="BQ27" s="14" t="inlineStr">
        <is>
          <t>Overall|Deciles|p25|4</t>
        </is>
      </c>
    </row>
    <row r="28">
      <c r="A28" s="14" t="inlineStr">
        <is>
          <t>EGY.distn.bsh.dec.ove.p25.5</t>
        </is>
      </c>
      <c r="B28" s="14" t="inlineStr">
        <is>
          <t>EGY</t>
        </is>
      </c>
      <c r="C28" s="14" t="n">
        <v>2017</v>
      </c>
      <c r="D28" s="14" t="inlineStr">
        <is>
          <t>Overall</t>
        </is>
      </c>
      <c r="E28" s="14" t="inlineStr">
        <is>
          <t>Deciles</t>
        </is>
      </c>
      <c r="F28" s="14" t="inlineStr">
        <is>
          <t>p25</t>
        </is>
      </c>
      <c r="G28" s="14" t="n">
        <v>5</v>
      </c>
      <c r="H28" s="14" t="n">
        <v>0.7230801168312712</v>
      </c>
      <c r="I28" s="14" t="n">
        <v>0</v>
      </c>
      <c r="J28" s="14" t="n">
        <v>2.693696628774044</v>
      </c>
      <c r="K28" s="14" t="n">
        <v>3.637371652726018</v>
      </c>
      <c r="L28" s="14" t="n">
        <v>0</v>
      </c>
      <c r="M28" s="14" t="n">
        <v>1.401080596945706</v>
      </c>
      <c r="N28" s="14" t="n">
        <v>0</v>
      </c>
      <c r="O28" s="14" t="n">
        <v>0</v>
      </c>
      <c r="P28" s="14" t="n">
        <v>0</v>
      </c>
      <c r="Q28" s="14" t="n">
        <v>2.159170482936306</v>
      </c>
      <c r="R28" s="14" t="n">
        <v>50.28717430489799</v>
      </c>
      <c r="S28" s="14" t="n">
        <v>0</v>
      </c>
      <c r="T28" s="14" t="n">
        <v>0</v>
      </c>
      <c r="U28" s="14" t="n">
        <v>0.9492514255224098</v>
      </c>
      <c r="V28" s="14" t="n">
        <v>2.034737757852783</v>
      </c>
      <c r="W28" s="14" t="n">
        <v>0</v>
      </c>
      <c r="X28" s="14" t="n">
        <v>0.0872014508483215</v>
      </c>
      <c r="Y28" s="14" t="n">
        <v>0</v>
      </c>
      <c r="Z28" s="14" t="n">
        <v>0</v>
      </c>
      <c r="AA28" s="14" t="n">
        <v>0</v>
      </c>
      <c r="AB28" s="14" t="n">
        <v>0.7202388712154602</v>
      </c>
      <c r="AC28" s="14" t="n">
        <v>1.839519852027685</v>
      </c>
      <c r="AD28" s="14" t="n">
        <v>4.033645803270479</v>
      </c>
      <c r="AE28" s="14" t="n">
        <v>0</v>
      </c>
      <c r="AF28" s="14" t="n">
        <v>2.133763621105174</v>
      </c>
      <c r="AG28" s="14" t="n">
        <v>3270.062477567422</v>
      </c>
      <c r="AH28" s="14" t="n">
        <v>7667.13505680856</v>
      </c>
      <c r="AI28" s="14" t="n">
        <v>7306.85341284573</v>
      </c>
      <c r="AJ28" s="14" t="n">
        <v>8573.292856822873</v>
      </c>
      <c r="AK28" s="14" t="n">
        <v>9171.850254027424</v>
      </c>
      <c r="AL28" s="14" t="n">
        <v>10457.52489844582</v>
      </c>
      <c r="AM28" s="14" t="n">
        <v>10255.20377612942</v>
      </c>
      <c r="AN28" s="14" t="n">
        <v>11280.85357564356</v>
      </c>
      <c r="AO28" s="14" t="n">
        <v>10477.23062194189</v>
      </c>
      <c r="AP28" s="14" t="n">
        <v>12173.32506146257</v>
      </c>
      <c r="AQ28" s="14" t="n">
        <v>13198.56153058923</v>
      </c>
      <c r="AR28" s="14" t="n">
        <v>14278.99848268814</v>
      </c>
      <c r="AS28" s="14" t="n">
        <v>13090.40045863616</v>
      </c>
      <c r="AT28" s="14" t="n">
        <v>16215.31537711793</v>
      </c>
      <c r="AU28" s="14" t="n">
        <v>16302.38867736255</v>
      </c>
      <c r="AV28" s="14" t="n">
        <v>18772.7365877367</v>
      </c>
      <c r="AW28" s="14" t="n">
        <v>17676.42792518948</v>
      </c>
      <c r="AX28" s="14" t="n">
        <v>22883.68498494136</v>
      </c>
      <c r="AY28" s="14" t="n">
        <v>22648.0573339701</v>
      </c>
      <c r="AZ28" s="14" t="n">
        <v>65254.34773659395</v>
      </c>
      <c r="BA28" s="14" t="n">
        <v>10600.87070455891</v>
      </c>
      <c r="BB28" s="14" t="n">
        <v>10724207.89813753</v>
      </c>
      <c r="BC28" s="14" t="n">
        <v>0</v>
      </c>
      <c r="BD28" s="14" t="n">
        <v>0</v>
      </c>
      <c r="BE28" s="14" t="n">
        <v>106.407034861756</v>
      </c>
      <c r="BF28" s="14" t="n">
        <v>59.82118068904494</v>
      </c>
      <c r="BG28" s="14" t="n">
        <v>77.31702859253517</v>
      </c>
      <c r="BH28" s="14" t="n">
        <v>104.4067901123202</v>
      </c>
      <c r="BI28" s="14" t="n">
        <v>110.9904775732646</v>
      </c>
      <c r="BJ28" s="14" t="n">
        <v>85.56701349379445</v>
      </c>
      <c r="BK28" s="14" t="n">
        <v>0</v>
      </c>
      <c r="BL28" s="14" t="n">
        <v>0</v>
      </c>
      <c r="BM28" s="14" t="n">
        <v>0.6549002080205466</v>
      </c>
      <c r="BN28" s="14" t="n">
        <v>0</v>
      </c>
      <c r="BO28" s="14" t="n">
        <v>0</v>
      </c>
      <c r="BP28" s="14" t="n">
        <v>0</v>
      </c>
      <c r="BQ28" s="14" t="inlineStr">
        <is>
          <t>Overall|Deciles|p25|5</t>
        </is>
      </c>
    </row>
    <row r="29">
      <c r="A29" s="14" t="inlineStr">
        <is>
          <t>EGY.distn.bsh.dec.ove.p25.6</t>
        </is>
      </c>
      <c r="B29" s="14" t="inlineStr">
        <is>
          <t>EGY</t>
        </is>
      </c>
      <c r="C29" s="14" t="n">
        <v>2017</v>
      </c>
      <c r="D29" s="14" t="inlineStr">
        <is>
          <t>Overall</t>
        </is>
      </c>
      <c r="E29" s="14" t="inlineStr">
        <is>
          <t>Deciles</t>
        </is>
      </c>
      <c r="F29" s="14" t="inlineStr">
        <is>
          <t>p25</t>
        </is>
      </c>
      <c r="G29" s="14" t="n">
        <v>6</v>
      </c>
      <c r="H29" s="14" t="n">
        <v>0.7420356566570905</v>
      </c>
      <c r="I29" s="14" t="n">
        <v>0</v>
      </c>
      <c r="J29" s="14" t="n">
        <v>2.858636619564794</v>
      </c>
      <c r="K29" s="14" t="n">
        <v>3.205727700354832</v>
      </c>
      <c r="L29" s="14" t="n">
        <v>0</v>
      </c>
      <c r="M29" s="14" t="n">
        <v>1.503703899037763</v>
      </c>
      <c r="N29" s="14" t="n">
        <v>0</v>
      </c>
      <c r="O29" s="14" t="n">
        <v>0</v>
      </c>
      <c r="P29" s="14" t="n">
        <v>0</v>
      </c>
      <c r="Q29" s="14" t="n">
        <v>2.148957991798574</v>
      </c>
      <c r="R29" s="14" t="n">
        <v>45.67752059053751</v>
      </c>
      <c r="S29" s="14" t="n">
        <v>0</v>
      </c>
      <c r="T29" s="14" t="n">
        <v>0</v>
      </c>
      <c r="U29" s="14" t="n">
        <v>1.170677194661171</v>
      </c>
      <c r="V29" s="14" t="n">
        <v>1.896589030194868</v>
      </c>
      <c r="W29" s="14" t="n">
        <v>0</v>
      </c>
      <c r="X29" s="14" t="n">
        <v>0</v>
      </c>
      <c r="Y29" s="14" t="n">
        <v>0</v>
      </c>
      <c r="Z29" s="14" t="n">
        <v>0</v>
      </c>
      <c r="AA29" s="14" t="n">
        <v>0</v>
      </c>
      <c r="AB29" s="14" t="n">
        <v>0.6110366601558668</v>
      </c>
      <c r="AC29" s="14" t="n">
        <v>2.051876109195356</v>
      </c>
      <c r="AD29" s="14" t="n">
        <v>3.825803948053379</v>
      </c>
      <c r="AE29" s="14" t="n">
        <v>0</v>
      </c>
      <c r="AF29" s="14" t="n">
        <v>2.151188987309642</v>
      </c>
      <c r="AG29" s="14" t="n">
        <v>2991.548866002581</v>
      </c>
      <c r="AH29" s="14" t="n">
        <v>6998.686990013066</v>
      </c>
      <c r="AI29" s="14" t="n">
        <v>7094.971328350006</v>
      </c>
      <c r="AJ29" s="14" t="n">
        <v>8359.083276684469</v>
      </c>
      <c r="AK29" s="14" t="n">
        <v>8554.676291259646</v>
      </c>
      <c r="AL29" s="14" t="n">
        <v>9086.952928972871</v>
      </c>
      <c r="AM29" s="14" t="n">
        <v>9288.725849386463</v>
      </c>
      <c r="AN29" s="14" t="n">
        <v>11331.88064364667</v>
      </c>
      <c r="AO29" s="14" t="n">
        <v>11633.80960814839</v>
      </c>
      <c r="AP29" s="14" t="n">
        <v>11327.51697511788</v>
      </c>
      <c r="AQ29" s="14" t="n">
        <v>13061.32089937194</v>
      </c>
      <c r="AR29" s="14" t="n">
        <v>12987.51686637</v>
      </c>
      <c r="AS29" s="14" t="n">
        <v>13411.56782879284</v>
      </c>
      <c r="AT29" s="14" t="n">
        <v>14751.24767650041</v>
      </c>
      <c r="AU29" s="14" t="n">
        <v>16533.50179115055</v>
      </c>
      <c r="AV29" s="14" t="n">
        <v>18205.77730278006</v>
      </c>
      <c r="AW29" s="14" t="n">
        <v>17293.86937736515</v>
      </c>
      <c r="AX29" s="14" t="n">
        <v>24220.57195275546</v>
      </c>
      <c r="AY29" s="14" t="n">
        <v>22840.25508851776</v>
      </c>
      <c r="AZ29" s="14" t="n">
        <v>63603.35316288261</v>
      </c>
      <c r="BA29" s="14" t="n">
        <v>11528.18110374073</v>
      </c>
      <c r="BB29" s="14" t="n">
        <v>9735956.166068047</v>
      </c>
      <c r="BC29" s="14" t="n">
        <v>0</v>
      </c>
      <c r="BD29" s="14" t="n">
        <v>0</v>
      </c>
      <c r="BE29" s="14" t="n">
        <v>113.0849983665047</v>
      </c>
      <c r="BF29" s="14" t="n">
        <v>62.0367425668505</v>
      </c>
      <c r="BG29" s="14" t="n">
        <v>78.37524317849402</v>
      </c>
      <c r="BH29" s="14" t="n">
        <v>97.15724219637471</v>
      </c>
      <c r="BI29" s="14" t="n">
        <v>100.3730590530338</v>
      </c>
      <c r="BJ29" s="14" t="n">
        <v>94.45985900622915</v>
      </c>
      <c r="BK29" s="14" t="n">
        <v>0</v>
      </c>
      <c r="BL29" s="14" t="n">
        <v>0</v>
      </c>
      <c r="BM29" s="14" t="n">
        <v>0.1672547909500154</v>
      </c>
      <c r="BN29" s="14" t="n">
        <v>0</v>
      </c>
      <c r="BO29" s="14" t="n">
        <v>0</v>
      </c>
      <c r="BP29" s="14" t="n">
        <v>0</v>
      </c>
      <c r="BQ29" s="14" t="inlineStr">
        <is>
          <t>Overall|Deciles|p25|6</t>
        </is>
      </c>
    </row>
    <row r="30">
      <c r="A30" s="14" t="inlineStr">
        <is>
          <t>EGY.distn.bsh.dec.ove.p25.7</t>
        </is>
      </c>
      <c r="B30" s="14" t="inlineStr">
        <is>
          <t>EGY</t>
        </is>
      </c>
      <c r="C30" s="14" t="n">
        <v>2017</v>
      </c>
      <c r="D30" s="14" t="inlineStr">
        <is>
          <t>Overall</t>
        </is>
      </c>
      <c r="E30" s="14" t="inlineStr">
        <is>
          <t>Deciles</t>
        </is>
      </c>
      <c r="F30" s="14" t="inlineStr">
        <is>
          <t>p25</t>
        </is>
      </c>
      <c r="G30" s="14" t="n">
        <v>7</v>
      </c>
      <c r="H30" s="14" t="n">
        <v>0.7054284248391469</v>
      </c>
      <c r="I30" s="14" t="n">
        <v>0</v>
      </c>
      <c r="J30" s="14" t="n">
        <v>2.837184272824785</v>
      </c>
      <c r="K30" s="14" t="n">
        <v>2.454991898614651</v>
      </c>
      <c r="L30" s="14" t="n">
        <v>0</v>
      </c>
      <c r="M30" s="14" t="n">
        <v>1.680377022768585</v>
      </c>
      <c r="N30" s="14" t="n">
        <v>0</v>
      </c>
      <c r="O30" s="14" t="n">
        <v>0</v>
      </c>
      <c r="P30" s="14" t="n">
        <v>0</v>
      </c>
      <c r="Q30" s="14" t="n">
        <v>2.221934054339822</v>
      </c>
      <c r="R30" s="14" t="n">
        <v>48.95718515046067</v>
      </c>
      <c r="S30" s="14" t="n">
        <v>0</v>
      </c>
      <c r="T30" s="14" t="n">
        <v>0</v>
      </c>
      <c r="U30" s="14" t="n">
        <v>1.257293423969414</v>
      </c>
      <c r="V30" s="14" t="n">
        <v>1.735101979294226</v>
      </c>
      <c r="W30" s="14" t="n">
        <v>0</v>
      </c>
      <c r="X30" s="14" t="n">
        <v>0</v>
      </c>
      <c r="Y30" s="14" t="n">
        <v>0</v>
      </c>
      <c r="Z30" s="14" t="n">
        <v>0</v>
      </c>
      <c r="AA30" s="14" t="n">
        <v>0</v>
      </c>
      <c r="AB30" s="14" t="n">
        <v>0.3704313560944887</v>
      </c>
      <c r="AC30" s="14" t="n">
        <v>2.17809740740408</v>
      </c>
      <c r="AD30" s="14" t="n">
        <v>3.734605072897845</v>
      </c>
      <c r="AE30" s="14" t="n">
        <v>0</v>
      </c>
      <c r="AF30" s="14" t="n">
        <v>2.472848913075971</v>
      </c>
      <c r="AG30" s="14" t="n">
        <v>3381.272961451774</v>
      </c>
      <c r="AH30" s="14" t="n">
        <v>7664.707959539383</v>
      </c>
      <c r="AI30" s="14" t="n">
        <v>7067.24511590946</v>
      </c>
      <c r="AJ30" s="14" t="n">
        <v>9173.599270879447</v>
      </c>
      <c r="AK30" s="14" t="n">
        <v>8241.223259479835</v>
      </c>
      <c r="AL30" s="14" t="n">
        <v>9795.211803814675</v>
      </c>
      <c r="AM30" s="14" t="n">
        <v>9596.213524700735</v>
      </c>
      <c r="AN30" s="14" t="n">
        <v>11713.83818948763</v>
      </c>
      <c r="AO30" s="14" t="n">
        <v>11098.34832698692</v>
      </c>
      <c r="AP30" s="14" t="n">
        <v>11702.39424606628</v>
      </c>
      <c r="AQ30" s="14" t="n">
        <v>12362.30763320822</v>
      </c>
      <c r="AR30" s="14" t="n">
        <v>13965.59427940147</v>
      </c>
      <c r="AS30" s="14" t="n">
        <v>13976.93797719612</v>
      </c>
      <c r="AT30" s="14" t="n">
        <v>15275.07182802565</v>
      </c>
      <c r="AU30" s="14" t="n">
        <v>16292.20496579659</v>
      </c>
      <c r="AV30" s="14" t="n">
        <v>18065.84347635045</v>
      </c>
      <c r="AW30" s="14" t="n">
        <v>17998.1423395436</v>
      </c>
      <c r="AX30" s="14" t="n">
        <v>24397.91781552316</v>
      </c>
      <c r="AY30" s="14" t="n">
        <v>22962.78085973265</v>
      </c>
      <c r="AZ30" s="14" t="n">
        <v>64368.4961607398</v>
      </c>
      <c r="BA30" s="14" t="n">
        <v>12913.84733896379</v>
      </c>
      <c r="BB30" s="14" t="n">
        <v>10753045.75569662</v>
      </c>
      <c r="BC30" s="14" t="n">
        <v>0</v>
      </c>
      <c r="BD30" s="14" t="n">
        <v>0</v>
      </c>
      <c r="BE30" s="14" t="n">
        <v>111.2012026681877</v>
      </c>
      <c r="BF30" s="14" t="n">
        <v>59.11217351455998</v>
      </c>
      <c r="BG30" s="14" t="n">
        <v>79.51921770580925</v>
      </c>
      <c r="BH30" s="14" t="n">
        <v>98.83398199731205</v>
      </c>
      <c r="BI30" s="14" t="n">
        <v>106.8128706023484</v>
      </c>
      <c r="BJ30" s="14" t="n">
        <v>97.29329797812878</v>
      </c>
      <c r="BK30" s="14" t="n">
        <v>0</v>
      </c>
      <c r="BL30" s="14" t="n">
        <v>0</v>
      </c>
      <c r="BM30" s="14" t="n">
        <v>0.03134030740469025</v>
      </c>
      <c r="BN30" s="14" t="n">
        <v>0</v>
      </c>
      <c r="BO30" s="14" t="n">
        <v>0</v>
      </c>
      <c r="BP30" s="14" t="n">
        <v>0</v>
      </c>
      <c r="BQ30" s="14" t="inlineStr">
        <is>
          <t>Overall|Deciles|p25|7</t>
        </is>
      </c>
    </row>
    <row r="31">
      <c r="A31" s="14" t="inlineStr">
        <is>
          <t>EGY.distn.bsh.dec.ove.p25.8</t>
        </is>
      </c>
      <c r="B31" s="14" t="inlineStr">
        <is>
          <t>EGY</t>
        </is>
      </c>
      <c r="C31" s="14" t="n">
        <v>2017</v>
      </c>
      <c r="D31" s="14" t="inlineStr">
        <is>
          <t>Overall</t>
        </is>
      </c>
      <c r="E31" s="14" t="inlineStr">
        <is>
          <t>Deciles</t>
        </is>
      </c>
      <c r="F31" s="14" t="inlineStr">
        <is>
          <t>p25</t>
        </is>
      </c>
      <c r="G31" s="14" t="n">
        <v>8</v>
      </c>
      <c r="H31" s="14" t="n">
        <v>0.661571679818709</v>
      </c>
      <c r="I31" s="14" t="n">
        <v>0</v>
      </c>
      <c r="J31" s="14" t="n">
        <v>2.840997917655452</v>
      </c>
      <c r="K31" s="14" t="n">
        <v>2.372418680402295</v>
      </c>
      <c r="L31" s="14" t="n">
        <v>0</v>
      </c>
      <c r="M31" s="14" t="n">
        <v>1.615809081883478</v>
      </c>
      <c r="N31" s="14" t="n">
        <v>0</v>
      </c>
      <c r="O31" s="14" t="n">
        <v>0</v>
      </c>
      <c r="P31" s="14" t="n">
        <v>0</v>
      </c>
      <c r="Q31" s="14" t="n">
        <v>2.223846392288098</v>
      </c>
      <c r="R31" s="14" t="n">
        <v>43.14079135024987</v>
      </c>
      <c r="S31" s="14" t="n">
        <v>0</v>
      </c>
      <c r="T31" s="14" t="n">
        <v>0</v>
      </c>
      <c r="U31" s="14" t="n">
        <v>1.480279810476113</v>
      </c>
      <c r="V31" s="14" t="n">
        <v>2.019703467690605</v>
      </c>
      <c r="W31" s="14" t="n">
        <v>0</v>
      </c>
      <c r="X31" s="14" t="n">
        <v>0</v>
      </c>
      <c r="Y31" s="14" t="n">
        <v>0</v>
      </c>
      <c r="Z31" s="14" t="n">
        <v>0</v>
      </c>
      <c r="AA31" s="14" t="n">
        <v>0</v>
      </c>
      <c r="AB31" s="14" t="n">
        <v>0.2685830619868638</v>
      </c>
      <c r="AC31" s="14" t="n">
        <v>2.275771886987007</v>
      </c>
      <c r="AD31" s="14" t="n">
        <v>3.41649166661274</v>
      </c>
      <c r="AE31" s="14" t="n">
        <v>0</v>
      </c>
      <c r="AF31" s="14" t="n">
        <v>2.288518421297375</v>
      </c>
      <c r="AG31" s="14" t="n">
        <v>3268.568612001397</v>
      </c>
      <c r="AH31" s="14" t="n">
        <v>7616.374945508542</v>
      </c>
      <c r="AI31" s="14" t="n">
        <v>7655.890110411285</v>
      </c>
      <c r="AJ31" s="14" t="n">
        <v>8940.829338678983</v>
      </c>
      <c r="AK31" s="14" t="n">
        <v>8663.8294643388</v>
      </c>
      <c r="AL31" s="14" t="n">
        <v>9519.857807329596</v>
      </c>
      <c r="AM31" s="14" t="n">
        <v>9844.256968878726</v>
      </c>
      <c r="AN31" s="14" t="n">
        <v>11545.0155073136</v>
      </c>
      <c r="AO31" s="14" t="n">
        <v>10300.57971612541</v>
      </c>
      <c r="AP31" s="14" t="n">
        <v>13119.64859946929</v>
      </c>
      <c r="AQ31" s="14" t="n">
        <v>12809.34827359165</v>
      </c>
      <c r="AR31" s="14" t="n">
        <v>13428.80130852476</v>
      </c>
      <c r="AS31" s="14" t="n">
        <v>12807.05347484254</v>
      </c>
      <c r="AT31" s="14" t="n">
        <v>16886.45015056502</v>
      </c>
      <c r="AU31" s="14" t="n">
        <v>16441.52465689248</v>
      </c>
      <c r="AV31" s="14" t="n">
        <v>19161.49367802744</v>
      </c>
      <c r="AW31" s="14" t="n">
        <v>17790.41369791557</v>
      </c>
      <c r="AX31" s="14" t="n">
        <v>24688.33623253725</v>
      </c>
      <c r="AY31" s="14" t="n">
        <v>23472.26177894303</v>
      </c>
      <c r="AZ31" s="14" t="n">
        <v>68774.62959978334</v>
      </c>
      <c r="BA31" s="14" t="n">
        <v>14757.6255118405</v>
      </c>
      <c r="BB31" s="14" t="n">
        <v>10755700.1324684</v>
      </c>
      <c r="BC31" s="14" t="n">
        <v>0</v>
      </c>
      <c r="BD31" s="14" t="n">
        <v>0</v>
      </c>
      <c r="BE31" s="14" t="n">
        <v>100.9419187469034</v>
      </c>
      <c r="BF31" s="14" t="n">
        <v>55.33540191050493</v>
      </c>
      <c r="BG31" s="14" t="n">
        <v>83.71847021829402</v>
      </c>
      <c r="BH31" s="14" t="n">
        <v>106.9451861001641</v>
      </c>
      <c r="BI31" s="14" t="n">
        <v>106.5962355046993</v>
      </c>
      <c r="BJ31" s="14" t="n">
        <v>85.37107834944935</v>
      </c>
      <c r="BK31" s="14" t="n">
        <v>0</v>
      </c>
      <c r="BL31" s="14" t="n">
        <v>0</v>
      </c>
      <c r="BM31" s="14" t="n">
        <v>0.01835218495419449</v>
      </c>
      <c r="BN31" s="14" t="n">
        <v>0</v>
      </c>
      <c r="BO31" s="14" t="n">
        <v>0</v>
      </c>
      <c r="BP31" s="14" t="n">
        <v>0</v>
      </c>
      <c r="BQ31" s="14" t="inlineStr">
        <is>
          <t>Overall|Deciles|p25|8</t>
        </is>
      </c>
    </row>
    <row r="32">
      <c r="A32" s="14" t="inlineStr">
        <is>
          <t>EGY.distn.bsh.dec.ove.p25.9</t>
        </is>
      </c>
      <c r="B32" s="14" t="inlineStr">
        <is>
          <t>EGY</t>
        </is>
      </c>
      <c r="C32" s="14" t="n">
        <v>2017</v>
      </c>
      <c r="D32" s="14" t="inlineStr">
        <is>
          <t>Overall</t>
        </is>
      </c>
      <c r="E32" s="14" t="inlineStr">
        <is>
          <t>Deciles</t>
        </is>
      </c>
      <c r="F32" s="14" t="inlineStr">
        <is>
          <t>p25</t>
        </is>
      </c>
      <c r="G32" s="14" t="n">
        <v>9</v>
      </c>
      <c r="H32" s="14" t="n">
        <v>0.6018217107505447</v>
      </c>
      <c r="I32" s="14" t="n">
        <v>0</v>
      </c>
      <c r="J32" s="14" t="n">
        <v>2.539937886762723</v>
      </c>
      <c r="K32" s="14" t="n">
        <v>1.815167523654305</v>
      </c>
      <c r="L32" s="14" t="n">
        <v>0</v>
      </c>
      <c r="M32" s="14" t="n">
        <v>1.402925274199577</v>
      </c>
      <c r="N32" s="14" t="n">
        <v>0</v>
      </c>
      <c r="O32" s="14" t="n">
        <v>0</v>
      </c>
      <c r="P32" s="14" t="n">
        <v>0</v>
      </c>
      <c r="Q32" s="14" t="n">
        <v>2.22921630128905</v>
      </c>
      <c r="R32" s="14" t="n">
        <v>48.02182054609566</v>
      </c>
      <c r="S32" s="14" t="n">
        <v>0</v>
      </c>
      <c r="T32" s="14" t="n">
        <v>0</v>
      </c>
      <c r="U32" s="14" t="n">
        <v>1.215790562750321</v>
      </c>
      <c r="V32" s="14" t="n">
        <v>2.041761183463667</v>
      </c>
      <c r="W32" s="14" t="n">
        <v>0</v>
      </c>
      <c r="X32" s="14" t="n">
        <v>0</v>
      </c>
      <c r="Y32" s="14" t="n">
        <v>0</v>
      </c>
      <c r="Z32" s="14" t="n">
        <v>0</v>
      </c>
      <c r="AA32" s="14" t="n">
        <v>0</v>
      </c>
      <c r="AB32" s="14" t="n">
        <v>0.1896556722207592</v>
      </c>
      <c r="AC32" s="14" t="n">
        <v>2.270931023278197</v>
      </c>
      <c r="AD32" s="14" t="n">
        <v>2.91000563753621</v>
      </c>
      <c r="AE32" s="14" t="n">
        <v>0</v>
      </c>
      <c r="AF32" s="14" t="n">
        <v>2.163047238815673</v>
      </c>
      <c r="AG32" s="14" t="n">
        <v>3306.867494606502</v>
      </c>
      <c r="AH32" s="14" t="n">
        <v>7611.265090958899</v>
      </c>
      <c r="AI32" s="14" t="n">
        <v>6983.807574803884</v>
      </c>
      <c r="AJ32" s="14" t="n">
        <v>8910.513893766471</v>
      </c>
      <c r="AK32" s="14" t="n">
        <v>8012.44788360955</v>
      </c>
      <c r="AL32" s="14" t="n">
        <v>9468.672823874313</v>
      </c>
      <c r="AM32" s="14" t="n">
        <v>10133.14221506392</v>
      </c>
      <c r="AN32" s="14" t="n">
        <v>11072.06914718067</v>
      </c>
      <c r="AO32" s="14" t="n">
        <v>10764.18509129379</v>
      </c>
      <c r="AP32" s="14" t="n">
        <v>12553.26156372974</v>
      </c>
      <c r="AQ32" s="14" t="n">
        <v>12950.92563963269</v>
      </c>
      <c r="AR32" s="14" t="n">
        <v>14397.13348319136</v>
      </c>
      <c r="AS32" s="14" t="n">
        <v>14397.72532690778</v>
      </c>
      <c r="AT32" s="14" t="n">
        <v>16499.35305020363</v>
      </c>
      <c r="AU32" s="14" t="n">
        <v>16879.32274002049</v>
      </c>
      <c r="AV32" s="14" t="n">
        <v>17913.51626658151</v>
      </c>
      <c r="AW32" s="14" t="n">
        <v>17931.4771695495</v>
      </c>
      <c r="AX32" s="14" t="n">
        <v>21769.67302562986</v>
      </c>
      <c r="AY32" s="14" t="n">
        <v>22119.63599906331</v>
      </c>
      <c r="AZ32" s="14" t="n">
        <v>64453.18035528464</v>
      </c>
      <c r="BA32" s="14" t="n">
        <v>15399.77099610311</v>
      </c>
      <c r="BB32" s="14" t="n">
        <v>10794430.36758877</v>
      </c>
      <c r="BC32" s="14" t="n">
        <v>0</v>
      </c>
      <c r="BD32" s="14" t="n">
        <v>0</v>
      </c>
      <c r="BE32" s="14" t="n">
        <v>110.6117344321161</v>
      </c>
      <c r="BF32" s="14" t="n">
        <v>57.10091675189204</v>
      </c>
      <c r="BG32" s="14" t="n">
        <v>85.15753744017029</v>
      </c>
      <c r="BH32" s="14" t="n">
        <v>105.658612428397</v>
      </c>
      <c r="BI32" s="14" t="n">
        <v>114.026722509334</v>
      </c>
      <c r="BJ32" s="14" t="n">
        <v>98.43716088984532</v>
      </c>
      <c r="BK32" s="14" t="n">
        <v>0</v>
      </c>
      <c r="BL32" s="14" t="n">
        <v>0</v>
      </c>
      <c r="BM32" s="14" t="n">
        <v>0</v>
      </c>
      <c r="BN32" s="14" t="n">
        <v>0</v>
      </c>
      <c r="BO32" s="14" t="n">
        <v>0</v>
      </c>
      <c r="BP32" s="14" t="n">
        <v>0</v>
      </c>
      <c r="BQ32" s="14" t="inlineStr">
        <is>
          <t>Overall|Deciles|p25|9</t>
        </is>
      </c>
    </row>
    <row r="33">
      <c r="A33" s="14" t="inlineStr">
        <is>
          <t>EGY.distn.bsh.dec.ove.p25.10</t>
        </is>
      </c>
      <c r="B33" s="14" t="inlineStr">
        <is>
          <t>EGY</t>
        </is>
      </c>
      <c r="C33" s="14" t="n">
        <v>2017</v>
      </c>
      <c r="D33" s="14" t="inlineStr">
        <is>
          <t>Overall</t>
        </is>
      </c>
      <c r="E33" s="14" t="inlineStr">
        <is>
          <t>Deciles</t>
        </is>
      </c>
      <c r="F33" s="14" t="inlineStr">
        <is>
          <t>p25</t>
        </is>
      </c>
      <c r="G33" s="14" t="n">
        <v>10</v>
      </c>
      <c r="H33" s="14" t="n">
        <v>0.5278535636530282</v>
      </c>
      <c r="I33" s="14" t="n">
        <v>0</v>
      </c>
      <c r="J33" s="14" t="n">
        <v>2.62254425615313</v>
      </c>
      <c r="K33" s="14" t="n">
        <v>1.289086631466487</v>
      </c>
      <c r="L33" s="14" t="n">
        <v>0</v>
      </c>
      <c r="M33" s="14" t="n">
        <v>1.481980321538426</v>
      </c>
      <c r="N33" s="14" t="n">
        <v>0</v>
      </c>
      <c r="O33" s="14" t="n">
        <v>0</v>
      </c>
      <c r="P33" s="14" t="n">
        <v>0</v>
      </c>
      <c r="Q33" s="14" t="n">
        <v>2.174076199681743</v>
      </c>
      <c r="R33" s="14" t="n">
        <v>45.57453446976433</v>
      </c>
      <c r="S33" s="14" t="n">
        <v>0</v>
      </c>
      <c r="T33" s="14" t="n">
        <v>0</v>
      </c>
      <c r="U33" s="14" t="n">
        <v>1.452769397306126</v>
      </c>
      <c r="V33" s="14" t="n">
        <v>2.035440658256323</v>
      </c>
      <c r="W33" s="14" t="n">
        <v>0</v>
      </c>
      <c r="X33" s="14" t="n">
        <v>0</v>
      </c>
      <c r="Y33" s="14" t="n">
        <v>0</v>
      </c>
      <c r="Z33" s="14" t="n">
        <v>0</v>
      </c>
      <c r="AA33" s="14" t="n">
        <v>0</v>
      </c>
      <c r="AB33" s="14" t="n">
        <v>0.1471668459242864</v>
      </c>
      <c r="AC33" s="14" t="n">
        <v>2.383776705757979</v>
      </c>
      <c r="AD33" s="14" t="n">
        <v>2.401055661193491</v>
      </c>
      <c r="AE33" s="14" t="n">
        <v>0</v>
      </c>
      <c r="AF33" s="14" t="n">
        <v>1.965312571894386</v>
      </c>
      <c r="AG33" s="14" t="n">
        <v>3204.159643816131</v>
      </c>
      <c r="AH33" s="14" t="n">
        <v>6701.294926106789</v>
      </c>
      <c r="AI33" s="14" t="n">
        <v>6806.292842844094</v>
      </c>
      <c r="AJ33" s="14" t="n">
        <v>9180.672653976468</v>
      </c>
      <c r="AK33" s="14" t="n">
        <v>8875.164037629065</v>
      </c>
      <c r="AL33" s="14" t="n">
        <v>10214.69954855817</v>
      </c>
      <c r="AM33" s="14" t="n">
        <v>10189.98637313232</v>
      </c>
      <c r="AN33" s="14" t="n">
        <v>10825.84786877601</v>
      </c>
      <c r="AO33" s="14" t="n">
        <v>10933.7841234157</v>
      </c>
      <c r="AP33" s="14" t="n">
        <v>13103.88316523873</v>
      </c>
      <c r="AQ33" s="14" t="n">
        <v>12356.91241763509</v>
      </c>
      <c r="AR33" s="14" t="n">
        <v>14503.3209238324</v>
      </c>
      <c r="AS33" s="14" t="n">
        <v>12803.41465259558</v>
      </c>
      <c r="AT33" s="14" t="n">
        <v>15856.53045288196</v>
      </c>
      <c r="AU33" s="14" t="n">
        <v>16046.52153903299</v>
      </c>
      <c r="AV33" s="14" t="n">
        <v>17427.69629091658</v>
      </c>
      <c r="AW33" s="14" t="n">
        <v>18285.29258630062</v>
      </c>
      <c r="AX33" s="14" t="n">
        <v>24215.23346025071</v>
      </c>
      <c r="AY33" s="14" t="n">
        <v>22960.76900933311</v>
      </c>
      <c r="AZ33" s="14" t="n">
        <v>62234.5076384303</v>
      </c>
      <c r="BA33" s="14" t="n">
        <v>21926.96473470897</v>
      </c>
      <c r="BB33" s="14" t="n">
        <v>11118539.85070967</v>
      </c>
      <c r="BC33" s="14" t="n">
        <v>0</v>
      </c>
      <c r="BD33" s="14" t="n">
        <v>0</v>
      </c>
      <c r="BE33" s="14" t="n">
        <v>108.6699400859562</v>
      </c>
      <c r="BF33" s="14" t="n">
        <v>51.62520166609711</v>
      </c>
      <c r="BG33" s="14" t="n">
        <v>95.57404313829207</v>
      </c>
      <c r="BH33" s="14" t="n">
        <v>98.7373720076709</v>
      </c>
      <c r="BI33" s="14" t="n">
        <v>99.61836308434583</v>
      </c>
      <c r="BJ33" s="14" t="n">
        <v>92.41109517751779</v>
      </c>
      <c r="BK33" s="14" t="n">
        <v>0</v>
      </c>
      <c r="BL33" s="14" t="n">
        <v>0</v>
      </c>
      <c r="BM33" s="14" t="n">
        <v>0</v>
      </c>
      <c r="BN33" s="14" t="n">
        <v>0</v>
      </c>
      <c r="BO33" s="14" t="n">
        <v>0</v>
      </c>
      <c r="BP33" s="14" t="n">
        <v>0</v>
      </c>
      <c r="BQ33" s="14" t="inlineStr">
        <is>
          <t>Overall|Deciles|p25|10</t>
        </is>
      </c>
    </row>
    <row r="34">
      <c r="A34" s="14" t="inlineStr">
        <is>
          <t>EGY.distn.bsh.bkt.ove.p25.9999</t>
        </is>
      </c>
      <c r="B34" s="14" t="inlineStr">
        <is>
          <t>EGY</t>
        </is>
      </c>
      <c r="C34" s="14" t="n">
        <v>2017</v>
      </c>
      <c r="D34" s="14" t="inlineStr">
        <is>
          <t>Overall</t>
        </is>
      </c>
      <c r="E34" s="14" t="inlineStr">
        <is>
          <t>Basket</t>
        </is>
      </c>
      <c r="F34" s="14" t="inlineStr">
        <is>
          <t>p25</t>
        </is>
      </c>
      <c r="G34" s="14" t="n">
        <v>9999</v>
      </c>
      <c r="H34" s="14" t="n">
        <v>0.6321789171351609</v>
      </c>
      <c r="I34" s="14" t="n">
        <v>0</v>
      </c>
      <c r="J34" s="14" t="n">
        <v>2.665380868382452</v>
      </c>
      <c r="K34" s="14" t="n">
        <v>2.569211914169084</v>
      </c>
      <c r="L34" s="14" t="n">
        <v>0</v>
      </c>
      <c r="M34" s="14" t="n">
        <v>1.320629697802455</v>
      </c>
      <c r="N34" s="14" t="n">
        <v>0</v>
      </c>
      <c r="O34" s="14" t="n">
        <v>0</v>
      </c>
      <c r="P34" s="14" t="n">
        <v>0</v>
      </c>
      <c r="Q34" s="14" t="n">
        <v>2.251078812260551</v>
      </c>
      <c r="R34" s="14" t="n">
        <v>49.63368270295938</v>
      </c>
      <c r="S34" s="14" t="n">
        <v>0</v>
      </c>
      <c r="T34" s="14" t="n">
        <v>0</v>
      </c>
      <c r="U34" s="14" t="n">
        <v>1.021564308849262</v>
      </c>
      <c r="V34" s="14" t="n">
        <v>1.962425071423448</v>
      </c>
      <c r="W34" s="14" t="n">
        <v>0</v>
      </c>
      <c r="X34" s="14" t="n">
        <v>0</v>
      </c>
      <c r="Y34" s="14" t="n">
        <v>0</v>
      </c>
      <c r="Z34" s="14" t="n">
        <v>0</v>
      </c>
      <c r="AA34" s="14" t="n">
        <v>0</v>
      </c>
      <c r="AB34" s="14" t="n">
        <v>0.4756567718317091</v>
      </c>
      <c r="AC34" s="14" t="n">
        <v>1.76565583802452</v>
      </c>
      <c r="AD34" s="14" t="n">
        <v>3.442527578810831</v>
      </c>
      <c r="AE34" s="14" t="n">
        <v>0</v>
      </c>
      <c r="AF34" s="14" t="n">
        <v>2.073057472881619</v>
      </c>
      <c r="AG34" s="14" t="n">
        <v>3261.585482370652</v>
      </c>
      <c r="AH34" s="14" t="n">
        <v>6695.45714213694</v>
      </c>
      <c r="AI34" s="14" t="n">
        <v>7402.978348571011</v>
      </c>
      <c r="AJ34" s="14" t="n">
        <v>8684.448569950959</v>
      </c>
      <c r="AK34" s="14" t="n">
        <v>8392.16132195789</v>
      </c>
      <c r="AL34" s="14" t="n">
        <v>9396.308247250081</v>
      </c>
      <c r="AM34" s="14" t="n">
        <v>9594.407472879775</v>
      </c>
      <c r="AN34" s="14" t="n">
        <v>10370.57043659436</v>
      </c>
      <c r="AO34" s="14" t="n">
        <v>10688.99305289418</v>
      </c>
      <c r="AP34" s="14" t="n">
        <v>12379.02432253503</v>
      </c>
      <c r="AQ34" s="14" t="n">
        <v>11996.85575189381</v>
      </c>
      <c r="AR34" s="14" t="n">
        <v>14160.19301466021</v>
      </c>
      <c r="AS34" s="14" t="n">
        <v>13848.94769436807</v>
      </c>
      <c r="AT34" s="14" t="n">
        <v>16975.09807366437</v>
      </c>
      <c r="AU34" s="14" t="n">
        <v>15000.27541601578</v>
      </c>
      <c r="AV34" s="14" t="n">
        <v>19345.8609286305</v>
      </c>
      <c r="AW34" s="14" t="n">
        <v>17160.95644070797</v>
      </c>
      <c r="AX34" s="14" t="n">
        <v>24039.04402112723</v>
      </c>
      <c r="AY34" s="14" t="n">
        <v>24820.64503986886</v>
      </c>
      <c r="AZ34" s="14" t="n">
        <v>62294.79568379583</v>
      </c>
      <c r="BA34" s="14" t="n">
        <v>8059.444551097735</v>
      </c>
      <c r="BB34" s="14" t="n">
        <v>98359470.20790567</v>
      </c>
      <c r="BC34" s="14" t="n">
        <v>0</v>
      </c>
      <c r="BD34" s="14" t="n">
        <v>0</v>
      </c>
      <c r="BE34" s="14" t="n">
        <v>0</v>
      </c>
      <c r="BF34" s="14" t="n">
        <v>0</v>
      </c>
      <c r="BG34" s="14" t="n">
        <v>0</v>
      </c>
      <c r="BH34" s="14" t="n">
        <v>0</v>
      </c>
      <c r="BI34" s="14" t="n">
        <v>0</v>
      </c>
      <c r="BJ34" s="14" t="n">
        <v>0</v>
      </c>
      <c r="BK34" s="14" t="n">
        <v>0.1726011815493776</v>
      </c>
      <c r="BL34" s="14" t="n">
        <v>3.02601868488132</v>
      </c>
      <c r="BM34" s="14" t="n">
        <v>40.14218834292186</v>
      </c>
      <c r="BN34" s="14" t="n">
        <v>0</v>
      </c>
      <c r="BO34" s="14" t="n">
        <v>0</v>
      </c>
      <c r="BP34" s="14" t="n">
        <v>0</v>
      </c>
      <c r="BQ34" s="14" t="inlineStr">
        <is>
          <t>Overall|Basket|p25|9999</t>
        </is>
      </c>
    </row>
    <row r="35">
      <c r="A35" s="14" t="inlineStr">
        <is>
          <t>EGY.distn.bsh.dec.ove.p75.1</t>
        </is>
      </c>
      <c r="B35" s="14" t="inlineStr">
        <is>
          <t>EGY</t>
        </is>
      </c>
      <c r="C35" s="14" t="n">
        <v>2017</v>
      </c>
      <c r="D35" s="14" t="inlineStr">
        <is>
          <t>Overall</t>
        </is>
      </c>
      <c r="E35" s="14" t="inlineStr">
        <is>
          <t>Deciles</t>
        </is>
      </c>
      <c r="F35" s="14" t="inlineStr">
        <is>
          <t>p75</t>
        </is>
      </c>
      <c r="G35" s="14" t="n">
        <v>1</v>
      </c>
      <c r="H35" s="14" t="n">
        <v>1.940174476961604</v>
      </c>
      <c r="I35" s="14" t="n">
        <v>0</v>
      </c>
      <c r="J35" s="14" t="n">
        <v>5.362904894882723</v>
      </c>
      <c r="K35" s="14" t="n">
        <v>7.989243088488308</v>
      </c>
      <c r="L35" s="14" t="n">
        <v>0</v>
      </c>
      <c r="M35" s="14" t="n">
        <v>2.865930437902162</v>
      </c>
      <c r="N35" s="14" t="n">
        <v>0</v>
      </c>
      <c r="O35" s="14" t="n">
        <v>3.785042085070072</v>
      </c>
      <c r="P35" s="14" t="n">
        <v>0</v>
      </c>
      <c r="Q35" s="14" t="n">
        <v>4.410160247183237</v>
      </c>
      <c r="R35" s="14" t="n">
        <v>69.23545156776585</v>
      </c>
      <c r="S35" s="14" t="n">
        <v>0</v>
      </c>
      <c r="T35" s="14" t="n">
        <v>0</v>
      </c>
      <c r="U35" s="14" t="n">
        <v>3.927622881596063</v>
      </c>
      <c r="V35" s="14" t="n">
        <v>5.447403848016892</v>
      </c>
      <c r="W35" s="14" t="n">
        <v>0</v>
      </c>
      <c r="X35" s="14" t="n">
        <v>3.826637198963619</v>
      </c>
      <c r="Y35" s="14" t="n">
        <v>0</v>
      </c>
      <c r="Z35" s="14" t="n">
        <v>0</v>
      </c>
      <c r="AA35" s="14" t="n">
        <v>0</v>
      </c>
      <c r="AB35" s="14" t="n">
        <v>3.053765979953279</v>
      </c>
      <c r="AC35" s="14" t="n">
        <v>5.876986518345388</v>
      </c>
      <c r="AD35" s="14" t="n">
        <v>9.032291581591707</v>
      </c>
      <c r="AE35" s="14" t="n">
        <v>0</v>
      </c>
      <c r="AF35" s="14" t="n">
        <v>5.57801767487704</v>
      </c>
      <c r="AG35" s="14" t="n">
        <v>3220.162451143822</v>
      </c>
      <c r="AH35" s="14" t="n">
        <v>7579.19208032279</v>
      </c>
      <c r="AI35" s="14" t="n">
        <v>7419.685944074668</v>
      </c>
      <c r="AJ35" s="14" t="n">
        <v>7976.994521971669</v>
      </c>
      <c r="AK35" s="14" t="n">
        <v>8441.448616011638</v>
      </c>
      <c r="AL35" s="14" t="n">
        <v>10457.45262407336</v>
      </c>
      <c r="AM35" s="14" t="n">
        <v>9801.819024418986</v>
      </c>
      <c r="AN35" s="14" t="n">
        <v>11598.9751195457</v>
      </c>
      <c r="AO35" s="14" t="n">
        <v>10448.62554728462</v>
      </c>
      <c r="AP35" s="14" t="n">
        <v>12444.00850141137</v>
      </c>
      <c r="AQ35" s="14" t="n">
        <v>12701.02837634927</v>
      </c>
      <c r="AR35" s="14" t="n">
        <v>14875.14346220488</v>
      </c>
      <c r="AS35" s="14" t="n">
        <v>14676.15147696708</v>
      </c>
      <c r="AT35" s="14" t="n">
        <v>14884.5016859574</v>
      </c>
      <c r="AU35" s="14" t="n">
        <v>15091.48115628</v>
      </c>
      <c r="AV35" s="14" t="n">
        <v>18596.40525484141</v>
      </c>
      <c r="AW35" s="14" t="n">
        <v>19492.5826063434</v>
      </c>
      <c r="AX35" s="14" t="n">
        <v>24629.90216970494</v>
      </c>
      <c r="AY35" s="14" t="n">
        <v>22248.08392888406</v>
      </c>
      <c r="AZ35" s="14" t="n">
        <v>69340.29482319579</v>
      </c>
      <c r="BA35" s="14" t="n">
        <v>5618.134201935888</v>
      </c>
      <c r="BB35" s="14" t="n">
        <v>11096153.31951434</v>
      </c>
      <c r="BC35" s="14" t="n">
        <v>0</v>
      </c>
      <c r="BD35" s="14" t="n">
        <v>0</v>
      </c>
      <c r="BE35" s="14" t="n">
        <v>113.8812423627216</v>
      </c>
      <c r="BF35" s="14" t="n">
        <v>38.89880164661432</v>
      </c>
      <c r="BG35" s="14" t="n">
        <v>55.16962872969743</v>
      </c>
      <c r="BH35" s="14" t="n">
        <v>96.98281825033443</v>
      </c>
      <c r="BI35" s="14" t="n">
        <v>110.838123131754</v>
      </c>
      <c r="BJ35" s="14" t="n">
        <v>79.71992949944715</v>
      </c>
      <c r="BK35" s="14" t="n">
        <v>0.1679437034864689</v>
      </c>
      <c r="BL35" s="14" t="n">
        <v>3.216427752765162</v>
      </c>
      <c r="BM35" s="14" t="n">
        <v>11.39662743699241</v>
      </c>
      <c r="BN35" s="14" t="n">
        <v>0</v>
      </c>
      <c r="BO35" s="14" t="n">
        <v>0</v>
      </c>
      <c r="BP35" s="14" t="n">
        <v>0</v>
      </c>
      <c r="BQ35" s="14" t="inlineStr">
        <is>
          <t>Overall|Deciles|p75|1</t>
        </is>
      </c>
    </row>
    <row r="36">
      <c r="A36" s="14" t="inlineStr">
        <is>
          <t>EGY.distn.bsh.dec.ove.p75.2</t>
        </is>
      </c>
      <c r="B36" s="14" t="inlineStr">
        <is>
          <t>EGY</t>
        </is>
      </c>
      <c r="C36" s="14" t="n">
        <v>2017</v>
      </c>
      <c r="D36" s="14" t="inlineStr">
        <is>
          <t>Overall</t>
        </is>
      </c>
      <c r="E36" s="14" t="inlineStr">
        <is>
          <t>Deciles</t>
        </is>
      </c>
      <c r="F36" s="14" t="inlineStr">
        <is>
          <t>p75</t>
        </is>
      </c>
      <c r="G36" s="14" t="n">
        <v>2</v>
      </c>
      <c r="H36" s="14" t="n">
        <v>2.074575178094098</v>
      </c>
      <c r="I36" s="14" t="n">
        <v>0</v>
      </c>
      <c r="J36" s="14" t="n">
        <v>4.856599785830575</v>
      </c>
      <c r="K36" s="14" t="n">
        <v>8.573431087163</v>
      </c>
      <c r="L36" s="14" t="n">
        <v>0</v>
      </c>
      <c r="M36" s="14" t="n">
        <v>2.889756511947084</v>
      </c>
      <c r="N36" s="14" t="n">
        <v>0</v>
      </c>
      <c r="O36" s="14" t="n">
        <v>5.221198402052535</v>
      </c>
      <c r="P36" s="14" t="n">
        <v>0</v>
      </c>
      <c r="Q36" s="14" t="n">
        <v>4.15233568368735</v>
      </c>
      <c r="R36" s="14" t="n">
        <v>65.90207665227906</v>
      </c>
      <c r="S36" s="14" t="n">
        <v>0</v>
      </c>
      <c r="T36" s="14" t="n">
        <v>0</v>
      </c>
      <c r="U36" s="14" t="n">
        <v>4.183138037542704</v>
      </c>
      <c r="V36" s="14" t="n">
        <v>4.47127247428533</v>
      </c>
      <c r="W36" s="14" t="n">
        <v>0</v>
      </c>
      <c r="X36" s="14" t="n">
        <v>3.157498673758366</v>
      </c>
      <c r="Y36" s="14" t="n">
        <v>0</v>
      </c>
      <c r="Z36" s="14" t="n">
        <v>0</v>
      </c>
      <c r="AA36" s="14" t="n">
        <v>0</v>
      </c>
      <c r="AB36" s="14" t="n">
        <v>3.114742696189661</v>
      </c>
      <c r="AC36" s="14" t="n">
        <v>6.872418069093487</v>
      </c>
      <c r="AD36" s="14" t="n">
        <v>8.31651517974789</v>
      </c>
      <c r="AE36" s="14" t="n">
        <v>0</v>
      </c>
      <c r="AF36" s="14" t="n">
        <v>5.469508363016562</v>
      </c>
      <c r="AG36" s="14" t="n">
        <v>2958.698378821863</v>
      </c>
      <c r="AH36" s="14" t="n">
        <v>7719.254116281056</v>
      </c>
      <c r="AI36" s="14" t="n">
        <v>7718.9615883788</v>
      </c>
      <c r="AJ36" s="14" t="n">
        <v>8469.829599887973</v>
      </c>
      <c r="AK36" s="14" t="n">
        <v>9039.002124512428</v>
      </c>
      <c r="AL36" s="14" t="n">
        <v>9164.600576005432</v>
      </c>
      <c r="AM36" s="14" t="n">
        <v>10370.69499790458</v>
      </c>
      <c r="AN36" s="14" t="n">
        <v>11119.19805346535</v>
      </c>
      <c r="AO36" s="14" t="n">
        <v>10657.96878748577</v>
      </c>
      <c r="AP36" s="14" t="n">
        <v>13205.2020708727</v>
      </c>
      <c r="AQ36" s="14" t="n">
        <v>12836.48263173546</v>
      </c>
      <c r="AR36" s="14" t="n">
        <v>14142.44351611812</v>
      </c>
      <c r="AS36" s="14" t="n">
        <v>13732.06246049007</v>
      </c>
      <c r="AT36" s="14" t="n">
        <v>14774.36928203027</v>
      </c>
      <c r="AU36" s="14" t="n">
        <v>15522.9228249451</v>
      </c>
      <c r="AV36" s="14" t="n">
        <v>19550.32348772319</v>
      </c>
      <c r="AW36" s="14" t="n">
        <v>18697.38595081842</v>
      </c>
      <c r="AX36" s="14" t="n">
        <v>21986.13080415405</v>
      </c>
      <c r="AY36" s="14" t="n">
        <v>22647.93643343853</v>
      </c>
      <c r="AZ36" s="14" t="n">
        <v>64191.6519237418</v>
      </c>
      <c r="BA36" s="14" t="n">
        <v>7182.322914135054</v>
      </c>
      <c r="BB36" s="14" t="n">
        <v>10231250.37697417</v>
      </c>
      <c r="BC36" s="14" t="n">
        <v>0</v>
      </c>
      <c r="BD36" s="14" t="n">
        <v>0</v>
      </c>
      <c r="BE36" s="14" t="n">
        <v>110.7927357320315</v>
      </c>
      <c r="BF36" s="14" t="n">
        <v>51.81388458605866</v>
      </c>
      <c r="BG36" s="14" t="n">
        <v>66.12039034943299</v>
      </c>
      <c r="BH36" s="14" t="n">
        <v>103.9433308224293</v>
      </c>
      <c r="BI36" s="14" t="n">
        <v>102.9814323911234</v>
      </c>
      <c r="BJ36" s="14" t="n">
        <v>92.65054918482514</v>
      </c>
      <c r="BK36" s="14" t="n">
        <v>0.01021534430520676</v>
      </c>
      <c r="BL36" s="14" t="n">
        <v>0.01248727284995017</v>
      </c>
      <c r="BM36" s="14" t="n">
        <v>10.44049989081775</v>
      </c>
      <c r="BN36" s="14" t="n">
        <v>0</v>
      </c>
      <c r="BO36" s="14" t="n">
        <v>0</v>
      </c>
      <c r="BP36" s="14" t="n">
        <v>0</v>
      </c>
      <c r="BQ36" s="14" t="inlineStr">
        <is>
          <t>Overall|Deciles|p75|2</t>
        </is>
      </c>
    </row>
    <row r="37">
      <c r="A37" s="14" t="inlineStr">
        <is>
          <t>EGY.distn.bsh.dec.ove.p75.3</t>
        </is>
      </c>
      <c r="B37" s="14" t="inlineStr">
        <is>
          <t>EGY</t>
        </is>
      </c>
      <c r="C37" s="14" t="n">
        <v>2017</v>
      </c>
      <c r="D37" s="14" t="inlineStr">
        <is>
          <t>Overall</t>
        </is>
      </c>
      <c r="E37" s="14" t="inlineStr">
        <is>
          <t>Deciles</t>
        </is>
      </c>
      <c r="F37" s="14" t="inlineStr">
        <is>
          <t>p75</t>
        </is>
      </c>
      <c r="G37" s="14" t="n">
        <v>3</v>
      </c>
      <c r="H37" s="14" t="n">
        <v>1.948110474177596</v>
      </c>
      <c r="I37" s="14" t="n">
        <v>0</v>
      </c>
      <c r="J37" s="14" t="n">
        <v>4.230784668525608</v>
      </c>
      <c r="K37" s="14" t="n">
        <v>8.696572612555386</v>
      </c>
      <c r="L37" s="14" t="n">
        <v>0</v>
      </c>
      <c r="M37" s="14" t="n">
        <v>3.053041401989667</v>
      </c>
      <c r="N37" s="14" t="n">
        <v>0</v>
      </c>
      <c r="O37" s="14" t="n">
        <v>6.294719437937185</v>
      </c>
      <c r="P37" s="14" t="n">
        <v>0</v>
      </c>
      <c r="Q37" s="14" t="n">
        <v>4.108258081325572</v>
      </c>
      <c r="R37" s="14" t="n">
        <v>65.87839814425227</v>
      </c>
      <c r="S37" s="14" t="n">
        <v>0</v>
      </c>
      <c r="T37" s="14" t="n">
        <v>0</v>
      </c>
      <c r="U37" s="14" t="n">
        <v>4.385425566626635</v>
      </c>
      <c r="V37" s="14" t="n">
        <v>4.841892591726497</v>
      </c>
      <c r="W37" s="14" t="n">
        <v>0</v>
      </c>
      <c r="X37" s="14" t="n">
        <v>2.817322038283839</v>
      </c>
      <c r="Y37" s="14" t="n">
        <v>0</v>
      </c>
      <c r="Z37" s="14" t="n">
        <v>0</v>
      </c>
      <c r="AA37" s="14" t="n">
        <v>0</v>
      </c>
      <c r="AB37" s="14" t="n">
        <v>3.257139382866571</v>
      </c>
      <c r="AC37" s="14" t="n">
        <v>6.443344264048305</v>
      </c>
      <c r="AD37" s="14" t="n">
        <v>8.87660497415936</v>
      </c>
      <c r="AE37" s="14" t="n">
        <v>0</v>
      </c>
      <c r="AF37" s="14" t="n">
        <v>5.799647709888253</v>
      </c>
      <c r="AG37" s="14" t="n">
        <v>2951.561422012966</v>
      </c>
      <c r="AH37" s="14" t="n">
        <v>7333.226824040952</v>
      </c>
      <c r="AI37" s="14" t="n">
        <v>6722.494515874994</v>
      </c>
      <c r="AJ37" s="14" t="n">
        <v>8347.943526683144</v>
      </c>
      <c r="AK37" s="14" t="n">
        <v>8844.280181794944</v>
      </c>
      <c r="AL37" s="14" t="n">
        <v>9882.300647672477</v>
      </c>
      <c r="AM37" s="14" t="n">
        <v>10495.44735522507</v>
      </c>
      <c r="AN37" s="14" t="n">
        <v>10391.43564908825</v>
      </c>
      <c r="AO37" s="14" t="n">
        <v>10752.60767488134</v>
      </c>
      <c r="AP37" s="14" t="n">
        <v>13178.37769263687</v>
      </c>
      <c r="AQ37" s="14" t="n">
        <v>12240.89684868936</v>
      </c>
      <c r="AR37" s="14" t="n">
        <v>13491.79676328007</v>
      </c>
      <c r="AS37" s="14" t="n">
        <v>12827.04842392418</v>
      </c>
      <c r="AT37" s="14" t="n">
        <v>14807.1311885734</v>
      </c>
      <c r="AU37" s="14" t="n">
        <v>16644.32454060771</v>
      </c>
      <c r="AV37" s="14" t="n">
        <v>19645.99353396606</v>
      </c>
      <c r="AW37" s="14" t="n">
        <v>17233.18511094612</v>
      </c>
      <c r="AX37" s="14" t="n">
        <v>22807.38059657631</v>
      </c>
      <c r="AY37" s="14" t="n">
        <v>22528.74143245872</v>
      </c>
      <c r="AZ37" s="14" t="n">
        <v>63817.74695389429</v>
      </c>
      <c r="BA37" s="14" t="n">
        <v>9093.670774211912</v>
      </c>
      <c r="BB37" s="14" t="n">
        <v>10164078.66619794</v>
      </c>
      <c r="BC37" s="14" t="n">
        <v>0</v>
      </c>
      <c r="BD37" s="14" t="n">
        <v>0</v>
      </c>
      <c r="BE37" s="14" t="n">
        <v>109.1651123242133</v>
      </c>
      <c r="BF37" s="14" t="n">
        <v>57.07353819876209</v>
      </c>
      <c r="BG37" s="14" t="n">
        <v>69.40125234956766</v>
      </c>
      <c r="BH37" s="14" t="n">
        <v>102.6644165535272</v>
      </c>
      <c r="BI37" s="14" t="n">
        <v>109.3917110318235</v>
      </c>
      <c r="BJ37" s="14" t="n">
        <v>96.78696043368652</v>
      </c>
      <c r="BK37" s="14" t="n">
        <v>0</v>
      </c>
      <c r="BL37" s="14" t="n">
        <v>0.007214380788911012</v>
      </c>
      <c r="BM37" s="14" t="n">
        <v>10.82265270680082</v>
      </c>
      <c r="BN37" s="14" t="n">
        <v>0</v>
      </c>
      <c r="BO37" s="14" t="n">
        <v>0</v>
      </c>
      <c r="BP37" s="14" t="n">
        <v>0</v>
      </c>
      <c r="BQ37" s="14" t="inlineStr">
        <is>
          <t>Overall|Deciles|p75|3</t>
        </is>
      </c>
    </row>
    <row r="38">
      <c r="A38" s="14" t="inlineStr">
        <is>
          <t>EGY.distn.bsh.dec.ove.p75.4</t>
        </is>
      </c>
      <c r="B38" s="14" t="inlineStr">
        <is>
          <t>EGY</t>
        </is>
      </c>
      <c r="C38" s="14" t="n">
        <v>2017</v>
      </c>
      <c r="D38" s="14" t="inlineStr">
        <is>
          <t>Overall</t>
        </is>
      </c>
      <c r="E38" s="14" t="inlineStr">
        <is>
          <t>Deciles</t>
        </is>
      </c>
      <c r="F38" s="14" t="inlineStr">
        <is>
          <t>p75</t>
        </is>
      </c>
      <c r="G38" s="14" t="n">
        <v>4</v>
      </c>
      <c r="H38" s="14" t="n">
        <v>2.169868195332135</v>
      </c>
      <c r="I38" s="14" t="n">
        <v>0</v>
      </c>
      <c r="J38" s="14" t="n">
        <v>4.648359605193971</v>
      </c>
      <c r="K38" s="14" t="n">
        <v>8.385761756897494</v>
      </c>
      <c r="L38" s="14" t="n">
        <v>0</v>
      </c>
      <c r="M38" s="14" t="n">
        <v>3.348459236520141</v>
      </c>
      <c r="N38" s="14" t="n">
        <v>0</v>
      </c>
      <c r="O38" s="14" t="n">
        <v>6.442603891758978</v>
      </c>
      <c r="P38" s="14" t="n">
        <v>0</v>
      </c>
      <c r="Q38" s="14" t="n">
        <v>3.701489294259679</v>
      </c>
      <c r="R38" s="14" t="n">
        <v>64.69253378198269</v>
      </c>
      <c r="S38" s="14" t="n">
        <v>0</v>
      </c>
      <c r="T38" s="14" t="n">
        <v>0</v>
      </c>
      <c r="U38" s="14" t="n">
        <v>5.12054469925958</v>
      </c>
      <c r="V38" s="14" t="n">
        <v>5.023855595898388</v>
      </c>
      <c r="W38" s="14" t="n">
        <v>0</v>
      </c>
      <c r="X38" s="14" t="n">
        <v>2.498949051332254</v>
      </c>
      <c r="Y38" s="14" t="n">
        <v>0</v>
      </c>
      <c r="Z38" s="14" t="n">
        <v>0</v>
      </c>
      <c r="AA38" s="14" t="n">
        <v>0</v>
      </c>
      <c r="AB38" s="14" t="n">
        <v>2.904296502109283</v>
      </c>
      <c r="AC38" s="14" t="n">
        <v>7.610898398794214</v>
      </c>
      <c r="AD38" s="14" t="n">
        <v>8.19177638683054</v>
      </c>
      <c r="AE38" s="14" t="n">
        <v>0</v>
      </c>
      <c r="AF38" s="14" t="n">
        <v>6.046505776589847</v>
      </c>
      <c r="AG38" s="14" t="n">
        <v>3166.713487507656</v>
      </c>
      <c r="AH38" s="14" t="n">
        <v>6695.518317193464</v>
      </c>
      <c r="AI38" s="14" t="n">
        <v>6999.452194432473</v>
      </c>
      <c r="AJ38" s="14" t="n">
        <v>8921.631589596469</v>
      </c>
      <c r="AK38" s="14" t="n">
        <v>9065.759534873579</v>
      </c>
      <c r="AL38" s="14" t="n">
        <v>9489.875134243499</v>
      </c>
      <c r="AM38" s="14" t="n">
        <v>9721.07384230915</v>
      </c>
      <c r="AN38" s="14" t="n">
        <v>10227.01214643864</v>
      </c>
      <c r="AO38" s="14" t="n">
        <v>11727.32133455052</v>
      </c>
      <c r="AP38" s="14" t="n">
        <v>11833.46626695378</v>
      </c>
      <c r="AQ38" s="14" t="n">
        <v>12656.84838131374</v>
      </c>
      <c r="AR38" s="14" t="n">
        <v>14176.37367181182</v>
      </c>
      <c r="AS38" s="14" t="n">
        <v>14826.01253992709</v>
      </c>
      <c r="AT38" s="14" t="n">
        <v>16729.97076472258</v>
      </c>
      <c r="AU38" s="14" t="n">
        <v>16122.13631620917</v>
      </c>
      <c r="AV38" s="14" t="n">
        <v>19016.05278159914</v>
      </c>
      <c r="AW38" s="14" t="n">
        <v>17787.56392746868</v>
      </c>
      <c r="AX38" s="14" t="n">
        <v>24358.88201761273</v>
      </c>
      <c r="AY38" s="14" t="n">
        <v>22951.84582007042</v>
      </c>
      <c r="AZ38" s="14" t="n">
        <v>64016.88129023719</v>
      </c>
      <c r="BA38" s="14" t="n">
        <v>9361.074149850083</v>
      </c>
      <c r="BB38" s="14" t="n">
        <v>10988503.6621726</v>
      </c>
      <c r="BC38" s="14" t="n">
        <v>0</v>
      </c>
      <c r="BD38" s="14" t="n">
        <v>0</v>
      </c>
      <c r="BE38" s="14" t="n">
        <v>112.6436509415727</v>
      </c>
      <c r="BF38" s="14" t="n">
        <v>62.77814695511909</v>
      </c>
      <c r="BG38" s="14" t="n">
        <v>78.02627644971697</v>
      </c>
      <c r="BH38" s="14" t="n">
        <v>100.7653095837085</v>
      </c>
      <c r="BI38" s="14" t="n">
        <v>108.2345887350728</v>
      </c>
      <c r="BJ38" s="14" t="n">
        <v>95.66905226316118</v>
      </c>
      <c r="BK38" s="14" t="n">
        <v>0</v>
      </c>
      <c r="BL38" s="14" t="n">
        <v>0</v>
      </c>
      <c r="BM38" s="14" t="n">
        <v>4.935198459830294</v>
      </c>
      <c r="BN38" s="14" t="n">
        <v>0</v>
      </c>
      <c r="BO38" s="14" t="n">
        <v>0</v>
      </c>
      <c r="BP38" s="14" t="n">
        <v>0</v>
      </c>
      <c r="BQ38" s="14" t="inlineStr">
        <is>
          <t>Overall|Deciles|p75|4</t>
        </is>
      </c>
    </row>
    <row r="39">
      <c r="A39" s="14" t="inlineStr">
        <is>
          <t>EGY.distn.bsh.dec.ove.p75.5</t>
        </is>
      </c>
      <c r="B39" s="14" t="inlineStr">
        <is>
          <t>EGY</t>
        </is>
      </c>
      <c r="C39" s="14" t="n">
        <v>2017</v>
      </c>
      <c r="D39" s="14" t="inlineStr">
        <is>
          <t>Overall</t>
        </is>
      </c>
      <c r="E39" s="14" t="inlineStr">
        <is>
          <t>Deciles</t>
        </is>
      </c>
      <c r="F39" s="14" t="inlineStr">
        <is>
          <t>p75</t>
        </is>
      </c>
      <c r="G39" s="14" t="n">
        <v>5</v>
      </c>
      <c r="H39" s="14" t="n">
        <v>2.18926544466892</v>
      </c>
      <c r="I39" s="14" t="n">
        <v>0</v>
      </c>
      <c r="J39" s="14" t="n">
        <v>4.253693018638926</v>
      </c>
      <c r="K39" s="14" t="n">
        <v>8.719447696172985</v>
      </c>
      <c r="L39" s="14" t="n">
        <v>0</v>
      </c>
      <c r="M39" s="14" t="n">
        <v>3.866509307413483</v>
      </c>
      <c r="N39" s="14" t="n">
        <v>0</v>
      </c>
      <c r="O39" s="14" t="n">
        <v>6.665923951652353</v>
      </c>
      <c r="P39" s="14" t="n">
        <v>0</v>
      </c>
      <c r="Q39" s="14" t="n">
        <v>4.077754138737036</v>
      </c>
      <c r="R39" s="14" t="n">
        <v>63.40602057903837</v>
      </c>
      <c r="S39" s="14" t="n">
        <v>0</v>
      </c>
      <c r="T39" s="14" t="n">
        <v>0</v>
      </c>
      <c r="U39" s="14" t="n">
        <v>5.144980561845382</v>
      </c>
      <c r="V39" s="14" t="n">
        <v>4.730143261875517</v>
      </c>
      <c r="W39" s="14" t="n">
        <v>0</v>
      </c>
      <c r="X39" s="14" t="n">
        <v>2.340991569552433</v>
      </c>
      <c r="Y39" s="14" t="n">
        <v>0.569677801035152</v>
      </c>
      <c r="Z39" s="14" t="n">
        <v>0</v>
      </c>
      <c r="AA39" s="14" t="n">
        <v>0</v>
      </c>
      <c r="AB39" s="14" t="n">
        <v>2.819473852376445</v>
      </c>
      <c r="AC39" s="14" t="n">
        <v>7.459961467410314</v>
      </c>
      <c r="AD39" s="14" t="n">
        <v>8.427473758513615</v>
      </c>
      <c r="AE39" s="14" t="n">
        <v>0</v>
      </c>
      <c r="AF39" s="14" t="n">
        <v>5.878773832366233</v>
      </c>
      <c r="AG39" s="14" t="n">
        <v>3023.442064841825</v>
      </c>
      <c r="AH39" s="14" t="n">
        <v>7650.657466256962</v>
      </c>
      <c r="AI39" s="14" t="n">
        <v>7345.048324281606</v>
      </c>
      <c r="AJ39" s="14" t="n">
        <v>7989.761011899232</v>
      </c>
      <c r="AK39" s="14" t="n">
        <v>9233.580137161773</v>
      </c>
      <c r="AL39" s="14" t="n">
        <v>9663.294687581212</v>
      </c>
      <c r="AM39" s="14" t="n">
        <v>10196.80863372318</v>
      </c>
      <c r="AN39" s="14" t="n">
        <v>11687.42873114523</v>
      </c>
      <c r="AO39" s="14" t="n">
        <v>10399.37431558772</v>
      </c>
      <c r="AP39" s="14" t="n">
        <v>12289.61507996573</v>
      </c>
      <c r="AQ39" s="14" t="n">
        <v>12276.52962098761</v>
      </c>
      <c r="AR39" s="14" t="n">
        <v>13643.32436086204</v>
      </c>
      <c r="AS39" s="14" t="n">
        <v>14470.93948522453</v>
      </c>
      <c r="AT39" s="14" t="n">
        <v>16691.78671966124</v>
      </c>
      <c r="AU39" s="14" t="n">
        <v>15990.95709868005</v>
      </c>
      <c r="AV39" s="14" t="n">
        <v>18225.30517487731</v>
      </c>
      <c r="AW39" s="14" t="n">
        <v>17218.31543243797</v>
      </c>
      <c r="AX39" s="14" t="n">
        <v>21843.05010996354</v>
      </c>
      <c r="AY39" s="14" t="n">
        <v>24900.78855756902</v>
      </c>
      <c r="AZ39" s="14" t="n">
        <v>60430.54271664744</v>
      </c>
      <c r="BA39" s="14" t="n">
        <v>10815.20015566682</v>
      </c>
      <c r="BB39" s="14" t="n">
        <v>11207322.26612936</v>
      </c>
      <c r="BC39" s="14" t="n">
        <v>0</v>
      </c>
      <c r="BD39" s="14" t="n">
        <v>0</v>
      </c>
      <c r="BE39" s="14" t="n">
        <v>101.6150170389098</v>
      </c>
      <c r="BF39" s="14" t="n">
        <v>71.10396973695596</v>
      </c>
      <c r="BG39" s="14" t="n">
        <v>85.47206051301026</v>
      </c>
      <c r="BH39" s="14" t="n">
        <v>107.3294903493971</v>
      </c>
      <c r="BI39" s="14" t="n">
        <v>114.3336318199725</v>
      </c>
      <c r="BJ39" s="14" t="n">
        <v>100.3352036627885</v>
      </c>
      <c r="BK39" s="14" t="n">
        <v>0</v>
      </c>
      <c r="BL39" s="14" t="n">
        <v>0</v>
      </c>
      <c r="BM39" s="14" t="n">
        <v>0.6747954554579196</v>
      </c>
      <c r="BN39" s="14" t="n">
        <v>0</v>
      </c>
      <c r="BO39" s="14" t="n">
        <v>0</v>
      </c>
      <c r="BP39" s="14" t="n">
        <v>0</v>
      </c>
      <c r="BQ39" s="14" t="inlineStr">
        <is>
          <t>Overall|Deciles|p75|5</t>
        </is>
      </c>
    </row>
    <row r="40">
      <c r="A40" s="14" t="inlineStr">
        <is>
          <t>EGY.distn.bsh.dec.ove.p75.6</t>
        </is>
      </c>
      <c r="B40" s="14" t="inlineStr">
        <is>
          <t>EGY</t>
        </is>
      </c>
      <c r="C40" s="14" t="n">
        <v>2017</v>
      </c>
      <c r="D40" s="14" t="inlineStr">
        <is>
          <t>Overall</t>
        </is>
      </c>
      <c r="E40" s="14" t="inlineStr">
        <is>
          <t>Deciles</t>
        </is>
      </c>
      <c r="F40" s="14" t="inlineStr">
        <is>
          <t>p75</t>
        </is>
      </c>
      <c r="G40" s="14" t="n">
        <v>6</v>
      </c>
      <c r="H40" s="14" t="n">
        <v>2.1263403607983</v>
      </c>
      <c r="I40" s="14" t="n">
        <v>0</v>
      </c>
      <c r="J40" s="14" t="n">
        <v>4.638816245323394</v>
      </c>
      <c r="K40" s="14" t="n">
        <v>7.990535475978241</v>
      </c>
      <c r="L40" s="14" t="n">
        <v>0</v>
      </c>
      <c r="M40" s="14" t="n">
        <v>3.852333722556093</v>
      </c>
      <c r="N40" s="14" t="n">
        <v>0</v>
      </c>
      <c r="O40" s="14" t="n">
        <v>6.651734936403765</v>
      </c>
      <c r="P40" s="14" t="n">
        <v>0</v>
      </c>
      <c r="Q40" s="14" t="n">
        <v>4.042439431360073</v>
      </c>
      <c r="R40" s="14" t="n">
        <v>66.51202513732503</v>
      </c>
      <c r="S40" s="14" t="n">
        <v>0</v>
      </c>
      <c r="T40" s="14" t="n">
        <v>0</v>
      </c>
      <c r="U40" s="14" t="n">
        <v>5.573868984136382</v>
      </c>
      <c r="V40" s="14" t="n">
        <v>5.127275075024962</v>
      </c>
      <c r="W40" s="14" t="n">
        <v>0</v>
      </c>
      <c r="X40" s="14" t="n">
        <v>2.387565015270499</v>
      </c>
      <c r="Y40" s="14" t="n">
        <v>0.5874956041084974</v>
      </c>
      <c r="Z40" s="14" t="n">
        <v>0</v>
      </c>
      <c r="AA40" s="14" t="n">
        <v>0</v>
      </c>
      <c r="AB40" s="14" t="n">
        <v>2.859232869805181</v>
      </c>
      <c r="AC40" s="14" t="n">
        <v>9.232404669426312</v>
      </c>
      <c r="AD40" s="14" t="n">
        <v>8.681139025047788</v>
      </c>
      <c r="AE40" s="14" t="n">
        <v>0</v>
      </c>
      <c r="AF40" s="14" t="n">
        <v>5.688144129532662</v>
      </c>
      <c r="AG40" s="14" t="n">
        <v>3015.330273369595</v>
      </c>
      <c r="AH40" s="14" t="n">
        <v>7354.716446235583</v>
      </c>
      <c r="AI40" s="14" t="n">
        <v>7759.461935501348</v>
      </c>
      <c r="AJ40" s="14" t="n">
        <v>9189.512204499237</v>
      </c>
      <c r="AK40" s="14" t="n">
        <v>8957.248861725404</v>
      </c>
      <c r="AL40" s="14" t="n">
        <v>9282.161676367152</v>
      </c>
      <c r="AM40" s="14" t="n">
        <v>10115.2372943907</v>
      </c>
      <c r="AN40" s="14" t="n">
        <v>10564.59728461556</v>
      </c>
      <c r="AO40" s="14" t="n">
        <v>10891.03446817319</v>
      </c>
      <c r="AP40" s="14" t="n">
        <v>12195.59558564202</v>
      </c>
      <c r="AQ40" s="14" t="n">
        <v>11513.91118322989</v>
      </c>
      <c r="AR40" s="14" t="n">
        <v>13121.13541823336</v>
      </c>
      <c r="AS40" s="14" t="n">
        <v>14408.28391806286</v>
      </c>
      <c r="AT40" s="14" t="n">
        <v>15061.1902726863</v>
      </c>
      <c r="AU40" s="14" t="n">
        <v>16434.24094974695</v>
      </c>
      <c r="AV40" s="14" t="n">
        <v>18416.84386099566</v>
      </c>
      <c r="AW40" s="14" t="n">
        <v>17695.38477904157</v>
      </c>
      <c r="AX40" s="14" t="n">
        <v>21813.51421537333</v>
      </c>
      <c r="AY40" s="14" t="n">
        <v>22030.96042923474</v>
      </c>
      <c r="AZ40" s="14" t="n">
        <v>66103.54928422318</v>
      </c>
      <c r="BA40" s="14" t="n">
        <v>12215.08063951095</v>
      </c>
      <c r="BB40" s="14" t="n">
        <v>10369503.05420271</v>
      </c>
      <c r="BC40" s="14" t="n">
        <v>0</v>
      </c>
      <c r="BD40" s="14" t="n">
        <v>0</v>
      </c>
      <c r="BE40" s="14" t="n">
        <v>108.1330911500895</v>
      </c>
      <c r="BF40" s="14" t="n">
        <v>80.03914300228934</v>
      </c>
      <c r="BG40" s="14" t="n">
        <v>83.27005872933461</v>
      </c>
      <c r="BH40" s="14" t="n">
        <v>111.9320168493733</v>
      </c>
      <c r="BI40" s="14" t="n">
        <v>100.1026251959173</v>
      </c>
      <c r="BJ40" s="14" t="n">
        <v>100.549590253373</v>
      </c>
      <c r="BK40" s="14" t="n">
        <v>0</v>
      </c>
      <c r="BL40" s="14" t="n">
        <v>0</v>
      </c>
      <c r="BM40" s="14" t="n">
        <v>0.1610144156173533</v>
      </c>
      <c r="BN40" s="14" t="n">
        <v>0</v>
      </c>
      <c r="BO40" s="14" t="n">
        <v>0</v>
      </c>
      <c r="BP40" s="14" t="n">
        <v>0</v>
      </c>
      <c r="BQ40" s="14" t="inlineStr">
        <is>
          <t>Overall|Deciles|p75|6</t>
        </is>
      </c>
    </row>
    <row r="41">
      <c r="A41" s="14" t="inlineStr">
        <is>
          <t>EGY.distn.bsh.dec.ove.p75.7</t>
        </is>
      </c>
      <c r="B41" s="14" t="inlineStr">
        <is>
          <t>EGY</t>
        </is>
      </c>
      <c r="C41" s="14" t="n">
        <v>2017</v>
      </c>
      <c r="D41" s="14" t="inlineStr">
        <is>
          <t>Overall</t>
        </is>
      </c>
      <c r="E41" s="14" t="inlineStr">
        <is>
          <t>Deciles</t>
        </is>
      </c>
      <c r="F41" s="14" t="inlineStr">
        <is>
          <t>p75</t>
        </is>
      </c>
      <c r="G41" s="14" t="n">
        <v>7</v>
      </c>
      <c r="H41" s="14" t="n">
        <v>2.051237985662573</v>
      </c>
      <c r="I41" s="14" t="n">
        <v>0</v>
      </c>
      <c r="J41" s="14" t="n">
        <v>4.128895384294948</v>
      </c>
      <c r="K41" s="14" t="n">
        <v>8.07722170949229</v>
      </c>
      <c r="L41" s="14" t="n">
        <v>0</v>
      </c>
      <c r="M41" s="14" t="n">
        <v>3.880668446454759</v>
      </c>
      <c r="N41" s="14" t="n">
        <v>0</v>
      </c>
      <c r="O41" s="14" t="n">
        <v>5.829937947502372</v>
      </c>
      <c r="P41" s="14" t="n">
        <v>0</v>
      </c>
      <c r="Q41" s="14" t="n">
        <v>4.288827244797848</v>
      </c>
      <c r="R41" s="14" t="n">
        <v>63.50794069873487</v>
      </c>
      <c r="S41" s="14" t="n">
        <v>0</v>
      </c>
      <c r="T41" s="14" t="n">
        <v>0</v>
      </c>
      <c r="U41" s="14" t="n">
        <v>6.143029131960839</v>
      </c>
      <c r="V41" s="14" t="n">
        <v>5.542090030999264</v>
      </c>
      <c r="W41" s="14" t="n">
        <v>0</v>
      </c>
      <c r="X41" s="14" t="n">
        <v>2.198072459884926</v>
      </c>
      <c r="Y41" s="14" t="n">
        <v>0.5973781603347311</v>
      </c>
      <c r="Z41" s="14" t="n">
        <v>0</v>
      </c>
      <c r="AA41" s="14" t="n">
        <v>0</v>
      </c>
      <c r="AB41" s="14" t="n">
        <v>2.543428929854575</v>
      </c>
      <c r="AC41" s="14" t="n">
        <v>9.011688304330459</v>
      </c>
      <c r="AD41" s="14" t="n">
        <v>8.912475628905078</v>
      </c>
      <c r="AE41" s="14" t="n">
        <v>0</v>
      </c>
      <c r="AF41" s="14" t="n">
        <v>6.417299052934871</v>
      </c>
      <c r="AG41" s="14" t="n">
        <v>2967.866410348725</v>
      </c>
      <c r="AH41" s="14" t="n">
        <v>7335.637869898334</v>
      </c>
      <c r="AI41" s="14" t="n">
        <v>6752.346003398145</v>
      </c>
      <c r="AJ41" s="14" t="n">
        <v>7905.932619600364</v>
      </c>
      <c r="AK41" s="14" t="n">
        <v>9238.784403639869</v>
      </c>
      <c r="AL41" s="14" t="n">
        <v>10063.94499776024</v>
      </c>
      <c r="AM41" s="14" t="n">
        <v>9576.122348015413</v>
      </c>
      <c r="AN41" s="14" t="n">
        <v>11032.02084598363</v>
      </c>
      <c r="AO41" s="14" t="n">
        <v>10731.19528000334</v>
      </c>
      <c r="AP41" s="14" t="n">
        <v>12129.91662966265</v>
      </c>
      <c r="AQ41" s="14" t="n">
        <v>11821.45657062509</v>
      </c>
      <c r="AR41" s="14" t="n">
        <v>13589.86294903902</v>
      </c>
      <c r="AS41" s="14" t="n">
        <v>13081.96096773727</v>
      </c>
      <c r="AT41" s="14" t="n">
        <v>15755.55817241087</v>
      </c>
      <c r="AU41" s="14" t="n">
        <v>16148.13440496149</v>
      </c>
      <c r="AV41" s="14" t="n">
        <v>17408.50446253211</v>
      </c>
      <c r="AW41" s="14" t="n">
        <v>19612.69739968136</v>
      </c>
      <c r="AX41" s="14" t="n">
        <v>22137.76043460524</v>
      </c>
      <c r="AY41" s="14" t="n">
        <v>24433.60253257288</v>
      </c>
      <c r="AZ41" s="14" t="n">
        <v>67128.17185391698</v>
      </c>
      <c r="BA41" s="14" t="n">
        <v>13814.96331175612</v>
      </c>
      <c r="BB41" s="14" t="n">
        <v>9947880.533958191</v>
      </c>
      <c r="BC41" s="14" t="n">
        <v>0</v>
      </c>
      <c r="BD41" s="14" t="n">
        <v>0</v>
      </c>
      <c r="BE41" s="14" t="n">
        <v>99.56668959294097</v>
      </c>
      <c r="BF41" s="14" t="n">
        <v>73.39099419809368</v>
      </c>
      <c r="BG41" s="14" t="n">
        <v>93.61527910646981</v>
      </c>
      <c r="BH41" s="14" t="n">
        <v>102.1047525237005</v>
      </c>
      <c r="BI41" s="14" t="n">
        <v>100.3415223327265</v>
      </c>
      <c r="BJ41" s="14" t="n">
        <v>103.2052971302594</v>
      </c>
      <c r="BK41" s="14" t="n">
        <v>0</v>
      </c>
      <c r="BL41" s="14" t="n">
        <v>0</v>
      </c>
      <c r="BM41" s="14" t="n">
        <v>0.03161065784700496</v>
      </c>
      <c r="BN41" s="14" t="n">
        <v>0</v>
      </c>
      <c r="BO41" s="14" t="n">
        <v>0</v>
      </c>
      <c r="BP41" s="14" t="n">
        <v>0</v>
      </c>
      <c r="BQ41" s="14" t="inlineStr">
        <is>
          <t>Overall|Deciles|p75|7</t>
        </is>
      </c>
    </row>
    <row r="42">
      <c r="A42" s="14" t="inlineStr">
        <is>
          <t>EGY.distn.bsh.dec.ove.p75.8</t>
        </is>
      </c>
      <c r="B42" s="14" t="inlineStr">
        <is>
          <t>EGY</t>
        </is>
      </c>
      <c r="C42" s="14" t="n">
        <v>2017</v>
      </c>
      <c r="D42" s="14" t="inlineStr">
        <is>
          <t>Overall</t>
        </is>
      </c>
      <c r="E42" s="14" t="inlineStr">
        <is>
          <t>Deciles</t>
        </is>
      </c>
      <c r="F42" s="14" t="inlineStr">
        <is>
          <t>p75</t>
        </is>
      </c>
      <c r="G42" s="14" t="n">
        <v>8</v>
      </c>
      <c r="H42" s="14" t="n">
        <v>2.001293155922514</v>
      </c>
      <c r="I42" s="14" t="n">
        <v>0</v>
      </c>
      <c r="J42" s="14" t="n">
        <v>4.347281760166021</v>
      </c>
      <c r="K42" s="14" t="n">
        <v>7.416062293857076</v>
      </c>
      <c r="L42" s="14" t="n">
        <v>0</v>
      </c>
      <c r="M42" s="14" t="n">
        <v>4.431949806743237</v>
      </c>
      <c r="N42" s="14" t="n">
        <v>0</v>
      </c>
      <c r="O42" s="14" t="n">
        <v>4.731202726732556</v>
      </c>
      <c r="P42" s="14" t="n">
        <v>0</v>
      </c>
      <c r="Q42" s="14" t="n">
        <v>4.376073836297226</v>
      </c>
      <c r="R42" s="14" t="n">
        <v>66.29298079347785</v>
      </c>
      <c r="S42" s="14" t="n">
        <v>0</v>
      </c>
      <c r="T42" s="14" t="n">
        <v>0</v>
      </c>
      <c r="U42" s="14" t="n">
        <v>6.480171970376049</v>
      </c>
      <c r="V42" s="14" t="n">
        <v>5.515610242065806</v>
      </c>
      <c r="W42" s="14" t="n">
        <v>0</v>
      </c>
      <c r="X42" s="14" t="n">
        <v>2.396174996892035</v>
      </c>
      <c r="Y42" s="14" t="n">
        <v>0.6672186533940755</v>
      </c>
      <c r="Z42" s="14" t="n">
        <v>0</v>
      </c>
      <c r="AA42" s="14" t="n">
        <v>0</v>
      </c>
      <c r="AB42" s="14" t="n">
        <v>2.161726573210089</v>
      </c>
      <c r="AC42" s="14" t="n">
        <v>11.76004811902087</v>
      </c>
      <c r="AD42" s="14" t="n">
        <v>8.600644768788587</v>
      </c>
      <c r="AE42" s="14" t="n">
        <v>0</v>
      </c>
      <c r="AF42" s="14" t="n">
        <v>6.365412721526583</v>
      </c>
      <c r="AG42" s="14" t="n">
        <v>3160.421212910721</v>
      </c>
      <c r="AH42" s="14" t="n">
        <v>7097.79150998838</v>
      </c>
      <c r="AI42" s="14" t="n">
        <v>7480.803396147455</v>
      </c>
      <c r="AJ42" s="14" t="n">
        <v>9015.265240330551</v>
      </c>
      <c r="AK42" s="14" t="n">
        <v>8706.427296213353</v>
      </c>
      <c r="AL42" s="14" t="n">
        <v>9426.407127403138</v>
      </c>
      <c r="AM42" s="14" t="n">
        <v>10383.35917732648</v>
      </c>
      <c r="AN42" s="14" t="n">
        <v>11273.20712780377</v>
      </c>
      <c r="AO42" s="14" t="n">
        <v>11491.66213454817</v>
      </c>
      <c r="AP42" s="14" t="n">
        <v>12132.07381132078</v>
      </c>
      <c r="AQ42" s="14" t="n">
        <v>11799.41067900532</v>
      </c>
      <c r="AR42" s="14" t="n">
        <v>13090.53512498904</v>
      </c>
      <c r="AS42" s="14" t="n">
        <v>14492.78053030906</v>
      </c>
      <c r="AT42" s="14" t="n">
        <v>14789.50061111705</v>
      </c>
      <c r="AU42" s="14" t="n">
        <v>16545.01264204367</v>
      </c>
      <c r="AV42" s="14" t="n">
        <v>17845.38035621291</v>
      </c>
      <c r="AW42" s="14" t="n">
        <v>17993.69785220218</v>
      </c>
      <c r="AX42" s="14" t="n">
        <v>22933.20509959048</v>
      </c>
      <c r="AY42" s="14" t="n">
        <v>21849.90565728664</v>
      </c>
      <c r="AZ42" s="14" t="n">
        <v>66296.18649565666</v>
      </c>
      <c r="BA42" s="14" t="n">
        <v>17103.73755090748</v>
      </c>
      <c r="BB42" s="14" t="n">
        <v>10081276.83800329</v>
      </c>
      <c r="BC42" s="14" t="n">
        <v>0</v>
      </c>
      <c r="BD42" s="14" t="n">
        <v>0</v>
      </c>
      <c r="BE42" s="14" t="n">
        <v>104.2484642216728</v>
      </c>
      <c r="BF42" s="14" t="n">
        <v>77.5701576546396</v>
      </c>
      <c r="BG42" s="14" t="n">
        <v>93.71822596496762</v>
      </c>
      <c r="BH42" s="14" t="n">
        <v>103.4753491789046</v>
      </c>
      <c r="BI42" s="14" t="n">
        <v>110.0612486324917</v>
      </c>
      <c r="BJ42" s="14" t="n">
        <v>96.52450913695323</v>
      </c>
      <c r="BK42" s="14" t="n">
        <v>0</v>
      </c>
      <c r="BL42" s="14" t="n">
        <v>0</v>
      </c>
      <c r="BM42" s="14" t="n">
        <v>0.01868178104283637</v>
      </c>
      <c r="BN42" s="14" t="n">
        <v>0</v>
      </c>
      <c r="BO42" s="14" t="n">
        <v>0</v>
      </c>
      <c r="BP42" s="14" t="n">
        <v>0</v>
      </c>
      <c r="BQ42" s="14" t="inlineStr">
        <is>
          <t>Overall|Deciles|p75|8</t>
        </is>
      </c>
    </row>
    <row r="43">
      <c r="A43" s="14" t="inlineStr">
        <is>
          <t>EGY.distn.bsh.dec.ove.p75.9</t>
        </is>
      </c>
      <c r="B43" s="14" t="inlineStr">
        <is>
          <t>EGY</t>
        </is>
      </c>
      <c r="C43" s="14" t="n">
        <v>2017</v>
      </c>
      <c r="D43" s="14" t="inlineStr">
        <is>
          <t>Overall</t>
        </is>
      </c>
      <c r="E43" s="14" t="inlineStr">
        <is>
          <t>Deciles</t>
        </is>
      </c>
      <c r="F43" s="14" t="inlineStr">
        <is>
          <t>p75</t>
        </is>
      </c>
      <c r="G43" s="14" t="n">
        <v>9</v>
      </c>
      <c r="H43" s="14" t="n">
        <v>2.044038628747588</v>
      </c>
      <c r="I43" s="14" t="n">
        <v>0</v>
      </c>
      <c r="J43" s="14" t="n">
        <v>4.214525389412367</v>
      </c>
      <c r="K43" s="14" t="n">
        <v>7.120534321392113</v>
      </c>
      <c r="L43" s="14" t="n">
        <v>0</v>
      </c>
      <c r="M43" s="14" t="n">
        <v>4.340423148015798</v>
      </c>
      <c r="N43" s="14" t="n">
        <v>0</v>
      </c>
      <c r="O43" s="14" t="n">
        <v>2.709489304267978</v>
      </c>
      <c r="P43" s="14" t="n">
        <v>0</v>
      </c>
      <c r="Q43" s="14" t="n">
        <v>4.192536611282153</v>
      </c>
      <c r="R43" s="14" t="n">
        <v>64.95426753848319</v>
      </c>
      <c r="S43" s="14" t="n">
        <v>0</v>
      </c>
      <c r="T43" s="14" t="n">
        <v>0</v>
      </c>
      <c r="U43" s="14" t="n">
        <v>6.003144139509589</v>
      </c>
      <c r="V43" s="14" t="n">
        <v>5.162824684639615</v>
      </c>
      <c r="W43" s="14" t="n">
        <v>0</v>
      </c>
      <c r="X43" s="14" t="n">
        <v>2.106865696248047</v>
      </c>
      <c r="Y43" s="14" t="n">
        <v>0.7508378287459833</v>
      </c>
      <c r="Z43" s="14" t="n">
        <v>0</v>
      </c>
      <c r="AA43" s="14" t="n">
        <v>0</v>
      </c>
      <c r="AB43" s="14" t="n">
        <v>1.537192047395181</v>
      </c>
      <c r="AC43" s="14" t="n">
        <v>11.67728505248159</v>
      </c>
      <c r="AD43" s="14" t="n">
        <v>8.800672050194143</v>
      </c>
      <c r="AE43" s="14" t="n">
        <v>0</v>
      </c>
      <c r="AF43" s="14" t="n">
        <v>6.278816500443933</v>
      </c>
      <c r="AG43" s="14" t="n">
        <v>3396.536945280967</v>
      </c>
      <c r="AH43" s="14" t="n">
        <v>7143.290624811535</v>
      </c>
      <c r="AI43" s="14" t="n">
        <v>6785.960828768363</v>
      </c>
      <c r="AJ43" s="14" t="n">
        <v>8892.970758710806</v>
      </c>
      <c r="AK43" s="14" t="n">
        <v>9160.655231961791</v>
      </c>
      <c r="AL43" s="14" t="n">
        <v>9314.769709368529</v>
      </c>
      <c r="AM43" s="14" t="n">
        <v>10169.85687876148</v>
      </c>
      <c r="AN43" s="14" t="n">
        <v>10517.63656711651</v>
      </c>
      <c r="AO43" s="14" t="n">
        <v>11749.12274900055</v>
      </c>
      <c r="AP43" s="14" t="n">
        <v>13033.87693812497</v>
      </c>
      <c r="AQ43" s="14" t="n">
        <v>12553.3069922912</v>
      </c>
      <c r="AR43" s="14" t="n">
        <v>13770.47241808715</v>
      </c>
      <c r="AS43" s="14" t="n">
        <v>13116.66180408725</v>
      </c>
      <c r="AT43" s="14" t="n">
        <v>16750.39409436449</v>
      </c>
      <c r="AU43" s="14" t="n">
        <v>16777.17363674413</v>
      </c>
      <c r="AV43" s="14" t="n">
        <v>18499.69728197626</v>
      </c>
      <c r="AW43" s="14" t="n">
        <v>17345.01934613538</v>
      </c>
      <c r="AX43" s="14" t="n">
        <v>22502.7655870173</v>
      </c>
      <c r="AY43" s="14" t="n">
        <v>22648.28180545212</v>
      </c>
      <c r="AZ43" s="14" t="n">
        <v>64564.01920081115</v>
      </c>
      <c r="BA43" s="14" t="n">
        <v>18835.84811053006</v>
      </c>
      <c r="BB43" s="14" t="n">
        <v>11247852.03420042</v>
      </c>
      <c r="BC43" s="14" t="n">
        <v>0</v>
      </c>
      <c r="BD43" s="14" t="n">
        <v>0</v>
      </c>
      <c r="BE43" s="14" t="n">
        <v>102.131842252505</v>
      </c>
      <c r="BF43" s="14" t="n">
        <v>67.40347363845174</v>
      </c>
      <c r="BG43" s="14" t="n">
        <v>91.92597898413584</v>
      </c>
      <c r="BH43" s="14" t="n">
        <v>98.51071895615112</v>
      </c>
      <c r="BI43" s="14" t="n">
        <v>111.9733740945831</v>
      </c>
      <c r="BJ43" s="14" t="n">
        <v>92.71880794243955</v>
      </c>
      <c r="BK43" s="14" t="n">
        <v>0</v>
      </c>
      <c r="BL43" s="14" t="n">
        <v>0</v>
      </c>
      <c r="BM43" s="14" t="n">
        <v>0</v>
      </c>
      <c r="BN43" s="14" t="n">
        <v>0</v>
      </c>
      <c r="BO43" s="14" t="n">
        <v>0</v>
      </c>
      <c r="BP43" s="14" t="n">
        <v>0</v>
      </c>
      <c r="BQ43" s="14" t="inlineStr">
        <is>
          <t>Overall|Deciles|p75|9</t>
        </is>
      </c>
    </row>
    <row r="44">
      <c r="A44" s="14" t="inlineStr">
        <is>
          <t>EGY.distn.bsh.dec.ove.p75.10</t>
        </is>
      </c>
      <c r="B44" s="14" t="inlineStr">
        <is>
          <t>EGY</t>
        </is>
      </c>
      <c r="C44" s="14" t="n">
        <v>2017</v>
      </c>
      <c r="D44" s="14" t="inlineStr">
        <is>
          <t>Overall</t>
        </is>
      </c>
      <c r="E44" s="14" t="inlineStr">
        <is>
          <t>Deciles</t>
        </is>
      </c>
      <c r="F44" s="14" t="inlineStr">
        <is>
          <t>p75</t>
        </is>
      </c>
      <c r="G44" s="14" t="n">
        <v>10</v>
      </c>
      <c r="H44" s="14" t="n">
        <v>2.152965848207607</v>
      </c>
      <c r="I44" s="14" t="n">
        <v>0</v>
      </c>
      <c r="J44" s="14" t="n">
        <v>4.718396276785673</v>
      </c>
      <c r="K44" s="14" t="n">
        <v>6.07440452790843</v>
      </c>
      <c r="L44" s="14" t="n">
        <v>0</v>
      </c>
      <c r="M44" s="14" t="n">
        <v>4.285880794356982</v>
      </c>
      <c r="N44" s="14" t="n">
        <v>0</v>
      </c>
      <c r="O44" s="14" t="n">
        <v>0</v>
      </c>
      <c r="P44" s="14" t="n">
        <v>0</v>
      </c>
      <c r="Q44" s="14" t="n">
        <v>4.608834535896291</v>
      </c>
      <c r="R44" s="14" t="n">
        <v>59.64801739542674</v>
      </c>
      <c r="S44" s="14" t="n">
        <v>0</v>
      </c>
      <c r="T44" s="14" t="n">
        <v>0</v>
      </c>
      <c r="U44" s="14" t="n">
        <v>7.252352926031588</v>
      </c>
      <c r="V44" s="14" t="n">
        <v>7.225237716915191</v>
      </c>
      <c r="W44" s="14" t="n">
        <v>0</v>
      </c>
      <c r="X44" s="14" t="n">
        <v>2.025956551781546</v>
      </c>
      <c r="Y44" s="14" t="n">
        <v>0.9145550793424962</v>
      </c>
      <c r="Z44" s="14" t="n">
        <v>0</v>
      </c>
      <c r="AA44" s="14" t="n">
        <v>0</v>
      </c>
      <c r="AB44" s="14" t="n">
        <v>0.9724310919507665</v>
      </c>
      <c r="AC44" s="14" t="n">
        <v>16.05125064597434</v>
      </c>
      <c r="AD44" s="14" t="n">
        <v>9.922555863543224</v>
      </c>
      <c r="AE44" s="14" t="n">
        <v>0</v>
      </c>
      <c r="AF44" s="14" t="n">
        <v>6.128547541246723</v>
      </c>
      <c r="AG44" s="14" t="n">
        <v>3081.236268717481</v>
      </c>
      <c r="AH44" s="14" t="n">
        <v>7482.765713875424</v>
      </c>
      <c r="AI44" s="14" t="n">
        <v>6983.989561749036</v>
      </c>
      <c r="AJ44" s="14" t="n">
        <v>8982.065745824664</v>
      </c>
      <c r="AK44" s="14" t="n">
        <v>8058.145854260802</v>
      </c>
      <c r="AL44" s="14" t="n">
        <v>9027.965394534103</v>
      </c>
      <c r="AM44" s="14" t="n">
        <v>10462.08039231358</v>
      </c>
      <c r="AN44" s="14" t="n">
        <v>11751.01142003962</v>
      </c>
      <c r="AO44" s="14" t="n">
        <v>11751.93142980221</v>
      </c>
      <c r="AP44" s="14" t="n">
        <v>12644.85087184419</v>
      </c>
      <c r="AQ44" s="14" t="n">
        <v>13118.512176146</v>
      </c>
      <c r="AR44" s="14" t="n">
        <v>13172.20179408528</v>
      </c>
      <c r="AS44" s="14" t="n">
        <v>14502.82209965688</v>
      </c>
      <c r="AT44" s="14" t="n">
        <v>16339.27409741403</v>
      </c>
      <c r="AU44" s="14" t="n">
        <v>16994.40250237625</v>
      </c>
      <c r="AV44" s="14" t="n">
        <v>19515.03698442629</v>
      </c>
      <c r="AW44" s="14" t="n">
        <v>19448.73649077034</v>
      </c>
      <c r="AX44" s="14" t="n">
        <v>21703.35463709341</v>
      </c>
      <c r="AY44" s="14" t="n">
        <v>22823.78589644437</v>
      </c>
      <c r="AZ44" s="14" t="n">
        <v>66428.27188203896</v>
      </c>
      <c r="BA44" s="14" t="n">
        <v>30141.73626321799</v>
      </c>
      <c r="BB44" s="14" t="n">
        <v>10510734.92700314</v>
      </c>
      <c r="BC44" s="14" t="n">
        <v>0</v>
      </c>
      <c r="BD44" s="14" t="n">
        <v>0</v>
      </c>
      <c r="BE44" s="14" t="n">
        <v>114.034819727113</v>
      </c>
      <c r="BF44" s="14" t="n">
        <v>63.23686869576623</v>
      </c>
      <c r="BG44" s="14" t="n">
        <v>101.4412338774534</v>
      </c>
      <c r="BH44" s="14" t="n">
        <v>104.7874011947275</v>
      </c>
      <c r="BI44" s="14" t="n">
        <v>103.5705441449378</v>
      </c>
      <c r="BJ44" s="14" t="n">
        <v>95.71682727912381</v>
      </c>
      <c r="BK44" s="14" t="n">
        <v>0</v>
      </c>
      <c r="BL44" s="14" t="n">
        <v>0</v>
      </c>
      <c r="BM44" s="14" t="n">
        <v>0</v>
      </c>
      <c r="BN44" s="14" t="n">
        <v>0</v>
      </c>
      <c r="BO44" s="14" t="n">
        <v>0</v>
      </c>
      <c r="BP44" s="14" t="n">
        <v>0</v>
      </c>
      <c r="BQ44" s="14" t="inlineStr">
        <is>
          <t>Overall|Deciles|p75|10</t>
        </is>
      </c>
    </row>
    <row r="45">
      <c r="A45" s="14" t="inlineStr">
        <is>
          <t>EGY.distn.bsh.bkt.ove.p75.9999</t>
        </is>
      </c>
      <c r="B45" s="14" t="inlineStr">
        <is>
          <t>EGY</t>
        </is>
      </c>
      <c r="C45" s="14" t="n">
        <v>2017</v>
      </c>
      <c r="D45" s="14" t="inlineStr">
        <is>
          <t>Overall</t>
        </is>
      </c>
      <c r="E45" s="14" t="inlineStr">
        <is>
          <t>Basket</t>
        </is>
      </c>
      <c r="F45" s="14" t="inlineStr">
        <is>
          <t>p75</t>
        </is>
      </c>
      <c r="G45" s="14" t="n">
        <v>9999</v>
      </c>
      <c r="H45" s="14" t="n">
        <v>2.050553748530302</v>
      </c>
      <c r="I45" s="14" t="n">
        <v>0</v>
      </c>
      <c r="J45" s="14" t="n">
        <v>4.353695431721704</v>
      </c>
      <c r="K45" s="14" t="n">
        <v>8.35175678556754</v>
      </c>
      <c r="L45" s="14" t="n">
        <v>0</v>
      </c>
      <c r="M45" s="14" t="n">
        <v>3.775239723477994</v>
      </c>
      <c r="N45" s="14" t="n">
        <v>0</v>
      </c>
      <c r="O45" s="14" t="n">
        <v>5.087501021883702</v>
      </c>
      <c r="P45" s="14" t="n">
        <v>0</v>
      </c>
      <c r="Q45" s="14" t="n">
        <v>4.012162101809242</v>
      </c>
      <c r="R45" s="14" t="n">
        <v>59.89427689868805</v>
      </c>
      <c r="S45" s="14" t="n">
        <v>0</v>
      </c>
      <c r="T45" s="14" t="n">
        <v>0</v>
      </c>
      <c r="U45" s="14" t="n">
        <v>5.206420534022903</v>
      </c>
      <c r="V45" s="14" t="n">
        <v>5.61364285665842</v>
      </c>
      <c r="W45" s="14" t="n">
        <v>0</v>
      </c>
      <c r="X45" s="14" t="n">
        <v>2.748146616707761</v>
      </c>
      <c r="Y45" s="14" t="n">
        <v>0.6205402805586069</v>
      </c>
      <c r="Z45" s="14" t="n">
        <v>0</v>
      </c>
      <c r="AA45" s="14" t="n">
        <v>0</v>
      </c>
      <c r="AB45" s="14" t="n">
        <v>2.392185058111912</v>
      </c>
      <c r="AC45" s="14" t="n">
        <v>9.732091752694151</v>
      </c>
      <c r="AD45" s="14" t="n">
        <v>8.773035891228579</v>
      </c>
      <c r="AE45" s="14" t="n">
        <v>0</v>
      </c>
      <c r="AF45" s="14" t="n">
        <v>5.940853106408452</v>
      </c>
      <c r="AG45" s="14" t="n">
        <v>3244.034933928665</v>
      </c>
      <c r="AH45" s="14" t="n">
        <v>7287.111339188654</v>
      </c>
      <c r="AI45" s="14" t="n">
        <v>7399.951321635086</v>
      </c>
      <c r="AJ45" s="14" t="n">
        <v>8787.254657850606</v>
      </c>
      <c r="AK45" s="14" t="n">
        <v>8933.860740304466</v>
      </c>
      <c r="AL45" s="14" t="n">
        <v>10492.93119806279</v>
      </c>
      <c r="AM45" s="14" t="n">
        <v>9430.125751462014</v>
      </c>
      <c r="AN45" s="14" t="n">
        <v>10382.45239757277</v>
      </c>
      <c r="AO45" s="14" t="n">
        <v>11336.85088320603</v>
      </c>
      <c r="AP45" s="14" t="n">
        <v>11475.89418350806</v>
      </c>
      <c r="AQ45" s="14" t="n">
        <v>11934.0291516356</v>
      </c>
      <c r="AR45" s="14" t="n">
        <v>12825.13423081288</v>
      </c>
      <c r="AS45" s="14" t="n">
        <v>14557.51869140061</v>
      </c>
      <c r="AT45" s="14" t="n">
        <v>14604.09353278371</v>
      </c>
      <c r="AU45" s="14" t="n">
        <v>15431.56426194612</v>
      </c>
      <c r="AV45" s="14" t="n">
        <v>19195.08798783253</v>
      </c>
      <c r="AW45" s="14" t="n">
        <v>19124.19577429298</v>
      </c>
      <c r="AX45" s="14" t="n">
        <v>21879.07327788254</v>
      </c>
      <c r="AY45" s="14" t="n">
        <v>23635.52385797569</v>
      </c>
      <c r="AZ45" s="14" t="n">
        <v>66967.46731526415</v>
      </c>
      <c r="BA45" s="14" t="n">
        <v>15450.37693381699</v>
      </c>
      <c r="BB45" s="14" t="n">
        <v>106980723.4878964</v>
      </c>
      <c r="BC45" s="14" t="n">
        <v>0</v>
      </c>
      <c r="BD45" s="14" t="n">
        <v>0</v>
      </c>
      <c r="BE45" s="14" t="n">
        <v>0</v>
      </c>
      <c r="BF45" s="14" t="n">
        <v>0</v>
      </c>
      <c r="BG45" s="14" t="n">
        <v>0</v>
      </c>
      <c r="BH45" s="14" t="n">
        <v>0</v>
      </c>
      <c r="BI45" s="14" t="n">
        <v>0</v>
      </c>
      <c r="BJ45" s="14" t="n">
        <v>0</v>
      </c>
      <c r="BK45" s="14" t="n">
        <v>0.1899034115677705</v>
      </c>
      <c r="BL45" s="14" t="n">
        <v>3.091670742506121</v>
      </c>
      <c r="BM45" s="14" t="n">
        <v>39.54078568597701</v>
      </c>
      <c r="BN45" s="14" t="n">
        <v>0</v>
      </c>
      <c r="BO45" s="14" t="n">
        <v>0</v>
      </c>
      <c r="BP45" s="14" t="n">
        <v>0</v>
      </c>
      <c r="BQ45" s="14" t="inlineStr">
        <is>
          <t>Overall|Basket|p75|9999</t>
        </is>
      </c>
    </row>
    <row r="46">
      <c r="A46" s="14" t="inlineStr">
        <is>
          <t>EGY.distn.bsh.dec.rur.mean.1</t>
        </is>
      </c>
      <c r="B46" s="14" t="inlineStr">
        <is>
          <t>EGY</t>
        </is>
      </c>
      <c r="C46" s="14" t="n">
        <v>2017</v>
      </c>
      <c r="D46" s="14" t="inlineStr">
        <is>
          <t>Rural</t>
        </is>
      </c>
      <c r="E46" s="14" t="inlineStr">
        <is>
          <t>Deciles</t>
        </is>
      </c>
      <c r="F46" s="14" t="inlineStr">
        <is>
          <t>mean</t>
        </is>
      </c>
      <c r="G46" s="14" t="n">
        <v>1</v>
      </c>
      <c r="H46" s="14" t="n">
        <v>1.854347044927382</v>
      </c>
      <c r="I46" s="14" t="n">
        <v>0.01553367493520301</v>
      </c>
      <c r="J46" s="14" t="n">
        <v>4.40663884760715</v>
      </c>
      <c r="K46" s="14" t="n">
        <v>5.712667363462887</v>
      </c>
      <c r="L46" s="14" t="n">
        <v>0</v>
      </c>
      <c r="M46" s="14" t="n">
        <v>2.048623497507312</v>
      </c>
      <c r="N46" s="14" t="n">
        <v>0</v>
      </c>
      <c r="O46" s="14" t="n">
        <v>2.41891230880128</v>
      </c>
      <c r="P46" s="14" t="n">
        <v>0</v>
      </c>
      <c r="Q46" s="14" t="n">
        <v>3.846207679299666</v>
      </c>
      <c r="R46" s="14" t="n">
        <v>59.7173713888392</v>
      </c>
      <c r="S46" s="14" t="n">
        <v>0.0007257657896226681</v>
      </c>
      <c r="T46" s="14" t="n">
        <v>0.2935787736782779</v>
      </c>
      <c r="U46" s="14" t="n">
        <v>3.431388084858833</v>
      </c>
      <c r="V46" s="14" t="n">
        <v>4.024804284977802</v>
      </c>
      <c r="W46" s="14" t="n">
        <v>3.226307178908097e-05</v>
      </c>
      <c r="X46" s="14" t="n">
        <v>3.061583601843167</v>
      </c>
      <c r="Y46" s="14" t="n">
        <v>0.04988361487967658</v>
      </c>
      <c r="Z46" s="14" t="n">
        <v>0.09267768770750871</v>
      </c>
      <c r="AA46" s="14" t="n">
        <v>0.01289431237415943</v>
      </c>
      <c r="AB46" s="14" t="n">
        <v>2.088112106016865</v>
      </c>
      <c r="AC46" s="14" t="n">
        <v>5.100439758836583</v>
      </c>
      <c r="AD46" s="14" t="n">
        <v>6.22091165989878</v>
      </c>
      <c r="AE46" s="14" t="n">
        <v>0.2019064102406904</v>
      </c>
      <c r="AF46" s="14" t="n">
        <v>4.269049777254065</v>
      </c>
      <c r="AG46" s="14" t="n">
        <v>3415.082109375152</v>
      </c>
      <c r="AH46" s="14" t="n">
        <v>7551.728594998624</v>
      </c>
      <c r="AI46" s="14" t="n">
        <v>7047.915995047749</v>
      </c>
      <c r="AJ46" s="14" t="n">
        <v>7936.587175721047</v>
      </c>
      <c r="AK46" s="14" t="n">
        <v>8983.209067664962</v>
      </c>
      <c r="AL46" s="14" t="n">
        <v>9038.990141645758</v>
      </c>
      <c r="AM46" s="14" t="n">
        <v>10542.97490759789</v>
      </c>
      <c r="AN46" s="14" t="n">
        <v>10924.60073838281</v>
      </c>
      <c r="AO46" s="14" t="n">
        <v>10238.15940410428</v>
      </c>
      <c r="AP46" s="14" t="n">
        <v>12395.51621356595</v>
      </c>
      <c r="AQ46" s="14" t="n">
        <v>12922.358324163</v>
      </c>
      <c r="AR46" s="14" t="n">
        <v>13758.22177757789</v>
      </c>
      <c r="AS46" s="14" t="n">
        <v>12992.63453533054</v>
      </c>
      <c r="AT46" s="14" t="n">
        <v>14819.35233671717</v>
      </c>
      <c r="AU46" s="14" t="n">
        <v>16062.08143944831</v>
      </c>
      <c r="AV46" s="14" t="n">
        <v>17666.53015160386</v>
      </c>
      <c r="AW46" s="14" t="n">
        <v>18819.01800940497</v>
      </c>
      <c r="AX46" s="14" t="n">
        <v>22600.79228804569</v>
      </c>
      <c r="AY46" s="14" t="n">
        <v>22481.21645957366</v>
      </c>
      <c r="AZ46" s="14" t="n">
        <v>62263.42413827703</v>
      </c>
      <c r="BA46" s="14" t="n">
        <v>5015.267704224895</v>
      </c>
      <c r="BB46" s="14" t="n">
        <v>5531028.913329842</v>
      </c>
      <c r="BC46" s="14" t="n">
        <v>114.608201942785</v>
      </c>
      <c r="BD46" s="14" t="n">
        <v>102.3591424003814</v>
      </c>
      <c r="BE46" s="14" t="n">
        <v>109.8920079629637</v>
      </c>
      <c r="BF46" s="14" t="n">
        <v>24.78499192656244</v>
      </c>
      <c r="BG46" s="14" t="n">
        <v>25.3805652645203</v>
      </c>
      <c r="BH46" s="14" t="n">
        <v>92.25537359342971</v>
      </c>
      <c r="BI46" s="14" t="n">
        <v>103.2905588783203</v>
      </c>
      <c r="BJ46" s="14" t="n">
        <v>67.1912897831007</v>
      </c>
      <c r="BK46" s="14" t="n">
        <v>0.1062849893134674</v>
      </c>
      <c r="BL46" s="14" t="n">
        <v>2.085780189599569</v>
      </c>
      <c r="BM46" s="14" t="n">
        <v>5.897890885636769</v>
      </c>
      <c r="BN46" s="14" t="n">
        <v>0</v>
      </c>
      <c r="BO46" s="14" t="n">
        <v>0</v>
      </c>
      <c r="BP46" s="14" t="n">
        <v>0</v>
      </c>
      <c r="BQ46" s="14" t="inlineStr">
        <is>
          <t>Rural|Deciles|mean|1</t>
        </is>
      </c>
    </row>
    <row r="47">
      <c r="A47" s="14" t="inlineStr">
        <is>
          <t>EGY.distn.bsh.dec.rur.mean.2</t>
        </is>
      </c>
      <c r="B47" s="14" t="inlineStr">
        <is>
          <t>EGY</t>
        </is>
      </c>
      <c r="C47" s="14" t="n">
        <v>2017</v>
      </c>
      <c r="D47" s="14" t="inlineStr">
        <is>
          <t>Rural</t>
        </is>
      </c>
      <c r="E47" s="14" t="inlineStr">
        <is>
          <t>Deciles</t>
        </is>
      </c>
      <c r="F47" s="14" t="inlineStr">
        <is>
          <t>mean</t>
        </is>
      </c>
      <c r="G47" s="14" t="n">
        <v>2</v>
      </c>
      <c r="H47" s="14" t="n">
        <v>1.779018624913826</v>
      </c>
      <c r="I47" s="14" t="n">
        <v>0.008139334899232822</v>
      </c>
      <c r="J47" s="14" t="n">
        <v>3.752472809713656</v>
      </c>
      <c r="K47" s="14" t="n">
        <v>5.665641726276205</v>
      </c>
      <c r="L47" s="14" t="n">
        <v>0</v>
      </c>
      <c r="M47" s="14" t="n">
        <v>1.903995904729538</v>
      </c>
      <c r="N47" s="14" t="n">
        <v>0</v>
      </c>
      <c r="O47" s="14" t="n">
        <v>3.28693528397277</v>
      </c>
      <c r="P47" s="14" t="n">
        <v>0</v>
      </c>
      <c r="Q47" s="14" t="n">
        <v>3.501517539565012</v>
      </c>
      <c r="R47" s="14" t="n">
        <v>61.40425629165966</v>
      </c>
      <c r="S47" s="14" t="n">
        <v>0.0004193736747583022</v>
      </c>
      <c r="T47" s="14" t="n">
        <v>0.3522162357272047</v>
      </c>
      <c r="U47" s="14" t="n">
        <v>3.483023372454314</v>
      </c>
      <c r="V47" s="14" t="n">
        <v>3.586666619203532</v>
      </c>
      <c r="W47" s="14" t="n">
        <v>0</v>
      </c>
      <c r="X47" s="14" t="n">
        <v>2.588143361328239</v>
      </c>
      <c r="Y47" s="14" t="n">
        <v>0.06611936714001539</v>
      </c>
      <c r="Z47" s="14" t="n">
        <v>0.1043372744792014</v>
      </c>
      <c r="AA47" s="14" t="n">
        <v>0.003942625944753751</v>
      </c>
      <c r="AB47" s="14" t="n">
        <v>2.220266071196562</v>
      </c>
      <c r="AC47" s="14" t="n">
        <v>4.699856806871229</v>
      </c>
      <c r="AD47" s="14" t="n">
        <v>6.348151849267712</v>
      </c>
      <c r="AE47" s="14" t="n">
        <v>0.1711079382282547</v>
      </c>
      <c r="AF47" s="14" t="n">
        <v>3.658068614176907</v>
      </c>
      <c r="AG47" s="14" t="n">
        <v>3157.383901419583</v>
      </c>
      <c r="AH47" s="14" t="n">
        <v>7184.308850961496</v>
      </c>
      <c r="AI47" s="14" t="n">
        <v>7450.699626075595</v>
      </c>
      <c r="AJ47" s="14" t="n">
        <v>8386.377188789609</v>
      </c>
      <c r="AK47" s="14" t="n">
        <v>8920.439092883298</v>
      </c>
      <c r="AL47" s="14" t="n">
        <v>9940.368645136417</v>
      </c>
      <c r="AM47" s="14" t="n">
        <v>9097.955903066113</v>
      </c>
      <c r="AN47" s="14" t="n">
        <v>11162.96071509473</v>
      </c>
      <c r="AO47" s="14" t="n">
        <v>11776.42721151689</v>
      </c>
      <c r="AP47" s="14" t="n">
        <v>13124.08726092399</v>
      </c>
      <c r="AQ47" s="14" t="n">
        <v>12503.40392632606</v>
      </c>
      <c r="AR47" s="14" t="n">
        <v>14807.89936927983</v>
      </c>
      <c r="AS47" s="14" t="n">
        <v>13216.74491606335</v>
      </c>
      <c r="AT47" s="14" t="n">
        <v>16041.63267575857</v>
      </c>
      <c r="AU47" s="14" t="n">
        <v>16494.16848004834</v>
      </c>
      <c r="AV47" s="14" t="n">
        <v>17147.78934745077</v>
      </c>
      <c r="AW47" s="14" t="n">
        <v>17637.64078778688</v>
      </c>
      <c r="AX47" s="14" t="n">
        <v>22750.45788155207</v>
      </c>
      <c r="AY47" s="14" t="n">
        <v>22748.93302326429</v>
      </c>
      <c r="AZ47" s="14" t="n">
        <v>70412.64357750856</v>
      </c>
      <c r="BA47" s="14" t="n">
        <v>6160.171241458876</v>
      </c>
      <c r="BB47" s="14" t="n">
        <v>5373461.080507564</v>
      </c>
      <c r="BC47" s="14" t="n">
        <v>116.3442050061156</v>
      </c>
      <c r="BD47" s="14" t="n">
        <v>115.2178850920965</v>
      </c>
      <c r="BE47" s="14" t="n">
        <v>107.3878039541644</v>
      </c>
      <c r="BF47" s="14" t="n">
        <v>34.86196238493696</v>
      </c>
      <c r="BG47" s="14" t="n">
        <v>40.55323763204613</v>
      </c>
      <c r="BH47" s="14" t="n">
        <v>95.67381005043617</v>
      </c>
      <c r="BI47" s="14" t="n">
        <v>109.0728397703527</v>
      </c>
      <c r="BJ47" s="14" t="n">
        <v>72.37817544519412</v>
      </c>
      <c r="BK47" s="14" t="n">
        <v>0</v>
      </c>
      <c r="BL47" s="14" t="n">
        <v>0.0009300676973462235</v>
      </c>
      <c r="BM47" s="14" t="n">
        <v>6.211018054374898</v>
      </c>
      <c r="BN47" s="14" t="n">
        <v>0</v>
      </c>
      <c r="BO47" s="14" t="n">
        <v>0</v>
      </c>
      <c r="BP47" s="14" t="n">
        <v>0</v>
      </c>
      <c r="BQ47" s="14" t="inlineStr">
        <is>
          <t>Rural|Deciles|mean|2</t>
        </is>
      </c>
    </row>
    <row r="48">
      <c r="A48" s="14" t="inlineStr">
        <is>
          <t>EGY.distn.bsh.dec.rur.mean.3</t>
        </is>
      </c>
      <c r="B48" s="14" t="inlineStr">
        <is>
          <t>EGY</t>
        </is>
      </c>
      <c r="C48" s="14" t="n">
        <v>2017</v>
      </c>
      <c r="D48" s="14" t="inlineStr">
        <is>
          <t>Rural</t>
        </is>
      </c>
      <c r="E48" s="14" t="inlineStr">
        <is>
          <t>Deciles</t>
        </is>
      </c>
      <c r="F48" s="14" t="inlineStr">
        <is>
          <t>mean</t>
        </is>
      </c>
      <c r="G48" s="14" t="n">
        <v>3</v>
      </c>
      <c r="H48" s="14" t="n">
        <v>1.773234423389277</v>
      </c>
      <c r="I48" s="14" t="n">
        <v>0.007362857422472513</v>
      </c>
      <c r="J48" s="14" t="n">
        <v>3.608738925318266</v>
      </c>
      <c r="K48" s="14" t="n">
        <v>6.026747772135105</v>
      </c>
      <c r="L48" s="14" t="n">
        <v>0</v>
      </c>
      <c r="M48" s="14" t="n">
        <v>2.318713438994612</v>
      </c>
      <c r="N48" s="14" t="n">
        <v>0</v>
      </c>
      <c r="O48" s="14" t="n">
        <v>3.660429846781313</v>
      </c>
      <c r="P48" s="14" t="n">
        <v>0</v>
      </c>
      <c r="Q48" s="14" t="n">
        <v>3.231174888069031</v>
      </c>
      <c r="R48" s="14" t="n">
        <v>58.03835283622</v>
      </c>
      <c r="S48" s="14" t="n">
        <v>0.0003448427281473277</v>
      </c>
      <c r="T48" s="14" t="n">
        <v>0.4283288858579013</v>
      </c>
      <c r="U48" s="14" t="n">
        <v>3.397351959258184</v>
      </c>
      <c r="V48" s="14" t="n">
        <v>3.954757919813015</v>
      </c>
      <c r="W48" s="14" t="n">
        <v>2.182520812899586e-05</v>
      </c>
      <c r="X48" s="14" t="n">
        <v>2.473604974051363</v>
      </c>
      <c r="Y48" s="14" t="n">
        <v>0.0694264705565677</v>
      </c>
      <c r="Z48" s="14" t="n">
        <v>0.1237860243447429</v>
      </c>
      <c r="AA48" s="14" t="n">
        <v>0.009758908777375163</v>
      </c>
      <c r="AB48" s="14" t="n">
        <v>2.010146661567493</v>
      </c>
      <c r="AC48" s="14" t="n">
        <v>4.826318722368438</v>
      </c>
      <c r="AD48" s="14" t="n">
        <v>6.041179202676562</v>
      </c>
      <c r="AE48" s="14" t="n">
        <v>0.2949496996231852</v>
      </c>
      <c r="AF48" s="14" t="n">
        <v>3.499300191530667</v>
      </c>
      <c r="AG48" s="14" t="n">
        <v>3059.759454634323</v>
      </c>
      <c r="AH48" s="14" t="n">
        <v>6980.199527721466</v>
      </c>
      <c r="AI48" s="14" t="n">
        <v>7438.112604853623</v>
      </c>
      <c r="AJ48" s="14" t="n">
        <v>8698.270655209124</v>
      </c>
      <c r="AK48" s="14" t="n">
        <v>8774.375380712316</v>
      </c>
      <c r="AL48" s="14" t="n">
        <v>9326.132563337727</v>
      </c>
      <c r="AM48" s="14" t="n">
        <v>9433.230726823263</v>
      </c>
      <c r="AN48" s="14" t="n">
        <v>11618.34302562914</v>
      </c>
      <c r="AO48" s="14" t="n">
        <v>10927.65254803918</v>
      </c>
      <c r="AP48" s="14" t="n">
        <v>11347.63720266088</v>
      </c>
      <c r="AQ48" s="14" t="n">
        <v>11760.33187877474</v>
      </c>
      <c r="AR48" s="14" t="n">
        <v>14711.54991897828</v>
      </c>
      <c r="AS48" s="14" t="n">
        <v>13392.74080937405</v>
      </c>
      <c r="AT48" s="14" t="n">
        <v>16638.55468740072</v>
      </c>
      <c r="AU48" s="14" t="n">
        <v>15265.50032117345</v>
      </c>
      <c r="AV48" s="14" t="n">
        <v>18768.02685536329</v>
      </c>
      <c r="AW48" s="14" t="n">
        <v>18290.92290268095</v>
      </c>
      <c r="AX48" s="14" t="n">
        <v>23389.38982764833</v>
      </c>
      <c r="AY48" s="14" t="n">
        <v>22326.23819724167</v>
      </c>
      <c r="AZ48" s="14" t="n">
        <v>70356.63304920887</v>
      </c>
      <c r="BA48" s="14" t="n">
        <v>7152.735699748392</v>
      </c>
      <c r="BB48" s="14" t="n">
        <v>5958812.296091651</v>
      </c>
      <c r="BC48" s="14" t="n">
        <v>111.4843525822577</v>
      </c>
      <c r="BD48" s="14" t="n">
        <v>100.6427856206155</v>
      </c>
      <c r="BE48" s="14" t="n">
        <v>115.3055745810552</v>
      </c>
      <c r="BF48" s="14" t="n">
        <v>41.98945949114386</v>
      </c>
      <c r="BG48" s="14" t="n">
        <v>44.96514015297329</v>
      </c>
      <c r="BH48" s="14" t="n">
        <v>103.2744350396405</v>
      </c>
      <c r="BI48" s="14" t="n">
        <v>102.4184155531093</v>
      </c>
      <c r="BJ48" s="14" t="n">
        <v>77.77341196665624</v>
      </c>
      <c r="BK48" s="14" t="n">
        <v>0</v>
      </c>
      <c r="BL48" s="14" t="n">
        <v>0</v>
      </c>
      <c r="BM48" s="14" t="n">
        <v>5.607825456037052</v>
      </c>
      <c r="BN48" s="14" t="n">
        <v>0</v>
      </c>
      <c r="BO48" s="14" t="n">
        <v>0</v>
      </c>
      <c r="BP48" s="14" t="n">
        <v>0</v>
      </c>
      <c r="BQ48" s="14" t="inlineStr">
        <is>
          <t>Rural|Deciles|mean|3</t>
        </is>
      </c>
    </row>
    <row r="49">
      <c r="A49" s="14" t="inlineStr">
        <is>
          <t>EGY.distn.bsh.dec.rur.mean.4</t>
        </is>
      </c>
      <c r="B49" s="14" t="inlineStr">
        <is>
          <t>EGY</t>
        </is>
      </c>
      <c r="C49" s="14" t="n">
        <v>2017</v>
      </c>
      <c r="D49" s="14" t="inlineStr">
        <is>
          <t>Rural</t>
        </is>
      </c>
      <c r="E49" s="14" t="inlineStr">
        <is>
          <t>Deciles</t>
        </is>
      </c>
      <c r="F49" s="14" t="inlineStr">
        <is>
          <t>mean</t>
        </is>
      </c>
      <c r="G49" s="14" t="n">
        <v>4</v>
      </c>
      <c r="H49" s="14" t="n">
        <v>1.789248141039326</v>
      </c>
      <c r="I49" s="14" t="n">
        <v>0.00788314139973504</v>
      </c>
      <c r="J49" s="14" t="n">
        <v>3.335730800524011</v>
      </c>
      <c r="K49" s="14" t="n">
        <v>6.463971906796971</v>
      </c>
      <c r="L49" s="14" t="n">
        <v>0</v>
      </c>
      <c r="M49" s="14" t="n">
        <v>2.295205953502223</v>
      </c>
      <c r="N49" s="14" t="n">
        <v>0</v>
      </c>
      <c r="O49" s="14" t="n">
        <v>3.859038583474999</v>
      </c>
      <c r="P49" s="14" t="n">
        <v>0</v>
      </c>
      <c r="Q49" s="14" t="n">
        <v>3.264668742878412</v>
      </c>
      <c r="R49" s="14" t="n">
        <v>56.27791891388586</v>
      </c>
      <c r="S49" s="14" t="n">
        <v>0.0003938517388536837</v>
      </c>
      <c r="T49" s="14" t="n">
        <v>0.5151962121328696</v>
      </c>
      <c r="U49" s="14" t="n">
        <v>4.287384923923265</v>
      </c>
      <c r="V49" s="14" t="n">
        <v>3.40782479728384</v>
      </c>
      <c r="W49" s="14" t="n">
        <v>0</v>
      </c>
      <c r="X49" s="14" t="n">
        <v>2.49377340645113</v>
      </c>
      <c r="Y49" s="14" t="n">
        <v>0.06253800684098777</v>
      </c>
      <c r="Z49" s="14" t="n">
        <v>0.1474870832345264</v>
      </c>
      <c r="AA49" s="14" t="n">
        <v>0.007414909855426308</v>
      </c>
      <c r="AB49" s="14" t="n">
        <v>2.100811436767062</v>
      </c>
      <c r="AC49" s="14" t="n">
        <v>5.372914763346531</v>
      </c>
      <c r="AD49" s="14" t="n">
        <v>6.153117552337926</v>
      </c>
      <c r="AE49" s="14" t="n">
        <v>0.3601410847520499</v>
      </c>
      <c r="AF49" s="14" t="n">
        <v>4.019497987712112</v>
      </c>
      <c r="AG49" s="14" t="n">
        <v>3046.031932825469</v>
      </c>
      <c r="AH49" s="14" t="n">
        <v>7000.413616798382</v>
      </c>
      <c r="AI49" s="14" t="n">
        <v>7370.38555627894</v>
      </c>
      <c r="AJ49" s="14" t="n">
        <v>9015.224984159642</v>
      </c>
      <c r="AK49" s="14" t="n">
        <v>8866.677456714502</v>
      </c>
      <c r="AL49" s="14" t="n">
        <v>9220.807881875948</v>
      </c>
      <c r="AM49" s="14" t="n">
        <v>10268.95445314377</v>
      </c>
      <c r="AN49" s="14" t="n">
        <v>11014.90020726401</v>
      </c>
      <c r="AO49" s="14" t="n">
        <v>11343.33444781426</v>
      </c>
      <c r="AP49" s="14" t="n">
        <v>12161.65111963354</v>
      </c>
      <c r="AQ49" s="14" t="n">
        <v>12846.95894720272</v>
      </c>
      <c r="AR49" s="14" t="n">
        <v>12815.87167333731</v>
      </c>
      <c r="AS49" s="14" t="n">
        <v>13505.41557152611</v>
      </c>
      <c r="AT49" s="14" t="n">
        <v>16281.49680186793</v>
      </c>
      <c r="AU49" s="14" t="n">
        <v>16696.87253829322</v>
      </c>
      <c r="AV49" s="14" t="n">
        <v>19462.69227015393</v>
      </c>
      <c r="AW49" s="14" t="n">
        <v>17941.52396761419</v>
      </c>
      <c r="AX49" s="14" t="n">
        <v>24387.10821841541</v>
      </c>
      <c r="AY49" s="14" t="n">
        <v>23049.47881922294</v>
      </c>
      <c r="AZ49" s="14" t="n">
        <v>66934.71719000362</v>
      </c>
      <c r="BA49" s="14" t="n">
        <v>8304.893256796044</v>
      </c>
      <c r="BB49" s="14" t="n">
        <v>5424420.971399494</v>
      </c>
      <c r="BC49" s="14" t="n">
        <v>102.5961576133819</v>
      </c>
      <c r="BD49" s="14" t="n">
        <v>110.3172182415258</v>
      </c>
      <c r="BE49" s="14" t="n">
        <v>102.8611658514679</v>
      </c>
      <c r="BF49" s="14" t="n">
        <v>47.48667032737395</v>
      </c>
      <c r="BG49" s="14" t="n">
        <v>49.69338329250244</v>
      </c>
      <c r="BH49" s="14" t="n">
        <v>103.0619734860067</v>
      </c>
      <c r="BI49" s="14" t="n">
        <v>113.0596039872364</v>
      </c>
      <c r="BJ49" s="14" t="n">
        <v>85.76676760404452</v>
      </c>
      <c r="BK49" s="14" t="n">
        <v>0</v>
      </c>
      <c r="BL49" s="14" t="n">
        <v>0</v>
      </c>
      <c r="BM49" s="14" t="n">
        <v>4.943248125129895</v>
      </c>
      <c r="BN49" s="14" t="n">
        <v>0</v>
      </c>
      <c r="BO49" s="14" t="n">
        <v>0</v>
      </c>
      <c r="BP49" s="14" t="n">
        <v>0</v>
      </c>
      <c r="BQ49" s="14" t="inlineStr">
        <is>
          <t>Rural|Deciles|mean|4</t>
        </is>
      </c>
    </row>
    <row r="50">
      <c r="A50" s="14" t="inlineStr">
        <is>
          <t>EGY.distn.bsh.dec.rur.mean.5</t>
        </is>
      </c>
      <c r="B50" s="14" t="inlineStr">
        <is>
          <t>EGY</t>
        </is>
      </c>
      <c r="C50" s="14" t="n">
        <v>2017</v>
      </c>
      <c r="D50" s="14" t="inlineStr">
        <is>
          <t>Rural</t>
        </is>
      </c>
      <c r="E50" s="14" t="inlineStr">
        <is>
          <t>Deciles</t>
        </is>
      </c>
      <c r="F50" s="14" t="inlineStr">
        <is>
          <t>mean</t>
        </is>
      </c>
      <c r="G50" s="14" t="n">
        <v>5</v>
      </c>
      <c r="H50" s="14" t="n">
        <v>1.737541916479132</v>
      </c>
      <c r="I50" s="14" t="n">
        <v>0.005455030066123281</v>
      </c>
      <c r="J50" s="14" t="n">
        <v>3.522757305820729</v>
      </c>
      <c r="K50" s="14" t="n">
        <v>6.592891885423596</v>
      </c>
      <c r="L50" s="14" t="n">
        <v>0</v>
      </c>
      <c r="M50" s="14" t="n">
        <v>2.308500379208674</v>
      </c>
      <c r="N50" s="14" t="n">
        <v>0</v>
      </c>
      <c r="O50" s="14" t="n">
        <v>4.034506411473864</v>
      </c>
      <c r="P50" s="14" t="n">
        <v>0</v>
      </c>
      <c r="Q50" s="14" t="n">
        <v>3.356974981158808</v>
      </c>
      <c r="R50" s="14" t="n">
        <v>55.68936536503397</v>
      </c>
      <c r="S50" s="14" t="n">
        <v>0.0002509946886662395</v>
      </c>
      <c r="T50" s="14" t="n">
        <v>0.4319122315642459</v>
      </c>
      <c r="U50" s="14" t="n">
        <v>4.18787814018091</v>
      </c>
      <c r="V50" s="14" t="n">
        <v>3.211370059174464</v>
      </c>
      <c r="W50" s="14" t="n">
        <v>0.0001198124434142994</v>
      </c>
      <c r="X50" s="14" t="n">
        <v>2.336970117701812</v>
      </c>
      <c r="Y50" s="14" t="n">
        <v>0.06872297230684173</v>
      </c>
      <c r="Z50" s="14" t="n">
        <v>0.1170412399138531</v>
      </c>
      <c r="AA50" s="14" t="n">
        <v>0.01007642561026705</v>
      </c>
      <c r="AB50" s="14" t="n">
        <v>2.07182081560012</v>
      </c>
      <c r="AC50" s="14" t="n">
        <v>5.584145173148901</v>
      </c>
      <c r="AD50" s="14" t="n">
        <v>5.96550503414085</v>
      </c>
      <c r="AE50" s="14" t="n">
        <v>0.271607315186024</v>
      </c>
      <c r="AF50" s="14" t="n">
        <v>4.365558770996815</v>
      </c>
      <c r="AG50" s="14" t="n">
        <v>3144.214488815234</v>
      </c>
      <c r="AH50" s="14" t="n">
        <v>6880.40149055538</v>
      </c>
      <c r="AI50" s="14" t="n">
        <v>7661.762593813011</v>
      </c>
      <c r="AJ50" s="14" t="n">
        <v>8249.061375298423</v>
      </c>
      <c r="AK50" s="14" t="n">
        <v>8601.834390088488</v>
      </c>
      <c r="AL50" s="14" t="n">
        <v>10227.33445513155</v>
      </c>
      <c r="AM50" s="14" t="n">
        <v>9757.538853799435</v>
      </c>
      <c r="AN50" s="14" t="n">
        <v>11749.89681526674</v>
      </c>
      <c r="AO50" s="14" t="n">
        <v>10322.88396271173</v>
      </c>
      <c r="AP50" s="14" t="n">
        <v>11752.90359586023</v>
      </c>
      <c r="AQ50" s="14" t="n">
        <v>12744.7050340681</v>
      </c>
      <c r="AR50" s="14" t="n">
        <v>14514.85135057695</v>
      </c>
      <c r="AS50" s="14" t="n">
        <v>13820.79685816609</v>
      </c>
      <c r="AT50" s="14" t="n">
        <v>14885.19118365003</v>
      </c>
      <c r="AU50" s="14" t="n">
        <v>14718.34933680227</v>
      </c>
      <c r="AV50" s="14" t="n">
        <v>18932.32355031513</v>
      </c>
      <c r="AW50" s="14" t="n">
        <v>18198.80799354383</v>
      </c>
      <c r="AX50" s="14" t="n">
        <v>24315.13909188539</v>
      </c>
      <c r="AY50" s="14" t="n">
        <v>23155.68233194049</v>
      </c>
      <c r="AZ50" s="14" t="n">
        <v>67759.63180250012</v>
      </c>
      <c r="BA50" s="14" t="n">
        <v>9451.977401815595</v>
      </c>
      <c r="BB50" s="14" t="n">
        <v>5383592.535296551</v>
      </c>
      <c r="BC50" s="14" t="n">
        <v>109.4697608094821</v>
      </c>
      <c r="BD50" s="14" t="n">
        <v>113.6614342031298</v>
      </c>
      <c r="BE50" s="14" t="n">
        <v>101.1580213050425</v>
      </c>
      <c r="BF50" s="14" t="n">
        <v>58.95353579200699</v>
      </c>
      <c r="BG50" s="14" t="n">
        <v>52.08996164783145</v>
      </c>
      <c r="BH50" s="14" t="n">
        <v>101.9997913024323</v>
      </c>
      <c r="BI50" s="14" t="n">
        <v>111.9578527665427</v>
      </c>
      <c r="BJ50" s="14" t="n">
        <v>87.63436050006804</v>
      </c>
      <c r="BK50" s="14" t="n">
        <v>0</v>
      </c>
      <c r="BL50" s="14" t="n">
        <v>0</v>
      </c>
      <c r="BM50" s="14" t="n">
        <v>1.502004309442947</v>
      </c>
      <c r="BN50" s="14" t="n">
        <v>0</v>
      </c>
      <c r="BO50" s="14" t="n">
        <v>0</v>
      </c>
      <c r="BP50" s="14" t="n">
        <v>0</v>
      </c>
      <c r="BQ50" s="14" t="inlineStr">
        <is>
          <t>Rural|Deciles|mean|5</t>
        </is>
      </c>
    </row>
    <row r="51">
      <c r="A51" s="14" t="inlineStr">
        <is>
          <t>EGY.distn.bsh.dec.rur.mean.6</t>
        </is>
      </c>
      <c r="B51" s="14" t="inlineStr">
        <is>
          <t>EGY</t>
        </is>
      </c>
      <c r="C51" s="14" t="n">
        <v>2017</v>
      </c>
      <c r="D51" s="14" t="inlineStr">
        <is>
          <t>Rural</t>
        </is>
      </c>
      <c r="E51" s="14" t="inlineStr">
        <is>
          <t>Deciles</t>
        </is>
      </c>
      <c r="F51" s="14" t="inlineStr">
        <is>
          <t>mean</t>
        </is>
      </c>
      <c r="G51" s="14" t="n">
        <v>6</v>
      </c>
      <c r="H51" s="14" t="n">
        <v>1.77306569035091</v>
      </c>
      <c r="I51" s="14" t="n">
        <v>0.004020935211072966</v>
      </c>
      <c r="J51" s="14" t="n">
        <v>3.638521573828306</v>
      </c>
      <c r="K51" s="14" t="n">
        <v>6.753925281246033</v>
      </c>
      <c r="L51" s="14" t="n">
        <v>0</v>
      </c>
      <c r="M51" s="14" t="n">
        <v>2.376135531552821</v>
      </c>
      <c r="N51" s="14" t="n">
        <v>0</v>
      </c>
      <c r="O51" s="14" t="n">
        <v>4.133151786671978</v>
      </c>
      <c r="P51" s="14" t="n">
        <v>0</v>
      </c>
      <c r="Q51" s="14" t="n">
        <v>3.427545267260961</v>
      </c>
      <c r="R51" s="14" t="n">
        <v>57.79674340917067</v>
      </c>
      <c r="S51" s="14" t="n">
        <v>0.0002054749606278063</v>
      </c>
      <c r="T51" s="14" t="n">
        <v>0.4955293041734015</v>
      </c>
      <c r="U51" s="14" t="n">
        <v>4.057309270956786</v>
      </c>
      <c r="V51" s="14" t="n">
        <v>3.982167020077369</v>
      </c>
      <c r="W51" s="14" t="n">
        <v>6.521102724818561e-05</v>
      </c>
      <c r="X51" s="14" t="n">
        <v>2.071295635906104</v>
      </c>
      <c r="Y51" s="14" t="n">
        <v>0.06669893030221061</v>
      </c>
      <c r="Z51" s="14" t="n">
        <v>0.1444992472858564</v>
      </c>
      <c r="AA51" s="14" t="n">
        <v>0.01236012526043522</v>
      </c>
      <c r="AB51" s="14" t="n">
        <v>1.976189796657425</v>
      </c>
      <c r="AC51" s="14" t="n">
        <v>5.668218452306774</v>
      </c>
      <c r="AD51" s="14" t="n">
        <v>5.843944394837741</v>
      </c>
      <c r="AE51" s="14" t="n">
        <v>0.3858798464673143</v>
      </c>
      <c r="AF51" s="14" t="n">
        <v>4.080851506462824</v>
      </c>
      <c r="AG51" s="14" t="n">
        <v>3130.708705399154</v>
      </c>
      <c r="AH51" s="14" t="n">
        <v>7667.656398841234</v>
      </c>
      <c r="AI51" s="14" t="n">
        <v>7443.568343356031</v>
      </c>
      <c r="AJ51" s="14" t="n">
        <v>8168.742786707253</v>
      </c>
      <c r="AK51" s="14" t="n">
        <v>9095.678803369583</v>
      </c>
      <c r="AL51" s="14" t="n">
        <v>9069.711098344349</v>
      </c>
      <c r="AM51" s="14" t="n">
        <v>10480.85048816884</v>
      </c>
      <c r="AN51" s="14" t="n">
        <v>10419.8619593197</v>
      </c>
      <c r="AO51" s="14" t="n">
        <v>10187.37068194766</v>
      </c>
      <c r="AP51" s="14" t="n">
        <v>12827.96851985894</v>
      </c>
      <c r="AQ51" s="14" t="n">
        <v>12662.18404097265</v>
      </c>
      <c r="AR51" s="14" t="n">
        <v>13051.14167042106</v>
      </c>
      <c r="AS51" s="14" t="n">
        <v>13844.25116538323</v>
      </c>
      <c r="AT51" s="14" t="n">
        <v>16892.4672726469</v>
      </c>
      <c r="AU51" s="14" t="n">
        <v>15473.31236004817</v>
      </c>
      <c r="AV51" s="14" t="n">
        <v>18324.22969449494</v>
      </c>
      <c r="AW51" s="14" t="n">
        <v>17091.01258685263</v>
      </c>
      <c r="AX51" s="14" t="n">
        <v>23572.43418715721</v>
      </c>
      <c r="AY51" s="14" t="n">
        <v>22456.07868673461</v>
      </c>
      <c r="AZ51" s="14" t="n">
        <v>63663.93337871984</v>
      </c>
      <c r="BA51" s="14" t="n">
        <v>10071.21767298583</v>
      </c>
      <c r="BB51" s="14" t="n">
        <v>5826738.869068671</v>
      </c>
      <c r="BC51" s="14" t="n">
        <v>112.8264048660383</v>
      </c>
      <c r="BD51" s="14" t="n">
        <v>107.5136153396439</v>
      </c>
      <c r="BE51" s="14" t="n">
        <v>107.4647710512348</v>
      </c>
      <c r="BF51" s="14" t="n">
        <v>61.18086955020932</v>
      </c>
      <c r="BG51" s="14" t="n">
        <v>61.55937594470562</v>
      </c>
      <c r="BH51" s="14" t="n">
        <v>99.1440920316511</v>
      </c>
      <c r="BI51" s="14" t="n">
        <v>111.3170921363641</v>
      </c>
      <c r="BJ51" s="14" t="n">
        <v>83.6741104127299</v>
      </c>
      <c r="BK51" s="14" t="n">
        <v>0</v>
      </c>
      <c r="BL51" s="14" t="n">
        <v>0</v>
      </c>
      <c r="BM51" s="14" t="n">
        <v>0.1645541199976817</v>
      </c>
      <c r="BN51" s="14" t="n">
        <v>0</v>
      </c>
      <c r="BO51" s="14" t="n">
        <v>0</v>
      </c>
      <c r="BP51" s="14" t="n">
        <v>0</v>
      </c>
      <c r="BQ51" s="14" t="inlineStr">
        <is>
          <t>Rural|Deciles|mean|6</t>
        </is>
      </c>
    </row>
    <row r="52">
      <c r="A52" s="14" t="inlineStr">
        <is>
          <t>EGY.distn.bsh.dec.rur.mean.7</t>
        </is>
      </c>
      <c r="B52" s="14" t="inlineStr">
        <is>
          <t>EGY</t>
        </is>
      </c>
      <c r="C52" s="14" t="n">
        <v>2017</v>
      </c>
      <c r="D52" s="14" t="inlineStr">
        <is>
          <t>Rural</t>
        </is>
      </c>
      <c r="E52" s="14" t="inlineStr">
        <is>
          <t>Deciles</t>
        </is>
      </c>
      <c r="F52" s="14" t="inlineStr">
        <is>
          <t>mean</t>
        </is>
      </c>
      <c r="G52" s="14" t="n">
        <v>7</v>
      </c>
      <c r="H52" s="14" t="n">
        <v>1.942523041894576</v>
      </c>
      <c r="I52" s="14" t="n">
        <v>0.005544704724103983</v>
      </c>
      <c r="J52" s="14" t="n">
        <v>3.755594710995555</v>
      </c>
      <c r="K52" s="14" t="n">
        <v>6.6098806382427</v>
      </c>
      <c r="L52" s="14" t="n">
        <v>0</v>
      </c>
      <c r="M52" s="14" t="n">
        <v>2.337554908235274</v>
      </c>
      <c r="N52" s="14" t="n">
        <v>0</v>
      </c>
      <c r="O52" s="14" t="n">
        <v>3.682018888181732</v>
      </c>
      <c r="P52" s="14" t="n">
        <v>0</v>
      </c>
      <c r="Q52" s="14" t="n">
        <v>3.185050340381856</v>
      </c>
      <c r="R52" s="14" t="n">
        <v>57.0073021824801</v>
      </c>
      <c r="S52" s="14" t="n">
        <v>0.0002829101463725682</v>
      </c>
      <c r="T52" s="14" t="n">
        <v>0.5520274975114285</v>
      </c>
      <c r="U52" s="14" t="n">
        <v>4.814392314172006</v>
      </c>
      <c r="V52" s="14" t="n">
        <v>3.48841414864956</v>
      </c>
      <c r="W52" s="14" t="n">
        <v>0</v>
      </c>
      <c r="X52" s="14" t="n">
        <v>1.998200470834532</v>
      </c>
      <c r="Y52" s="14" t="n">
        <v>0.07234650044914553</v>
      </c>
      <c r="Z52" s="14" t="n">
        <v>0.1419828927188502</v>
      </c>
      <c r="AA52" s="14" t="n">
        <v>0.01511640253168557</v>
      </c>
      <c r="AB52" s="14" t="n">
        <v>1.578141810433484</v>
      </c>
      <c r="AC52" s="14" t="n">
        <v>6.745264344575478</v>
      </c>
      <c r="AD52" s="14" t="n">
        <v>5.880207343561918</v>
      </c>
      <c r="AE52" s="14" t="n">
        <v>0.393350438975851</v>
      </c>
      <c r="AF52" s="14" t="n">
        <v>4.251342473525483</v>
      </c>
      <c r="AG52" s="14" t="n">
        <v>3221.546635861436</v>
      </c>
      <c r="AH52" s="14" t="n">
        <v>6759.084929217419</v>
      </c>
      <c r="AI52" s="14" t="n">
        <v>7006.080185816449</v>
      </c>
      <c r="AJ52" s="14" t="n">
        <v>9206.752636636691</v>
      </c>
      <c r="AK52" s="14" t="n">
        <v>9060.710051189233</v>
      </c>
      <c r="AL52" s="14" t="n">
        <v>9332.846711931776</v>
      </c>
      <c r="AM52" s="14" t="n">
        <v>9711.178340484701</v>
      </c>
      <c r="AN52" s="14" t="n">
        <v>10147.66638902954</v>
      </c>
      <c r="AO52" s="14" t="n">
        <v>10777.86921531517</v>
      </c>
      <c r="AP52" s="14" t="n">
        <v>12212.1334194021</v>
      </c>
      <c r="AQ52" s="14" t="n">
        <v>11791.18288181427</v>
      </c>
      <c r="AR52" s="14" t="n">
        <v>14517.19965612532</v>
      </c>
      <c r="AS52" s="14" t="n">
        <v>13597.59519146952</v>
      </c>
      <c r="AT52" s="14" t="n">
        <v>15363.52137815311</v>
      </c>
      <c r="AU52" s="14" t="n">
        <v>16443.11544520446</v>
      </c>
      <c r="AV52" s="14" t="n">
        <v>18567.52287385621</v>
      </c>
      <c r="AW52" s="14" t="n">
        <v>18247.88637705129</v>
      </c>
      <c r="AX52" s="14" t="n">
        <v>23230.414780998</v>
      </c>
      <c r="AY52" s="14" t="n">
        <v>21647.79346671146</v>
      </c>
      <c r="AZ52" s="14" t="n">
        <v>69143.90781297664</v>
      </c>
      <c r="BA52" s="14" t="n">
        <v>11793.1782084545</v>
      </c>
      <c r="BB52" s="14" t="n">
        <v>5969547.813807904</v>
      </c>
      <c r="BC52" s="14" t="n">
        <v>101.2401522373468</v>
      </c>
      <c r="BD52" s="14" t="n">
        <v>105.6495672363036</v>
      </c>
      <c r="BE52" s="14" t="n">
        <v>109.2878411484318</v>
      </c>
      <c r="BF52" s="14" t="n">
        <v>62.14024780208963</v>
      </c>
      <c r="BG52" s="14" t="n">
        <v>62.48227381258209</v>
      </c>
      <c r="BH52" s="14" t="n">
        <v>95.78792792312484</v>
      </c>
      <c r="BI52" s="14" t="n">
        <v>102.1893195930096</v>
      </c>
      <c r="BJ52" s="14" t="n">
        <v>86.90813835314009</v>
      </c>
      <c r="BK52" s="14" t="n">
        <v>0</v>
      </c>
      <c r="BL52" s="14" t="n">
        <v>0</v>
      </c>
      <c r="BM52" s="14" t="n">
        <v>0.01925829561584959</v>
      </c>
      <c r="BN52" s="14" t="n">
        <v>0</v>
      </c>
      <c r="BO52" s="14" t="n">
        <v>0</v>
      </c>
      <c r="BP52" s="14" t="n">
        <v>0</v>
      </c>
      <c r="BQ52" s="14" t="inlineStr">
        <is>
          <t>Rural|Deciles|mean|7</t>
        </is>
      </c>
    </row>
    <row r="53">
      <c r="A53" s="14" t="inlineStr">
        <is>
          <t>EGY.distn.bsh.dec.rur.mean.8</t>
        </is>
      </c>
      <c r="B53" s="14" t="inlineStr">
        <is>
          <t>EGY</t>
        </is>
      </c>
      <c r="C53" s="14" t="n">
        <v>2017</v>
      </c>
      <c r="D53" s="14" t="inlineStr">
        <is>
          <t>Rural</t>
        </is>
      </c>
      <c r="E53" s="14" t="inlineStr">
        <is>
          <t>Deciles</t>
        </is>
      </c>
      <c r="F53" s="14" t="inlineStr">
        <is>
          <t>mean</t>
        </is>
      </c>
      <c r="G53" s="14" t="n">
        <v>8</v>
      </c>
      <c r="H53" s="14" t="n">
        <v>1.795842894400991</v>
      </c>
      <c r="I53" s="14" t="n">
        <v>0.003385625814450125</v>
      </c>
      <c r="J53" s="14" t="n">
        <v>3.3528545851262</v>
      </c>
      <c r="K53" s="14" t="n">
        <v>5.377272549403905</v>
      </c>
      <c r="L53" s="14" t="n">
        <v>0</v>
      </c>
      <c r="M53" s="14" t="n">
        <v>2.346457684784487</v>
      </c>
      <c r="N53" s="14" t="n">
        <v>0</v>
      </c>
      <c r="O53" s="14" t="n">
        <v>3.410108143883336</v>
      </c>
      <c r="P53" s="14" t="n">
        <v>0</v>
      </c>
      <c r="Q53" s="14" t="n">
        <v>3.40538417479078</v>
      </c>
      <c r="R53" s="14" t="n">
        <v>56.65880713405583</v>
      </c>
      <c r="S53" s="14" t="n">
        <v>0.0001792063719955052</v>
      </c>
      <c r="T53" s="14" t="n">
        <v>0.6472880821035882</v>
      </c>
      <c r="U53" s="14" t="n">
        <v>5.205221063855202</v>
      </c>
      <c r="V53" s="14" t="n">
        <v>4.155881101656047</v>
      </c>
      <c r="W53" s="14" t="n">
        <v>0</v>
      </c>
      <c r="X53" s="14" t="n">
        <v>2.169912448592076</v>
      </c>
      <c r="Y53" s="14" t="n">
        <v>0.08272869330784298</v>
      </c>
      <c r="Z53" s="14" t="n">
        <v>0.1543015145423073</v>
      </c>
      <c r="AA53" s="14" t="n">
        <v>0.01301220502111776</v>
      </c>
      <c r="AB53" s="14" t="n">
        <v>1.418322482614867</v>
      </c>
      <c r="AC53" s="14" t="n">
        <v>6.874254151138824</v>
      </c>
      <c r="AD53" s="14" t="n">
        <v>6.125548044964465</v>
      </c>
      <c r="AE53" s="14" t="n">
        <v>0.4992096583927071</v>
      </c>
      <c r="AF53" s="14" t="n">
        <v>4.306242123956609</v>
      </c>
      <c r="AG53" s="14" t="n">
        <v>3394.806032758971</v>
      </c>
      <c r="AH53" s="14" t="n">
        <v>6713.877838125321</v>
      </c>
      <c r="AI53" s="14" t="n">
        <v>7409.953277990588</v>
      </c>
      <c r="AJ53" s="14" t="n">
        <v>8278.348236090476</v>
      </c>
      <c r="AK53" s="14" t="n">
        <v>8651.56664744453</v>
      </c>
      <c r="AL53" s="14" t="n">
        <v>10312.93774901444</v>
      </c>
      <c r="AM53" s="14" t="n">
        <v>10366.45167805666</v>
      </c>
      <c r="AN53" s="14" t="n">
        <v>10178.82728720977</v>
      </c>
      <c r="AO53" s="14" t="n">
        <v>10380.40309382927</v>
      </c>
      <c r="AP53" s="14" t="n">
        <v>11598.73282993106</v>
      </c>
      <c r="AQ53" s="14" t="n">
        <v>12756.91725011195</v>
      </c>
      <c r="AR53" s="14" t="n">
        <v>14807.9826234753</v>
      </c>
      <c r="AS53" s="14" t="n">
        <v>13131.31557406832</v>
      </c>
      <c r="AT53" s="14" t="n">
        <v>15758.68224078535</v>
      </c>
      <c r="AU53" s="14" t="n">
        <v>15546.41797051294</v>
      </c>
      <c r="AV53" s="14" t="n">
        <v>19338.04208717104</v>
      </c>
      <c r="AW53" s="14" t="n">
        <v>17453.56945538029</v>
      </c>
      <c r="AX53" s="14" t="n">
        <v>22846.51809020686</v>
      </c>
      <c r="AY53" s="14" t="n">
        <v>22044.07985474218</v>
      </c>
      <c r="AZ53" s="14" t="n">
        <v>65788.6292239403</v>
      </c>
      <c r="BA53" s="14" t="n">
        <v>12612.86447521864</v>
      </c>
      <c r="BB53" s="14" t="n">
        <v>5741980.680666356</v>
      </c>
      <c r="BC53" s="14" t="n">
        <v>109.7406298224324</v>
      </c>
      <c r="BD53" s="14" t="n">
        <v>110.8082901143134</v>
      </c>
      <c r="BE53" s="14" t="n">
        <v>99.44138468378002</v>
      </c>
      <c r="BF53" s="14" t="n">
        <v>53.20843382231875</v>
      </c>
      <c r="BG53" s="14" t="n">
        <v>66.22528350180306</v>
      </c>
      <c r="BH53" s="14" t="n">
        <v>101.3982210560203</v>
      </c>
      <c r="BI53" s="14" t="n">
        <v>103.3516460626824</v>
      </c>
      <c r="BJ53" s="14" t="n">
        <v>84.6428243815963</v>
      </c>
      <c r="BK53" s="14" t="n">
        <v>0</v>
      </c>
      <c r="BL53" s="14" t="n">
        <v>0</v>
      </c>
      <c r="BM53" s="14" t="n">
        <v>0</v>
      </c>
      <c r="BN53" s="14" t="n">
        <v>0</v>
      </c>
      <c r="BO53" s="14" t="n">
        <v>0</v>
      </c>
      <c r="BP53" s="14" t="n">
        <v>0</v>
      </c>
      <c r="BQ53" s="14" t="inlineStr">
        <is>
          <t>Rural|Deciles|mean|8</t>
        </is>
      </c>
    </row>
    <row r="54">
      <c r="A54" s="14" t="inlineStr">
        <is>
          <t>EGY.distn.bsh.dec.rur.mean.9</t>
        </is>
      </c>
      <c r="B54" s="14" t="inlineStr">
        <is>
          <t>EGY</t>
        </is>
      </c>
      <c r="C54" s="14" t="n">
        <v>2017</v>
      </c>
      <c r="D54" s="14" t="inlineStr">
        <is>
          <t>Rural</t>
        </is>
      </c>
      <c r="E54" s="14" t="inlineStr">
        <is>
          <t>Deciles</t>
        </is>
      </c>
      <c r="F54" s="14" t="inlineStr">
        <is>
          <t>mean</t>
        </is>
      </c>
      <c r="G54" s="14" t="n">
        <v>9</v>
      </c>
      <c r="H54" s="14" t="n">
        <v>1.723677929200712</v>
      </c>
      <c r="I54" s="14" t="n">
        <v>0.00457844985974419</v>
      </c>
      <c r="J54" s="14" t="n">
        <v>3.546366057326316</v>
      </c>
      <c r="K54" s="14" t="n">
        <v>5.240322320386866</v>
      </c>
      <c r="L54" s="14" t="n">
        <v>0</v>
      </c>
      <c r="M54" s="14" t="n">
        <v>2.200882849704916</v>
      </c>
      <c r="N54" s="14" t="n">
        <v>0</v>
      </c>
      <c r="O54" s="14" t="n">
        <v>2.420834576267632</v>
      </c>
      <c r="P54" s="14" t="n">
        <v>0</v>
      </c>
      <c r="Q54" s="14" t="n">
        <v>3.37503958612808</v>
      </c>
      <c r="R54" s="14" t="n">
        <v>53.31136897411237</v>
      </c>
      <c r="S54" s="14" t="n">
        <v>0.0002628878200426858</v>
      </c>
      <c r="T54" s="14" t="n">
        <v>0.5666779719401583</v>
      </c>
      <c r="U54" s="14" t="n">
        <v>5.334222518458181</v>
      </c>
      <c r="V54" s="14" t="n">
        <v>4.070115807417317</v>
      </c>
      <c r="W54" s="14" t="n">
        <v>4.2260843611078e-05</v>
      </c>
      <c r="X54" s="14" t="n">
        <v>2.268973853630599</v>
      </c>
      <c r="Y54" s="14" t="n">
        <v>0.05797928784715542</v>
      </c>
      <c r="Z54" s="14" t="n">
        <v>0.1511717167761083</v>
      </c>
      <c r="AA54" s="14" t="n">
        <v>0.007709880542540942</v>
      </c>
      <c r="AB54" s="14" t="n">
        <v>1.160744419774255</v>
      </c>
      <c r="AC54" s="14" t="n">
        <v>8.980371347063677</v>
      </c>
      <c r="AD54" s="14" t="n">
        <v>5.452201923464813</v>
      </c>
      <c r="AE54" s="14" t="n">
        <v>0.5933742539988525</v>
      </c>
      <c r="AF54" s="14" t="n">
        <v>4.065361017054762</v>
      </c>
      <c r="AG54" s="14" t="n">
        <v>3407.872802799269</v>
      </c>
      <c r="AH54" s="14" t="n">
        <v>7367.084476722652</v>
      </c>
      <c r="AI54" s="14" t="n">
        <v>7126.379076691581</v>
      </c>
      <c r="AJ54" s="14" t="n">
        <v>9111.022334594192</v>
      </c>
      <c r="AK54" s="14" t="n">
        <v>8080.325324135361</v>
      </c>
      <c r="AL54" s="14" t="n">
        <v>9547.926652627539</v>
      </c>
      <c r="AM54" s="14" t="n">
        <v>10469.83774703893</v>
      </c>
      <c r="AN54" s="14" t="n">
        <v>11230.94116080947</v>
      </c>
      <c r="AO54" s="14" t="n">
        <v>10469.71635658175</v>
      </c>
      <c r="AP54" s="14" t="n">
        <v>12044.76390535668</v>
      </c>
      <c r="AQ54" s="14" t="n">
        <v>12758.13977683529</v>
      </c>
      <c r="AR54" s="14" t="n">
        <v>13532.78377847753</v>
      </c>
      <c r="AS54" s="14" t="n">
        <v>14406.7225054674</v>
      </c>
      <c r="AT54" s="14" t="n">
        <v>14836.42134553905</v>
      </c>
      <c r="AU54" s="14" t="n">
        <v>16666.16724212815</v>
      </c>
      <c r="AV54" s="14" t="n">
        <v>17023.00348875427</v>
      </c>
      <c r="AW54" s="14" t="n">
        <v>18298.17085202378</v>
      </c>
      <c r="AX54" s="14" t="n">
        <v>22083.25668868258</v>
      </c>
      <c r="AY54" s="14" t="n">
        <v>24174.49234182958</v>
      </c>
      <c r="AZ54" s="14" t="n">
        <v>62803.16608184946</v>
      </c>
      <c r="BA54" s="14" t="n">
        <v>14724.33936656696</v>
      </c>
      <c r="BB54" s="14" t="n">
        <v>5486256.412544841</v>
      </c>
      <c r="BC54" s="14" t="n">
        <v>102.108340315927</v>
      </c>
      <c r="BD54" s="14" t="n">
        <v>112.6500390070577</v>
      </c>
      <c r="BE54" s="14" t="n">
        <v>109.1163062855541</v>
      </c>
      <c r="BF54" s="14" t="n">
        <v>49.97085675364026</v>
      </c>
      <c r="BG54" s="14" t="n">
        <v>70.26332816379765</v>
      </c>
      <c r="BH54" s="14" t="n">
        <v>98.06371415816551</v>
      </c>
      <c r="BI54" s="14" t="n">
        <v>107.879928896964</v>
      </c>
      <c r="BJ54" s="14" t="n">
        <v>83.05785850397274</v>
      </c>
      <c r="BK54" s="14" t="n">
        <v>0</v>
      </c>
      <c r="BL54" s="14" t="n">
        <v>0</v>
      </c>
      <c r="BM54" s="14" t="n">
        <v>0.0009582488009835441</v>
      </c>
      <c r="BN54" s="14" t="n">
        <v>0</v>
      </c>
      <c r="BO54" s="14" t="n">
        <v>0</v>
      </c>
      <c r="BP54" s="14" t="n">
        <v>0</v>
      </c>
      <c r="BQ54" s="14" t="inlineStr">
        <is>
          <t>Rural|Deciles|mean|9</t>
        </is>
      </c>
    </row>
    <row r="55">
      <c r="A55" s="14" t="inlineStr">
        <is>
          <t>EGY.distn.bsh.dec.rur.mean.10</t>
        </is>
      </c>
      <c r="B55" s="14" t="inlineStr">
        <is>
          <t>EGY</t>
        </is>
      </c>
      <c r="C55" s="14" t="n">
        <v>2017</v>
      </c>
      <c r="D55" s="14" t="inlineStr">
        <is>
          <t>Rural</t>
        </is>
      </c>
      <c r="E55" s="14" t="inlineStr">
        <is>
          <t>Deciles</t>
        </is>
      </c>
      <c r="F55" s="14" t="inlineStr">
        <is>
          <t>mean</t>
        </is>
      </c>
      <c r="G55" s="14" t="n">
        <v>10</v>
      </c>
      <c r="H55" s="14" t="n">
        <v>1.973870759483221</v>
      </c>
      <c r="I55" s="14" t="n">
        <v>0.004539532670639049</v>
      </c>
      <c r="J55" s="14" t="n">
        <v>3.458001305238406</v>
      </c>
      <c r="K55" s="14" t="n">
        <v>4.054116625406423</v>
      </c>
      <c r="L55" s="14" t="n">
        <v>0</v>
      </c>
      <c r="M55" s="14" t="n">
        <v>2.175397421424773</v>
      </c>
      <c r="N55" s="14" t="n">
        <v>0</v>
      </c>
      <c r="O55" s="14" t="n">
        <v>1.31312030245604</v>
      </c>
      <c r="P55" s="14" t="n">
        <v>0</v>
      </c>
      <c r="Q55" s="14" t="n">
        <v>3.991764895409399</v>
      </c>
      <c r="R55" s="14" t="n">
        <v>52.25062126102075</v>
      </c>
      <c r="S55" s="14" t="n">
        <v>0.000215716072613341</v>
      </c>
      <c r="T55" s="14" t="n">
        <v>0.5140425355473189</v>
      </c>
      <c r="U55" s="14" t="n">
        <v>7.059196508507379</v>
      </c>
      <c r="V55" s="14" t="n">
        <v>4.714545549566298</v>
      </c>
      <c r="W55" s="14" t="n">
        <v>0.000156143413429823</v>
      </c>
      <c r="X55" s="14" t="n">
        <v>2.199350736284317</v>
      </c>
      <c r="Y55" s="14" t="n">
        <v>0.06114312923443321</v>
      </c>
      <c r="Z55" s="14" t="n">
        <v>0.1271936047904083</v>
      </c>
      <c r="AA55" s="14" t="n">
        <v>0.01630465836091362</v>
      </c>
      <c r="AB55" s="14" t="n">
        <v>0.6748777041496015</v>
      </c>
      <c r="AC55" s="14" t="n">
        <v>11.70767223094912</v>
      </c>
      <c r="AD55" s="14" t="n">
        <v>5.820002735551935</v>
      </c>
      <c r="AE55" s="14" t="n">
        <v>0.5083427757699129</v>
      </c>
      <c r="AF55" s="14" t="n">
        <v>3.668249942701159</v>
      </c>
      <c r="AG55" s="14" t="n">
        <v>3227.361741421169</v>
      </c>
      <c r="AH55" s="14" t="n">
        <v>7014.679484680762</v>
      </c>
      <c r="AI55" s="14" t="n">
        <v>6739.6365352571</v>
      </c>
      <c r="AJ55" s="14" t="n">
        <v>8100.020066006638</v>
      </c>
      <c r="AK55" s="14" t="n">
        <v>8788.524824866625</v>
      </c>
      <c r="AL55" s="14" t="n">
        <v>10120.07663177437</v>
      </c>
      <c r="AM55" s="14" t="n">
        <v>9635.99278977635</v>
      </c>
      <c r="AN55" s="14" t="n">
        <v>10419.60710269782</v>
      </c>
      <c r="AO55" s="14" t="n">
        <v>10696.53277295551</v>
      </c>
      <c r="AP55" s="14" t="n">
        <v>13119.79230221313</v>
      </c>
      <c r="AQ55" s="14" t="n">
        <v>13127.60070923811</v>
      </c>
      <c r="AR55" s="14" t="n">
        <v>13249.53067900156</v>
      </c>
      <c r="AS55" s="14" t="n">
        <v>14117.6395518088</v>
      </c>
      <c r="AT55" s="14" t="n">
        <v>15207.23914106812</v>
      </c>
      <c r="AU55" s="14" t="n">
        <v>14625.52849574372</v>
      </c>
      <c r="AV55" s="14" t="n">
        <v>19574.33116524908</v>
      </c>
      <c r="AW55" s="14" t="n">
        <v>17375.1625433051</v>
      </c>
      <c r="AX55" s="14" t="n">
        <v>22666.73319108028</v>
      </c>
      <c r="AY55" s="14" t="n">
        <v>24697.47755036948</v>
      </c>
      <c r="AZ55" s="14" t="n">
        <v>63971.24015242141</v>
      </c>
      <c r="BA55" s="14" t="n">
        <v>22157.78064774588</v>
      </c>
      <c r="BB55" s="14" t="n">
        <v>6066465.167678175</v>
      </c>
      <c r="BC55" s="14" t="n">
        <v>104.8491660945694</v>
      </c>
      <c r="BD55" s="14" t="n">
        <v>111.4562161547152</v>
      </c>
      <c r="BE55" s="14" t="n">
        <v>106.1384869586628</v>
      </c>
      <c r="BF55" s="14" t="n">
        <v>38.57918271963229</v>
      </c>
      <c r="BG55" s="14" t="n">
        <v>66.94992055895871</v>
      </c>
      <c r="BH55" s="14" t="n">
        <v>96.49319774924943</v>
      </c>
      <c r="BI55" s="14" t="n">
        <v>101.7724534692313</v>
      </c>
      <c r="BJ55" s="14" t="n">
        <v>79.13164891486207</v>
      </c>
      <c r="BK55" s="14" t="n">
        <v>0</v>
      </c>
      <c r="BL55" s="14" t="n">
        <v>0</v>
      </c>
      <c r="BM55" s="14" t="n">
        <v>0</v>
      </c>
      <c r="BN55" s="14" t="n">
        <v>0</v>
      </c>
      <c r="BO55" s="14" t="n">
        <v>0</v>
      </c>
      <c r="BP55" s="14" t="n">
        <v>0</v>
      </c>
      <c r="BQ55" s="14" t="inlineStr">
        <is>
          <t>Rural|Deciles|mean|10</t>
        </is>
      </c>
    </row>
    <row r="56">
      <c r="A56" s="14" t="inlineStr">
        <is>
          <t>EGY.distn.bsh.bkt.rur.mean.9999</t>
        </is>
      </c>
      <c r="B56" s="14" t="inlineStr">
        <is>
          <t>EGY</t>
        </is>
      </c>
      <c r="C56" s="14" t="n">
        <v>2017</v>
      </c>
      <c r="D56" s="14" t="inlineStr">
        <is>
          <t>Rural</t>
        </is>
      </c>
      <c r="E56" s="14" t="inlineStr">
        <is>
          <t>Basket</t>
        </is>
      </c>
      <c r="F56" s="14" t="inlineStr">
        <is>
          <t>mean</t>
        </is>
      </c>
      <c r="G56" s="14" t="n">
        <v>9999</v>
      </c>
      <c r="H56" s="14" t="n">
        <v>1.752528007381251</v>
      </c>
      <c r="I56" s="14" t="n">
        <v>0.006542420427811432</v>
      </c>
      <c r="J56" s="14" t="n">
        <v>3.674874940184719</v>
      </c>
      <c r="K56" s="14" t="n">
        <v>6.212016172291431</v>
      </c>
      <c r="L56" s="14" t="n">
        <v>0</v>
      </c>
      <c r="M56" s="14" t="n">
        <v>2.345345361723089</v>
      </c>
      <c r="N56" s="14" t="n">
        <v>0</v>
      </c>
      <c r="O56" s="14" t="n">
        <v>3.051859648637858</v>
      </c>
      <c r="P56" s="14" t="n">
        <v>0</v>
      </c>
      <c r="Q56" s="14" t="n">
        <v>3.611870329158737</v>
      </c>
      <c r="R56" s="14" t="n">
        <v>61.13691564808116</v>
      </c>
      <c r="S56" s="14" t="n">
        <v>0.0003256802151939703</v>
      </c>
      <c r="T56" s="14" t="n">
        <v>0.4497689184843572</v>
      </c>
      <c r="U56" s="14" t="n">
        <v>4.462377393356695</v>
      </c>
      <c r="V56" s="14" t="n">
        <v>3.97280199710986</v>
      </c>
      <c r="W56" s="14" t="n">
        <v>4.223981573988122e-05</v>
      </c>
      <c r="X56" s="14" t="n">
        <v>2.234974380926812</v>
      </c>
      <c r="Y56" s="14" t="n">
        <v>0.06132527900319224</v>
      </c>
      <c r="Z56" s="14" t="n">
        <v>0.1251949533094251</v>
      </c>
      <c r="AA56" s="14" t="n">
        <v>0.01022901938872657</v>
      </c>
      <c r="AB56" s="14" t="n">
        <v>1.762677043565745</v>
      </c>
      <c r="AC56" s="14" t="n">
        <v>6.280632026681984</v>
      </c>
      <c r="AD56" s="14" t="n">
        <v>6.179359380470811</v>
      </c>
      <c r="AE56" s="14" t="n">
        <v>0.3652197386951654</v>
      </c>
      <c r="AF56" s="14" t="n">
        <v>4.049093780438884</v>
      </c>
      <c r="AG56" s="14" t="n">
        <v>2973.910350843692</v>
      </c>
      <c r="AH56" s="14" t="n">
        <v>6655.466296602744</v>
      </c>
      <c r="AI56" s="14" t="n">
        <v>7034.533992893835</v>
      </c>
      <c r="AJ56" s="14" t="n">
        <v>8489.81087852826</v>
      </c>
      <c r="AK56" s="14" t="n">
        <v>8903.075470365186</v>
      </c>
      <c r="AL56" s="14" t="n">
        <v>9025.51730599678</v>
      </c>
      <c r="AM56" s="14" t="n">
        <v>9139.703977138439</v>
      </c>
      <c r="AN56" s="14" t="n">
        <v>10407.52241060665</v>
      </c>
      <c r="AO56" s="14" t="n">
        <v>10688.58711391709</v>
      </c>
      <c r="AP56" s="14" t="n">
        <v>11693.48222996253</v>
      </c>
      <c r="AQ56" s="14" t="n">
        <v>13084.6730385088</v>
      </c>
      <c r="AR56" s="14" t="n">
        <v>12999.5302291096</v>
      </c>
      <c r="AS56" s="14" t="n">
        <v>14330.56349610328</v>
      </c>
      <c r="AT56" s="14" t="n">
        <v>14568.61913253084</v>
      </c>
      <c r="AU56" s="14" t="n">
        <v>16176.86573167219</v>
      </c>
      <c r="AV56" s="14" t="n">
        <v>19655.06028660142</v>
      </c>
      <c r="AW56" s="14" t="n">
        <v>18444.63687725492</v>
      </c>
      <c r="AX56" s="14" t="n">
        <v>22665.36543053244</v>
      </c>
      <c r="AY56" s="14" t="n">
        <v>22770.8333436741</v>
      </c>
      <c r="AZ56" s="14" t="n">
        <v>61374.44077748739</v>
      </c>
      <c r="BA56" s="14" t="n">
        <v>11736.0393292089</v>
      </c>
      <c r="BB56" s="14" t="n">
        <v>59152759.9640594</v>
      </c>
      <c r="BC56" s="14" t="n">
        <v>101.9052240804986</v>
      </c>
      <c r="BD56" s="14" t="n">
        <v>102.7012449328397</v>
      </c>
      <c r="BE56" s="14" t="n">
        <v>104.1104636285405</v>
      </c>
      <c r="BF56" s="14" t="n">
        <v>44.14738483287969</v>
      </c>
      <c r="BG56" s="14" t="n">
        <v>54.1794704038164</v>
      </c>
      <c r="BH56" s="14" t="n">
        <v>104.1202997618016</v>
      </c>
      <c r="BI56" s="14" t="n">
        <v>102.7871285132319</v>
      </c>
      <c r="BJ56" s="14" t="n">
        <v>83.70622648620963</v>
      </c>
      <c r="BK56" s="14" t="n">
        <v>0.1129881722921415</v>
      </c>
      <c r="BL56" s="14" t="n">
        <v>2.215119718952753</v>
      </c>
      <c r="BM56" s="14" t="n">
        <v>23.51153324359137</v>
      </c>
      <c r="BN56" s="14" t="n">
        <v>0</v>
      </c>
      <c r="BO56" s="14" t="n">
        <v>0</v>
      </c>
      <c r="BP56" s="14" t="n">
        <v>0</v>
      </c>
      <c r="BQ56" s="14" t="inlineStr">
        <is>
          <t>Rural|Basket|mean|9999</t>
        </is>
      </c>
    </row>
    <row r="57">
      <c r="A57" s="14" t="inlineStr">
        <is>
          <t>EGY.distn.bsh.dec.rur.median.1</t>
        </is>
      </c>
      <c r="B57" s="14" t="inlineStr">
        <is>
          <t>EGY</t>
        </is>
      </c>
      <c r="C57" s="14" t="n">
        <v>2017</v>
      </c>
      <c r="D57" s="14" t="inlineStr">
        <is>
          <t>Rural</t>
        </is>
      </c>
      <c r="E57" s="14" t="inlineStr">
        <is>
          <t>Deciles</t>
        </is>
      </c>
      <c r="F57" s="14" t="inlineStr">
        <is>
          <t>median</t>
        </is>
      </c>
      <c r="G57" s="14" t="n">
        <v>1</v>
      </c>
      <c r="H57" s="14" t="n">
        <v>1.466802264498396</v>
      </c>
      <c r="I57" s="14" t="n">
        <v>0</v>
      </c>
      <c r="J57" s="14" t="n">
        <v>4.263268290021345</v>
      </c>
      <c r="K57" s="14" t="n">
        <v>4.832426911295062</v>
      </c>
      <c r="L57" s="14" t="n">
        <v>0</v>
      </c>
      <c r="M57" s="14" t="n">
        <v>1.595840460289141</v>
      </c>
      <c r="N57" s="14" t="n">
        <v>0</v>
      </c>
      <c r="O57" s="14" t="n">
        <v>1.580677996405341</v>
      </c>
      <c r="P57" s="14" t="n">
        <v>0</v>
      </c>
      <c r="Q57" s="14" t="n">
        <v>3.391367472188346</v>
      </c>
      <c r="R57" s="14" t="n">
        <v>59.49946334480679</v>
      </c>
      <c r="S57" s="14" t="n">
        <v>0</v>
      </c>
      <c r="T57" s="14" t="n">
        <v>0</v>
      </c>
      <c r="U57" s="14" t="n">
        <v>1.775646107323392</v>
      </c>
      <c r="V57" s="14" t="n">
        <v>2.696723679743129</v>
      </c>
      <c r="W57" s="14" t="n">
        <v>0</v>
      </c>
      <c r="X57" s="14" t="n">
        <v>3.161936503065329</v>
      </c>
      <c r="Y57" s="14" t="n">
        <v>0</v>
      </c>
      <c r="Z57" s="14" t="n">
        <v>0</v>
      </c>
      <c r="AA57" s="14" t="n">
        <v>0</v>
      </c>
      <c r="AB57" s="14" t="n">
        <v>1.63755948420681</v>
      </c>
      <c r="AC57" s="14" t="n">
        <v>3.235496764537584</v>
      </c>
      <c r="AD57" s="14" t="n">
        <v>5.761527063791442</v>
      </c>
      <c r="AE57" s="14" t="n">
        <v>0</v>
      </c>
      <c r="AF57" s="14" t="n">
        <v>3.217978724314541</v>
      </c>
      <c r="AG57" s="14" t="n">
        <v>3363.461335754948</v>
      </c>
      <c r="AH57" s="14" t="n">
        <v>6897.02565419871</v>
      </c>
      <c r="AI57" s="14" t="n">
        <v>7414.570838934192</v>
      </c>
      <c r="AJ57" s="14" t="n">
        <v>8775.246291774391</v>
      </c>
      <c r="AK57" s="14" t="n">
        <v>8372.946663196446</v>
      </c>
      <c r="AL57" s="14" t="n">
        <v>10336.58583508933</v>
      </c>
      <c r="AM57" s="14" t="n">
        <v>10512.42271068317</v>
      </c>
      <c r="AN57" s="14" t="n">
        <v>11611.51819616187</v>
      </c>
      <c r="AO57" s="14" t="n">
        <v>11276.9664125932</v>
      </c>
      <c r="AP57" s="14" t="n">
        <v>12672.65825169102</v>
      </c>
      <c r="AQ57" s="14" t="n">
        <v>11749.01235069594</v>
      </c>
      <c r="AR57" s="14" t="n">
        <v>14669.94687614348</v>
      </c>
      <c r="AS57" s="14" t="n">
        <v>14357.5652356053</v>
      </c>
      <c r="AT57" s="14" t="n">
        <v>14596.39352463187</v>
      </c>
      <c r="AU57" s="14" t="n">
        <v>16228.09990616447</v>
      </c>
      <c r="AV57" s="14" t="n">
        <v>19586.21388391218</v>
      </c>
      <c r="AW57" s="14" t="n">
        <v>18343.6186878006</v>
      </c>
      <c r="AX57" s="14" t="n">
        <v>23482.39362365197</v>
      </c>
      <c r="AY57" s="14" t="n">
        <v>22740.46284782224</v>
      </c>
      <c r="AZ57" s="14" t="n">
        <v>63960.30168066743</v>
      </c>
      <c r="BA57" s="14" t="n">
        <v>5372.039327824747</v>
      </c>
      <c r="BB57" s="14" t="n">
        <v>5325733.289808322</v>
      </c>
      <c r="BC57" s="14" t="n">
        <v>0</v>
      </c>
      <c r="BD57" s="14" t="n">
        <v>0</v>
      </c>
      <c r="BE57" s="14" t="n">
        <v>0</v>
      </c>
      <c r="BF57" s="14" t="n">
        <v>0</v>
      </c>
      <c r="BG57" s="14" t="n">
        <v>0</v>
      </c>
      <c r="BH57" s="14" t="n">
        <v>0</v>
      </c>
      <c r="BI57" s="14" t="n">
        <v>0</v>
      </c>
      <c r="BJ57" s="14" t="n">
        <v>0</v>
      </c>
      <c r="BK57" s="14" t="n">
        <v>0.1120494745932902</v>
      </c>
      <c r="BL57" s="14" t="n">
        <v>2.289697536389793</v>
      </c>
      <c r="BM57" s="14" t="n">
        <v>5.89553110222213</v>
      </c>
      <c r="BN57" s="14" t="n">
        <v>0</v>
      </c>
      <c r="BO57" s="14" t="n">
        <v>0</v>
      </c>
      <c r="BP57" s="14" t="n">
        <v>0</v>
      </c>
      <c r="BQ57" s="14" t="inlineStr">
        <is>
          <t>Rural|Deciles|median|1</t>
        </is>
      </c>
    </row>
    <row r="58">
      <c r="A58" s="14" t="inlineStr">
        <is>
          <t>EGY.distn.bsh.dec.rur.median.2</t>
        </is>
      </c>
      <c r="B58" s="14" t="inlineStr">
        <is>
          <t>EGY</t>
        </is>
      </c>
      <c r="C58" s="14" t="n">
        <v>2017</v>
      </c>
      <c r="D58" s="14" t="inlineStr">
        <is>
          <t>Rural</t>
        </is>
      </c>
      <c r="E58" s="14" t="inlineStr">
        <is>
          <t>Deciles</t>
        </is>
      </c>
      <c r="F58" s="14" t="inlineStr">
        <is>
          <t>median</t>
        </is>
      </c>
      <c r="G58" s="14" t="n">
        <v>2</v>
      </c>
      <c r="H58" s="14" t="n">
        <v>1.432170571887285</v>
      </c>
      <c r="I58" s="14" t="n">
        <v>0</v>
      </c>
      <c r="J58" s="14" t="n">
        <v>3.991893601023536</v>
      </c>
      <c r="K58" s="14" t="n">
        <v>5.722987243455873</v>
      </c>
      <c r="L58" s="14" t="n">
        <v>0</v>
      </c>
      <c r="M58" s="14" t="n">
        <v>1.718016759433111</v>
      </c>
      <c r="N58" s="14" t="n">
        <v>0</v>
      </c>
      <c r="O58" s="14" t="n">
        <v>2.112362562860194</v>
      </c>
      <c r="P58" s="14" t="n">
        <v>0</v>
      </c>
      <c r="Q58" s="14" t="n">
        <v>3.163773905114119</v>
      </c>
      <c r="R58" s="14" t="n">
        <v>60.79255774369562</v>
      </c>
      <c r="S58" s="14" t="n">
        <v>0</v>
      </c>
      <c r="T58" s="14" t="n">
        <v>0</v>
      </c>
      <c r="U58" s="14" t="n">
        <v>1.888713330342439</v>
      </c>
      <c r="V58" s="14" t="n">
        <v>2.499470316557769</v>
      </c>
      <c r="W58" s="14" t="n">
        <v>0</v>
      </c>
      <c r="X58" s="14" t="n">
        <v>2.63860255804637</v>
      </c>
      <c r="Y58" s="14" t="n">
        <v>0</v>
      </c>
      <c r="Z58" s="14" t="n">
        <v>0</v>
      </c>
      <c r="AA58" s="14" t="n">
        <v>0</v>
      </c>
      <c r="AB58" s="14" t="n">
        <v>1.647829275189187</v>
      </c>
      <c r="AC58" s="14" t="n">
        <v>3.69162884568303</v>
      </c>
      <c r="AD58" s="14" t="n">
        <v>5.569854080475356</v>
      </c>
      <c r="AE58" s="14" t="n">
        <v>0</v>
      </c>
      <c r="AF58" s="14" t="n">
        <v>3.370439026502853</v>
      </c>
      <c r="AG58" s="14" t="n">
        <v>3023.990875212615</v>
      </c>
      <c r="AH58" s="14" t="n">
        <v>7561.75309534708</v>
      </c>
      <c r="AI58" s="14" t="n">
        <v>7102.198052737919</v>
      </c>
      <c r="AJ58" s="14" t="n">
        <v>8242.455287055556</v>
      </c>
      <c r="AK58" s="14" t="n">
        <v>9006.495692010083</v>
      </c>
      <c r="AL58" s="14" t="n">
        <v>9480.375461551888</v>
      </c>
      <c r="AM58" s="14" t="n">
        <v>10440.4643883451</v>
      </c>
      <c r="AN58" s="14" t="n">
        <v>11494.22040077472</v>
      </c>
      <c r="AO58" s="14" t="n">
        <v>10913.42375129881</v>
      </c>
      <c r="AP58" s="14" t="n">
        <v>11984.42620974664</v>
      </c>
      <c r="AQ58" s="14" t="n">
        <v>12424.04890039168</v>
      </c>
      <c r="AR58" s="14" t="n">
        <v>12930.15043858931</v>
      </c>
      <c r="AS58" s="14" t="n">
        <v>13973.63357404736</v>
      </c>
      <c r="AT58" s="14" t="n">
        <v>16293.23938594809</v>
      </c>
      <c r="AU58" s="14" t="n">
        <v>14646.80599462214</v>
      </c>
      <c r="AV58" s="14" t="n">
        <v>17610.48489969252</v>
      </c>
      <c r="AW58" s="14" t="n">
        <v>17295.31475415645</v>
      </c>
      <c r="AX58" s="14" t="n">
        <v>22473.37413244645</v>
      </c>
      <c r="AY58" s="14" t="n">
        <v>24417.93499842919</v>
      </c>
      <c r="AZ58" s="14" t="n">
        <v>65353.74576750644</v>
      </c>
      <c r="BA58" s="14" t="n">
        <v>6162.837994179473</v>
      </c>
      <c r="BB58" s="14" t="n">
        <v>5695543.288409877</v>
      </c>
      <c r="BC58" s="14" t="n">
        <v>0</v>
      </c>
      <c r="BD58" s="14" t="n">
        <v>0</v>
      </c>
      <c r="BE58" s="14" t="n">
        <v>0</v>
      </c>
      <c r="BF58" s="14" t="n">
        <v>0</v>
      </c>
      <c r="BG58" s="14" t="n">
        <v>0</v>
      </c>
      <c r="BH58" s="14" t="n">
        <v>0</v>
      </c>
      <c r="BI58" s="14" t="n">
        <v>0</v>
      </c>
      <c r="BJ58" s="14" t="n">
        <v>0</v>
      </c>
      <c r="BK58" s="14" t="n">
        <v>0</v>
      </c>
      <c r="BL58" s="14" t="n">
        <v>0.000923963417718344</v>
      </c>
      <c r="BM58" s="14" t="n">
        <v>5.71262534186228</v>
      </c>
      <c r="BN58" s="14" t="n">
        <v>0</v>
      </c>
      <c r="BO58" s="14" t="n">
        <v>0</v>
      </c>
      <c r="BP58" s="14" t="n">
        <v>0</v>
      </c>
      <c r="BQ58" s="14" t="inlineStr">
        <is>
          <t>Rural|Deciles|median|2</t>
        </is>
      </c>
    </row>
    <row r="59">
      <c r="A59" s="14" t="inlineStr">
        <is>
          <t>EGY.distn.bsh.dec.rur.median.3</t>
        </is>
      </c>
      <c r="B59" s="14" t="inlineStr">
        <is>
          <t>EGY</t>
        </is>
      </c>
      <c r="C59" s="14" t="n">
        <v>2017</v>
      </c>
      <c r="D59" s="14" t="inlineStr">
        <is>
          <t>Rural</t>
        </is>
      </c>
      <c r="E59" s="14" t="inlineStr">
        <is>
          <t>Deciles</t>
        </is>
      </c>
      <c r="F59" s="14" t="inlineStr">
        <is>
          <t>median</t>
        </is>
      </c>
      <c r="G59" s="14" t="n">
        <v>3</v>
      </c>
      <c r="H59" s="14" t="n">
        <v>1.395986158810751</v>
      </c>
      <c r="I59" s="14" t="n">
        <v>0</v>
      </c>
      <c r="J59" s="14" t="n">
        <v>3.719136358756418</v>
      </c>
      <c r="K59" s="14" t="n">
        <v>5.913624580817196</v>
      </c>
      <c r="L59" s="14" t="n">
        <v>0</v>
      </c>
      <c r="M59" s="14" t="n">
        <v>1.941018341396929</v>
      </c>
      <c r="N59" s="14" t="n">
        <v>0</v>
      </c>
      <c r="O59" s="14" t="n">
        <v>2.352157165183666</v>
      </c>
      <c r="P59" s="14" t="n">
        <v>0</v>
      </c>
      <c r="Q59" s="14" t="n">
        <v>3.185087220560405</v>
      </c>
      <c r="R59" s="14" t="n">
        <v>62.89276904191022</v>
      </c>
      <c r="S59" s="14" t="n">
        <v>0</v>
      </c>
      <c r="T59" s="14" t="n">
        <v>0</v>
      </c>
      <c r="U59" s="14" t="n">
        <v>2.270742835978059</v>
      </c>
      <c r="V59" s="14" t="n">
        <v>2.614669568397009</v>
      </c>
      <c r="W59" s="14" t="n">
        <v>0</v>
      </c>
      <c r="X59" s="14" t="n">
        <v>2.558088753380261</v>
      </c>
      <c r="Y59" s="14" t="n">
        <v>0</v>
      </c>
      <c r="Z59" s="14" t="n">
        <v>0</v>
      </c>
      <c r="AA59" s="14" t="n">
        <v>0</v>
      </c>
      <c r="AB59" s="14" t="n">
        <v>1.894053594397339</v>
      </c>
      <c r="AC59" s="14" t="n">
        <v>3.791009674673206</v>
      </c>
      <c r="AD59" s="14" t="n">
        <v>5.378554838506478</v>
      </c>
      <c r="AE59" s="14" t="n">
        <v>0</v>
      </c>
      <c r="AF59" s="14" t="n">
        <v>3.334056705547308</v>
      </c>
      <c r="AG59" s="14" t="n">
        <v>2999.228531214441</v>
      </c>
      <c r="AH59" s="14" t="n">
        <v>6983.844910199813</v>
      </c>
      <c r="AI59" s="14" t="n">
        <v>7690.080000354539</v>
      </c>
      <c r="AJ59" s="14" t="n">
        <v>8179.287810948189</v>
      </c>
      <c r="AK59" s="14" t="n">
        <v>8535.266791665099</v>
      </c>
      <c r="AL59" s="14" t="n">
        <v>9839.225212013585</v>
      </c>
      <c r="AM59" s="14" t="n">
        <v>9491.494325935721</v>
      </c>
      <c r="AN59" s="14" t="n">
        <v>10243.54437805384</v>
      </c>
      <c r="AO59" s="14" t="n">
        <v>11586.08650986436</v>
      </c>
      <c r="AP59" s="14" t="n">
        <v>12157.64733897892</v>
      </c>
      <c r="AQ59" s="14" t="n">
        <v>12335.42824951899</v>
      </c>
      <c r="AR59" s="14" t="n">
        <v>14846.92128840099</v>
      </c>
      <c r="AS59" s="14" t="n">
        <v>14604.0467693422</v>
      </c>
      <c r="AT59" s="14" t="n">
        <v>16249.12684631544</v>
      </c>
      <c r="AU59" s="14" t="n">
        <v>15204.73132790646</v>
      </c>
      <c r="AV59" s="14" t="n">
        <v>17607.98877297351</v>
      </c>
      <c r="AW59" s="14" t="n">
        <v>19478.51747046783</v>
      </c>
      <c r="AX59" s="14" t="n">
        <v>24313.69836252372</v>
      </c>
      <c r="AY59" s="14" t="n">
        <v>21909.72869134628</v>
      </c>
      <c r="AZ59" s="14" t="n">
        <v>65658.08033138931</v>
      </c>
      <c r="BA59" s="14" t="n">
        <v>8105.548578582521</v>
      </c>
      <c r="BB59" s="14" t="n">
        <v>5424167.395569107</v>
      </c>
      <c r="BC59" s="14" t="n">
        <v>0</v>
      </c>
      <c r="BD59" s="14" t="n">
        <v>0</v>
      </c>
      <c r="BE59" s="14" t="n">
        <v>0</v>
      </c>
      <c r="BF59" s="14" t="n">
        <v>0</v>
      </c>
      <c r="BG59" s="14" t="n">
        <v>0</v>
      </c>
      <c r="BH59" s="14" t="n">
        <v>0</v>
      </c>
      <c r="BI59" s="14" t="n">
        <v>0</v>
      </c>
      <c r="BJ59" s="14" t="n">
        <v>0</v>
      </c>
      <c r="BK59" s="14" t="n">
        <v>0</v>
      </c>
      <c r="BL59" s="14" t="n">
        <v>0</v>
      </c>
      <c r="BM59" s="14" t="n">
        <v>5.942810898314164</v>
      </c>
      <c r="BN59" s="14" t="n">
        <v>0</v>
      </c>
      <c r="BO59" s="14" t="n">
        <v>0</v>
      </c>
      <c r="BP59" s="14" t="n">
        <v>0</v>
      </c>
      <c r="BQ59" s="14" t="inlineStr">
        <is>
          <t>Rural|Deciles|median|3</t>
        </is>
      </c>
    </row>
    <row r="60">
      <c r="A60" s="14" t="inlineStr">
        <is>
          <t>EGY.distn.bsh.dec.rur.median.4</t>
        </is>
      </c>
      <c r="B60" s="14" t="inlineStr">
        <is>
          <t>EGY</t>
        </is>
      </c>
      <c r="C60" s="14" t="n">
        <v>2017</v>
      </c>
      <c r="D60" s="14" t="inlineStr">
        <is>
          <t>Rural</t>
        </is>
      </c>
      <c r="E60" s="14" t="inlineStr">
        <is>
          <t>Deciles</t>
        </is>
      </c>
      <c r="F60" s="14" t="inlineStr">
        <is>
          <t>median</t>
        </is>
      </c>
      <c r="G60" s="14" t="n">
        <v>4</v>
      </c>
      <c r="H60" s="14" t="n">
        <v>1.521024677207378</v>
      </c>
      <c r="I60" s="14" t="n">
        <v>0</v>
      </c>
      <c r="J60" s="14" t="n">
        <v>3.66574363350182</v>
      </c>
      <c r="K60" s="14" t="n">
        <v>6.069470573244194</v>
      </c>
      <c r="L60" s="14" t="n">
        <v>0</v>
      </c>
      <c r="M60" s="14" t="n">
        <v>1.820612767936869</v>
      </c>
      <c r="N60" s="14" t="n">
        <v>0</v>
      </c>
      <c r="O60" s="14" t="n">
        <v>2.366163491470665</v>
      </c>
      <c r="P60" s="14" t="n">
        <v>0</v>
      </c>
      <c r="Q60" s="14" t="n">
        <v>2.817611024946002</v>
      </c>
      <c r="R60" s="14" t="n">
        <v>63.02478058858013</v>
      </c>
      <c r="S60" s="14" t="n">
        <v>0</v>
      </c>
      <c r="T60" s="14" t="n">
        <v>0</v>
      </c>
      <c r="U60" s="14" t="n">
        <v>2.351642935627562</v>
      </c>
      <c r="V60" s="14" t="n">
        <v>2.861633895513526</v>
      </c>
      <c r="W60" s="14" t="n">
        <v>0</v>
      </c>
      <c r="X60" s="14" t="n">
        <v>2.145568324222305</v>
      </c>
      <c r="Y60" s="14" t="n">
        <v>0</v>
      </c>
      <c r="Z60" s="14" t="n">
        <v>0</v>
      </c>
      <c r="AA60" s="14" t="n">
        <v>0</v>
      </c>
      <c r="AB60" s="14" t="n">
        <v>1.755150492138971</v>
      </c>
      <c r="AC60" s="14" t="n">
        <v>3.705171963043721</v>
      </c>
      <c r="AD60" s="14" t="n">
        <v>5.228616049081113</v>
      </c>
      <c r="AE60" s="14" t="n">
        <v>0</v>
      </c>
      <c r="AF60" s="14" t="n">
        <v>3.154416921710658</v>
      </c>
      <c r="AG60" s="14" t="n">
        <v>3158.851688396697</v>
      </c>
      <c r="AH60" s="14" t="n">
        <v>7024.970887278636</v>
      </c>
      <c r="AI60" s="14" t="n">
        <v>7085.98620005072</v>
      </c>
      <c r="AJ60" s="14" t="n">
        <v>7964.254999917102</v>
      </c>
      <c r="AK60" s="14" t="n">
        <v>9193.814009916261</v>
      </c>
      <c r="AL60" s="14" t="n">
        <v>9388.356490958942</v>
      </c>
      <c r="AM60" s="14" t="n">
        <v>10282.06887881411</v>
      </c>
      <c r="AN60" s="14" t="n">
        <v>10921.69318867409</v>
      </c>
      <c r="AO60" s="14" t="n">
        <v>10902.58984320655</v>
      </c>
      <c r="AP60" s="14" t="n">
        <v>12208.3801484139</v>
      </c>
      <c r="AQ60" s="14" t="n">
        <v>11704.7580540539</v>
      </c>
      <c r="AR60" s="14" t="n">
        <v>13142.37029965618</v>
      </c>
      <c r="AS60" s="14" t="n">
        <v>14281.53391016896</v>
      </c>
      <c r="AT60" s="14" t="n">
        <v>15759.64383653014</v>
      </c>
      <c r="AU60" s="14" t="n">
        <v>14922.66282928786</v>
      </c>
      <c r="AV60" s="14" t="n">
        <v>19273.75219819701</v>
      </c>
      <c r="AW60" s="14" t="n">
        <v>18042.0210533528</v>
      </c>
      <c r="AX60" s="14" t="n">
        <v>22313.30785369273</v>
      </c>
      <c r="AY60" s="14" t="n">
        <v>23483.78063092304</v>
      </c>
      <c r="AZ60" s="14" t="n">
        <v>69444.11665977859</v>
      </c>
      <c r="BA60" s="14" t="n">
        <v>8813.221136356529</v>
      </c>
      <c r="BB60" s="14" t="n">
        <v>5351816.862420376</v>
      </c>
      <c r="BC60" s="14" t="n">
        <v>0</v>
      </c>
      <c r="BD60" s="14" t="n">
        <v>0</v>
      </c>
      <c r="BE60" s="14" t="n">
        <v>0</v>
      </c>
      <c r="BF60" s="14" t="n">
        <v>0</v>
      </c>
      <c r="BG60" s="14" t="n">
        <v>0</v>
      </c>
      <c r="BH60" s="14" t="n">
        <v>0</v>
      </c>
      <c r="BI60" s="14" t="n">
        <v>0</v>
      </c>
      <c r="BJ60" s="14" t="n">
        <v>0</v>
      </c>
      <c r="BK60" s="14" t="n">
        <v>0</v>
      </c>
      <c r="BL60" s="14" t="n">
        <v>0</v>
      </c>
      <c r="BM60" s="14" t="n">
        <v>5.233367611278139</v>
      </c>
      <c r="BN60" s="14" t="n">
        <v>0</v>
      </c>
      <c r="BO60" s="14" t="n">
        <v>0</v>
      </c>
      <c r="BP60" s="14" t="n">
        <v>0</v>
      </c>
      <c r="BQ60" s="14" t="inlineStr">
        <is>
          <t>Rural|Deciles|median|4</t>
        </is>
      </c>
    </row>
    <row r="61">
      <c r="A61" s="14" t="inlineStr">
        <is>
          <t>EGY.distn.bsh.dec.rur.median.5</t>
        </is>
      </c>
      <c r="B61" s="14" t="inlineStr">
        <is>
          <t>EGY</t>
        </is>
      </c>
      <c r="C61" s="14" t="n">
        <v>2017</v>
      </c>
      <c r="D61" s="14" t="inlineStr">
        <is>
          <t>Rural</t>
        </is>
      </c>
      <c r="E61" s="14" t="inlineStr">
        <is>
          <t>Deciles</t>
        </is>
      </c>
      <c r="F61" s="14" t="inlineStr">
        <is>
          <t>median</t>
        </is>
      </c>
      <c r="G61" s="14" t="n">
        <v>5</v>
      </c>
      <c r="H61" s="14" t="n">
        <v>1.339692249407472</v>
      </c>
      <c r="I61" s="14" t="n">
        <v>0</v>
      </c>
      <c r="J61" s="14" t="n">
        <v>3.267585668334502</v>
      </c>
      <c r="K61" s="14" t="n">
        <v>5.984431818873186</v>
      </c>
      <c r="L61" s="14" t="n">
        <v>0</v>
      </c>
      <c r="M61" s="14" t="n">
        <v>1.871240806230035</v>
      </c>
      <c r="N61" s="14" t="n">
        <v>0</v>
      </c>
      <c r="O61" s="14" t="n">
        <v>2.412987027621596</v>
      </c>
      <c r="P61" s="14" t="n">
        <v>0</v>
      </c>
      <c r="Q61" s="14" t="n">
        <v>2.870263982374332</v>
      </c>
      <c r="R61" s="14" t="n">
        <v>61.15902223966639</v>
      </c>
      <c r="S61" s="14" t="n">
        <v>0</v>
      </c>
      <c r="T61" s="14" t="n">
        <v>0</v>
      </c>
      <c r="U61" s="14" t="n">
        <v>2.55052567920582</v>
      </c>
      <c r="V61" s="14" t="n">
        <v>2.712973624052283</v>
      </c>
      <c r="W61" s="14" t="n">
        <v>0</v>
      </c>
      <c r="X61" s="14" t="n">
        <v>2.066585021377873</v>
      </c>
      <c r="Y61" s="14" t="n">
        <v>0</v>
      </c>
      <c r="Z61" s="14" t="n">
        <v>0</v>
      </c>
      <c r="AA61" s="14" t="n">
        <v>0</v>
      </c>
      <c r="AB61" s="14" t="n">
        <v>1.707179913451753</v>
      </c>
      <c r="AC61" s="14" t="n">
        <v>4.240944573270976</v>
      </c>
      <c r="AD61" s="14" t="n">
        <v>5.407569830349752</v>
      </c>
      <c r="AE61" s="14" t="n">
        <v>0</v>
      </c>
      <c r="AF61" s="14" t="n">
        <v>3.480147416734343</v>
      </c>
      <c r="AG61" s="14" t="n">
        <v>3035.63660919389</v>
      </c>
      <c r="AH61" s="14" t="n">
        <v>7240.264221926929</v>
      </c>
      <c r="AI61" s="14" t="n">
        <v>6941.073724486861</v>
      </c>
      <c r="AJ61" s="14" t="n">
        <v>8959.744878212987</v>
      </c>
      <c r="AK61" s="14" t="n">
        <v>9086.867812449624</v>
      </c>
      <c r="AL61" s="14" t="n">
        <v>10028.89267653132</v>
      </c>
      <c r="AM61" s="14" t="n">
        <v>10542.72049101454</v>
      </c>
      <c r="AN61" s="14" t="n">
        <v>11369.52836878641</v>
      </c>
      <c r="AO61" s="14" t="n">
        <v>10167.33297916286</v>
      </c>
      <c r="AP61" s="14" t="n">
        <v>11682.54557858903</v>
      </c>
      <c r="AQ61" s="14" t="n">
        <v>12327.80116061203</v>
      </c>
      <c r="AR61" s="14" t="n">
        <v>13884.68920938723</v>
      </c>
      <c r="AS61" s="14" t="n">
        <v>14354.42484475671</v>
      </c>
      <c r="AT61" s="14" t="n">
        <v>16809.49153029639</v>
      </c>
      <c r="AU61" s="14" t="n">
        <v>15651.98124157172</v>
      </c>
      <c r="AV61" s="14" t="n">
        <v>19159.88966878075</v>
      </c>
      <c r="AW61" s="14" t="n">
        <v>19467.54685238755</v>
      </c>
      <c r="AX61" s="14" t="n">
        <v>22859.43232184377</v>
      </c>
      <c r="AY61" s="14" t="n">
        <v>22587.5456393612</v>
      </c>
      <c r="AZ61" s="14" t="n">
        <v>63468.43333490911</v>
      </c>
      <c r="BA61" s="14" t="n">
        <v>9835.553687354479</v>
      </c>
      <c r="BB61" s="14" t="n">
        <v>5697832.474151161</v>
      </c>
      <c r="BC61" s="14" t="n">
        <v>0</v>
      </c>
      <c r="BD61" s="14" t="n">
        <v>0</v>
      </c>
      <c r="BE61" s="14" t="n">
        <v>0</v>
      </c>
      <c r="BF61" s="14" t="n">
        <v>0</v>
      </c>
      <c r="BG61" s="14" t="n">
        <v>0</v>
      </c>
      <c r="BH61" s="14" t="n">
        <v>0</v>
      </c>
      <c r="BI61" s="14" t="n">
        <v>0</v>
      </c>
      <c r="BJ61" s="14" t="n">
        <v>0</v>
      </c>
      <c r="BK61" s="14" t="n">
        <v>0</v>
      </c>
      <c r="BL61" s="14" t="n">
        <v>0</v>
      </c>
      <c r="BM61" s="14" t="n">
        <v>1.664658393297193</v>
      </c>
      <c r="BN61" s="14" t="n">
        <v>0</v>
      </c>
      <c r="BO61" s="14" t="n">
        <v>0</v>
      </c>
      <c r="BP61" s="14" t="n">
        <v>0</v>
      </c>
      <c r="BQ61" s="14" t="inlineStr">
        <is>
          <t>Rural|Deciles|median|5</t>
        </is>
      </c>
    </row>
    <row r="62">
      <c r="A62" s="14" t="inlineStr">
        <is>
          <t>EGY.distn.bsh.dec.rur.median.6</t>
        </is>
      </c>
      <c r="B62" s="14" t="inlineStr">
        <is>
          <t>EGY</t>
        </is>
      </c>
      <c r="C62" s="14" t="n">
        <v>2017</v>
      </c>
      <c r="D62" s="14" t="inlineStr">
        <is>
          <t>Rural</t>
        </is>
      </c>
      <c r="E62" s="14" t="inlineStr">
        <is>
          <t>Deciles</t>
        </is>
      </c>
      <c r="F62" s="14" t="inlineStr">
        <is>
          <t>median</t>
        </is>
      </c>
      <c r="G62" s="14" t="n">
        <v>6</v>
      </c>
      <c r="H62" s="14" t="n">
        <v>1.395856541749404</v>
      </c>
      <c r="I62" s="14" t="n">
        <v>0</v>
      </c>
      <c r="J62" s="14" t="n">
        <v>3.347781532928683</v>
      </c>
      <c r="K62" s="14" t="n">
        <v>5.713769005126602</v>
      </c>
      <c r="L62" s="14" t="n">
        <v>0</v>
      </c>
      <c r="M62" s="14" t="n">
        <v>2.180377104042336</v>
      </c>
      <c r="N62" s="14" t="n">
        <v>0</v>
      </c>
      <c r="O62" s="14" t="n">
        <v>2.288575317125533</v>
      </c>
      <c r="P62" s="14" t="n">
        <v>0</v>
      </c>
      <c r="Q62" s="14" t="n">
        <v>2.764762877950493</v>
      </c>
      <c r="R62" s="14" t="n">
        <v>55.61599171816956</v>
      </c>
      <c r="S62" s="14" t="n">
        <v>0</v>
      </c>
      <c r="T62" s="14" t="n">
        <v>0</v>
      </c>
      <c r="U62" s="14" t="n">
        <v>2.839020684875978</v>
      </c>
      <c r="V62" s="14" t="n">
        <v>2.947317076242054</v>
      </c>
      <c r="W62" s="14" t="n">
        <v>0</v>
      </c>
      <c r="X62" s="14" t="n">
        <v>1.90963628249332</v>
      </c>
      <c r="Y62" s="14" t="n">
        <v>0</v>
      </c>
      <c r="Z62" s="14" t="n">
        <v>0</v>
      </c>
      <c r="AA62" s="14" t="n">
        <v>0</v>
      </c>
      <c r="AB62" s="14" t="n">
        <v>1.832912997675794</v>
      </c>
      <c r="AC62" s="14" t="n">
        <v>4.619475286840525</v>
      </c>
      <c r="AD62" s="14" t="n">
        <v>4.971671785317161</v>
      </c>
      <c r="AE62" s="14" t="n">
        <v>0</v>
      </c>
      <c r="AF62" s="14" t="n">
        <v>3.382477445615785</v>
      </c>
      <c r="AG62" s="14" t="n">
        <v>3425.779469150578</v>
      </c>
      <c r="AH62" s="14" t="n">
        <v>6623.389583122924</v>
      </c>
      <c r="AI62" s="14" t="n">
        <v>7566.422403894189</v>
      </c>
      <c r="AJ62" s="14" t="n">
        <v>9124.612810010312</v>
      </c>
      <c r="AK62" s="14" t="n">
        <v>8128.923813492289</v>
      </c>
      <c r="AL62" s="14" t="n">
        <v>9052.307484329704</v>
      </c>
      <c r="AM62" s="14" t="n">
        <v>9855.46104395894</v>
      </c>
      <c r="AN62" s="14" t="n">
        <v>10413.07303356042</v>
      </c>
      <c r="AO62" s="14" t="n">
        <v>10589.24191473323</v>
      </c>
      <c r="AP62" s="14" t="n">
        <v>11964.87488172218</v>
      </c>
      <c r="AQ62" s="14" t="n">
        <v>13144.9727295773</v>
      </c>
      <c r="AR62" s="14" t="n">
        <v>14259.91384405406</v>
      </c>
      <c r="AS62" s="14" t="n">
        <v>13977.91657298717</v>
      </c>
      <c r="AT62" s="14" t="n">
        <v>14588.48656459183</v>
      </c>
      <c r="AU62" s="14" t="n">
        <v>16937.58481298291</v>
      </c>
      <c r="AV62" s="14" t="n">
        <v>19742.54220175214</v>
      </c>
      <c r="AW62" s="14" t="n">
        <v>17845.58505838443</v>
      </c>
      <c r="AX62" s="14" t="n">
        <v>22413.32530709592</v>
      </c>
      <c r="AY62" s="14" t="n">
        <v>22045.50353215991</v>
      </c>
      <c r="AZ62" s="14" t="n">
        <v>66800.26341726082</v>
      </c>
      <c r="BA62" s="14" t="n">
        <v>11149.98731033843</v>
      </c>
      <c r="BB62" s="14" t="n">
        <v>5622989.994545487</v>
      </c>
      <c r="BC62" s="14" t="n">
        <v>0</v>
      </c>
      <c r="BD62" s="14" t="n">
        <v>0</v>
      </c>
      <c r="BE62" s="14" t="n">
        <v>0</v>
      </c>
      <c r="BF62" s="14" t="n">
        <v>0</v>
      </c>
      <c r="BG62" s="14" t="n">
        <v>0</v>
      </c>
      <c r="BH62" s="14" t="n">
        <v>0</v>
      </c>
      <c r="BI62" s="14" t="n">
        <v>0</v>
      </c>
      <c r="BJ62" s="14" t="n">
        <v>0</v>
      </c>
      <c r="BK62" s="14" t="n">
        <v>0</v>
      </c>
      <c r="BL62" s="14" t="n">
        <v>0</v>
      </c>
      <c r="BM62" s="14" t="n">
        <v>0.1649318961661188</v>
      </c>
      <c r="BN62" s="14" t="n">
        <v>0</v>
      </c>
      <c r="BO62" s="14" t="n">
        <v>0</v>
      </c>
      <c r="BP62" s="14" t="n">
        <v>0</v>
      </c>
      <c r="BQ62" s="14" t="inlineStr">
        <is>
          <t>Rural|Deciles|median|6</t>
        </is>
      </c>
    </row>
    <row r="63">
      <c r="A63" s="14" t="inlineStr">
        <is>
          <t>EGY.distn.bsh.dec.rur.median.7</t>
        </is>
      </c>
      <c r="B63" s="14" t="inlineStr">
        <is>
          <t>EGY</t>
        </is>
      </c>
      <c r="C63" s="14" t="n">
        <v>2017</v>
      </c>
      <c r="D63" s="14" t="inlineStr">
        <is>
          <t>Rural</t>
        </is>
      </c>
      <c r="E63" s="14" t="inlineStr">
        <is>
          <t>Deciles</t>
        </is>
      </c>
      <c r="F63" s="14" t="inlineStr">
        <is>
          <t>median</t>
        </is>
      </c>
      <c r="G63" s="14" t="n">
        <v>7</v>
      </c>
      <c r="H63" s="14" t="n">
        <v>1.326140014640217</v>
      </c>
      <c r="I63" s="14" t="n">
        <v>0</v>
      </c>
      <c r="J63" s="14" t="n">
        <v>3.589805816359428</v>
      </c>
      <c r="K63" s="14" t="n">
        <v>5.918959368356564</v>
      </c>
      <c r="L63" s="14" t="n">
        <v>0</v>
      </c>
      <c r="M63" s="14" t="n">
        <v>2.113945535686113</v>
      </c>
      <c r="N63" s="14" t="n">
        <v>0</v>
      </c>
      <c r="O63" s="14" t="n">
        <v>1.489257910683951</v>
      </c>
      <c r="P63" s="14" t="n">
        <v>0</v>
      </c>
      <c r="Q63" s="14" t="n">
        <v>3.029864915923206</v>
      </c>
      <c r="R63" s="14" t="n">
        <v>60.59251840606047</v>
      </c>
      <c r="S63" s="14" t="n">
        <v>0</v>
      </c>
      <c r="T63" s="14" t="n">
        <v>0</v>
      </c>
      <c r="U63" s="14" t="n">
        <v>2.910387799217764</v>
      </c>
      <c r="V63" s="14" t="n">
        <v>2.629739015413464</v>
      </c>
      <c r="W63" s="14" t="n">
        <v>0</v>
      </c>
      <c r="X63" s="14" t="n">
        <v>2.150348315806397</v>
      </c>
      <c r="Y63" s="14" t="n">
        <v>0</v>
      </c>
      <c r="Z63" s="14" t="n">
        <v>0</v>
      </c>
      <c r="AA63" s="14" t="n">
        <v>0</v>
      </c>
      <c r="AB63" s="14" t="n">
        <v>1.345765932545349</v>
      </c>
      <c r="AC63" s="14" t="n">
        <v>5.103719125080477</v>
      </c>
      <c r="AD63" s="14" t="n">
        <v>5.223670306150747</v>
      </c>
      <c r="AE63" s="14" t="n">
        <v>0</v>
      </c>
      <c r="AF63" s="14" t="n">
        <v>3.363465334811011</v>
      </c>
      <c r="AG63" s="14" t="n">
        <v>3385.286854206796</v>
      </c>
      <c r="AH63" s="14" t="n">
        <v>7165.09170665849</v>
      </c>
      <c r="AI63" s="14" t="n">
        <v>7385.39503251172</v>
      </c>
      <c r="AJ63" s="14" t="n">
        <v>9045.250129348515</v>
      </c>
      <c r="AK63" s="14" t="n">
        <v>9050.737082785929</v>
      </c>
      <c r="AL63" s="14" t="n">
        <v>9228.203161683272</v>
      </c>
      <c r="AM63" s="14" t="n">
        <v>10490.59979299488</v>
      </c>
      <c r="AN63" s="14" t="n">
        <v>11581.35627315164</v>
      </c>
      <c r="AO63" s="14" t="n">
        <v>10935.84307667566</v>
      </c>
      <c r="AP63" s="14" t="n">
        <v>11879.34651201415</v>
      </c>
      <c r="AQ63" s="14" t="n">
        <v>12276.83478819574</v>
      </c>
      <c r="AR63" s="14" t="n">
        <v>13762.4784144854</v>
      </c>
      <c r="AS63" s="14" t="n">
        <v>13963.77363076864</v>
      </c>
      <c r="AT63" s="14" t="n">
        <v>16615.51646130052</v>
      </c>
      <c r="AU63" s="14" t="n">
        <v>15379.23107313742</v>
      </c>
      <c r="AV63" s="14" t="n">
        <v>18295.96396006233</v>
      </c>
      <c r="AW63" s="14" t="n">
        <v>18419.34839594773</v>
      </c>
      <c r="AX63" s="14" t="n">
        <v>24564.81001665158</v>
      </c>
      <c r="AY63" s="14" t="n">
        <v>24931.58184515513</v>
      </c>
      <c r="AZ63" s="14" t="n">
        <v>62707.19253432271</v>
      </c>
      <c r="BA63" s="14" t="n">
        <v>11946.53644440317</v>
      </c>
      <c r="BB63" s="14" t="n">
        <v>5499314.248013637</v>
      </c>
      <c r="BC63" s="14" t="n">
        <v>0</v>
      </c>
      <c r="BD63" s="14" t="n">
        <v>0</v>
      </c>
      <c r="BE63" s="14" t="n">
        <v>0</v>
      </c>
      <c r="BF63" s="14" t="n">
        <v>0</v>
      </c>
      <c r="BG63" s="14" t="n">
        <v>0</v>
      </c>
      <c r="BH63" s="14" t="n">
        <v>0</v>
      </c>
      <c r="BI63" s="14" t="n">
        <v>0</v>
      </c>
      <c r="BJ63" s="14" t="n">
        <v>0</v>
      </c>
      <c r="BK63" s="14" t="n">
        <v>0</v>
      </c>
      <c r="BL63" s="14" t="n">
        <v>0</v>
      </c>
      <c r="BM63" s="14" t="n">
        <v>0.01867372892237631</v>
      </c>
      <c r="BN63" s="14" t="n">
        <v>0</v>
      </c>
      <c r="BO63" s="14" t="n">
        <v>0</v>
      </c>
      <c r="BP63" s="14" t="n">
        <v>0</v>
      </c>
      <c r="BQ63" s="14" t="inlineStr">
        <is>
          <t>Rural|Deciles|median|7</t>
        </is>
      </c>
    </row>
    <row r="64">
      <c r="A64" s="14" t="inlineStr">
        <is>
          <t>EGY.distn.bsh.dec.rur.median.8</t>
        </is>
      </c>
      <c r="B64" s="14" t="inlineStr">
        <is>
          <t>EGY</t>
        </is>
      </c>
      <c r="C64" s="14" t="n">
        <v>2017</v>
      </c>
      <c r="D64" s="14" t="inlineStr">
        <is>
          <t>Rural</t>
        </is>
      </c>
      <c r="E64" s="14" t="inlineStr">
        <is>
          <t>Deciles</t>
        </is>
      </c>
      <c r="F64" s="14" t="inlineStr">
        <is>
          <t>median</t>
        </is>
      </c>
      <c r="G64" s="14" t="n">
        <v>8</v>
      </c>
      <c r="H64" s="14" t="n">
        <v>1.20743356466543</v>
      </c>
      <c r="I64" s="14" t="n">
        <v>0</v>
      </c>
      <c r="J64" s="14" t="n">
        <v>3.255611716532479</v>
      </c>
      <c r="K64" s="14" t="n">
        <v>4.926672350491071</v>
      </c>
      <c r="L64" s="14" t="n">
        <v>0</v>
      </c>
      <c r="M64" s="14" t="n">
        <v>2.003465309553702</v>
      </c>
      <c r="N64" s="14" t="n">
        <v>0</v>
      </c>
      <c r="O64" s="14" t="n">
        <v>0.3622518534901623</v>
      </c>
      <c r="P64" s="14" t="n">
        <v>0</v>
      </c>
      <c r="Q64" s="14" t="n">
        <v>2.985134204791468</v>
      </c>
      <c r="R64" s="14" t="n">
        <v>55.55926744336263</v>
      </c>
      <c r="S64" s="14" t="n">
        <v>0</v>
      </c>
      <c r="T64" s="14" t="n">
        <v>0</v>
      </c>
      <c r="U64" s="14" t="n">
        <v>3.451886643648818</v>
      </c>
      <c r="V64" s="14" t="n">
        <v>2.806091695694736</v>
      </c>
      <c r="W64" s="14" t="n">
        <v>0</v>
      </c>
      <c r="X64" s="14" t="n">
        <v>1.91790281432819</v>
      </c>
      <c r="Y64" s="14" t="n">
        <v>0</v>
      </c>
      <c r="Z64" s="14" t="n">
        <v>0</v>
      </c>
      <c r="AA64" s="14" t="n">
        <v>0</v>
      </c>
      <c r="AB64" s="14" t="n">
        <v>0.8980821306365532</v>
      </c>
      <c r="AC64" s="14" t="n">
        <v>5.458989075070432</v>
      </c>
      <c r="AD64" s="14" t="n">
        <v>4.620484979145775</v>
      </c>
      <c r="AE64" s="14" t="n">
        <v>0</v>
      </c>
      <c r="AF64" s="14" t="n">
        <v>3.384157554703383</v>
      </c>
      <c r="AG64" s="14" t="n">
        <v>3387.888909012443</v>
      </c>
      <c r="AH64" s="14" t="n">
        <v>7537.793493983755</v>
      </c>
      <c r="AI64" s="14" t="n">
        <v>7229.28920583033</v>
      </c>
      <c r="AJ64" s="14" t="n">
        <v>8020.707471231289</v>
      </c>
      <c r="AK64" s="14" t="n">
        <v>8807.893479216531</v>
      </c>
      <c r="AL64" s="14" t="n">
        <v>10139.08055833909</v>
      </c>
      <c r="AM64" s="14" t="n">
        <v>9832.628421882728</v>
      </c>
      <c r="AN64" s="14" t="n">
        <v>10315.00861883346</v>
      </c>
      <c r="AO64" s="14" t="n">
        <v>11039.22892904044</v>
      </c>
      <c r="AP64" s="14" t="n">
        <v>13099.63302530526</v>
      </c>
      <c r="AQ64" s="14" t="n">
        <v>13175.92990013716</v>
      </c>
      <c r="AR64" s="14" t="n">
        <v>13729.29492714881</v>
      </c>
      <c r="AS64" s="14" t="n">
        <v>13743.02926645679</v>
      </c>
      <c r="AT64" s="14" t="n">
        <v>15726.61929123543</v>
      </c>
      <c r="AU64" s="14" t="n">
        <v>14857.7132904287</v>
      </c>
      <c r="AV64" s="14" t="n">
        <v>17582.2678943489</v>
      </c>
      <c r="AW64" s="14" t="n">
        <v>17892.91703076248</v>
      </c>
      <c r="AX64" s="14" t="n">
        <v>22916.23180296108</v>
      </c>
      <c r="AY64" s="14" t="n">
        <v>24686.9077330395</v>
      </c>
      <c r="AZ64" s="14" t="n">
        <v>68402.62071995604</v>
      </c>
      <c r="BA64" s="14" t="n">
        <v>12438.41134042404</v>
      </c>
      <c r="BB64" s="14" t="n">
        <v>5534922.154420695</v>
      </c>
      <c r="BC64" s="14" t="n">
        <v>0</v>
      </c>
      <c r="BD64" s="14" t="n">
        <v>0</v>
      </c>
      <c r="BE64" s="14" t="n">
        <v>0</v>
      </c>
      <c r="BF64" s="14" t="n">
        <v>0</v>
      </c>
      <c r="BG64" s="14" t="n">
        <v>0</v>
      </c>
      <c r="BH64" s="14" t="n">
        <v>0</v>
      </c>
      <c r="BI64" s="14" t="n">
        <v>0</v>
      </c>
      <c r="BJ64" s="14" t="n">
        <v>0</v>
      </c>
      <c r="BK64" s="14" t="n">
        <v>0</v>
      </c>
      <c r="BL64" s="14" t="n">
        <v>0</v>
      </c>
      <c r="BM64" s="14" t="n">
        <v>0</v>
      </c>
      <c r="BN64" s="14" t="n">
        <v>0</v>
      </c>
      <c r="BO64" s="14" t="n">
        <v>0</v>
      </c>
      <c r="BP64" s="14" t="n">
        <v>0</v>
      </c>
      <c r="BQ64" s="14" t="inlineStr">
        <is>
          <t>Rural|Deciles|median|8</t>
        </is>
      </c>
    </row>
    <row r="65">
      <c r="A65" s="14" t="inlineStr">
        <is>
          <t>EGY.distn.bsh.dec.rur.median.9</t>
        </is>
      </c>
      <c r="B65" s="14" t="inlineStr">
        <is>
          <t>EGY</t>
        </is>
      </c>
      <c r="C65" s="14" t="n">
        <v>2017</v>
      </c>
      <c r="D65" s="14" t="inlineStr">
        <is>
          <t>Rural</t>
        </is>
      </c>
      <c r="E65" s="14" t="inlineStr">
        <is>
          <t>Deciles</t>
        </is>
      </c>
      <c r="F65" s="14" t="inlineStr">
        <is>
          <t>median</t>
        </is>
      </c>
      <c r="G65" s="14" t="n">
        <v>9</v>
      </c>
      <c r="H65" s="14" t="n">
        <v>1.417509441740037</v>
      </c>
      <c r="I65" s="14" t="n">
        <v>0</v>
      </c>
      <c r="J65" s="14" t="n">
        <v>3.299463428227381</v>
      </c>
      <c r="K65" s="14" t="n">
        <v>4.717719966895518</v>
      </c>
      <c r="L65" s="14" t="n">
        <v>0</v>
      </c>
      <c r="M65" s="14" t="n">
        <v>2.102704831937519</v>
      </c>
      <c r="N65" s="14" t="n">
        <v>0</v>
      </c>
      <c r="O65" s="14" t="n">
        <v>0</v>
      </c>
      <c r="P65" s="14" t="n">
        <v>0</v>
      </c>
      <c r="Q65" s="14" t="n">
        <v>2.946601512625771</v>
      </c>
      <c r="R65" s="14" t="n">
        <v>54.54759516735968</v>
      </c>
      <c r="S65" s="14" t="n">
        <v>0</v>
      </c>
      <c r="T65" s="14" t="n">
        <v>0</v>
      </c>
      <c r="U65" s="14" t="n">
        <v>3.72748935985797</v>
      </c>
      <c r="V65" s="14" t="n">
        <v>2.807089200874954</v>
      </c>
      <c r="W65" s="14" t="n">
        <v>0</v>
      </c>
      <c r="X65" s="14" t="n">
        <v>1.951369394184516</v>
      </c>
      <c r="Y65" s="14" t="n">
        <v>0</v>
      </c>
      <c r="Z65" s="14" t="n">
        <v>0</v>
      </c>
      <c r="AA65" s="14" t="n">
        <v>0</v>
      </c>
      <c r="AB65" s="14" t="n">
        <v>0.5273777669724297</v>
      </c>
      <c r="AC65" s="14" t="n">
        <v>6.968616389145791</v>
      </c>
      <c r="AD65" s="14" t="n">
        <v>4.739689204391513</v>
      </c>
      <c r="AE65" s="14" t="n">
        <v>0</v>
      </c>
      <c r="AF65" s="14" t="n">
        <v>3.532725147081123</v>
      </c>
      <c r="AG65" s="14" t="n">
        <v>3251.919705051984</v>
      </c>
      <c r="AH65" s="14" t="n">
        <v>7423.387440053984</v>
      </c>
      <c r="AI65" s="14" t="n">
        <v>7094.958508154848</v>
      </c>
      <c r="AJ65" s="14" t="n">
        <v>8215.959131758076</v>
      </c>
      <c r="AK65" s="14" t="n">
        <v>8305.072965080213</v>
      </c>
      <c r="AL65" s="14" t="n">
        <v>9555.521916481463</v>
      </c>
      <c r="AM65" s="14" t="n">
        <v>10338.86231210611</v>
      </c>
      <c r="AN65" s="14" t="n">
        <v>11004.8757172516</v>
      </c>
      <c r="AO65" s="14" t="n">
        <v>11103.32919606366</v>
      </c>
      <c r="AP65" s="14" t="n">
        <v>12839.41792983414</v>
      </c>
      <c r="AQ65" s="14" t="n">
        <v>12238.09602110844</v>
      </c>
      <c r="AR65" s="14" t="n">
        <v>14041.59278222862</v>
      </c>
      <c r="AS65" s="14" t="n">
        <v>12927.72353376002</v>
      </c>
      <c r="AT65" s="14" t="n">
        <v>15301.66517809398</v>
      </c>
      <c r="AU65" s="14" t="n">
        <v>16896.01950873193</v>
      </c>
      <c r="AV65" s="14" t="n">
        <v>19082.4316142105</v>
      </c>
      <c r="AW65" s="14" t="n">
        <v>19679.29381943199</v>
      </c>
      <c r="AX65" s="14" t="n">
        <v>22944.14039920563</v>
      </c>
      <c r="AY65" s="14" t="n">
        <v>23250.75772631569</v>
      </c>
      <c r="AZ65" s="14" t="n">
        <v>60604.04046425581</v>
      </c>
      <c r="BA65" s="14" t="n">
        <v>15300.96453668285</v>
      </c>
      <c r="BB65" s="14" t="n">
        <v>6074234.428652248</v>
      </c>
      <c r="BC65" s="14" t="n">
        <v>0</v>
      </c>
      <c r="BD65" s="14" t="n">
        <v>0</v>
      </c>
      <c r="BE65" s="14" t="n">
        <v>0</v>
      </c>
      <c r="BF65" s="14" t="n">
        <v>0</v>
      </c>
      <c r="BG65" s="14" t="n">
        <v>0</v>
      </c>
      <c r="BH65" s="14" t="n">
        <v>0</v>
      </c>
      <c r="BI65" s="14" t="n">
        <v>0</v>
      </c>
      <c r="BJ65" s="14" t="n">
        <v>0</v>
      </c>
      <c r="BK65" s="14" t="n">
        <v>0</v>
      </c>
      <c r="BL65" s="14" t="n">
        <v>0</v>
      </c>
      <c r="BM65" s="14" t="n">
        <v>0.0009322451044055671</v>
      </c>
      <c r="BN65" s="14" t="n">
        <v>0</v>
      </c>
      <c r="BO65" s="14" t="n">
        <v>0</v>
      </c>
      <c r="BP65" s="14" t="n">
        <v>0</v>
      </c>
      <c r="BQ65" s="14" t="inlineStr">
        <is>
          <t>Rural|Deciles|median|9</t>
        </is>
      </c>
    </row>
    <row r="66">
      <c r="A66" s="14" t="inlineStr">
        <is>
          <t>EGY.distn.bsh.dec.rur.median.10</t>
        </is>
      </c>
      <c r="B66" s="14" t="inlineStr">
        <is>
          <t>EGY</t>
        </is>
      </c>
      <c r="C66" s="14" t="n">
        <v>2017</v>
      </c>
      <c r="D66" s="14" t="inlineStr">
        <is>
          <t>Rural</t>
        </is>
      </c>
      <c r="E66" s="14" t="inlineStr">
        <is>
          <t>Deciles</t>
        </is>
      </c>
      <c r="F66" s="14" t="inlineStr">
        <is>
          <t>median</t>
        </is>
      </c>
      <c r="G66" s="14" t="n">
        <v>10</v>
      </c>
      <c r="H66" s="14" t="n">
        <v>1.114004542924423</v>
      </c>
      <c r="I66" s="14" t="n">
        <v>0</v>
      </c>
      <c r="J66" s="14" t="n">
        <v>3.368750387461542</v>
      </c>
      <c r="K66" s="14" t="n">
        <v>3.61265855982349</v>
      </c>
      <c r="L66" s="14" t="n">
        <v>0</v>
      </c>
      <c r="M66" s="14" t="n">
        <v>1.77032147149633</v>
      </c>
      <c r="N66" s="14" t="n">
        <v>0</v>
      </c>
      <c r="O66" s="14" t="n">
        <v>0</v>
      </c>
      <c r="P66" s="14" t="n">
        <v>0</v>
      </c>
      <c r="Q66" s="14" t="n">
        <v>3.348532701514788</v>
      </c>
      <c r="R66" s="14" t="n">
        <v>52.51606266532405</v>
      </c>
      <c r="S66" s="14" t="n">
        <v>0</v>
      </c>
      <c r="T66" s="14" t="n">
        <v>0</v>
      </c>
      <c r="U66" s="14" t="n">
        <v>4.609675336486312</v>
      </c>
      <c r="V66" s="14" t="n">
        <v>3.099565336569623</v>
      </c>
      <c r="W66" s="14" t="n">
        <v>0</v>
      </c>
      <c r="X66" s="14" t="n">
        <v>1.896421235578094</v>
      </c>
      <c r="Y66" s="14" t="n">
        <v>0</v>
      </c>
      <c r="Z66" s="14" t="n">
        <v>0</v>
      </c>
      <c r="AA66" s="14" t="n">
        <v>0</v>
      </c>
      <c r="AB66" s="14" t="n">
        <v>0.322361675578627</v>
      </c>
      <c r="AC66" s="14" t="n">
        <v>9.349002978739202</v>
      </c>
      <c r="AD66" s="14" t="n">
        <v>3.28630418421535</v>
      </c>
      <c r="AE66" s="14" t="n">
        <v>0</v>
      </c>
      <c r="AF66" s="14" t="n">
        <v>3.280395247741174</v>
      </c>
      <c r="AG66" s="14" t="n">
        <v>3168.556306990847</v>
      </c>
      <c r="AH66" s="14" t="n">
        <v>7578.642218016909</v>
      </c>
      <c r="AI66" s="14" t="n">
        <v>7021.855343350948</v>
      </c>
      <c r="AJ66" s="14" t="n">
        <v>8748.07371726678</v>
      </c>
      <c r="AK66" s="14" t="n">
        <v>8387.159282332132</v>
      </c>
      <c r="AL66" s="14" t="n">
        <v>10050.81145863376</v>
      </c>
      <c r="AM66" s="14" t="n">
        <v>9372.880965703005</v>
      </c>
      <c r="AN66" s="14" t="n">
        <v>10230.2142980806</v>
      </c>
      <c r="AO66" s="14" t="n">
        <v>10640.54617456901</v>
      </c>
      <c r="AP66" s="14" t="n">
        <v>11551.53377155269</v>
      </c>
      <c r="AQ66" s="14" t="n">
        <v>11727.59431144084</v>
      </c>
      <c r="AR66" s="14" t="n">
        <v>13558.60178565052</v>
      </c>
      <c r="AS66" s="14" t="n">
        <v>14916.37942879736</v>
      </c>
      <c r="AT66" s="14" t="n">
        <v>15545.02481415637</v>
      </c>
      <c r="AU66" s="14" t="n">
        <v>16771.49768138871</v>
      </c>
      <c r="AV66" s="14" t="n">
        <v>19224.86168243241</v>
      </c>
      <c r="AW66" s="14" t="n">
        <v>17441.1480671768</v>
      </c>
      <c r="AX66" s="14" t="n">
        <v>22088.86738494214</v>
      </c>
      <c r="AY66" s="14" t="n">
        <v>25176.61194482731</v>
      </c>
      <c r="AZ66" s="14" t="n">
        <v>62951.39977365678</v>
      </c>
      <c r="BA66" s="14" t="n">
        <v>20988.24908993769</v>
      </c>
      <c r="BB66" s="14" t="n">
        <v>5265719.833151144</v>
      </c>
      <c r="BC66" s="14" t="n">
        <v>0</v>
      </c>
      <c r="BD66" s="14" t="n">
        <v>0</v>
      </c>
      <c r="BE66" s="14" t="n">
        <v>0</v>
      </c>
      <c r="BF66" s="14" t="n">
        <v>0</v>
      </c>
      <c r="BG66" s="14" t="n">
        <v>0</v>
      </c>
      <c r="BH66" s="14" t="n">
        <v>0</v>
      </c>
      <c r="BI66" s="14" t="n">
        <v>0</v>
      </c>
      <c r="BJ66" s="14" t="n">
        <v>0</v>
      </c>
      <c r="BK66" s="14" t="n">
        <v>0</v>
      </c>
      <c r="BL66" s="14" t="n">
        <v>0</v>
      </c>
      <c r="BM66" s="14" t="n">
        <v>0</v>
      </c>
      <c r="BN66" s="14" t="n">
        <v>0</v>
      </c>
      <c r="BO66" s="14" t="n">
        <v>0</v>
      </c>
      <c r="BP66" s="14" t="n">
        <v>0</v>
      </c>
      <c r="BQ66" s="14" t="inlineStr">
        <is>
          <t>Rural|Deciles|median|10</t>
        </is>
      </c>
    </row>
    <row r="67">
      <c r="A67" s="14" t="inlineStr">
        <is>
          <t>EGY.distn.bsh.bkt.rur.median.9999</t>
        </is>
      </c>
      <c r="B67" s="14" t="inlineStr">
        <is>
          <t>EGY</t>
        </is>
      </c>
      <c r="C67" s="14" t="n">
        <v>2017</v>
      </c>
      <c r="D67" s="14" t="inlineStr">
        <is>
          <t>Rural</t>
        </is>
      </c>
      <c r="E67" s="14" t="inlineStr">
        <is>
          <t>Basket</t>
        </is>
      </c>
      <c r="F67" s="14" t="inlineStr">
        <is>
          <t>median</t>
        </is>
      </c>
      <c r="G67" s="14" t="n">
        <v>9999</v>
      </c>
      <c r="H67" s="14" t="n">
        <v>1.428506191146528</v>
      </c>
      <c r="I67" s="14" t="n">
        <v>0</v>
      </c>
      <c r="J67" s="14" t="n">
        <v>3.197136200686504</v>
      </c>
      <c r="K67" s="14" t="n">
        <v>5.790959960267162</v>
      </c>
      <c r="L67" s="14" t="n">
        <v>0</v>
      </c>
      <c r="M67" s="14" t="n">
        <v>1.986128028809287</v>
      </c>
      <c r="N67" s="14" t="n">
        <v>0</v>
      </c>
      <c r="O67" s="14" t="n">
        <v>1.288223382001406</v>
      </c>
      <c r="P67" s="14" t="n">
        <v>0</v>
      </c>
      <c r="Q67" s="14" t="n">
        <v>3.150179900051024</v>
      </c>
      <c r="R67" s="14" t="n">
        <v>59.26902572788219</v>
      </c>
      <c r="S67" s="14" t="n">
        <v>0</v>
      </c>
      <c r="T67" s="14" t="n">
        <v>0</v>
      </c>
      <c r="U67" s="14" t="n">
        <v>2.869730193863315</v>
      </c>
      <c r="V67" s="14" t="n">
        <v>2.746033289519917</v>
      </c>
      <c r="W67" s="14" t="n">
        <v>0</v>
      </c>
      <c r="X67" s="14" t="n">
        <v>2.344168822849955</v>
      </c>
      <c r="Y67" s="14" t="n">
        <v>0</v>
      </c>
      <c r="Z67" s="14" t="n">
        <v>0</v>
      </c>
      <c r="AA67" s="14" t="n">
        <v>0</v>
      </c>
      <c r="AB67" s="14" t="n">
        <v>1.433767665662517</v>
      </c>
      <c r="AC67" s="14" t="n">
        <v>4.767904106413335</v>
      </c>
      <c r="AD67" s="14" t="n">
        <v>5.07519988450306</v>
      </c>
      <c r="AE67" s="14" t="n">
        <v>0</v>
      </c>
      <c r="AF67" s="14" t="n">
        <v>3.132538707642023</v>
      </c>
      <c r="AG67" s="14" t="n">
        <v>3097.410662746424</v>
      </c>
      <c r="AH67" s="14" t="n">
        <v>7028.384494183232</v>
      </c>
      <c r="AI67" s="14" t="n">
        <v>7450.751816115671</v>
      </c>
      <c r="AJ67" s="14" t="n">
        <v>8443.299820649419</v>
      </c>
      <c r="AK67" s="14" t="n">
        <v>8283.011194028384</v>
      </c>
      <c r="AL67" s="14" t="n">
        <v>10371.24211449645</v>
      </c>
      <c r="AM67" s="14" t="n">
        <v>9580.848326822561</v>
      </c>
      <c r="AN67" s="14" t="n">
        <v>10277.03184070207</v>
      </c>
      <c r="AO67" s="14" t="n">
        <v>11055.01458117835</v>
      </c>
      <c r="AP67" s="14" t="n">
        <v>11859.31878934349</v>
      </c>
      <c r="AQ67" s="14" t="n">
        <v>12201.90142464226</v>
      </c>
      <c r="AR67" s="14" t="n">
        <v>12805.12292038167</v>
      </c>
      <c r="AS67" s="14" t="n">
        <v>13958.27191422211</v>
      </c>
      <c r="AT67" s="14" t="n">
        <v>16411.07737284928</v>
      </c>
      <c r="AU67" s="14" t="n">
        <v>15790.12145263001</v>
      </c>
      <c r="AV67" s="14" t="n">
        <v>17858.9471238378</v>
      </c>
      <c r="AW67" s="14" t="n">
        <v>17659.15275581751</v>
      </c>
      <c r="AX67" s="14" t="n">
        <v>22024.19601762933</v>
      </c>
      <c r="AY67" s="14" t="n">
        <v>24772.13638786287</v>
      </c>
      <c r="AZ67" s="14" t="n">
        <v>67589.67235371261</v>
      </c>
      <c r="BA67" s="14" t="n">
        <v>10605.29715029337</v>
      </c>
      <c r="BB67" s="14" t="n">
        <v>52245932.67590689</v>
      </c>
      <c r="BC67" s="14" t="n">
        <v>0</v>
      </c>
      <c r="BD67" s="14" t="n">
        <v>0</v>
      </c>
      <c r="BE67" s="14" t="n">
        <v>0</v>
      </c>
      <c r="BF67" s="14" t="n">
        <v>0</v>
      </c>
      <c r="BG67" s="14" t="n">
        <v>0</v>
      </c>
      <c r="BH67" s="14" t="n">
        <v>0</v>
      </c>
      <c r="BI67" s="14" t="n">
        <v>0</v>
      </c>
      <c r="BJ67" s="14" t="n">
        <v>0</v>
      </c>
      <c r="BK67" s="14" t="n">
        <v>0.1134930166008764</v>
      </c>
      <c r="BL67" s="14" t="n">
        <v>2.212931325678219</v>
      </c>
      <c r="BM67" s="14" t="n">
        <v>22.84557500072252</v>
      </c>
      <c r="BN67" s="14" t="n">
        <v>0</v>
      </c>
      <c r="BO67" s="14" t="n">
        <v>0</v>
      </c>
      <c r="BP67" s="14" t="n">
        <v>0</v>
      </c>
      <c r="BQ67" s="14" t="inlineStr">
        <is>
          <t>Rural|Basket|median|9999</t>
        </is>
      </c>
    </row>
    <row r="68">
      <c r="A68" s="14" t="inlineStr">
        <is>
          <t>EGY.distn.bsh.dec.rur.p25.1</t>
        </is>
      </c>
      <c r="B68" s="14" t="inlineStr">
        <is>
          <t>EGY</t>
        </is>
      </c>
      <c r="C68" s="14" t="n">
        <v>2017</v>
      </c>
      <c r="D68" s="14" t="inlineStr">
        <is>
          <t>Rural</t>
        </is>
      </c>
      <c r="E68" s="14" t="inlineStr">
        <is>
          <t>Deciles</t>
        </is>
      </c>
      <c r="F68" s="14" t="inlineStr">
        <is>
          <t>p25</t>
        </is>
      </c>
      <c r="G68" s="14" t="n">
        <v>1</v>
      </c>
      <c r="H68" s="14" t="n">
        <v>0.8548726921184134</v>
      </c>
      <c r="I68" s="14" t="n">
        <v>0</v>
      </c>
      <c r="J68" s="14" t="n">
        <v>3.235239877930699</v>
      </c>
      <c r="K68" s="14" t="n">
        <v>2.750107121102941</v>
      </c>
      <c r="L68" s="14" t="n">
        <v>0</v>
      </c>
      <c r="M68" s="14" t="n">
        <v>1.151228200507409</v>
      </c>
      <c r="N68" s="14" t="n">
        <v>0</v>
      </c>
      <c r="O68" s="14" t="n">
        <v>0.4926145935537283</v>
      </c>
      <c r="P68" s="14" t="n">
        <v>0</v>
      </c>
      <c r="Q68" s="14" t="n">
        <v>2.537056755804293</v>
      </c>
      <c r="R68" s="14" t="n">
        <v>54.52919493142207</v>
      </c>
      <c r="S68" s="14" t="n">
        <v>0</v>
      </c>
      <c r="T68" s="14" t="n">
        <v>0</v>
      </c>
      <c r="U68" s="14" t="n">
        <v>0.6856144691238999</v>
      </c>
      <c r="V68" s="14" t="n">
        <v>1.882779727131894</v>
      </c>
      <c r="W68" s="14" t="n">
        <v>0</v>
      </c>
      <c r="X68" s="14" t="n">
        <v>2.416637451513427</v>
      </c>
      <c r="Y68" s="14" t="n">
        <v>0</v>
      </c>
      <c r="Z68" s="14" t="n">
        <v>0</v>
      </c>
      <c r="AA68" s="14" t="n">
        <v>0</v>
      </c>
      <c r="AB68" s="14" t="n">
        <v>0.8884175135188082</v>
      </c>
      <c r="AC68" s="14" t="n">
        <v>1.657116739222386</v>
      </c>
      <c r="AD68" s="14" t="n">
        <v>3.39405214625372</v>
      </c>
      <c r="AE68" s="14" t="n">
        <v>0</v>
      </c>
      <c r="AF68" s="14" t="n">
        <v>2.285255442018414</v>
      </c>
      <c r="AG68" s="14" t="n">
        <v>2991.141979846181</v>
      </c>
      <c r="AH68" s="14" t="n">
        <v>7252.985528618491</v>
      </c>
      <c r="AI68" s="14" t="n">
        <v>7114.072487897227</v>
      </c>
      <c r="AJ68" s="14" t="n">
        <v>8846.836067324997</v>
      </c>
      <c r="AK68" s="14" t="n">
        <v>8768.024018204314</v>
      </c>
      <c r="AL68" s="14" t="n">
        <v>9028.958239631493</v>
      </c>
      <c r="AM68" s="14" t="n">
        <v>10471.22658717381</v>
      </c>
      <c r="AN68" s="14" t="n">
        <v>11373.36817859833</v>
      </c>
      <c r="AO68" s="14" t="n">
        <v>10989.96360224274</v>
      </c>
      <c r="AP68" s="14" t="n">
        <v>12614.39466799803</v>
      </c>
      <c r="AQ68" s="14" t="n">
        <v>11587.95035338578</v>
      </c>
      <c r="AR68" s="14" t="n">
        <v>14857.84904395755</v>
      </c>
      <c r="AS68" s="14" t="n">
        <v>14893.43479094376</v>
      </c>
      <c r="AT68" s="14" t="n">
        <v>16364.78387025442</v>
      </c>
      <c r="AU68" s="14" t="n">
        <v>15371.3630661809</v>
      </c>
      <c r="AV68" s="14" t="n">
        <v>18882.68456308911</v>
      </c>
      <c r="AW68" s="14" t="n">
        <v>17288.76687084881</v>
      </c>
      <c r="AX68" s="14" t="n">
        <v>21887.17814215426</v>
      </c>
      <c r="AY68" s="14" t="n">
        <v>24332.31171524953</v>
      </c>
      <c r="AZ68" s="14" t="n">
        <v>69611.28305548696</v>
      </c>
      <c r="BA68" s="14" t="n">
        <v>4369.445775654415</v>
      </c>
      <c r="BB68" s="14" t="n">
        <v>5737198.077452545</v>
      </c>
      <c r="BC68" s="14" t="n">
        <v>0</v>
      </c>
      <c r="BD68" s="14" t="n">
        <v>0</v>
      </c>
      <c r="BE68" s="14" t="n">
        <v>111.8525595738818</v>
      </c>
      <c r="BF68" s="14" t="n">
        <v>18.05608011493536</v>
      </c>
      <c r="BG68" s="14" t="n">
        <v>22.14478893463716</v>
      </c>
      <c r="BH68" s="14" t="n">
        <v>88.00152568242451</v>
      </c>
      <c r="BI68" s="14" t="n">
        <v>100.17067303904</v>
      </c>
      <c r="BJ68" s="14" t="n">
        <v>71.15683905142944</v>
      </c>
      <c r="BK68" s="14" t="n">
        <v>0.1162337656495813</v>
      </c>
      <c r="BL68" s="14" t="n">
        <v>2.321199042775498</v>
      </c>
      <c r="BM68" s="14" t="n">
        <v>5.768952972782231</v>
      </c>
      <c r="BN68" s="14" t="n">
        <v>0</v>
      </c>
      <c r="BO68" s="14" t="n">
        <v>0</v>
      </c>
      <c r="BP68" s="14" t="n">
        <v>0</v>
      </c>
      <c r="BQ68" s="14" t="inlineStr">
        <is>
          <t>Rural|Deciles|p25|1</t>
        </is>
      </c>
    </row>
    <row r="69">
      <c r="A69" s="14" t="inlineStr">
        <is>
          <t>EGY.distn.bsh.dec.rur.p25.2</t>
        </is>
      </c>
      <c r="B69" s="14" t="inlineStr">
        <is>
          <t>EGY</t>
        </is>
      </c>
      <c r="C69" s="14" t="n">
        <v>2017</v>
      </c>
      <c r="D69" s="14" t="inlineStr">
        <is>
          <t>Rural</t>
        </is>
      </c>
      <c r="E69" s="14" t="inlineStr">
        <is>
          <t>Deciles</t>
        </is>
      </c>
      <c r="F69" s="14" t="inlineStr">
        <is>
          <t>p25</t>
        </is>
      </c>
      <c r="G69" s="14" t="n">
        <v>2</v>
      </c>
      <c r="H69" s="14" t="n">
        <v>0.9360899897192402</v>
      </c>
      <c r="I69" s="14" t="n">
        <v>0</v>
      </c>
      <c r="J69" s="14" t="n">
        <v>3.235906444542767</v>
      </c>
      <c r="K69" s="14" t="n">
        <v>3.451435187092284</v>
      </c>
      <c r="L69" s="14" t="n">
        <v>0</v>
      </c>
      <c r="M69" s="14" t="n">
        <v>1.093891228437939</v>
      </c>
      <c r="N69" s="14" t="n">
        <v>0</v>
      </c>
      <c r="O69" s="14" t="n">
        <v>0.4711641693467487</v>
      </c>
      <c r="P69" s="14" t="n">
        <v>0</v>
      </c>
      <c r="Q69" s="14" t="n">
        <v>2.377016685636885</v>
      </c>
      <c r="R69" s="14" t="n">
        <v>51.68893312414204</v>
      </c>
      <c r="S69" s="14" t="n">
        <v>0</v>
      </c>
      <c r="T69" s="14" t="n">
        <v>0</v>
      </c>
      <c r="U69" s="14" t="n">
        <v>0.836017932647488</v>
      </c>
      <c r="V69" s="14" t="n">
        <v>1.73620403671015</v>
      </c>
      <c r="W69" s="14" t="n">
        <v>0</v>
      </c>
      <c r="X69" s="14" t="n">
        <v>2.18466629310923</v>
      </c>
      <c r="Y69" s="14" t="n">
        <v>0</v>
      </c>
      <c r="Z69" s="14" t="n">
        <v>0</v>
      </c>
      <c r="AA69" s="14" t="n">
        <v>0</v>
      </c>
      <c r="AB69" s="14" t="n">
        <v>1.089598471272759</v>
      </c>
      <c r="AC69" s="14" t="n">
        <v>1.739207542833162</v>
      </c>
      <c r="AD69" s="14" t="n">
        <v>3.723170298099159</v>
      </c>
      <c r="AE69" s="14" t="n">
        <v>0</v>
      </c>
      <c r="AF69" s="14" t="n">
        <v>1.812279169744571</v>
      </c>
      <c r="AG69" s="14" t="n">
        <v>3283.189662776928</v>
      </c>
      <c r="AH69" s="14" t="n">
        <v>7263.036548809507</v>
      </c>
      <c r="AI69" s="14" t="n">
        <v>7037.583164488308</v>
      </c>
      <c r="AJ69" s="14" t="n">
        <v>8698.139759784133</v>
      </c>
      <c r="AK69" s="14" t="n">
        <v>8939.788742717761</v>
      </c>
      <c r="AL69" s="14" t="n">
        <v>9468.797546721134</v>
      </c>
      <c r="AM69" s="14" t="n">
        <v>10457.88340722484</v>
      </c>
      <c r="AN69" s="14" t="n">
        <v>10983.6311253222</v>
      </c>
      <c r="AO69" s="14" t="n">
        <v>10715.77371474042</v>
      </c>
      <c r="AP69" s="14" t="n">
        <v>12757.07091665031</v>
      </c>
      <c r="AQ69" s="14" t="n">
        <v>12755.73624092272</v>
      </c>
      <c r="AR69" s="14" t="n">
        <v>13682.82807563934</v>
      </c>
      <c r="AS69" s="14" t="n">
        <v>13375.26265749324</v>
      </c>
      <c r="AT69" s="14" t="n">
        <v>15183.01144842658</v>
      </c>
      <c r="AU69" s="14" t="n">
        <v>15911.60871984885</v>
      </c>
      <c r="AV69" s="14" t="n">
        <v>19722.90693502854</v>
      </c>
      <c r="AW69" s="14" t="n">
        <v>17221.26527846385</v>
      </c>
      <c r="AX69" s="14" t="n">
        <v>22073.49927974795</v>
      </c>
      <c r="AY69" s="14" t="n">
        <v>24017.70938814171</v>
      </c>
      <c r="AZ69" s="14" t="n">
        <v>66540.99573869251</v>
      </c>
      <c r="BA69" s="14" t="n">
        <v>6372.149413997565</v>
      </c>
      <c r="BB69" s="14" t="n">
        <v>5577158.375263856</v>
      </c>
      <c r="BC69" s="14" t="n">
        <v>0</v>
      </c>
      <c r="BD69" s="14" t="n">
        <v>0</v>
      </c>
      <c r="BE69" s="14" t="n">
        <v>110.9991919440651</v>
      </c>
      <c r="BF69" s="14" t="n">
        <v>29.30937983207381</v>
      </c>
      <c r="BG69" s="14" t="n">
        <v>43.98500319848469</v>
      </c>
      <c r="BH69" s="14" t="n">
        <v>93.39096864715881</v>
      </c>
      <c r="BI69" s="14" t="n">
        <v>108.6266048196661</v>
      </c>
      <c r="BJ69" s="14" t="n">
        <v>80.67237790907585</v>
      </c>
      <c r="BK69" s="14" t="n">
        <v>0</v>
      </c>
      <c r="BL69" s="14" t="n">
        <v>0.0009097817135852821</v>
      </c>
      <c r="BM69" s="14" t="n">
        <v>5.959227111793591</v>
      </c>
      <c r="BN69" s="14" t="n">
        <v>0</v>
      </c>
      <c r="BO69" s="14" t="n">
        <v>0</v>
      </c>
      <c r="BP69" s="14" t="n">
        <v>0</v>
      </c>
      <c r="BQ69" s="14" t="inlineStr">
        <is>
          <t>Rural|Deciles|p25|2</t>
        </is>
      </c>
    </row>
    <row r="70">
      <c r="A70" s="14" t="inlineStr">
        <is>
          <t>EGY.distn.bsh.dec.rur.p25.3</t>
        </is>
      </c>
      <c r="B70" s="14" t="inlineStr">
        <is>
          <t>EGY</t>
        </is>
      </c>
      <c r="C70" s="14" t="n">
        <v>2017</v>
      </c>
      <c r="D70" s="14" t="inlineStr">
        <is>
          <t>Rural</t>
        </is>
      </c>
      <c r="E70" s="14" t="inlineStr">
        <is>
          <t>Deciles</t>
        </is>
      </c>
      <c r="F70" s="14" t="inlineStr">
        <is>
          <t>p25</t>
        </is>
      </c>
      <c r="G70" s="14" t="n">
        <v>3</v>
      </c>
      <c r="H70" s="14" t="n">
        <v>0.8236015680918863</v>
      </c>
      <c r="I70" s="14" t="n">
        <v>0</v>
      </c>
      <c r="J70" s="14" t="n">
        <v>2.678382589250052</v>
      </c>
      <c r="K70" s="14" t="n">
        <v>3.540345255628559</v>
      </c>
      <c r="L70" s="14" t="n">
        <v>0</v>
      </c>
      <c r="M70" s="14" t="n">
        <v>1.3644030153086</v>
      </c>
      <c r="N70" s="14" t="n">
        <v>0</v>
      </c>
      <c r="O70" s="14" t="n">
        <v>0.454182042049934</v>
      </c>
      <c r="P70" s="14" t="n">
        <v>0</v>
      </c>
      <c r="Q70" s="14" t="n">
        <v>2.254218131524339</v>
      </c>
      <c r="R70" s="14" t="n">
        <v>55.60977143671744</v>
      </c>
      <c r="S70" s="14" t="n">
        <v>0</v>
      </c>
      <c r="T70" s="14" t="n">
        <v>0</v>
      </c>
      <c r="U70" s="14" t="n">
        <v>0.9830105741268449</v>
      </c>
      <c r="V70" s="14" t="n">
        <v>1.825667273148864</v>
      </c>
      <c r="W70" s="14" t="n">
        <v>0</v>
      </c>
      <c r="X70" s="14" t="n">
        <v>1.868138321329374</v>
      </c>
      <c r="Y70" s="14" t="n">
        <v>0</v>
      </c>
      <c r="Z70" s="14" t="n">
        <v>0</v>
      </c>
      <c r="AA70" s="14" t="n">
        <v>0</v>
      </c>
      <c r="AB70" s="14" t="n">
        <v>0.8594417788650505</v>
      </c>
      <c r="AC70" s="14" t="n">
        <v>1.853442285846883</v>
      </c>
      <c r="AD70" s="14" t="n">
        <v>3.874958799836013</v>
      </c>
      <c r="AE70" s="14" t="n">
        <v>0</v>
      </c>
      <c r="AF70" s="14" t="n">
        <v>2.09101816627713</v>
      </c>
      <c r="AG70" s="14" t="n">
        <v>3175.103568319292</v>
      </c>
      <c r="AH70" s="14" t="n">
        <v>7463.80513238051</v>
      </c>
      <c r="AI70" s="14" t="n">
        <v>7077.732814065456</v>
      </c>
      <c r="AJ70" s="14" t="n">
        <v>8428.587764446791</v>
      </c>
      <c r="AK70" s="14" t="n">
        <v>7969.476702634382</v>
      </c>
      <c r="AL70" s="14" t="n">
        <v>9256.080695081082</v>
      </c>
      <c r="AM70" s="14" t="n">
        <v>10174.68684521614</v>
      </c>
      <c r="AN70" s="14" t="n">
        <v>11092.03358756411</v>
      </c>
      <c r="AO70" s="14" t="n">
        <v>10225.0647605325</v>
      </c>
      <c r="AP70" s="14" t="n">
        <v>13048.31039743456</v>
      </c>
      <c r="AQ70" s="14" t="n">
        <v>12692.6842736306</v>
      </c>
      <c r="AR70" s="14" t="n">
        <v>13447.77318408064</v>
      </c>
      <c r="AS70" s="14" t="n">
        <v>13491.21745600174</v>
      </c>
      <c r="AT70" s="14" t="n">
        <v>14730.62869805445</v>
      </c>
      <c r="AU70" s="14" t="n">
        <v>16190.8275466786</v>
      </c>
      <c r="AV70" s="14" t="n">
        <v>19453.55868405873</v>
      </c>
      <c r="AW70" s="14" t="n">
        <v>17564.00965051274</v>
      </c>
      <c r="AX70" s="14" t="n">
        <v>23862.56699447823</v>
      </c>
      <c r="AY70" s="14" t="n">
        <v>22760.09428503258</v>
      </c>
      <c r="AZ70" s="14" t="n">
        <v>67719.39742838708</v>
      </c>
      <c r="BA70" s="14" t="n">
        <v>7654.395752476798</v>
      </c>
      <c r="BB70" s="14" t="n">
        <v>5563492.774078597</v>
      </c>
      <c r="BC70" s="14" t="n">
        <v>0</v>
      </c>
      <c r="BD70" s="14" t="n">
        <v>0</v>
      </c>
      <c r="BE70" s="14" t="n">
        <v>113.857611444416</v>
      </c>
      <c r="BF70" s="14" t="n">
        <v>40.25779649863303</v>
      </c>
      <c r="BG70" s="14" t="n">
        <v>55.49352960921317</v>
      </c>
      <c r="BH70" s="14" t="n">
        <v>97.0219763374747</v>
      </c>
      <c r="BI70" s="14" t="n">
        <v>113.0952712064586</v>
      </c>
      <c r="BJ70" s="14" t="n">
        <v>78.79294656592796</v>
      </c>
      <c r="BK70" s="14" t="n">
        <v>0</v>
      </c>
      <c r="BL70" s="14" t="n">
        <v>0</v>
      </c>
      <c r="BM70" s="14" t="n">
        <v>6.038904103080671</v>
      </c>
      <c r="BN70" s="14" t="n">
        <v>0</v>
      </c>
      <c r="BO70" s="14" t="n">
        <v>0</v>
      </c>
      <c r="BP70" s="14" t="n">
        <v>0</v>
      </c>
      <c r="BQ70" s="14" t="inlineStr">
        <is>
          <t>Rural|Deciles|p25|3</t>
        </is>
      </c>
    </row>
    <row r="71">
      <c r="A71" s="14" t="inlineStr">
        <is>
          <t>EGY.distn.bsh.dec.rur.p25.4</t>
        </is>
      </c>
      <c r="B71" s="14" t="inlineStr">
        <is>
          <t>EGY</t>
        </is>
      </c>
      <c r="C71" s="14" t="n">
        <v>2017</v>
      </c>
      <c r="D71" s="14" t="inlineStr">
        <is>
          <t>Rural</t>
        </is>
      </c>
      <c r="E71" s="14" t="inlineStr">
        <is>
          <t>Deciles</t>
        </is>
      </c>
      <c r="F71" s="14" t="inlineStr">
        <is>
          <t>p25</t>
        </is>
      </c>
      <c r="G71" s="14" t="n">
        <v>4</v>
      </c>
      <c r="H71" s="14" t="n">
        <v>0.8711645964929634</v>
      </c>
      <c r="I71" s="14" t="n">
        <v>0</v>
      </c>
      <c r="J71" s="14" t="n">
        <v>2.714684775783405</v>
      </c>
      <c r="K71" s="14" t="n">
        <v>3.974567511186893</v>
      </c>
      <c r="L71" s="14" t="n">
        <v>0</v>
      </c>
      <c r="M71" s="14" t="n">
        <v>1.319615823609043</v>
      </c>
      <c r="N71" s="14" t="n">
        <v>0</v>
      </c>
      <c r="O71" s="14" t="n">
        <v>0.3540677514394654</v>
      </c>
      <c r="P71" s="14" t="n">
        <v>0</v>
      </c>
      <c r="Q71" s="14" t="n">
        <v>2.147852817741628</v>
      </c>
      <c r="R71" s="14" t="n">
        <v>55.50639083672905</v>
      </c>
      <c r="S71" s="14" t="n">
        <v>0</v>
      </c>
      <c r="T71" s="14" t="n">
        <v>0</v>
      </c>
      <c r="U71" s="14" t="n">
        <v>1.019291691710506</v>
      </c>
      <c r="V71" s="14" t="n">
        <v>1.813819498165324</v>
      </c>
      <c r="W71" s="14" t="n">
        <v>0</v>
      </c>
      <c r="X71" s="14" t="n">
        <v>1.799629287148536</v>
      </c>
      <c r="Y71" s="14" t="n">
        <v>0</v>
      </c>
      <c r="Z71" s="14" t="n">
        <v>0</v>
      </c>
      <c r="AA71" s="14" t="n">
        <v>0</v>
      </c>
      <c r="AB71" s="14" t="n">
        <v>0.9040908986925574</v>
      </c>
      <c r="AC71" s="14" t="n">
        <v>1.91954918124881</v>
      </c>
      <c r="AD71" s="14" t="n">
        <v>3.733903931885369</v>
      </c>
      <c r="AE71" s="14" t="n">
        <v>0</v>
      </c>
      <c r="AF71" s="14" t="n">
        <v>2.164444955339554</v>
      </c>
      <c r="AG71" s="14" t="n">
        <v>3306.558501481298</v>
      </c>
      <c r="AH71" s="14" t="n">
        <v>7291.873735429216</v>
      </c>
      <c r="AI71" s="14" t="n">
        <v>7390.49841583946</v>
      </c>
      <c r="AJ71" s="14" t="n">
        <v>8954.487498832104</v>
      </c>
      <c r="AK71" s="14" t="n">
        <v>9094.511526839238</v>
      </c>
      <c r="AL71" s="14" t="n">
        <v>9338.311021514717</v>
      </c>
      <c r="AM71" s="14" t="n">
        <v>10096.08330818941</v>
      </c>
      <c r="AN71" s="14" t="n">
        <v>11495.73548048361</v>
      </c>
      <c r="AO71" s="14" t="n">
        <v>10597.74386278725</v>
      </c>
      <c r="AP71" s="14" t="n">
        <v>12508.23284749066</v>
      </c>
      <c r="AQ71" s="14" t="n">
        <v>11356.09213040571</v>
      </c>
      <c r="AR71" s="14" t="n">
        <v>14389.62032838441</v>
      </c>
      <c r="AS71" s="14" t="n">
        <v>12842.26529857</v>
      </c>
      <c r="AT71" s="14" t="n">
        <v>16752.31081618434</v>
      </c>
      <c r="AU71" s="14" t="n">
        <v>14599.95060228539</v>
      </c>
      <c r="AV71" s="14" t="n">
        <v>18700.09636725661</v>
      </c>
      <c r="AW71" s="14" t="n">
        <v>18106.08223755555</v>
      </c>
      <c r="AX71" s="14" t="n">
        <v>24467.78494472199</v>
      </c>
      <c r="AY71" s="14" t="n">
        <v>24724.978433911</v>
      </c>
      <c r="AZ71" s="14" t="n">
        <v>65386.59958214543</v>
      </c>
      <c r="BA71" s="14" t="n">
        <v>7700.481390306642</v>
      </c>
      <c r="BB71" s="14" t="n">
        <v>5521502.985107247</v>
      </c>
      <c r="BC71" s="14" t="n">
        <v>0</v>
      </c>
      <c r="BD71" s="14" t="n">
        <v>0</v>
      </c>
      <c r="BE71" s="14" t="n">
        <v>108.3598401791061</v>
      </c>
      <c r="BF71" s="14" t="n">
        <v>45.12209334355703</v>
      </c>
      <c r="BG71" s="14" t="n">
        <v>54.58816521445513</v>
      </c>
      <c r="BH71" s="14" t="n">
        <v>104.5161560406996</v>
      </c>
      <c r="BI71" s="14" t="n">
        <v>111.862121884691</v>
      </c>
      <c r="BJ71" s="14" t="n">
        <v>89.84681827538458</v>
      </c>
      <c r="BK71" s="14" t="n">
        <v>0</v>
      </c>
      <c r="BL71" s="14" t="n">
        <v>0</v>
      </c>
      <c r="BM71" s="14" t="n">
        <v>5.302710760872849</v>
      </c>
      <c r="BN71" s="14" t="n">
        <v>0</v>
      </c>
      <c r="BO71" s="14" t="n">
        <v>0</v>
      </c>
      <c r="BP71" s="14" t="n">
        <v>0</v>
      </c>
      <c r="BQ71" s="14" t="inlineStr">
        <is>
          <t>Rural|Deciles|p25|4</t>
        </is>
      </c>
    </row>
    <row r="72">
      <c r="A72" s="14" t="inlineStr">
        <is>
          <t>EGY.distn.bsh.dec.rur.p25.5</t>
        </is>
      </c>
      <c r="B72" s="14" t="inlineStr">
        <is>
          <t>EGY</t>
        </is>
      </c>
      <c r="C72" s="14" t="n">
        <v>2017</v>
      </c>
      <c r="D72" s="14" t="inlineStr">
        <is>
          <t>Rural</t>
        </is>
      </c>
      <c r="E72" s="14" t="inlineStr">
        <is>
          <t>Deciles</t>
        </is>
      </c>
      <c r="F72" s="14" t="inlineStr">
        <is>
          <t>p25</t>
        </is>
      </c>
      <c r="G72" s="14" t="n">
        <v>5</v>
      </c>
      <c r="H72" s="14" t="n">
        <v>0.878824384624606</v>
      </c>
      <c r="I72" s="14" t="n">
        <v>0</v>
      </c>
      <c r="J72" s="14" t="n">
        <v>2.716444964762122</v>
      </c>
      <c r="K72" s="14" t="n">
        <v>3.467157283622949</v>
      </c>
      <c r="L72" s="14" t="n">
        <v>0</v>
      </c>
      <c r="M72" s="14" t="n">
        <v>1.196740167254031</v>
      </c>
      <c r="N72" s="14" t="n">
        <v>0</v>
      </c>
      <c r="O72" s="14" t="n">
        <v>0.1647687375831487</v>
      </c>
      <c r="P72" s="14" t="n">
        <v>0</v>
      </c>
      <c r="Q72" s="14" t="n">
        <v>2.171848226225603</v>
      </c>
      <c r="R72" s="14" t="n">
        <v>54.00777963874115</v>
      </c>
      <c r="S72" s="14" t="n">
        <v>0</v>
      </c>
      <c r="T72" s="14" t="n">
        <v>0</v>
      </c>
      <c r="U72" s="14" t="n">
        <v>1.168577902016669</v>
      </c>
      <c r="V72" s="14" t="n">
        <v>1.626570022947883</v>
      </c>
      <c r="W72" s="14" t="n">
        <v>0</v>
      </c>
      <c r="X72" s="14" t="n">
        <v>1.600510860178459</v>
      </c>
      <c r="Y72" s="14" t="n">
        <v>0</v>
      </c>
      <c r="Z72" s="14" t="n">
        <v>0</v>
      </c>
      <c r="AA72" s="14" t="n">
        <v>0</v>
      </c>
      <c r="AB72" s="14" t="n">
        <v>0.7565772897424737</v>
      </c>
      <c r="AC72" s="14" t="n">
        <v>1.95862399309098</v>
      </c>
      <c r="AD72" s="14" t="n">
        <v>3.945107929845849</v>
      </c>
      <c r="AE72" s="14" t="n">
        <v>0</v>
      </c>
      <c r="AF72" s="14" t="n">
        <v>1.990411512069992</v>
      </c>
      <c r="AG72" s="14" t="n">
        <v>3005.554701839589</v>
      </c>
      <c r="AH72" s="14" t="n">
        <v>7485.538805523298</v>
      </c>
      <c r="AI72" s="14" t="n">
        <v>7415.92186869069</v>
      </c>
      <c r="AJ72" s="14" t="n">
        <v>8402.31862617259</v>
      </c>
      <c r="AK72" s="14" t="n">
        <v>9036.444366549233</v>
      </c>
      <c r="AL72" s="14" t="n">
        <v>9250.320483259798</v>
      </c>
      <c r="AM72" s="14" t="n">
        <v>9386.964634715936</v>
      </c>
      <c r="AN72" s="14" t="n">
        <v>11686.46426401766</v>
      </c>
      <c r="AO72" s="14" t="n">
        <v>10487.95468301016</v>
      </c>
      <c r="AP72" s="14" t="n">
        <v>12068.91854437205</v>
      </c>
      <c r="AQ72" s="14" t="n">
        <v>12773.83016293566</v>
      </c>
      <c r="AR72" s="14" t="n">
        <v>14418.49400960537</v>
      </c>
      <c r="AS72" s="14" t="n">
        <v>13986.72964706442</v>
      </c>
      <c r="AT72" s="14" t="n">
        <v>16411.6957975453</v>
      </c>
      <c r="AU72" s="14" t="n">
        <v>16777.37021738692</v>
      </c>
      <c r="AV72" s="14" t="n">
        <v>19218.4989135581</v>
      </c>
      <c r="AW72" s="14" t="n">
        <v>19272.11436527316</v>
      </c>
      <c r="AX72" s="14" t="n">
        <v>25051.89882539904</v>
      </c>
      <c r="AY72" s="14" t="n">
        <v>23688.44334605195</v>
      </c>
      <c r="AZ72" s="14" t="n">
        <v>63563.90575231899</v>
      </c>
      <c r="BA72" s="14" t="n">
        <v>8986.01741778036</v>
      </c>
      <c r="BB72" s="14" t="n">
        <v>5490251.276805108</v>
      </c>
      <c r="BC72" s="14" t="n">
        <v>0</v>
      </c>
      <c r="BD72" s="14" t="n">
        <v>0</v>
      </c>
      <c r="BE72" s="14" t="n">
        <v>115.1423832182584</v>
      </c>
      <c r="BF72" s="14" t="n">
        <v>48.76070786964953</v>
      </c>
      <c r="BG72" s="14" t="n">
        <v>60.23225733240093</v>
      </c>
      <c r="BH72" s="14" t="n">
        <v>92.89781734920399</v>
      </c>
      <c r="BI72" s="14" t="n">
        <v>112.7319215504064</v>
      </c>
      <c r="BJ72" s="14" t="n">
        <v>78.9672230138775</v>
      </c>
      <c r="BK72" s="14" t="n">
        <v>0</v>
      </c>
      <c r="BL72" s="14" t="n">
        <v>0</v>
      </c>
      <c r="BM72" s="14" t="n">
        <v>1.546712468732041</v>
      </c>
      <c r="BN72" s="14" t="n">
        <v>0</v>
      </c>
      <c r="BO72" s="14" t="n">
        <v>0</v>
      </c>
      <c r="BP72" s="14" t="n">
        <v>0</v>
      </c>
      <c r="BQ72" s="14" t="inlineStr">
        <is>
          <t>Rural|Deciles|p25|5</t>
        </is>
      </c>
    </row>
    <row r="73">
      <c r="A73" s="14" t="inlineStr">
        <is>
          <t>EGY.distn.bsh.dec.rur.p25.6</t>
        </is>
      </c>
      <c r="B73" s="14" t="inlineStr">
        <is>
          <t>EGY</t>
        </is>
      </c>
      <c r="C73" s="14" t="n">
        <v>2017</v>
      </c>
      <c r="D73" s="14" t="inlineStr">
        <is>
          <t>Rural</t>
        </is>
      </c>
      <c r="E73" s="14" t="inlineStr">
        <is>
          <t>Deciles</t>
        </is>
      </c>
      <c r="F73" s="14" t="inlineStr">
        <is>
          <t>p25</t>
        </is>
      </c>
      <c r="G73" s="14" t="n">
        <v>6</v>
      </c>
      <c r="H73" s="14" t="n">
        <v>0.7826512413874614</v>
      </c>
      <c r="I73" s="14" t="n">
        <v>0</v>
      </c>
      <c r="J73" s="14" t="n">
        <v>2.749830921361775</v>
      </c>
      <c r="K73" s="14" t="n">
        <v>3.603154175010785</v>
      </c>
      <c r="L73" s="14" t="n">
        <v>0</v>
      </c>
      <c r="M73" s="14" t="n">
        <v>1.347055785448245</v>
      </c>
      <c r="N73" s="14" t="n">
        <v>0</v>
      </c>
      <c r="O73" s="14" t="n">
        <v>0</v>
      </c>
      <c r="P73" s="14" t="n">
        <v>0</v>
      </c>
      <c r="Q73" s="14" t="n">
        <v>2.11863519325585</v>
      </c>
      <c r="R73" s="14" t="n">
        <v>49.74872965674651</v>
      </c>
      <c r="S73" s="14" t="n">
        <v>0</v>
      </c>
      <c r="T73" s="14" t="n">
        <v>0</v>
      </c>
      <c r="U73" s="14" t="n">
        <v>1.218875761947016</v>
      </c>
      <c r="V73" s="14" t="n">
        <v>1.869823386455342</v>
      </c>
      <c r="W73" s="14" t="n">
        <v>0</v>
      </c>
      <c r="X73" s="14" t="n">
        <v>1.715775363860899</v>
      </c>
      <c r="Y73" s="14" t="n">
        <v>0</v>
      </c>
      <c r="Z73" s="14" t="n">
        <v>0</v>
      </c>
      <c r="AA73" s="14" t="n">
        <v>0</v>
      </c>
      <c r="AB73" s="14" t="n">
        <v>0.5986189899391233</v>
      </c>
      <c r="AC73" s="14" t="n">
        <v>2.20194670887419</v>
      </c>
      <c r="AD73" s="14" t="n">
        <v>3.502199331582657</v>
      </c>
      <c r="AE73" s="14" t="n">
        <v>0</v>
      </c>
      <c r="AF73" s="14" t="n">
        <v>2.086455881284944</v>
      </c>
      <c r="AG73" s="14" t="n">
        <v>3039.81575362886</v>
      </c>
      <c r="AH73" s="14" t="n">
        <v>7420.399975684188</v>
      </c>
      <c r="AI73" s="14" t="n">
        <v>7464.493145948722</v>
      </c>
      <c r="AJ73" s="14" t="n">
        <v>9127.059692827197</v>
      </c>
      <c r="AK73" s="14" t="n">
        <v>8217.658029603374</v>
      </c>
      <c r="AL73" s="14" t="n">
        <v>9976.745499776815</v>
      </c>
      <c r="AM73" s="14" t="n">
        <v>10091.32615519489</v>
      </c>
      <c r="AN73" s="14" t="n">
        <v>11173.91521399216</v>
      </c>
      <c r="AO73" s="14" t="n">
        <v>11744.62606670631</v>
      </c>
      <c r="AP73" s="14" t="n">
        <v>12497.57721736825</v>
      </c>
      <c r="AQ73" s="14" t="n">
        <v>13033.38881930059</v>
      </c>
      <c r="AR73" s="14" t="n">
        <v>13670.96883915213</v>
      </c>
      <c r="AS73" s="14" t="n">
        <v>14296.6036302923</v>
      </c>
      <c r="AT73" s="14" t="n">
        <v>15721.60992639033</v>
      </c>
      <c r="AU73" s="14" t="n">
        <v>16883.70815545505</v>
      </c>
      <c r="AV73" s="14" t="n">
        <v>18282.82246698137</v>
      </c>
      <c r="AW73" s="14" t="n">
        <v>18506.89347675695</v>
      </c>
      <c r="AX73" s="14" t="n">
        <v>24070.69377690443</v>
      </c>
      <c r="AY73" s="14" t="n">
        <v>24165.99614180513</v>
      </c>
      <c r="AZ73" s="14" t="n">
        <v>60797.53500832936</v>
      </c>
      <c r="BA73" s="14" t="n">
        <v>9888.514572990418</v>
      </c>
      <c r="BB73" s="14" t="n">
        <v>6032545.577558774</v>
      </c>
      <c r="BC73" s="14" t="n">
        <v>0</v>
      </c>
      <c r="BD73" s="14" t="n">
        <v>0</v>
      </c>
      <c r="BE73" s="14" t="n">
        <v>111.4212350195177</v>
      </c>
      <c r="BF73" s="14" t="n">
        <v>44.44420432588401</v>
      </c>
      <c r="BG73" s="14" t="n">
        <v>60.23586468201455</v>
      </c>
      <c r="BH73" s="14" t="n">
        <v>93.90792762586896</v>
      </c>
      <c r="BI73" s="14" t="n">
        <v>114.3371109429592</v>
      </c>
      <c r="BJ73" s="14" t="n">
        <v>79.94944024474243</v>
      </c>
      <c r="BK73" s="14" t="n">
        <v>0</v>
      </c>
      <c r="BL73" s="14" t="n">
        <v>0</v>
      </c>
      <c r="BM73" s="14" t="n">
        <v>0.1837782847904098</v>
      </c>
      <c r="BN73" s="14" t="n">
        <v>0</v>
      </c>
      <c r="BO73" s="14" t="n">
        <v>0</v>
      </c>
      <c r="BP73" s="14" t="n">
        <v>0</v>
      </c>
      <c r="BQ73" s="14" t="inlineStr">
        <is>
          <t>Rural|Deciles|p25|6</t>
        </is>
      </c>
    </row>
    <row r="74">
      <c r="A74" s="14" t="inlineStr">
        <is>
          <t>EGY.distn.bsh.dec.rur.p25.7</t>
        </is>
      </c>
      <c r="B74" s="14" t="inlineStr">
        <is>
          <t>EGY</t>
        </is>
      </c>
      <c r="C74" s="14" t="n">
        <v>2017</v>
      </c>
      <c r="D74" s="14" t="inlineStr">
        <is>
          <t>Rural</t>
        </is>
      </c>
      <c r="E74" s="14" t="inlineStr">
        <is>
          <t>Deciles</t>
        </is>
      </c>
      <c r="F74" s="14" t="inlineStr">
        <is>
          <t>p25</t>
        </is>
      </c>
      <c r="G74" s="14" t="n">
        <v>7</v>
      </c>
      <c r="H74" s="14" t="n">
        <v>0.8064942529021797</v>
      </c>
      <c r="I74" s="14" t="n">
        <v>0</v>
      </c>
      <c r="J74" s="14" t="n">
        <v>2.64348443590479</v>
      </c>
      <c r="K74" s="14" t="n">
        <v>3.074801572902353</v>
      </c>
      <c r="L74" s="14" t="n">
        <v>0</v>
      </c>
      <c r="M74" s="14" t="n">
        <v>1.341224450553418</v>
      </c>
      <c r="N74" s="14" t="n">
        <v>0</v>
      </c>
      <c r="O74" s="14" t="n">
        <v>0</v>
      </c>
      <c r="P74" s="14" t="n">
        <v>0</v>
      </c>
      <c r="Q74" s="14" t="n">
        <v>2.054729393693047</v>
      </c>
      <c r="R74" s="14" t="n">
        <v>48.82610038087451</v>
      </c>
      <c r="S74" s="14" t="n">
        <v>0</v>
      </c>
      <c r="T74" s="14" t="n">
        <v>0</v>
      </c>
      <c r="U74" s="14" t="n">
        <v>1.449581335790545</v>
      </c>
      <c r="V74" s="14" t="n">
        <v>1.73957446699195</v>
      </c>
      <c r="W74" s="14" t="n">
        <v>0</v>
      </c>
      <c r="X74" s="14" t="n">
        <v>1.446880071424255</v>
      </c>
      <c r="Y74" s="14" t="n">
        <v>0</v>
      </c>
      <c r="Z74" s="14" t="n">
        <v>0</v>
      </c>
      <c r="AA74" s="14" t="n">
        <v>0</v>
      </c>
      <c r="AB74" s="14" t="n">
        <v>0.396758930691133</v>
      </c>
      <c r="AC74" s="14" t="n">
        <v>2.111139393848241</v>
      </c>
      <c r="AD74" s="14" t="n">
        <v>3.317820595499166</v>
      </c>
      <c r="AE74" s="14" t="n">
        <v>0</v>
      </c>
      <c r="AF74" s="14" t="n">
        <v>2.183815005159873</v>
      </c>
      <c r="AG74" s="14" t="n">
        <v>3126.296874175148</v>
      </c>
      <c r="AH74" s="14" t="n">
        <v>7457.030104759565</v>
      </c>
      <c r="AI74" s="14" t="n">
        <v>7061.830495067421</v>
      </c>
      <c r="AJ74" s="14" t="n">
        <v>8528.125009784448</v>
      </c>
      <c r="AK74" s="14" t="n">
        <v>9062.530752911303</v>
      </c>
      <c r="AL74" s="14" t="n">
        <v>9910.089256874226</v>
      </c>
      <c r="AM74" s="14" t="n">
        <v>9867.097559734779</v>
      </c>
      <c r="AN74" s="14" t="n">
        <v>10749.85575220772</v>
      </c>
      <c r="AO74" s="14" t="n">
        <v>11381.59001886616</v>
      </c>
      <c r="AP74" s="14" t="n">
        <v>12460.87527403599</v>
      </c>
      <c r="AQ74" s="14" t="n">
        <v>12836.97171279563</v>
      </c>
      <c r="AR74" s="14" t="n">
        <v>14041.79243998467</v>
      </c>
      <c r="AS74" s="14" t="n">
        <v>13340.01492332992</v>
      </c>
      <c r="AT74" s="14" t="n">
        <v>15948.61279109826</v>
      </c>
      <c r="AU74" s="14" t="n">
        <v>15575.48670195567</v>
      </c>
      <c r="AV74" s="14" t="n">
        <v>19576.72593368395</v>
      </c>
      <c r="AW74" s="14" t="n">
        <v>19682.08396682774</v>
      </c>
      <c r="AX74" s="14" t="n">
        <v>22873.01468641233</v>
      </c>
      <c r="AY74" s="14" t="n">
        <v>22737.81640278186</v>
      </c>
      <c r="AZ74" s="14" t="n">
        <v>61936.84192352447</v>
      </c>
      <c r="BA74" s="14" t="n">
        <v>10841.30040545831</v>
      </c>
      <c r="BB74" s="14" t="n">
        <v>5274358.595350046</v>
      </c>
      <c r="BC74" s="14" t="n">
        <v>0</v>
      </c>
      <c r="BD74" s="14" t="n">
        <v>0</v>
      </c>
      <c r="BE74" s="14" t="n">
        <v>110.1980086058123</v>
      </c>
      <c r="BF74" s="14" t="n">
        <v>46.34957681117372</v>
      </c>
      <c r="BG74" s="14" t="n">
        <v>61.66342134742893</v>
      </c>
      <c r="BH74" s="14" t="n">
        <v>104.9286714131876</v>
      </c>
      <c r="BI74" s="14" t="n">
        <v>107.8009913126154</v>
      </c>
      <c r="BJ74" s="14" t="n">
        <v>84.71772874292105</v>
      </c>
      <c r="BK74" s="14" t="n">
        <v>0</v>
      </c>
      <c r="BL74" s="14" t="n">
        <v>0</v>
      </c>
      <c r="BM74" s="14" t="n">
        <v>0.01933120314861105</v>
      </c>
      <c r="BN74" s="14" t="n">
        <v>0</v>
      </c>
      <c r="BO74" s="14" t="n">
        <v>0</v>
      </c>
      <c r="BP74" s="14" t="n">
        <v>0</v>
      </c>
      <c r="BQ74" s="14" t="inlineStr">
        <is>
          <t>Rural|Deciles|p25|7</t>
        </is>
      </c>
    </row>
    <row r="75">
      <c r="A75" s="14" t="inlineStr">
        <is>
          <t>EGY.distn.bsh.dec.rur.p25.8</t>
        </is>
      </c>
      <c r="B75" s="14" t="inlineStr">
        <is>
          <t>EGY</t>
        </is>
      </c>
      <c r="C75" s="14" t="n">
        <v>2017</v>
      </c>
      <c r="D75" s="14" t="inlineStr">
        <is>
          <t>Rural</t>
        </is>
      </c>
      <c r="E75" s="14" t="inlineStr">
        <is>
          <t>Deciles</t>
        </is>
      </c>
      <c r="F75" s="14" t="inlineStr">
        <is>
          <t>p25</t>
        </is>
      </c>
      <c r="G75" s="14" t="n">
        <v>8</v>
      </c>
      <c r="H75" s="14" t="n">
        <v>0.8143678830878823</v>
      </c>
      <c r="I75" s="14" t="n">
        <v>0</v>
      </c>
      <c r="J75" s="14" t="n">
        <v>2.667110695202302</v>
      </c>
      <c r="K75" s="14" t="n">
        <v>2.533749737710841</v>
      </c>
      <c r="L75" s="14" t="n">
        <v>0</v>
      </c>
      <c r="M75" s="14" t="n">
        <v>1.222641515175369</v>
      </c>
      <c r="N75" s="14" t="n">
        <v>0</v>
      </c>
      <c r="O75" s="14" t="n">
        <v>0</v>
      </c>
      <c r="P75" s="14" t="n">
        <v>0</v>
      </c>
      <c r="Q75" s="14" t="n">
        <v>2.033630615103978</v>
      </c>
      <c r="R75" s="14" t="n">
        <v>45.79601713630601</v>
      </c>
      <c r="S75" s="14" t="n">
        <v>0</v>
      </c>
      <c r="T75" s="14" t="n">
        <v>0</v>
      </c>
      <c r="U75" s="14" t="n">
        <v>1.602075764664633</v>
      </c>
      <c r="V75" s="14" t="n">
        <v>1.709908835647214</v>
      </c>
      <c r="W75" s="14" t="n">
        <v>0</v>
      </c>
      <c r="X75" s="14" t="n">
        <v>1.57908526728908</v>
      </c>
      <c r="Y75" s="14" t="n">
        <v>0</v>
      </c>
      <c r="Z75" s="14" t="n">
        <v>0</v>
      </c>
      <c r="AA75" s="14" t="n">
        <v>0</v>
      </c>
      <c r="AB75" s="14" t="n">
        <v>0.238909660835111</v>
      </c>
      <c r="AC75" s="14" t="n">
        <v>2.565685172105454</v>
      </c>
      <c r="AD75" s="14" t="n">
        <v>3.277324640768859</v>
      </c>
      <c r="AE75" s="14" t="n">
        <v>0</v>
      </c>
      <c r="AF75" s="14" t="n">
        <v>2.208795937710193</v>
      </c>
      <c r="AG75" s="14" t="n">
        <v>3400.852830825168</v>
      </c>
      <c r="AH75" s="14" t="n">
        <v>6652.450596003059</v>
      </c>
      <c r="AI75" s="14" t="n">
        <v>6887.782951677878</v>
      </c>
      <c r="AJ75" s="14" t="n">
        <v>8966.010528370422</v>
      </c>
      <c r="AK75" s="14" t="n">
        <v>8549.966840810172</v>
      </c>
      <c r="AL75" s="14" t="n">
        <v>10254.73743413836</v>
      </c>
      <c r="AM75" s="14" t="n">
        <v>10209.62445235599</v>
      </c>
      <c r="AN75" s="14" t="n">
        <v>10957.98122561415</v>
      </c>
      <c r="AO75" s="14" t="n">
        <v>10916.80242395312</v>
      </c>
      <c r="AP75" s="14" t="n">
        <v>12612.75163336304</v>
      </c>
      <c r="AQ75" s="14" t="n">
        <v>12823.75168742928</v>
      </c>
      <c r="AR75" s="14" t="n">
        <v>14802.39469035072</v>
      </c>
      <c r="AS75" s="14" t="n">
        <v>13308.62619170765</v>
      </c>
      <c r="AT75" s="14" t="n">
        <v>16579.58923843283</v>
      </c>
      <c r="AU75" s="14" t="n">
        <v>16582.69444284441</v>
      </c>
      <c r="AV75" s="14" t="n">
        <v>18927.78510780986</v>
      </c>
      <c r="AW75" s="14" t="n">
        <v>18564.64997924355</v>
      </c>
      <c r="AX75" s="14" t="n">
        <v>23406.91905978549</v>
      </c>
      <c r="AY75" s="14" t="n">
        <v>24741.24467568618</v>
      </c>
      <c r="AZ75" s="14" t="n">
        <v>69247.37401531107</v>
      </c>
      <c r="BA75" s="14" t="n">
        <v>12316.83852374993</v>
      </c>
      <c r="BB75" s="14" t="n">
        <v>5722370.132200064</v>
      </c>
      <c r="BC75" s="14" t="n">
        <v>0</v>
      </c>
      <c r="BD75" s="14" t="n">
        <v>0</v>
      </c>
      <c r="BE75" s="14" t="n">
        <v>103.6706630552436</v>
      </c>
      <c r="BF75" s="14" t="n">
        <v>36.34727694460955</v>
      </c>
      <c r="BG75" s="14" t="n">
        <v>65.44250505980995</v>
      </c>
      <c r="BH75" s="14" t="n">
        <v>104.59547658313</v>
      </c>
      <c r="BI75" s="14" t="n">
        <v>97.54251629945249</v>
      </c>
      <c r="BJ75" s="14" t="n">
        <v>78.33114914220218</v>
      </c>
      <c r="BK75" s="14" t="n">
        <v>0</v>
      </c>
      <c r="BL75" s="14" t="n">
        <v>0</v>
      </c>
      <c r="BM75" s="14" t="n">
        <v>0</v>
      </c>
      <c r="BN75" s="14" t="n">
        <v>0</v>
      </c>
      <c r="BO75" s="14" t="n">
        <v>0</v>
      </c>
      <c r="BP75" s="14" t="n">
        <v>0</v>
      </c>
      <c r="BQ75" s="14" t="inlineStr">
        <is>
          <t>Rural|Deciles|p25|8</t>
        </is>
      </c>
    </row>
    <row r="76">
      <c r="A76" s="14" t="inlineStr">
        <is>
          <t>EGY.distn.bsh.dec.rur.p25.9</t>
        </is>
      </c>
      <c r="B76" s="14" t="inlineStr">
        <is>
          <t>EGY</t>
        </is>
      </c>
      <c r="C76" s="14" t="n">
        <v>2017</v>
      </c>
      <c r="D76" s="14" t="inlineStr">
        <is>
          <t>Rural</t>
        </is>
      </c>
      <c r="E76" s="14" t="inlineStr">
        <is>
          <t>Deciles</t>
        </is>
      </c>
      <c r="F76" s="14" t="inlineStr">
        <is>
          <t>p25</t>
        </is>
      </c>
      <c r="G76" s="14" t="n">
        <v>9</v>
      </c>
      <c r="H76" s="14" t="n">
        <v>0.7136028135003966</v>
      </c>
      <c r="I76" s="14" t="n">
        <v>0</v>
      </c>
      <c r="J76" s="14" t="n">
        <v>2.509457970070164</v>
      </c>
      <c r="K76" s="14" t="n">
        <v>1.829824753152181</v>
      </c>
      <c r="L76" s="14" t="n">
        <v>0</v>
      </c>
      <c r="M76" s="14" t="n">
        <v>1.171262438293991</v>
      </c>
      <c r="N76" s="14" t="n">
        <v>0</v>
      </c>
      <c r="O76" s="14" t="n">
        <v>0</v>
      </c>
      <c r="P76" s="14" t="n">
        <v>0</v>
      </c>
      <c r="Q76" s="14" t="n">
        <v>2.291341541498364</v>
      </c>
      <c r="R76" s="14" t="n">
        <v>52.02283261914101</v>
      </c>
      <c r="S76" s="14" t="n">
        <v>0</v>
      </c>
      <c r="T76" s="14" t="n">
        <v>0</v>
      </c>
      <c r="U76" s="14" t="n">
        <v>1.744991691050805</v>
      </c>
      <c r="V76" s="14" t="n">
        <v>1.927891304121605</v>
      </c>
      <c r="W76" s="14" t="n">
        <v>0</v>
      </c>
      <c r="X76" s="14" t="n">
        <v>1.420170344529439</v>
      </c>
      <c r="Y76" s="14" t="n">
        <v>0</v>
      </c>
      <c r="Z76" s="14" t="n">
        <v>0</v>
      </c>
      <c r="AA76" s="14" t="n">
        <v>0</v>
      </c>
      <c r="AB76" s="14" t="n">
        <v>0.1285966540307965</v>
      </c>
      <c r="AC76" s="14" t="n">
        <v>3.2358442065908</v>
      </c>
      <c r="AD76" s="14" t="n">
        <v>3.113801737871565</v>
      </c>
      <c r="AE76" s="14" t="n">
        <v>0</v>
      </c>
      <c r="AF76" s="14" t="n">
        <v>2.135133186565929</v>
      </c>
      <c r="AG76" s="14" t="n">
        <v>3116.300417863064</v>
      </c>
      <c r="AH76" s="14" t="n">
        <v>7448.576476611586</v>
      </c>
      <c r="AI76" s="14" t="n">
        <v>6990.993937710136</v>
      </c>
      <c r="AJ76" s="14" t="n">
        <v>8427.72288155519</v>
      </c>
      <c r="AK76" s="14" t="n">
        <v>8754.8561769597</v>
      </c>
      <c r="AL76" s="14" t="n">
        <v>10475.97390815467</v>
      </c>
      <c r="AM76" s="14" t="n">
        <v>9099.833774408909</v>
      </c>
      <c r="AN76" s="14" t="n">
        <v>10510.42471812523</v>
      </c>
      <c r="AO76" s="14" t="n">
        <v>10347.27420344737</v>
      </c>
      <c r="AP76" s="14" t="n">
        <v>11608.52948790944</v>
      </c>
      <c r="AQ76" s="14" t="n">
        <v>12780.8024339685</v>
      </c>
      <c r="AR76" s="14" t="n">
        <v>14044.10795952789</v>
      </c>
      <c r="AS76" s="14" t="n">
        <v>13219.59036905187</v>
      </c>
      <c r="AT76" s="14" t="n">
        <v>14727.04775836501</v>
      </c>
      <c r="AU76" s="14" t="n">
        <v>14846.35092336455</v>
      </c>
      <c r="AV76" s="14" t="n">
        <v>17764.66713178294</v>
      </c>
      <c r="AW76" s="14" t="n">
        <v>19460.51317595315</v>
      </c>
      <c r="AX76" s="14" t="n">
        <v>22364.68388412494</v>
      </c>
      <c r="AY76" s="14" t="n">
        <v>23983.7837664164</v>
      </c>
      <c r="AZ76" s="14" t="n">
        <v>67006.38988518153</v>
      </c>
      <c r="BA76" s="14" t="n">
        <v>15928.3721193215</v>
      </c>
      <c r="BB76" s="14" t="n">
        <v>5597709.219735747</v>
      </c>
      <c r="BC76" s="14" t="n">
        <v>0</v>
      </c>
      <c r="BD76" s="14" t="n">
        <v>0</v>
      </c>
      <c r="BE76" s="14" t="n">
        <v>103.8270833547785</v>
      </c>
      <c r="BF76" s="14" t="n">
        <v>32.17740318283206</v>
      </c>
      <c r="BG76" s="14" t="n">
        <v>65.49940355179943</v>
      </c>
      <c r="BH76" s="14" t="n">
        <v>97.65158968164512</v>
      </c>
      <c r="BI76" s="14" t="n">
        <v>108.5751512658405</v>
      </c>
      <c r="BJ76" s="14" t="n">
        <v>77.50193102182917</v>
      </c>
      <c r="BK76" s="14" t="n">
        <v>0</v>
      </c>
      <c r="BL76" s="14" t="n">
        <v>0</v>
      </c>
      <c r="BM76" s="14" t="n">
        <v>0.000901580199091321</v>
      </c>
      <c r="BN76" s="14" t="n">
        <v>0</v>
      </c>
      <c r="BO76" s="14" t="n">
        <v>0</v>
      </c>
      <c r="BP76" s="14" t="n">
        <v>0</v>
      </c>
      <c r="BQ76" s="14" t="inlineStr">
        <is>
          <t>Rural|Deciles|p25|9</t>
        </is>
      </c>
    </row>
    <row r="77">
      <c r="A77" s="14" t="inlineStr">
        <is>
          <t>EGY.distn.bsh.dec.rur.p25.10</t>
        </is>
      </c>
      <c r="B77" s="14" t="inlineStr">
        <is>
          <t>EGY</t>
        </is>
      </c>
      <c r="C77" s="14" t="n">
        <v>2017</v>
      </c>
      <c r="D77" s="14" t="inlineStr">
        <is>
          <t>Rural</t>
        </is>
      </c>
      <c r="E77" s="14" t="inlineStr">
        <is>
          <t>Deciles</t>
        </is>
      </c>
      <c r="F77" s="14" t="inlineStr">
        <is>
          <t>p25</t>
        </is>
      </c>
      <c r="G77" s="14" t="n">
        <v>10</v>
      </c>
      <c r="H77" s="14" t="n">
        <v>0.6850823938806756</v>
      </c>
      <c r="I77" s="14" t="n">
        <v>0</v>
      </c>
      <c r="J77" s="14" t="n">
        <v>2.479256861183224</v>
      </c>
      <c r="K77" s="14" t="n">
        <v>1.477757696881776</v>
      </c>
      <c r="L77" s="14" t="n">
        <v>0</v>
      </c>
      <c r="M77" s="14" t="n">
        <v>0.8254660661598977</v>
      </c>
      <c r="N77" s="14" t="n">
        <v>0</v>
      </c>
      <c r="O77" s="14" t="n">
        <v>0</v>
      </c>
      <c r="P77" s="14" t="n">
        <v>0</v>
      </c>
      <c r="Q77" s="14" t="n">
        <v>2.461379490417074</v>
      </c>
      <c r="R77" s="14" t="n">
        <v>48.78579156904332</v>
      </c>
      <c r="S77" s="14" t="n">
        <v>0</v>
      </c>
      <c r="T77" s="14" t="n">
        <v>0</v>
      </c>
      <c r="U77" s="14" t="n">
        <v>1.998058296639727</v>
      </c>
      <c r="V77" s="14" t="n">
        <v>1.873509554164271</v>
      </c>
      <c r="W77" s="14" t="n">
        <v>0</v>
      </c>
      <c r="X77" s="14" t="n">
        <v>1.474423686075557</v>
      </c>
      <c r="Y77" s="14" t="n">
        <v>0</v>
      </c>
      <c r="Z77" s="14" t="n">
        <v>0</v>
      </c>
      <c r="AA77" s="14" t="n">
        <v>0</v>
      </c>
      <c r="AB77" s="14" t="n">
        <v>0.09200876679707205</v>
      </c>
      <c r="AC77" s="14" t="n">
        <v>4.090985316480563</v>
      </c>
      <c r="AD77" s="14" t="n">
        <v>2.046663910539808</v>
      </c>
      <c r="AE77" s="14" t="n">
        <v>0</v>
      </c>
      <c r="AF77" s="14" t="n">
        <v>1.840890685415491</v>
      </c>
      <c r="AG77" s="14" t="n">
        <v>3139.223735443747</v>
      </c>
      <c r="AH77" s="14" t="n">
        <v>7032.091024097263</v>
      </c>
      <c r="AI77" s="14" t="n">
        <v>7580.696885941338</v>
      </c>
      <c r="AJ77" s="14" t="n">
        <v>8626.685576298534</v>
      </c>
      <c r="AK77" s="14" t="n">
        <v>8840.066762514974</v>
      </c>
      <c r="AL77" s="14" t="n">
        <v>9078.05576292564</v>
      </c>
      <c r="AM77" s="14" t="n">
        <v>10392.77754061449</v>
      </c>
      <c r="AN77" s="14" t="n">
        <v>10752.14141424612</v>
      </c>
      <c r="AO77" s="14" t="n">
        <v>11172.95657438362</v>
      </c>
      <c r="AP77" s="14" t="n">
        <v>12315.95232885252</v>
      </c>
      <c r="AQ77" s="14" t="n">
        <v>11850.80101487633</v>
      </c>
      <c r="AR77" s="14" t="n">
        <v>14521.87950890244</v>
      </c>
      <c r="AS77" s="14" t="n">
        <v>13955.96055988638</v>
      </c>
      <c r="AT77" s="14" t="n">
        <v>15951.1499932214</v>
      </c>
      <c r="AU77" s="14" t="n">
        <v>15869.56362916739</v>
      </c>
      <c r="AV77" s="14" t="n">
        <v>17546.43912726632</v>
      </c>
      <c r="AW77" s="14" t="n">
        <v>18916.28671040322</v>
      </c>
      <c r="AX77" s="14" t="n">
        <v>22237.85239564667</v>
      </c>
      <c r="AY77" s="14" t="n">
        <v>23488.45585958779</v>
      </c>
      <c r="AZ77" s="14" t="n">
        <v>61458.08804845955</v>
      </c>
      <c r="BA77" s="14" t="n">
        <v>18810.72153253889</v>
      </c>
      <c r="BB77" s="14" t="n">
        <v>5929703.922333473</v>
      </c>
      <c r="BC77" s="14" t="n">
        <v>0</v>
      </c>
      <c r="BD77" s="14" t="n">
        <v>0</v>
      </c>
      <c r="BE77" s="14" t="n">
        <v>103.0622261489526</v>
      </c>
      <c r="BF77" s="14" t="n">
        <v>37.59434659121771</v>
      </c>
      <c r="BG77" s="14" t="n">
        <v>70.69507021111264</v>
      </c>
      <c r="BH77" s="14" t="n">
        <v>108.2745644188145</v>
      </c>
      <c r="BI77" s="14" t="n">
        <v>98.89776037171963</v>
      </c>
      <c r="BJ77" s="14" t="n">
        <v>88.43397413239317</v>
      </c>
      <c r="BK77" s="14" t="n">
        <v>0</v>
      </c>
      <c r="BL77" s="14" t="n">
        <v>0</v>
      </c>
      <c r="BM77" s="14" t="n">
        <v>0</v>
      </c>
      <c r="BN77" s="14" t="n">
        <v>0</v>
      </c>
      <c r="BO77" s="14" t="n">
        <v>0</v>
      </c>
      <c r="BP77" s="14" t="n">
        <v>0</v>
      </c>
      <c r="BQ77" s="14" t="inlineStr">
        <is>
          <t>Rural|Deciles|p25|10</t>
        </is>
      </c>
    </row>
    <row r="78">
      <c r="A78" s="14" t="inlineStr">
        <is>
          <t>EGY.distn.bsh.bkt.rur.p25.9999</t>
        </is>
      </c>
      <c r="B78" s="14" t="inlineStr">
        <is>
          <t>EGY</t>
        </is>
      </c>
      <c r="C78" s="14" t="n">
        <v>2017</v>
      </c>
      <c r="D78" s="14" t="inlineStr">
        <is>
          <t>Rural</t>
        </is>
      </c>
      <c r="E78" s="14" t="inlineStr">
        <is>
          <t>Basket</t>
        </is>
      </c>
      <c r="F78" s="14" t="inlineStr">
        <is>
          <t>p25</t>
        </is>
      </c>
      <c r="G78" s="14" t="n">
        <v>9999</v>
      </c>
      <c r="H78" s="14" t="n">
        <v>0.8593921025245537</v>
      </c>
      <c r="I78" s="14" t="n">
        <v>0</v>
      </c>
      <c r="J78" s="14" t="n">
        <v>2.950681466368925</v>
      </c>
      <c r="K78" s="14" t="n">
        <v>3.039766120611298</v>
      </c>
      <c r="L78" s="14" t="n">
        <v>0</v>
      </c>
      <c r="M78" s="14" t="n">
        <v>1.302738241324348</v>
      </c>
      <c r="N78" s="14" t="n">
        <v>0</v>
      </c>
      <c r="O78" s="14" t="n">
        <v>0</v>
      </c>
      <c r="P78" s="14" t="n">
        <v>0</v>
      </c>
      <c r="Q78" s="14" t="n">
        <v>2.411243306283435</v>
      </c>
      <c r="R78" s="14" t="n">
        <v>49.67733335011309</v>
      </c>
      <c r="S78" s="14" t="n">
        <v>0</v>
      </c>
      <c r="T78" s="14" t="n">
        <v>0</v>
      </c>
      <c r="U78" s="14" t="n">
        <v>1.114005333292271</v>
      </c>
      <c r="V78" s="14" t="n">
        <v>1.891269928004056</v>
      </c>
      <c r="W78" s="14" t="n">
        <v>0</v>
      </c>
      <c r="X78" s="14" t="n">
        <v>1.617188023566253</v>
      </c>
      <c r="Y78" s="14" t="n">
        <v>0</v>
      </c>
      <c r="Z78" s="14" t="n">
        <v>0</v>
      </c>
      <c r="AA78" s="14" t="n">
        <v>0</v>
      </c>
      <c r="AB78" s="14" t="n">
        <v>0.4835175888792969</v>
      </c>
      <c r="AC78" s="14" t="n">
        <v>2.04956756586904</v>
      </c>
      <c r="AD78" s="14" t="n">
        <v>3.172025498191081</v>
      </c>
      <c r="AE78" s="14" t="n">
        <v>0</v>
      </c>
      <c r="AF78" s="14" t="n">
        <v>1.936176344733856</v>
      </c>
      <c r="AG78" s="14" t="n">
        <v>3153.497615270056</v>
      </c>
      <c r="AH78" s="14" t="n">
        <v>7318.063123577981</v>
      </c>
      <c r="AI78" s="14" t="n">
        <v>6952.942873288881</v>
      </c>
      <c r="AJ78" s="14" t="n">
        <v>9089.783821004974</v>
      </c>
      <c r="AK78" s="14" t="n">
        <v>8910.21257463642</v>
      </c>
      <c r="AL78" s="14" t="n">
        <v>9011.90944765108</v>
      </c>
      <c r="AM78" s="14" t="n">
        <v>10331.72357653134</v>
      </c>
      <c r="AN78" s="14" t="n">
        <v>11467.84378274484</v>
      </c>
      <c r="AO78" s="14" t="n">
        <v>10587.0832607441</v>
      </c>
      <c r="AP78" s="14" t="n">
        <v>11331.62362194879</v>
      </c>
      <c r="AQ78" s="14" t="n">
        <v>11573.22369092779</v>
      </c>
      <c r="AR78" s="14" t="n">
        <v>14430.72357333763</v>
      </c>
      <c r="AS78" s="14" t="n">
        <v>13303.0130835352</v>
      </c>
      <c r="AT78" s="14" t="n">
        <v>15824.68122120549</v>
      </c>
      <c r="AU78" s="14" t="n">
        <v>14662.46612393993</v>
      </c>
      <c r="AV78" s="14" t="n">
        <v>18825.16974003402</v>
      </c>
      <c r="AW78" s="14" t="n">
        <v>18203.82532053414</v>
      </c>
      <c r="AX78" s="14" t="n">
        <v>21972.3905786546</v>
      </c>
      <c r="AY78" s="14" t="n">
        <v>23793.44952007406</v>
      </c>
      <c r="AZ78" s="14" t="n">
        <v>66660.42752734351</v>
      </c>
      <c r="BA78" s="14" t="n">
        <v>7318.792013510161</v>
      </c>
      <c r="BB78" s="14" t="n">
        <v>58134661.5521777</v>
      </c>
      <c r="BC78" s="14" t="n">
        <v>0</v>
      </c>
      <c r="BD78" s="14" t="n">
        <v>0</v>
      </c>
      <c r="BE78" s="14" t="n">
        <v>104.0218307452321</v>
      </c>
      <c r="BF78" s="14" t="n">
        <v>31.09786591554484</v>
      </c>
      <c r="BG78" s="14" t="n">
        <v>37.56085147197902</v>
      </c>
      <c r="BH78" s="14" t="n">
        <v>97.38026171490982</v>
      </c>
      <c r="BI78" s="14" t="n">
        <v>110.8987156837652</v>
      </c>
      <c r="BJ78" s="14" t="n">
        <v>75.65941954811856</v>
      </c>
      <c r="BK78" s="14" t="n">
        <v>0.1135256124267781</v>
      </c>
      <c r="BL78" s="14" t="n">
        <v>2.214140283288402</v>
      </c>
      <c r="BM78" s="14" t="n">
        <v>22.79179074735912</v>
      </c>
      <c r="BN78" s="14" t="n">
        <v>0</v>
      </c>
      <c r="BO78" s="14" t="n">
        <v>0</v>
      </c>
      <c r="BP78" s="14" t="n">
        <v>0</v>
      </c>
      <c r="BQ78" s="14" t="inlineStr">
        <is>
          <t>Rural|Basket|p25|9999</t>
        </is>
      </c>
    </row>
    <row r="79">
      <c r="A79" s="14" t="inlineStr">
        <is>
          <t>EGY.distn.bsh.dec.rur.p75.1</t>
        </is>
      </c>
      <c r="B79" s="14" t="inlineStr">
        <is>
          <t>EGY</t>
        </is>
      </c>
      <c r="C79" s="14" t="n">
        <v>2017</v>
      </c>
      <c r="D79" s="14" t="inlineStr">
        <is>
          <t>Rural</t>
        </is>
      </c>
      <c r="E79" s="14" t="inlineStr">
        <is>
          <t>Deciles</t>
        </is>
      </c>
      <c r="F79" s="14" t="inlineStr">
        <is>
          <t>p75</t>
        </is>
      </c>
      <c r="G79" s="14" t="n">
        <v>1</v>
      </c>
      <c r="H79" s="14" t="n">
        <v>2.103301596915836</v>
      </c>
      <c r="I79" s="14" t="n">
        <v>0</v>
      </c>
      <c r="J79" s="14" t="n">
        <v>5.547824267574289</v>
      </c>
      <c r="K79" s="14" t="n">
        <v>7.780569251526961</v>
      </c>
      <c r="L79" s="14" t="n">
        <v>0</v>
      </c>
      <c r="M79" s="14" t="n">
        <v>2.313202531982134</v>
      </c>
      <c r="N79" s="14" t="n">
        <v>0</v>
      </c>
      <c r="O79" s="14" t="n">
        <v>3.64047392415599</v>
      </c>
      <c r="P79" s="14" t="n">
        <v>0</v>
      </c>
      <c r="Q79" s="14" t="n">
        <v>4.199483672491137</v>
      </c>
      <c r="R79" s="14" t="n">
        <v>73.06200769184706</v>
      </c>
      <c r="S79" s="14" t="n">
        <v>0</v>
      </c>
      <c r="T79" s="14" t="n">
        <v>0</v>
      </c>
      <c r="U79" s="14" t="n">
        <v>4.052747318885579</v>
      </c>
      <c r="V79" s="14" t="n">
        <v>4.228360066694926</v>
      </c>
      <c r="W79" s="14" t="n">
        <v>0</v>
      </c>
      <c r="X79" s="14" t="n">
        <v>4.001462489347811</v>
      </c>
      <c r="Y79" s="14" t="n">
        <v>0</v>
      </c>
      <c r="Z79" s="14" t="n">
        <v>0</v>
      </c>
      <c r="AA79" s="14" t="n">
        <v>0</v>
      </c>
      <c r="AB79" s="14" t="n">
        <v>2.687248502234409</v>
      </c>
      <c r="AC79" s="14" t="n">
        <v>6.129624619294291</v>
      </c>
      <c r="AD79" s="14" t="n">
        <v>8.244929498944993</v>
      </c>
      <c r="AE79" s="14" t="n">
        <v>0</v>
      </c>
      <c r="AF79" s="14" t="n">
        <v>5.035180456968176</v>
      </c>
      <c r="AG79" s="14" t="n">
        <v>3140.772976071999</v>
      </c>
      <c r="AH79" s="14" t="n">
        <v>7656.214436383769</v>
      </c>
      <c r="AI79" s="14" t="n">
        <v>7040.69412888483</v>
      </c>
      <c r="AJ79" s="14" t="n">
        <v>8146.778806429221</v>
      </c>
      <c r="AK79" s="14" t="n">
        <v>8977.338869509207</v>
      </c>
      <c r="AL79" s="14" t="n">
        <v>9666.161091317301</v>
      </c>
      <c r="AM79" s="14" t="n">
        <v>9194.363725624858</v>
      </c>
      <c r="AN79" s="14" t="n">
        <v>11530.68246690325</v>
      </c>
      <c r="AO79" s="14" t="n">
        <v>11417.20325837428</v>
      </c>
      <c r="AP79" s="14" t="n">
        <v>12909.61155755297</v>
      </c>
      <c r="AQ79" s="14" t="n">
        <v>13239.06813493382</v>
      </c>
      <c r="AR79" s="14" t="n">
        <v>13327.57800312834</v>
      </c>
      <c r="AS79" s="14" t="n">
        <v>14148.80571706467</v>
      </c>
      <c r="AT79" s="14" t="n">
        <v>16072.61244143743</v>
      </c>
      <c r="AU79" s="14" t="n">
        <v>16123.17317123714</v>
      </c>
      <c r="AV79" s="14" t="n">
        <v>19494.17531902427</v>
      </c>
      <c r="AW79" s="14" t="n">
        <v>17245.41808245557</v>
      </c>
      <c r="AX79" s="14" t="n">
        <v>23332.93755647167</v>
      </c>
      <c r="AY79" s="14" t="n">
        <v>22792.08889598692</v>
      </c>
      <c r="AZ79" s="14" t="n">
        <v>67468.14127222</v>
      </c>
      <c r="BA79" s="14" t="n">
        <v>5482.811431486744</v>
      </c>
      <c r="BB79" s="14" t="n">
        <v>5540911.100039591</v>
      </c>
      <c r="BC79" s="14" t="n">
        <v>0</v>
      </c>
      <c r="BD79" s="14" t="n">
        <v>0</v>
      </c>
      <c r="BE79" s="14" t="n">
        <v>99.79693682484181</v>
      </c>
      <c r="BF79" s="14" t="n">
        <v>22.8767424063854</v>
      </c>
      <c r="BG79" s="14" t="n">
        <v>33.10795583387788</v>
      </c>
      <c r="BH79" s="14" t="n">
        <v>89.71048716023095</v>
      </c>
      <c r="BI79" s="14" t="n">
        <v>99.36425690122681</v>
      </c>
      <c r="BJ79" s="14" t="n">
        <v>72.37121142590036</v>
      </c>
      <c r="BK79" s="14" t="n">
        <v>0.107475258312749</v>
      </c>
      <c r="BL79" s="14" t="n">
        <v>2.309948091159625</v>
      </c>
      <c r="BM79" s="14" t="n">
        <v>6.288052454335633</v>
      </c>
      <c r="BN79" s="14" t="n">
        <v>0</v>
      </c>
      <c r="BO79" s="14" t="n">
        <v>0</v>
      </c>
      <c r="BP79" s="14" t="n">
        <v>0</v>
      </c>
      <c r="BQ79" s="14" t="inlineStr">
        <is>
          <t>Rural|Deciles|p75|1</t>
        </is>
      </c>
    </row>
    <row r="80">
      <c r="A80" s="14" t="inlineStr">
        <is>
          <t>EGY.distn.bsh.dec.rur.p75.2</t>
        </is>
      </c>
      <c r="B80" s="14" t="inlineStr">
        <is>
          <t>EGY</t>
        </is>
      </c>
      <c r="C80" s="14" t="n">
        <v>2017</v>
      </c>
      <c r="D80" s="14" t="inlineStr">
        <is>
          <t>Rural</t>
        </is>
      </c>
      <c r="E80" s="14" t="inlineStr">
        <is>
          <t>Deciles</t>
        </is>
      </c>
      <c r="F80" s="14" t="inlineStr">
        <is>
          <t>p75</t>
        </is>
      </c>
      <c r="G80" s="14" t="n">
        <v>2</v>
      </c>
      <c r="H80" s="14" t="n">
        <v>2.368533159507308</v>
      </c>
      <c r="I80" s="14" t="n">
        <v>0</v>
      </c>
      <c r="J80" s="14" t="n">
        <v>4.335839441147801</v>
      </c>
      <c r="K80" s="14" t="n">
        <v>8.186109442797415</v>
      </c>
      <c r="L80" s="14" t="n">
        <v>0</v>
      </c>
      <c r="M80" s="14" t="n">
        <v>2.701379974009424</v>
      </c>
      <c r="N80" s="14" t="n">
        <v>0</v>
      </c>
      <c r="O80" s="14" t="n">
        <v>4.43998021151144</v>
      </c>
      <c r="P80" s="14" t="n">
        <v>0</v>
      </c>
      <c r="Q80" s="14" t="n">
        <v>4.406445351146628</v>
      </c>
      <c r="R80" s="14" t="n">
        <v>70.99339133608584</v>
      </c>
      <c r="S80" s="14" t="n">
        <v>0</v>
      </c>
      <c r="T80" s="14" t="n">
        <v>0</v>
      </c>
      <c r="U80" s="14" t="n">
        <v>4.11624939042266</v>
      </c>
      <c r="V80" s="14" t="n">
        <v>4.314577286438498</v>
      </c>
      <c r="W80" s="14" t="n">
        <v>0</v>
      </c>
      <c r="X80" s="14" t="n">
        <v>3.034722492866277</v>
      </c>
      <c r="Y80" s="14" t="n">
        <v>0</v>
      </c>
      <c r="Z80" s="14" t="n">
        <v>0</v>
      </c>
      <c r="AA80" s="14" t="n">
        <v>0</v>
      </c>
      <c r="AB80" s="14" t="n">
        <v>2.800848871067906</v>
      </c>
      <c r="AC80" s="14" t="n">
        <v>6.108404960752346</v>
      </c>
      <c r="AD80" s="14" t="n">
        <v>8.097033292761109</v>
      </c>
      <c r="AE80" s="14" t="n">
        <v>0</v>
      </c>
      <c r="AF80" s="14" t="n">
        <v>5.198817948067037</v>
      </c>
      <c r="AG80" s="14" t="n">
        <v>2958.667927677328</v>
      </c>
      <c r="AH80" s="14" t="n">
        <v>6860.009782750368</v>
      </c>
      <c r="AI80" s="14" t="n">
        <v>6869.985957605732</v>
      </c>
      <c r="AJ80" s="14" t="n">
        <v>8934.673563062966</v>
      </c>
      <c r="AK80" s="14" t="n">
        <v>8945.478309382464</v>
      </c>
      <c r="AL80" s="14" t="n">
        <v>10330.42378847697</v>
      </c>
      <c r="AM80" s="14" t="n">
        <v>9663.967064418906</v>
      </c>
      <c r="AN80" s="14" t="n">
        <v>11205.06216360706</v>
      </c>
      <c r="AO80" s="14" t="n">
        <v>11152.71330290399</v>
      </c>
      <c r="AP80" s="14" t="n">
        <v>11327.4610845516</v>
      </c>
      <c r="AQ80" s="14" t="n">
        <v>11681.46418567459</v>
      </c>
      <c r="AR80" s="14" t="n">
        <v>14148.50049628137</v>
      </c>
      <c r="AS80" s="14" t="n">
        <v>13536.74591857259</v>
      </c>
      <c r="AT80" s="14" t="n">
        <v>16606.97623238826</v>
      </c>
      <c r="AU80" s="14" t="n">
        <v>15771.06699561778</v>
      </c>
      <c r="AV80" s="14" t="n">
        <v>18767.57383562375</v>
      </c>
      <c r="AW80" s="14" t="n">
        <v>18188.42001570503</v>
      </c>
      <c r="AX80" s="14" t="n">
        <v>21503.2115201534</v>
      </c>
      <c r="AY80" s="14" t="n">
        <v>23875.77290230885</v>
      </c>
      <c r="AZ80" s="14" t="n">
        <v>61829.85155621044</v>
      </c>
      <c r="BA80" s="14" t="n">
        <v>6695.403119751263</v>
      </c>
      <c r="BB80" s="14" t="n">
        <v>5491999.361466062</v>
      </c>
      <c r="BC80" s="14" t="n">
        <v>0</v>
      </c>
      <c r="BD80" s="14" t="n">
        <v>0</v>
      </c>
      <c r="BE80" s="14" t="n">
        <v>108.3132818447453</v>
      </c>
      <c r="BF80" s="14" t="n">
        <v>36.4580027188173</v>
      </c>
      <c r="BG80" s="14" t="n">
        <v>33.26001894984728</v>
      </c>
      <c r="BH80" s="14" t="n">
        <v>94.09654034822996</v>
      </c>
      <c r="BI80" s="14" t="n">
        <v>113.7021325175673</v>
      </c>
      <c r="BJ80" s="14" t="n">
        <v>70.93855638359391</v>
      </c>
      <c r="BK80" s="14" t="n">
        <v>0</v>
      </c>
      <c r="BL80" s="14" t="n">
        <v>0.0009401925084391841</v>
      </c>
      <c r="BM80" s="14" t="n">
        <v>5.980050822051288</v>
      </c>
      <c r="BN80" s="14" t="n">
        <v>0</v>
      </c>
      <c r="BO80" s="14" t="n">
        <v>0</v>
      </c>
      <c r="BP80" s="14" t="n">
        <v>0</v>
      </c>
      <c r="BQ80" s="14" t="inlineStr">
        <is>
          <t>Rural|Deciles|p75|2</t>
        </is>
      </c>
    </row>
    <row r="81">
      <c r="A81" s="14" t="inlineStr">
        <is>
          <t>EGY.distn.bsh.dec.rur.p75.3</t>
        </is>
      </c>
      <c r="B81" s="14" t="inlineStr">
        <is>
          <t>EGY</t>
        </is>
      </c>
      <c r="C81" s="14" t="n">
        <v>2017</v>
      </c>
      <c r="D81" s="14" t="inlineStr">
        <is>
          <t>Rural</t>
        </is>
      </c>
      <c r="E81" s="14" t="inlineStr">
        <is>
          <t>Deciles</t>
        </is>
      </c>
      <c r="F81" s="14" t="inlineStr">
        <is>
          <t>p75</t>
        </is>
      </c>
      <c r="G81" s="14" t="n">
        <v>3</v>
      </c>
      <c r="H81" s="14" t="n">
        <v>2.103014675377043</v>
      </c>
      <c r="I81" s="14" t="n">
        <v>0</v>
      </c>
      <c r="J81" s="14" t="n">
        <v>4.391777688104693</v>
      </c>
      <c r="K81" s="14" t="n">
        <v>8.869898278192155</v>
      </c>
      <c r="L81" s="14" t="n">
        <v>0</v>
      </c>
      <c r="M81" s="14" t="n">
        <v>2.611578491049498</v>
      </c>
      <c r="N81" s="14" t="n">
        <v>0</v>
      </c>
      <c r="O81" s="14" t="n">
        <v>5.015176874803917</v>
      </c>
      <c r="P81" s="14" t="n">
        <v>0</v>
      </c>
      <c r="Q81" s="14" t="n">
        <v>4.286726957361976</v>
      </c>
      <c r="R81" s="14" t="n">
        <v>70.61379929753122</v>
      </c>
      <c r="S81" s="14" t="n">
        <v>0</v>
      </c>
      <c r="T81" s="14" t="n">
        <v>0</v>
      </c>
      <c r="U81" s="14" t="n">
        <v>3.890503687498092</v>
      </c>
      <c r="V81" s="14" t="n">
        <v>4.304668540204142</v>
      </c>
      <c r="W81" s="14" t="n">
        <v>0</v>
      </c>
      <c r="X81" s="14" t="n">
        <v>2.838079679324843</v>
      </c>
      <c r="Y81" s="14" t="n">
        <v>0</v>
      </c>
      <c r="Z81" s="14" t="n">
        <v>0</v>
      </c>
      <c r="AA81" s="14" t="n">
        <v>0</v>
      </c>
      <c r="AB81" s="14" t="n">
        <v>2.90794420859976</v>
      </c>
      <c r="AC81" s="14" t="n">
        <v>6.632286505373988</v>
      </c>
      <c r="AD81" s="14" t="n">
        <v>7.608626067228045</v>
      </c>
      <c r="AE81" s="14" t="n">
        <v>0</v>
      </c>
      <c r="AF81" s="14" t="n">
        <v>4.481867794926453</v>
      </c>
      <c r="AG81" s="14" t="n">
        <v>3412.889963688934</v>
      </c>
      <c r="AH81" s="14" t="n">
        <v>7108.673284996885</v>
      </c>
      <c r="AI81" s="14" t="n">
        <v>6717.25755034147</v>
      </c>
      <c r="AJ81" s="14" t="n">
        <v>8701.969684351223</v>
      </c>
      <c r="AK81" s="14" t="n">
        <v>8332.566470769565</v>
      </c>
      <c r="AL81" s="14" t="n">
        <v>9692.169571754441</v>
      </c>
      <c r="AM81" s="14" t="n">
        <v>10085.55986067777</v>
      </c>
      <c r="AN81" s="14" t="n">
        <v>10918.58038676508</v>
      </c>
      <c r="AO81" s="14" t="n">
        <v>11365.88733319183</v>
      </c>
      <c r="AP81" s="14" t="n">
        <v>12133.2897847587</v>
      </c>
      <c r="AQ81" s="14" t="n">
        <v>11938.15646441427</v>
      </c>
      <c r="AR81" s="14" t="n">
        <v>13284.32800476562</v>
      </c>
      <c r="AS81" s="14" t="n">
        <v>14130.08419144826</v>
      </c>
      <c r="AT81" s="14" t="n">
        <v>15506.13453556031</v>
      </c>
      <c r="AU81" s="14" t="n">
        <v>15169.62813872516</v>
      </c>
      <c r="AV81" s="14" t="n">
        <v>19812.23010717753</v>
      </c>
      <c r="AW81" s="14" t="n">
        <v>17932.98952428781</v>
      </c>
      <c r="AX81" s="14" t="n">
        <v>24907.0825752222</v>
      </c>
      <c r="AY81" s="14" t="n">
        <v>23792.02164659255</v>
      </c>
      <c r="AZ81" s="14" t="n">
        <v>62375.04377009235</v>
      </c>
      <c r="BA81" s="14" t="n">
        <v>7855.013362965147</v>
      </c>
      <c r="BB81" s="14" t="n">
        <v>5285317.256892526</v>
      </c>
      <c r="BC81" s="14" t="n">
        <v>0</v>
      </c>
      <c r="BD81" s="14" t="n">
        <v>0</v>
      </c>
      <c r="BE81" s="14" t="n">
        <v>105.7045189936251</v>
      </c>
      <c r="BF81" s="14" t="n">
        <v>43.47623664970756</v>
      </c>
      <c r="BG81" s="14" t="n">
        <v>46.80736529418174</v>
      </c>
      <c r="BH81" s="14" t="n">
        <v>91.13473864199793</v>
      </c>
      <c r="BI81" s="14" t="n">
        <v>104.7979195632494</v>
      </c>
      <c r="BJ81" s="14" t="n">
        <v>80.96276100027136</v>
      </c>
      <c r="BK81" s="14" t="n">
        <v>0</v>
      </c>
      <c r="BL81" s="14" t="n">
        <v>0</v>
      </c>
      <c r="BM81" s="14" t="n">
        <v>5.732335486133046</v>
      </c>
      <c r="BN81" s="14" t="n">
        <v>0</v>
      </c>
      <c r="BO81" s="14" t="n">
        <v>0</v>
      </c>
      <c r="BP81" s="14" t="n">
        <v>0</v>
      </c>
      <c r="BQ81" s="14" t="inlineStr">
        <is>
          <t>Rural|Deciles|p75|3</t>
        </is>
      </c>
    </row>
    <row r="82">
      <c r="A82" s="14" t="inlineStr">
        <is>
          <t>EGY.distn.bsh.dec.rur.p75.4</t>
        </is>
      </c>
      <c r="B82" s="14" t="inlineStr">
        <is>
          <t>EGY</t>
        </is>
      </c>
      <c r="C82" s="14" t="n">
        <v>2017</v>
      </c>
      <c r="D82" s="14" t="inlineStr">
        <is>
          <t>Rural</t>
        </is>
      </c>
      <c r="E82" s="14" t="inlineStr">
        <is>
          <t>Deciles</t>
        </is>
      </c>
      <c r="F82" s="14" t="inlineStr">
        <is>
          <t>p75</t>
        </is>
      </c>
      <c r="G82" s="14" t="n">
        <v>4</v>
      </c>
      <c r="H82" s="14" t="n">
        <v>2.34570338188325</v>
      </c>
      <c r="I82" s="14" t="n">
        <v>0</v>
      </c>
      <c r="J82" s="14" t="n">
        <v>4.307629497976035</v>
      </c>
      <c r="K82" s="14" t="n">
        <v>8.634462667067545</v>
      </c>
      <c r="L82" s="14" t="n">
        <v>0</v>
      </c>
      <c r="M82" s="14" t="n">
        <v>2.948426963443189</v>
      </c>
      <c r="N82" s="14" t="n">
        <v>0</v>
      </c>
      <c r="O82" s="14" t="n">
        <v>5.84476575889012</v>
      </c>
      <c r="P82" s="14" t="n">
        <v>0</v>
      </c>
      <c r="Q82" s="14" t="n">
        <v>4.144125704133103</v>
      </c>
      <c r="R82" s="14" t="n">
        <v>63.35635727873819</v>
      </c>
      <c r="S82" s="14" t="n">
        <v>0</v>
      </c>
      <c r="T82" s="14" t="n">
        <v>0</v>
      </c>
      <c r="U82" s="14" t="n">
        <v>4.831181058342572</v>
      </c>
      <c r="V82" s="14" t="n">
        <v>4.013980888592086</v>
      </c>
      <c r="W82" s="14" t="n">
        <v>0</v>
      </c>
      <c r="X82" s="14" t="n">
        <v>2.797124212580957</v>
      </c>
      <c r="Y82" s="14" t="n">
        <v>0</v>
      </c>
      <c r="Z82" s="14" t="n">
        <v>0</v>
      </c>
      <c r="AA82" s="14" t="n">
        <v>0</v>
      </c>
      <c r="AB82" s="14" t="n">
        <v>2.76918971805735</v>
      </c>
      <c r="AC82" s="14" t="n">
        <v>6.891147070283436</v>
      </c>
      <c r="AD82" s="14" t="n">
        <v>8.178922738170867</v>
      </c>
      <c r="AE82" s="14" t="n">
        <v>0</v>
      </c>
      <c r="AF82" s="14" t="n">
        <v>4.768968853046834</v>
      </c>
      <c r="AG82" s="14" t="n">
        <v>3177.446282260399</v>
      </c>
      <c r="AH82" s="14" t="n">
        <v>7439.946036644303</v>
      </c>
      <c r="AI82" s="14" t="n">
        <v>6814.261035265479</v>
      </c>
      <c r="AJ82" s="14" t="n">
        <v>8270.024315040882</v>
      </c>
      <c r="AK82" s="14" t="n">
        <v>8618.976986382149</v>
      </c>
      <c r="AL82" s="14" t="n">
        <v>9460.949723270798</v>
      </c>
      <c r="AM82" s="14" t="n">
        <v>10378.30984438568</v>
      </c>
      <c r="AN82" s="14" t="n">
        <v>11688.72803622123</v>
      </c>
      <c r="AO82" s="14" t="n">
        <v>11606.4830057704</v>
      </c>
      <c r="AP82" s="14" t="n">
        <v>12886.85881925137</v>
      </c>
      <c r="AQ82" s="14" t="n">
        <v>11970.17005442725</v>
      </c>
      <c r="AR82" s="14" t="n">
        <v>14790.44445561212</v>
      </c>
      <c r="AS82" s="14" t="n">
        <v>14491.14213217121</v>
      </c>
      <c r="AT82" s="14" t="n">
        <v>15288.54850837501</v>
      </c>
      <c r="AU82" s="14" t="n">
        <v>16052.04269518168</v>
      </c>
      <c r="AV82" s="14" t="n">
        <v>18558.22395469813</v>
      </c>
      <c r="AW82" s="14" t="n">
        <v>18583.43937827721</v>
      </c>
      <c r="AX82" s="14" t="n">
        <v>23348.44604978763</v>
      </c>
      <c r="AY82" s="14" t="n">
        <v>22750.24110670462</v>
      </c>
      <c r="AZ82" s="14" t="n">
        <v>65291.58831931859</v>
      </c>
      <c r="BA82" s="14" t="n">
        <v>8521.008325426836</v>
      </c>
      <c r="BB82" s="14" t="n">
        <v>5365263.743933509</v>
      </c>
      <c r="BC82" s="14" t="n">
        <v>0</v>
      </c>
      <c r="BD82" s="14" t="n">
        <v>0</v>
      </c>
      <c r="BE82" s="14" t="n">
        <v>102.103074002207</v>
      </c>
      <c r="BF82" s="14" t="n">
        <v>49.75818385200242</v>
      </c>
      <c r="BG82" s="14" t="n">
        <v>47.490265522505</v>
      </c>
      <c r="BH82" s="14" t="n">
        <v>94.17453337608174</v>
      </c>
      <c r="BI82" s="14" t="n">
        <v>102.1205751856056</v>
      </c>
      <c r="BJ82" s="14" t="n">
        <v>77.1535413777072</v>
      </c>
      <c r="BK82" s="14" t="n">
        <v>0</v>
      </c>
      <c r="BL82" s="14" t="n">
        <v>0</v>
      </c>
      <c r="BM82" s="14" t="n">
        <v>5.448070212539928</v>
      </c>
      <c r="BN82" s="14" t="n">
        <v>0</v>
      </c>
      <c r="BO82" s="14" t="n">
        <v>0</v>
      </c>
      <c r="BP82" s="14" t="n">
        <v>0</v>
      </c>
      <c r="BQ82" s="14" t="inlineStr">
        <is>
          <t>Rural|Deciles|p75|4</t>
        </is>
      </c>
    </row>
    <row r="83">
      <c r="A83" s="14" t="inlineStr">
        <is>
          <t>EGY.distn.bsh.dec.rur.p75.5</t>
        </is>
      </c>
      <c r="B83" s="14" t="inlineStr">
        <is>
          <t>EGY</t>
        </is>
      </c>
      <c r="C83" s="14" t="n">
        <v>2017</v>
      </c>
      <c r="D83" s="14" t="inlineStr">
        <is>
          <t>Rural</t>
        </is>
      </c>
      <c r="E83" s="14" t="inlineStr">
        <is>
          <t>Deciles</t>
        </is>
      </c>
      <c r="F83" s="14" t="inlineStr">
        <is>
          <t>p75</t>
        </is>
      </c>
      <c r="G83" s="14" t="n">
        <v>5</v>
      </c>
      <c r="H83" s="14" t="n">
        <v>2.099604295322299</v>
      </c>
      <c r="I83" s="14" t="n">
        <v>0</v>
      </c>
      <c r="J83" s="14" t="n">
        <v>3.927978432914602</v>
      </c>
      <c r="K83" s="14" t="n">
        <v>8.414988296313052</v>
      </c>
      <c r="L83" s="14" t="n">
        <v>0</v>
      </c>
      <c r="M83" s="14" t="n">
        <v>2.985115723888296</v>
      </c>
      <c r="N83" s="14" t="n">
        <v>0</v>
      </c>
      <c r="O83" s="14" t="n">
        <v>5.459818490454706</v>
      </c>
      <c r="P83" s="14" t="n">
        <v>0</v>
      </c>
      <c r="Q83" s="14" t="n">
        <v>3.835487874468746</v>
      </c>
      <c r="R83" s="14" t="n">
        <v>62.26838660091688</v>
      </c>
      <c r="S83" s="14" t="n">
        <v>0</v>
      </c>
      <c r="T83" s="14" t="n">
        <v>0</v>
      </c>
      <c r="U83" s="14" t="n">
        <v>5.263774600860456</v>
      </c>
      <c r="V83" s="14" t="n">
        <v>3.775512773965121</v>
      </c>
      <c r="W83" s="14" t="n">
        <v>0</v>
      </c>
      <c r="X83" s="14" t="n">
        <v>2.60446786026382</v>
      </c>
      <c r="Y83" s="14" t="n">
        <v>0</v>
      </c>
      <c r="Z83" s="14" t="n">
        <v>0</v>
      </c>
      <c r="AA83" s="14" t="n">
        <v>0</v>
      </c>
      <c r="AB83" s="14" t="n">
        <v>2.697311010939806</v>
      </c>
      <c r="AC83" s="14" t="n">
        <v>8.04157009112209</v>
      </c>
      <c r="AD83" s="14" t="n">
        <v>7.293138010194599</v>
      </c>
      <c r="AE83" s="14" t="n">
        <v>0</v>
      </c>
      <c r="AF83" s="14" t="n">
        <v>5.280952820787601</v>
      </c>
      <c r="AG83" s="14" t="n">
        <v>3412.823594227975</v>
      </c>
      <c r="AH83" s="14" t="n">
        <v>7304.327891976085</v>
      </c>
      <c r="AI83" s="14" t="n">
        <v>7535.512592139416</v>
      </c>
      <c r="AJ83" s="14" t="n">
        <v>8924.368621389005</v>
      </c>
      <c r="AK83" s="14" t="n">
        <v>8404.110948242</v>
      </c>
      <c r="AL83" s="14" t="n">
        <v>10047.98390028018</v>
      </c>
      <c r="AM83" s="14" t="n">
        <v>10443.90374362611</v>
      </c>
      <c r="AN83" s="14" t="n">
        <v>10795.23454470812</v>
      </c>
      <c r="AO83" s="14" t="n">
        <v>11359.78285942944</v>
      </c>
      <c r="AP83" s="14" t="n">
        <v>12164.06005818775</v>
      </c>
      <c r="AQ83" s="14" t="n">
        <v>11468.46968050653</v>
      </c>
      <c r="AR83" s="14" t="n">
        <v>14510.9518815642</v>
      </c>
      <c r="AS83" s="14" t="n">
        <v>13465.35778917452</v>
      </c>
      <c r="AT83" s="14" t="n">
        <v>16720.68636839897</v>
      </c>
      <c r="AU83" s="14" t="n">
        <v>16968.4513809727</v>
      </c>
      <c r="AV83" s="14" t="n">
        <v>19392.48070857209</v>
      </c>
      <c r="AW83" s="14" t="n">
        <v>19277.46618343014</v>
      </c>
      <c r="AX83" s="14" t="n">
        <v>22536.38807844443</v>
      </c>
      <c r="AY83" s="14" t="n">
        <v>24948.48137623509</v>
      </c>
      <c r="AZ83" s="14" t="n">
        <v>61896.32374324527</v>
      </c>
      <c r="BA83" s="14" t="n">
        <v>9378.685024642195</v>
      </c>
      <c r="BB83" s="14" t="n">
        <v>6018420.224518378</v>
      </c>
      <c r="BC83" s="14" t="n">
        <v>0</v>
      </c>
      <c r="BD83" s="14" t="n">
        <v>0</v>
      </c>
      <c r="BE83" s="14" t="n">
        <v>110.9218731183585</v>
      </c>
      <c r="BF83" s="14" t="n">
        <v>54.80623842615195</v>
      </c>
      <c r="BG83" s="14" t="n">
        <v>45.77623418922165</v>
      </c>
      <c r="BH83" s="14" t="n">
        <v>108.3290846887481</v>
      </c>
      <c r="BI83" s="14" t="n">
        <v>110.0336357442016</v>
      </c>
      <c r="BJ83" s="14" t="n">
        <v>80.66419039754096</v>
      </c>
      <c r="BK83" s="14" t="n">
        <v>0</v>
      </c>
      <c r="BL83" s="14" t="n">
        <v>0</v>
      </c>
      <c r="BM83" s="14" t="n">
        <v>1.461974953859801</v>
      </c>
      <c r="BN83" s="14" t="n">
        <v>0</v>
      </c>
      <c r="BO83" s="14" t="n">
        <v>0</v>
      </c>
      <c r="BP83" s="14" t="n">
        <v>0</v>
      </c>
      <c r="BQ83" s="14" t="inlineStr">
        <is>
          <t>Rural|Deciles|p75|5</t>
        </is>
      </c>
    </row>
    <row r="84">
      <c r="A84" s="14" t="inlineStr">
        <is>
          <t>EGY.distn.bsh.dec.rur.p75.6</t>
        </is>
      </c>
      <c r="B84" s="14" t="inlineStr">
        <is>
          <t>EGY</t>
        </is>
      </c>
      <c r="C84" s="14" t="n">
        <v>2017</v>
      </c>
      <c r="D84" s="14" t="inlineStr">
        <is>
          <t>Rural</t>
        </is>
      </c>
      <c r="E84" s="14" t="inlineStr">
        <is>
          <t>Deciles</t>
        </is>
      </c>
      <c r="F84" s="14" t="inlineStr">
        <is>
          <t>p75</t>
        </is>
      </c>
      <c r="G84" s="14" t="n">
        <v>6</v>
      </c>
      <c r="H84" s="14" t="n">
        <v>2.15093145278166</v>
      </c>
      <c r="I84" s="14" t="n">
        <v>0</v>
      </c>
      <c r="J84" s="14" t="n">
        <v>4.203855554285044</v>
      </c>
      <c r="K84" s="14" t="n">
        <v>9.333407221396778</v>
      </c>
      <c r="L84" s="14" t="n">
        <v>0</v>
      </c>
      <c r="M84" s="14" t="n">
        <v>2.941375373778401</v>
      </c>
      <c r="N84" s="14" t="n">
        <v>0</v>
      </c>
      <c r="O84" s="14" t="n">
        <v>5.89461103567923</v>
      </c>
      <c r="P84" s="14" t="n">
        <v>0</v>
      </c>
      <c r="Q84" s="14" t="n">
        <v>4.1461150131248</v>
      </c>
      <c r="R84" s="14" t="n">
        <v>66.01189091129969</v>
      </c>
      <c r="S84" s="14" t="n">
        <v>0</v>
      </c>
      <c r="T84" s="14" t="n">
        <v>0</v>
      </c>
      <c r="U84" s="14" t="n">
        <v>5.452393636798115</v>
      </c>
      <c r="V84" s="14" t="n">
        <v>4.528190733484646</v>
      </c>
      <c r="W84" s="14" t="n">
        <v>0</v>
      </c>
      <c r="X84" s="14" t="n">
        <v>2.45048410189465</v>
      </c>
      <c r="Y84" s="14" t="n">
        <v>0</v>
      </c>
      <c r="Z84" s="14" t="n">
        <v>0</v>
      </c>
      <c r="AA84" s="14" t="n">
        <v>0</v>
      </c>
      <c r="AB84" s="14" t="n">
        <v>2.734297713003086</v>
      </c>
      <c r="AC84" s="14" t="n">
        <v>8.450160913371761</v>
      </c>
      <c r="AD84" s="14" t="n">
        <v>7.183808975903187</v>
      </c>
      <c r="AE84" s="14" t="n">
        <v>0</v>
      </c>
      <c r="AF84" s="14" t="n">
        <v>5.319471800395185</v>
      </c>
      <c r="AG84" s="14" t="n">
        <v>3057.698764056423</v>
      </c>
      <c r="AH84" s="14" t="n">
        <v>7180.544205306187</v>
      </c>
      <c r="AI84" s="14" t="n">
        <v>7470.483510315941</v>
      </c>
      <c r="AJ84" s="14" t="n">
        <v>9207.480468704534</v>
      </c>
      <c r="AK84" s="14" t="n">
        <v>8579.686170341871</v>
      </c>
      <c r="AL84" s="14" t="n">
        <v>9148.113355340311</v>
      </c>
      <c r="AM84" s="14" t="n">
        <v>10230.09003120029</v>
      </c>
      <c r="AN84" s="14" t="n">
        <v>10633.3580901661</v>
      </c>
      <c r="AO84" s="14" t="n">
        <v>11712.19423300212</v>
      </c>
      <c r="AP84" s="14" t="n">
        <v>11415.83841680014</v>
      </c>
      <c r="AQ84" s="14" t="n">
        <v>11797.45164021879</v>
      </c>
      <c r="AR84" s="14" t="n">
        <v>14054.9224967703</v>
      </c>
      <c r="AS84" s="14" t="n">
        <v>13800.47716661925</v>
      </c>
      <c r="AT84" s="14" t="n">
        <v>15030.93782559022</v>
      </c>
      <c r="AU84" s="14" t="n">
        <v>16239.84359059661</v>
      </c>
      <c r="AV84" s="14" t="n">
        <v>17097.3293412404</v>
      </c>
      <c r="AW84" s="14" t="n">
        <v>18413.73065298678</v>
      </c>
      <c r="AX84" s="14" t="n">
        <v>24068.39366722703</v>
      </c>
      <c r="AY84" s="14" t="n">
        <v>23304.90631055481</v>
      </c>
      <c r="AZ84" s="14" t="n">
        <v>61321.3890460942</v>
      </c>
      <c r="BA84" s="14" t="n">
        <v>10606.78477603341</v>
      </c>
      <c r="BB84" s="14" t="n">
        <v>6086259.321608818</v>
      </c>
      <c r="BC84" s="14" t="n">
        <v>0</v>
      </c>
      <c r="BD84" s="14" t="n">
        <v>0</v>
      </c>
      <c r="BE84" s="14" t="n">
        <v>99.90510391304302</v>
      </c>
      <c r="BF84" s="14" t="n">
        <v>69.85003105942501</v>
      </c>
      <c r="BG84" s="14" t="n">
        <v>57.17254149863918</v>
      </c>
      <c r="BH84" s="14" t="n">
        <v>91.53268384431576</v>
      </c>
      <c r="BI84" s="14" t="n">
        <v>103.5380076672368</v>
      </c>
      <c r="BJ84" s="14" t="n">
        <v>82.3538647022737</v>
      </c>
      <c r="BK84" s="14" t="n">
        <v>0</v>
      </c>
      <c r="BL84" s="14" t="n">
        <v>0</v>
      </c>
      <c r="BM84" s="14" t="n">
        <v>0.1679653964273677</v>
      </c>
      <c r="BN84" s="14" t="n">
        <v>0</v>
      </c>
      <c r="BO84" s="14" t="n">
        <v>0</v>
      </c>
      <c r="BP84" s="14" t="n">
        <v>0</v>
      </c>
      <c r="BQ84" s="14" t="inlineStr">
        <is>
          <t>Rural|Deciles|p75|6</t>
        </is>
      </c>
    </row>
    <row r="85">
      <c r="A85" s="14" t="inlineStr">
        <is>
          <t>EGY.distn.bsh.dec.rur.p75.7</t>
        </is>
      </c>
      <c r="B85" s="14" t="inlineStr">
        <is>
          <t>EGY</t>
        </is>
      </c>
      <c r="C85" s="14" t="n">
        <v>2017</v>
      </c>
      <c r="D85" s="14" t="inlineStr">
        <is>
          <t>Rural</t>
        </is>
      </c>
      <c r="E85" s="14" t="inlineStr">
        <is>
          <t>Deciles</t>
        </is>
      </c>
      <c r="F85" s="14" t="inlineStr">
        <is>
          <t>p75</t>
        </is>
      </c>
      <c r="G85" s="14" t="n">
        <v>7</v>
      </c>
      <c r="H85" s="14" t="n">
        <v>2.337373155186708</v>
      </c>
      <c r="I85" s="14" t="n">
        <v>0</v>
      </c>
      <c r="J85" s="14" t="n">
        <v>4.368146879065473</v>
      </c>
      <c r="K85" s="14" t="n">
        <v>9.188869330784028</v>
      </c>
      <c r="L85" s="14" t="n">
        <v>0</v>
      </c>
      <c r="M85" s="14" t="n">
        <v>3.219909959836345</v>
      </c>
      <c r="N85" s="14" t="n">
        <v>0</v>
      </c>
      <c r="O85" s="14" t="n">
        <v>5.681676219560098</v>
      </c>
      <c r="P85" s="14" t="n">
        <v>0</v>
      </c>
      <c r="Q85" s="14" t="n">
        <v>4.119212318694467</v>
      </c>
      <c r="R85" s="14" t="n">
        <v>68.95141544596707</v>
      </c>
      <c r="S85" s="14" t="n">
        <v>0</v>
      </c>
      <c r="T85" s="14" t="n">
        <v>0</v>
      </c>
      <c r="U85" s="14" t="n">
        <v>6.189583659605723</v>
      </c>
      <c r="V85" s="14" t="n">
        <v>4.434257344638253</v>
      </c>
      <c r="W85" s="14" t="n">
        <v>0</v>
      </c>
      <c r="X85" s="14" t="n">
        <v>2.56824409223393</v>
      </c>
      <c r="Y85" s="14" t="n">
        <v>0</v>
      </c>
      <c r="Z85" s="14" t="n">
        <v>0</v>
      </c>
      <c r="AA85" s="14" t="n">
        <v>0</v>
      </c>
      <c r="AB85" s="14" t="n">
        <v>2.599532665626884</v>
      </c>
      <c r="AC85" s="14" t="n">
        <v>9.342282314353517</v>
      </c>
      <c r="AD85" s="14" t="n">
        <v>7.013344777699648</v>
      </c>
      <c r="AE85" s="14" t="n">
        <v>0</v>
      </c>
      <c r="AF85" s="14" t="n">
        <v>5.251006116765906</v>
      </c>
      <c r="AG85" s="14" t="n">
        <v>3228.182661306577</v>
      </c>
      <c r="AH85" s="14" t="n">
        <v>7100.514731004352</v>
      </c>
      <c r="AI85" s="14" t="n">
        <v>6801.873116055653</v>
      </c>
      <c r="AJ85" s="14" t="n">
        <v>8032.213220762848</v>
      </c>
      <c r="AK85" s="14" t="n">
        <v>8259.129584027685</v>
      </c>
      <c r="AL85" s="14" t="n">
        <v>9465.889261940078</v>
      </c>
      <c r="AM85" s="14" t="n">
        <v>10253.79961266046</v>
      </c>
      <c r="AN85" s="14" t="n">
        <v>10572.78367410852</v>
      </c>
      <c r="AO85" s="14" t="n">
        <v>10584.82563090787</v>
      </c>
      <c r="AP85" s="14" t="n">
        <v>12120.30897420296</v>
      </c>
      <c r="AQ85" s="14" t="n">
        <v>12625.47263619364</v>
      </c>
      <c r="AR85" s="14" t="n">
        <v>13510.76439390369</v>
      </c>
      <c r="AS85" s="14" t="n">
        <v>13198.84999080563</v>
      </c>
      <c r="AT85" s="14" t="n">
        <v>16222.39785050489</v>
      </c>
      <c r="AU85" s="14" t="n">
        <v>16536.43118176052</v>
      </c>
      <c r="AV85" s="14" t="n">
        <v>17269.23245046609</v>
      </c>
      <c r="AW85" s="14" t="n">
        <v>18386.36061292163</v>
      </c>
      <c r="AX85" s="14" t="n">
        <v>24735.81146693157</v>
      </c>
      <c r="AY85" s="14" t="n">
        <v>24612.71702455817</v>
      </c>
      <c r="AZ85" s="14" t="n">
        <v>66842.27036858551</v>
      </c>
      <c r="BA85" s="14" t="n">
        <v>12103.45447715973</v>
      </c>
      <c r="BB85" s="14" t="n">
        <v>5704103.381719244</v>
      </c>
      <c r="BC85" s="14" t="n">
        <v>0</v>
      </c>
      <c r="BD85" s="14" t="n">
        <v>0</v>
      </c>
      <c r="BE85" s="14" t="n">
        <v>111.5758784492968</v>
      </c>
      <c r="BF85" s="14" t="n">
        <v>70.9688409555491</v>
      </c>
      <c r="BG85" s="14" t="n">
        <v>63.47580392909844</v>
      </c>
      <c r="BH85" s="14" t="n">
        <v>96.9181464555332</v>
      </c>
      <c r="BI85" s="14" t="n">
        <v>109.3797327468834</v>
      </c>
      <c r="BJ85" s="14" t="n">
        <v>86.61638247860854</v>
      </c>
      <c r="BK85" s="14" t="n">
        <v>0</v>
      </c>
      <c r="BL85" s="14" t="n">
        <v>0</v>
      </c>
      <c r="BM85" s="14" t="n">
        <v>0.01998852639022991</v>
      </c>
      <c r="BN85" s="14" t="n">
        <v>0</v>
      </c>
      <c r="BO85" s="14" t="n">
        <v>0</v>
      </c>
      <c r="BP85" s="14" t="n">
        <v>0</v>
      </c>
      <c r="BQ85" s="14" t="inlineStr">
        <is>
          <t>Rural|Deciles|p75|7</t>
        </is>
      </c>
    </row>
    <row r="86">
      <c r="A86" s="14" t="inlineStr">
        <is>
          <t>EGY.distn.bsh.dec.rur.p75.8</t>
        </is>
      </c>
      <c r="B86" s="14" t="inlineStr">
        <is>
          <t>EGY</t>
        </is>
      </c>
      <c r="C86" s="14" t="n">
        <v>2017</v>
      </c>
      <c r="D86" s="14" t="inlineStr">
        <is>
          <t>Rural</t>
        </is>
      </c>
      <c r="E86" s="14" t="inlineStr">
        <is>
          <t>Deciles</t>
        </is>
      </c>
      <c r="F86" s="14" t="inlineStr">
        <is>
          <t>p75</t>
        </is>
      </c>
      <c r="G86" s="14" t="n">
        <v>8</v>
      </c>
      <c r="H86" s="14" t="n">
        <v>2.161590077836444</v>
      </c>
      <c r="I86" s="14" t="n">
        <v>0</v>
      </c>
      <c r="J86" s="14" t="n">
        <v>4.17834339630355</v>
      </c>
      <c r="K86" s="14" t="n">
        <v>7.961745551874541</v>
      </c>
      <c r="L86" s="14" t="n">
        <v>0</v>
      </c>
      <c r="M86" s="14" t="n">
        <v>3.454382230345611</v>
      </c>
      <c r="N86" s="14" t="n">
        <v>0</v>
      </c>
      <c r="O86" s="14" t="n">
        <v>4.422295582264052</v>
      </c>
      <c r="P86" s="14" t="n">
        <v>0</v>
      </c>
      <c r="Q86" s="14" t="n">
        <v>4.064275388503304</v>
      </c>
      <c r="R86" s="14" t="n">
        <v>61.51364371026727</v>
      </c>
      <c r="S86" s="14" t="n">
        <v>0</v>
      </c>
      <c r="T86" s="14" t="n">
        <v>0</v>
      </c>
      <c r="U86" s="14" t="n">
        <v>6.412472303654509</v>
      </c>
      <c r="V86" s="14" t="n">
        <v>4.139480078451591</v>
      </c>
      <c r="W86" s="14" t="n">
        <v>0</v>
      </c>
      <c r="X86" s="14" t="n">
        <v>2.838328283741534</v>
      </c>
      <c r="Y86" s="14" t="n">
        <v>0</v>
      </c>
      <c r="Z86" s="14" t="n">
        <v>0</v>
      </c>
      <c r="AA86" s="14" t="n">
        <v>0</v>
      </c>
      <c r="AB86" s="14" t="n">
        <v>2.406892933245524</v>
      </c>
      <c r="AC86" s="14" t="n">
        <v>9.323629868394647</v>
      </c>
      <c r="AD86" s="14" t="n">
        <v>7.369592303208032</v>
      </c>
      <c r="AE86" s="14" t="n">
        <v>0</v>
      </c>
      <c r="AF86" s="14" t="n">
        <v>5.916049947373876</v>
      </c>
      <c r="AG86" s="14" t="n">
        <v>3159.871890756974</v>
      </c>
      <c r="AH86" s="14" t="n">
        <v>6981.666930832146</v>
      </c>
      <c r="AI86" s="14" t="n">
        <v>7090.426296414933</v>
      </c>
      <c r="AJ86" s="14" t="n">
        <v>8657.444930152369</v>
      </c>
      <c r="AK86" s="14" t="n">
        <v>8628.364210611051</v>
      </c>
      <c r="AL86" s="14" t="n">
        <v>9163.424801572621</v>
      </c>
      <c r="AM86" s="14" t="n">
        <v>9413.082628966931</v>
      </c>
      <c r="AN86" s="14" t="n">
        <v>10440.73471084942</v>
      </c>
      <c r="AO86" s="14" t="n">
        <v>10591.89227975312</v>
      </c>
      <c r="AP86" s="14" t="n">
        <v>12570.25063138992</v>
      </c>
      <c r="AQ86" s="14" t="n">
        <v>12121.20774503042</v>
      </c>
      <c r="AR86" s="14" t="n">
        <v>14450.90278206408</v>
      </c>
      <c r="AS86" s="14" t="n">
        <v>13038.70268492537</v>
      </c>
      <c r="AT86" s="14" t="n">
        <v>15973.21879922015</v>
      </c>
      <c r="AU86" s="14" t="n">
        <v>15975.57654547854</v>
      </c>
      <c r="AV86" s="14" t="n">
        <v>19636.21170359245</v>
      </c>
      <c r="AW86" s="14" t="n">
        <v>18012.61712056341</v>
      </c>
      <c r="AX86" s="14" t="n">
        <v>25006.86227583166</v>
      </c>
      <c r="AY86" s="14" t="n">
        <v>24570.13630316375</v>
      </c>
      <c r="AZ86" s="14" t="n">
        <v>66685.81291260211</v>
      </c>
      <c r="BA86" s="14" t="n">
        <v>14173.83333614081</v>
      </c>
      <c r="BB86" s="14" t="n">
        <v>5542335.101962964</v>
      </c>
      <c r="BC86" s="14" t="n">
        <v>0</v>
      </c>
      <c r="BD86" s="14" t="n">
        <v>0</v>
      </c>
      <c r="BE86" s="14" t="n">
        <v>112.1988397689937</v>
      </c>
      <c r="BF86" s="14" t="n">
        <v>67.24321699141512</v>
      </c>
      <c r="BG86" s="14" t="n">
        <v>67.15545814797204</v>
      </c>
      <c r="BH86" s="14" t="n">
        <v>98.39740208031893</v>
      </c>
      <c r="BI86" s="14" t="n">
        <v>109.8441598424047</v>
      </c>
      <c r="BJ86" s="14" t="n">
        <v>92.83357331170356</v>
      </c>
      <c r="BK86" s="14" t="n">
        <v>0</v>
      </c>
      <c r="BL86" s="14" t="n">
        <v>0</v>
      </c>
      <c r="BM86" s="14" t="n">
        <v>0</v>
      </c>
      <c r="BN86" s="14" t="n">
        <v>0</v>
      </c>
      <c r="BO86" s="14" t="n">
        <v>0</v>
      </c>
      <c r="BP86" s="14" t="n">
        <v>0</v>
      </c>
      <c r="BQ86" s="14" t="inlineStr">
        <is>
          <t>Rural|Deciles|p75|8</t>
        </is>
      </c>
    </row>
    <row r="87">
      <c r="A87" s="14" t="inlineStr">
        <is>
          <t>EGY.distn.bsh.dec.rur.p75.9</t>
        </is>
      </c>
      <c r="B87" s="14" t="inlineStr">
        <is>
          <t>EGY</t>
        </is>
      </c>
      <c r="C87" s="14" t="n">
        <v>2017</v>
      </c>
      <c r="D87" s="14" t="inlineStr">
        <is>
          <t>Rural</t>
        </is>
      </c>
      <c r="E87" s="14" t="inlineStr">
        <is>
          <t>Deciles</t>
        </is>
      </c>
      <c r="F87" s="14" t="inlineStr">
        <is>
          <t>p75</t>
        </is>
      </c>
      <c r="G87" s="14" t="n">
        <v>9</v>
      </c>
      <c r="H87" s="14" t="n">
        <v>2.048873935403508</v>
      </c>
      <c r="I87" s="14" t="n">
        <v>0</v>
      </c>
      <c r="J87" s="14" t="n">
        <v>4.171802724337772</v>
      </c>
      <c r="K87" s="14" t="n">
        <v>7.602710201531647</v>
      </c>
      <c r="L87" s="14" t="n">
        <v>0</v>
      </c>
      <c r="M87" s="14" t="n">
        <v>3.00730506840295</v>
      </c>
      <c r="N87" s="14" t="n">
        <v>0</v>
      </c>
      <c r="O87" s="14" t="n">
        <v>2.841740751081437</v>
      </c>
      <c r="P87" s="14" t="n">
        <v>0</v>
      </c>
      <c r="Q87" s="14" t="n">
        <v>4.442231503813651</v>
      </c>
      <c r="R87" s="14" t="n">
        <v>62.86210246679528</v>
      </c>
      <c r="S87" s="14" t="n">
        <v>0</v>
      </c>
      <c r="T87" s="14" t="n">
        <v>0</v>
      </c>
      <c r="U87" s="14" t="n">
        <v>6.786921997788389</v>
      </c>
      <c r="V87" s="14" t="n">
        <v>4.476733278870483</v>
      </c>
      <c r="W87" s="14" t="n">
        <v>0</v>
      </c>
      <c r="X87" s="14" t="n">
        <v>2.54142812905808</v>
      </c>
      <c r="Y87" s="14" t="n">
        <v>0</v>
      </c>
      <c r="Z87" s="14" t="n">
        <v>0</v>
      </c>
      <c r="AA87" s="14" t="n">
        <v>0</v>
      </c>
      <c r="AB87" s="14" t="n">
        <v>1.862514088440693</v>
      </c>
      <c r="AC87" s="14" t="n">
        <v>12.23591766708767</v>
      </c>
      <c r="AD87" s="14" t="n">
        <v>6.600220568624632</v>
      </c>
      <c r="AE87" s="14" t="n">
        <v>0</v>
      </c>
      <c r="AF87" s="14" t="n">
        <v>5.356460581084282</v>
      </c>
      <c r="AG87" s="14" t="n">
        <v>3394.603438309593</v>
      </c>
      <c r="AH87" s="14" t="n">
        <v>7530.275845196702</v>
      </c>
      <c r="AI87" s="14" t="n">
        <v>6928.535842215562</v>
      </c>
      <c r="AJ87" s="14" t="n">
        <v>8034.714687625412</v>
      </c>
      <c r="AK87" s="14" t="n">
        <v>7942.083160195799</v>
      </c>
      <c r="AL87" s="14" t="n">
        <v>10319.77604805153</v>
      </c>
      <c r="AM87" s="14" t="n">
        <v>9444.649073048415</v>
      </c>
      <c r="AN87" s="14" t="n">
        <v>10970.59761216244</v>
      </c>
      <c r="AO87" s="14" t="n">
        <v>10707.38193968738</v>
      </c>
      <c r="AP87" s="14" t="n">
        <v>12301.44559629032</v>
      </c>
      <c r="AQ87" s="14" t="n">
        <v>12032.65922211264</v>
      </c>
      <c r="AR87" s="14" t="n">
        <v>14451.3291457497</v>
      </c>
      <c r="AS87" s="14" t="n">
        <v>14639.83202158752</v>
      </c>
      <c r="AT87" s="14" t="n">
        <v>15741.13770577168</v>
      </c>
      <c r="AU87" s="14" t="n">
        <v>16718.30003248684</v>
      </c>
      <c r="AV87" s="14" t="n">
        <v>18282.48098554942</v>
      </c>
      <c r="AW87" s="14" t="n">
        <v>18118.13664036923</v>
      </c>
      <c r="AX87" s="14" t="n">
        <v>25018.23178461232</v>
      </c>
      <c r="AY87" s="14" t="n">
        <v>24874.34492223337</v>
      </c>
      <c r="AZ87" s="14" t="n">
        <v>62375.56292095654</v>
      </c>
      <c r="BA87" s="14" t="n">
        <v>16698.87740390091</v>
      </c>
      <c r="BB87" s="14" t="n">
        <v>5681957.827295378</v>
      </c>
      <c r="BC87" s="14" t="n">
        <v>0</v>
      </c>
      <c r="BD87" s="14" t="n">
        <v>0</v>
      </c>
      <c r="BE87" s="14" t="n">
        <v>101.156462383939</v>
      </c>
      <c r="BF87" s="14" t="n">
        <v>54.90705829730573</v>
      </c>
      <c r="BG87" s="14" t="n">
        <v>68.97414334043388</v>
      </c>
      <c r="BH87" s="14" t="n">
        <v>100.9308967740373</v>
      </c>
      <c r="BI87" s="14" t="n">
        <v>115.3909156138196</v>
      </c>
      <c r="BJ87" s="14" t="n">
        <v>83.11119885300616</v>
      </c>
      <c r="BK87" s="14" t="n">
        <v>0</v>
      </c>
      <c r="BL87" s="14" t="n">
        <v>0</v>
      </c>
      <c r="BM87" s="14" t="n">
        <v>0.0009884923937919007</v>
      </c>
      <c r="BN87" s="14" t="n">
        <v>0</v>
      </c>
      <c r="BO87" s="14" t="n">
        <v>0</v>
      </c>
      <c r="BP87" s="14" t="n">
        <v>0</v>
      </c>
      <c r="BQ87" s="14" t="inlineStr">
        <is>
          <t>Rural|Deciles|p75|9</t>
        </is>
      </c>
    </row>
    <row r="88">
      <c r="A88" s="14" t="inlineStr">
        <is>
          <t>EGY.distn.bsh.dec.rur.p75.10</t>
        </is>
      </c>
      <c r="B88" s="14" t="inlineStr">
        <is>
          <t>EGY</t>
        </is>
      </c>
      <c r="C88" s="14" t="n">
        <v>2017</v>
      </c>
      <c r="D88" s="14" t="inlineStr">
        <is>
          <t>Rural</t>
        </is>
      </c>
      <c r="E88" s="14" t="inlineStr">
        <is>
          <t>Deciles</t>
        </is>
      </c>
      <c r="F88" s="14" t="inlineStr">
        <is>
          <t>p75</t>
        </is>
      </c>
      <c r="G88" s="14" t="n">
        <v>10</v>
      </c>
      <c r="H88" s="14" t="n">
        <v>1.998935886514359</v>
      </c>
      <c r="I88" s="14" t="n">
        <v>0</v>
      </c>
      <c r="J88" s="14" t="n">
        <v>3.914979259604513</v>
      </c>
      <c r="K88" s="14" t="n">
        <v>6.765693755200617</v>
      </c>
      <c r="L88" s="14" t="n">
        <v>0</v>
      </c>
      <c r="M88" s="14" t="n">
        <v>3.126970977058354</v>
      </c>
      <c r="N88" s="14" t="n">
        <v>0</v>
      </c>
      <c r="O88" s="14" t="n">
        <v>0</v>
      </c>
      <c r="P88" s="14" t="n">
        <v>0</v>
      </c>
      <c r="Q88" s="14" t="n">
        <v>4.723071926341793</v>
      </c>
      <c r="R88" s="14" t="n">
        <v>67.35442867224575</v>
      </c>
      <c r="S88" s="14" t="n">
        <v>0</v>
      </c>
      <c r="T88" s="14" t="n">
        <v>0</v>
      </c>
      <c r="U88" s="14" t="n">
        <v>9.31075009272606</v>
      </c>
      <c r="V88" s="14" t="n">
        <v>4.897689260988471</v>
      </c>
      <c r="W88" s="14" t="n">
        <v>0</v>
      </c>
      <c r="X88" s="14" t="n">
        <v>2.869173693282619</v>
      </c>
      <c r="Y88" s="14" t="n">
        <v>0</v>
      </c>
      <c r="Z88" s="14" t="n">
        <v>0</v>
      </c>
      <c r="AA88" s="14" t="n">
        <v>0</v>
      </c>
      <c r="AB88" s="14" t="n">
        <v>0.7328155112981514</v>
      </c>
      <c r="AC88" s="14" t="n">
        <v>16.74522933134298</v>
      </c>
      <c r="AD88" s="14" t="n">
        <v>5.620158020597881</v>
      </c>
      <c r="AE88" s="14" t="n">
        <v>0</v>
      </c>
      <c r="AF88" s="14" t="n">
        <v>5.029398585711867</v>
      </c>
      <c r="AG88" s="14" t="n">
        <v>3266.396828235759</v>
      </c>
      <c r="AH88" s="14" t="n">
        <v>6967.880552048963</v>
      </c>
      <c r="AI88" s="14" t="n">
        <v>7121.070459790351</v>
      </c>
      <c r="AJ88" s="14" t="n">
        <v>8071.315626748318</v>
      </c>
      <c r="AK88" s="14" t="n">
        <v>8563.526411229032</v>
      </c>
      <c r="AL88" s="14" t="n">
        <v>9229.12955780777</v>
      </c>
      <c r="AM88" s="14" t="n">
        <v>9756.572144594295</v>
      </c>
      <c r="AN88" s="14" t="n">
        <v>10808.85715405996</v>
      </c>
      <c r="AO88" s="14" t="n">
        <v>11710.17775906593</v>
      </c>
      <c r="AP88" s="14" t="n">
        <v>12424.1837321187</v>
      </c>
      <c r="AQ88" s="14" t="n">
        <v>13202.80978609371</v>
      </c>
      <c r="AR88" s="14" t="n">
        <v>13662.47881194707</v>
      </c>
      <c r="AS88" s="14" t="n">
        <v>14854.84104686067</v>
      </c>
      <c r="AT88" s="14" t="n">
        <v>15428.29072859392</v>
      </c>
      <c r="AU88" s="14" t="n">
        <v>15155.52400472775</v>
      </c>
      <c r="AV88" s="14" t="n">
        <v>19588.10918904725</v>
      </c>
      <c r="AW88" s="14" t="n">
        <v>18209.07454964385</v>
      </c>
      <c r="AX88" s="14" t="n">
        <v>24718.70919119615</v>
      </c>
      <c r="AY88" s="14" t="n">
        <v>23031.27780075765</v>
      </c>
      <c r="AZ88" s="14" t="n">
        <v>65300.7636996868</v>
      </c>
      <c r="BA88" s="14" t="n">
        <v>23089.0851209636</v>
      </c>
      <c r="BB88" s="14" t="n">
        <v>5229279.733769341</v>
      </c>
      <c r="BC88" s="14" t="n">
        <v>0</v>
      </c>
      <c r="BD88" s="14" t="n">
        <v>0</v>
      </c>
      <c r="BE88" s="14" t="n">
        <v>100.6048340697896</v>
      </c>
      <c r="BF88" s="14" t="n">
        <v>34.54594804498077</v>
      </c>
      <c r="BG88" s="14" t="n">
        <v>77.07472119927255</v>
      </c>
      <c r="BH88" s="14" t="n">
        <v>98.51056248034259</v>
      </c>
      <c r="BI88" s="14" t="n">
        <v>110.6877499611533</v>
      </c>
      <c r="BJ88" s="14" t="n">
        <v>87.54855582765249</v>
      </c>
      <c r="BK88" s="14" t="n">
        <v>0</v>
      </c>
      <c r="BL88" s="14" t="n">
        <v>0</v>
      </c>
      <c r="BM88" s="14" t="n">
        <v>0</v>
      </c>
      <c r="BN88" s="14" t="n">
        <v>0</v>
      </c>
      <c r="BO88" s="14" t="n">
        <v>0</v>
      </c>
      <c r="BP88" s="14" t="n">
        <v>0</v>
      </c>
      <c r="BQ88" s="14" t="inlineStr">
        <is>
          <t>Rural|Deciles|p75|10</t>
        </is>
      </c>
    </row>
    <row r="89">
      <c r="A89" s="14" t="inlineStr">
        <is>
          <t>EGY.distn.bsh.bkt.rur.p75.9999</t>
        </is>
      </c>
      <c r="B89" s="14" t="inlineStr">
        <is>
          <t>EGY</t>
        </is>
      </c>
      <c r="C89" s="14" t="n">
        <v>2017</v>
      </c>
      <c r="D89" s="14" t="inlineStr">
        <is>
          <t>Rural</t>
        </is>
      </c>
      <c r="E89" s="14" t="inlineStr">
        <is>
          <t>Basket</t>
        </is>
      </c>
      <c r="F89" s="14" t="inlineStr">
        <is>
          <t>p75</t>
        </is>
      </c>
      <c r="G89" s="14" t="n">
        <v>9999</v>
      </c>
      <c r="H89" s="14" t="n">
        <v>2.191019014512057</v>
      </c>
      <c r="I89" s="14" t="n">
        <v>0</v>
      </c>
      <c r="J89" s="14" t="n">
        <v>4.276479035786715</v>
      </c>
      <c r="K89" s="14" t="n">
        <v>8.300338783743747</v>
      </c>
      <c r="L89" s="14" t="n">
        <v>0</v>
      </c>
      <c r="M89" s="14" t="n">
        <v>2.97631602166071</v>
      </c>
      <c r="N89" s="14" t="n">
        <v>0</v>
      </c>
      <c r="O89" s="14" t="n">
        <v>4.407187574302392</v>
      </c>
      <c r="P89" s="14" t="n">
        <v>0</v>
      </c>
      <c r="Q89" s="14" t="n">
        <v>3.90426245827041</v>
      </c>
      <c r="R89" s="14" t="n">
        <v>69.12958259698827</v>
      </c>
      <c r="S89" s="14" t="n">
        <v>0</v>
      </c>
      <c r="T89" s="14" t="n">
        <v>0</v>
      </c>
      <c r="U89" s="14" t="n">
        <v>5.939909626265793</v>
      </c>
      <c r="V89" s="14" t="n">
        <v>4.547380940953093</v>
      </c>
      <c r="W89" s="14" t="n">
        <v>0</v>
      </c>
      <c r="X89" s="14" t="n">
        <v>2.881626411300568</v>
      </c>
      <c r="Y89" s="14" t="n">
        <v>0</v>
      </c>
      <c r="Z89" s="14" t="n">
        <v>0</v>
      </c>
      <c r="AA89" s="14" t="n">
        <v>0</v>
      </c>
      <c r="AB89" s="14" t="n">
        <v>2.65838931533182</v>
      </c>
      <c r="AC89" s="14" t="n">
        <v>9.489646828201238</v>
      </c>
      <c r="AD89" s="14" t="n">
        <v>7.507703922973116</v>
      </c>
      <c r="AE89" s="14" t="n">
        <v>0</v>
      </c>
      <c r="AF89" s="14" t="n">
        <v>5.202818444130082</v>
      </c>
      <c r="AG89" s="14" t="n">
        <v>3175.435962749277</v>
      </c>
      <c r="AH89" s="14" t="n">
        <v>6725.335046003302</v>
      </c>
      <c r="AI89" s="14" t="n">
        <v>7272.099620581708</v>
      </c>
      <c r="AJ89" s="14" t="n">
        <v>8647.429448074749</v>
      </c>
      <c r="AK89" s="14" t="n">
        <v>8808.69439175154</v>
      </c>
      <c r="AL89" s="14" t="n">
        <v>10139.88641836441</v>
      </c>
      <c r="AM89" s="14" t="n">
        <v>10381.17893704594</v>
      </c>
      <c r="AN89" s="14" t="n">
        <v>10571.14107267161</v>
      </c>
      <c r="AO89" s="14" t="n">
        <v>11075.04694335882</v>
      </c>
      <c r="AP89" s="14" t="n">
        <v>13081.75217801193</v>
      </c>
      <c r="AQ89" s="14" t="n">
        <v>11363.53805556853</v>
      </c>
      <c r="AR89" s="14" t="n">
        <v>13795.33315747962</v>
      </c>
      <c r="AS89" s="14" t="n">
        <v>13994.46031756438</v>
      </c>
      <c r="AT89" s="14" t="n">
        <v>15640.67203097638</v>
      </c>
      <c r="AU89" s="14" t="n">
        <v>14664.07097172127</v>
      </c>
      <c r="AV89" s="14" t="n">
        <v>19001.84547904987</v>
      </c>
      <c r="AW89" s="14" t="n">
        <v>18908.47335341738</v>
      </c>
      <c r="AX89" s="14" t="n">
        <v>24362.44714112422</v>
      </c>
      <c r="AY89" s="14" t="n">
        <v>21650.31431372006</v>
      </c>
      <c r="AZ89" s="14" t="n">
        <v>61589.44150338391</v>
      </c>
      <c r="BA89" s="14" t="n">
        <v>14047.14617453839</v>
      </c>
      <c r="BB89" s="14" t="n">
        <v>56689376.73611981</v>
      </c>
      <c r="BC89" s="14" t="n">
        <v>0</v>
      </c>
      <c r="BD89" s="14" t="n">
        <v>0</v>
      </c>
      <c r="BE89" s="14" t="n">
        <v>112.6085403453934</v>
      </c>
      <c r="BF89" s="14" t="n">
        <v>50.20029486843678</v>
      </c>
      <c r="BG89" s="14" t="n">
        <v>64.48666617909669</v>
      </c>
      <c r="BH89" s="14" t="n">
        <v>105.7913555115252</v>
      </c>
      <c r="BI89" s="14" t="n">
        <v>111.2098302613548</v>
      </c>
      <c r="BJ89" s="14" t="n">
        <v>87.04058022756267</v>
      </c>
      <c r="BK89" s="14" t="n">
        <v>0.10892223768034</v>
      </c>
      <c r="BL89" s="14" t="n">
        <v>2.299014276752119</v>
      </c>
      <c r="BM89" s="14" t="n">
        <v>26.23247203677368</v>
      </c>
      <c r="BN89" s="14" t="n">
        <v>0</v>
      </c>
      <c r="BO89" s="14" t="n">
        <v>0</v>
      </c>
      <c r="BP89" s="14" t="n">
        <v>0</v>
      </c>
      <c r="BQ89" s="14" t="inlineStr">
        <is>
          <t>Rural|Basket|p75|9999</t>
        </is>
      </c>
    </row>
    <row r="90">
      <c r="A90" s="14" t="inlineStr">
        <is>
          <t>EGY.distn.bsh.dec.urb.mean.1</t>
        </is>
      </c>
      <c r="B90" s="14" t="inlineStr">
        <is>
          <t>EGY</t>
        </is>
      </c>
      <c r="C90" s="14" t="n">
        <v>2017</v>
      </c>
      <c r="D90" s="14" t="inlineStr">
        <is>
          <t>Urban</t>
        </is>
      </c>
      <c r="E90" s="14" t="inlineStr">
        <is>
          <t>Deciles</t>
        </is>
      </c>
      <c r="F90" s="14" t="inlineStr">
        <is>
          <t>mean</t>
        </is>
      </c>
      <c r="G90" s="14" t="n">
        <v>1</v>
      </c>
      <c r="H90" s="14" t="n">
        <v>1.383052947185039</v>
      </c>
      <c r="I90" s="14" t="n">
        <v>0.00198506312246979</v>
      </c>
      <c r="J90" s="14" t="n">
        <v>3.845034585906955</v>
      </c>
      <c r="K90" s="14" t="n">
        <v>5.750518654026792</v>
      </c>
      <c r="L90" s="14" t="n">
        <v>0</v>
      </c>
      <c r="M90" s="14" t="n">
        <v>2.84214683039544</v>
      </c>
      <c r="N90" s="14" t="n">
        <v>0</v>
      </c>
      <c r="O90" s="14" t="n">
        <v>3.603210282706541</v>
      </c>
      <c r="P90" s="14" t="n">
        <v>0</v>
      </c>
      <c r="Q90" s="14" t="n">
        <v>3.55452048907051</v>
      </c>
      <c r="R90" s="14" t="n">
        <v>50.35524040340973</v>
      </c>
      <c r="S90" s="14" t="n">
        <v>0.0001046384311123321</v>
      </c>
      <c r="T90" s="14" t="n">
        <v>0.2623812555696599</v>
      </c>
      <c r="U90" s="14" t="n">
        <v>2.654016220778351</v>
      </c>
      <c r="V90" s="14" t="n">
        <v>7.710857547953789</v>
      </c>
      <c r="W90" s="14" t="n">
        <v>3.073367142350549e-05</v>
      </c>
      <c r="X90" s="14" t="n">
        <v>1.82850426640524</v>
      </c>
      <c r="Y90" s="14" t="n">
        <v>0.6757678311632994</v>
      </c>
      <c r="Z90" s="14" t="n">
        <v>0.09009046459154293</v>
      </c>
      <c r="AA90" s="14" t="n">
        <v>0.01676138081405265</v>
      </c>
      <c r="AB90" s="14" t="n">
        <v>2.694976518936253</v>
      </c>
      <c r="AC90" s="14" t="n">
        <v>5.204118105688032</v>
      </c>
      <c r="AD90" s="14" t="n">
        <v>8.038654381120887</v>
      </c>
      <c r="AE90" s="14" t="n">
        <v>0.4890782642341343</v>
      </c>
      <c r="AF90" s="14" t="n">
        <v>5.458546342681951</v>
      </c>
      <c r="AG90" s="14" t="n">
        <v>3313.695803663177</v>
      </c>
      <c r="AH90" s="14" t="n">
        <v>7358.897317741948</v>
      </c>
      <c r="AI90" s="14" t="n">
        <v>7657.922658946389</v>
      </c>
      <c r="AJ90" s="14" t="n">
        <v>9196.948083627138</v>
      </c>
      <c r="AK90" s="14" t="n">
        <v>8752.326130659749</v>
      </c>
      <c r="AL90" s="14" t="n">
        <v>9136.019297018594</v>
      </c>
      <c r="AM90" s="14" t="n">
        <v>9675.150159069224</v>
      </c>
      <c r="AN90" s="14" t="n">
        <v>10888.10811240437</v>
      </c>
      <c r="AO90" s="14" t="n">
        <v>11581.92390168966</v>
      </c>
      <c r="AP90" s="14" t="n">
        <v>12882.7524049499</v>
      </c>
      <c r="AQ90" s="14" t="n">
        <v>13176.32431045584</v>
      </c>
      <c r="AR90" s="14" t="n">
        <v>13843.86967059618</v>
      </c>
      <c r="AS90" s="14" t="n">
        <v>13449.87734676828</v>
      </c>
      <c r="AT90" s="14" t="n">
        <v>16453.21010303691</v>
      </c>
      <c r="AU90" s="14" t="n">
        <v>16982.07025378451</v>
      </c>
      <c r="AV90" s="14" t="n">
        <v>18425.39564101466</v>
      </c>
      <c r="AW90" s="14" t="n">
        <v>18324.95776329303</v>
      </c>
      <c r="AX90" s="14" t="n">
        <v>22060.92610795668</v>
      </c>
      <c r="AY90" s="14" t="n">
        <v>21679.34425130917</v>
      </c>
      <c r="AZ90" s="14" t="n">
        <v>65202.43467216693</v>
      </c>
      <c r="BA90" s="14" t="n">
        <v>5668.803021029756</v>
      </c>
      <c r="BB90" s="14" t="n">
        <v>4804647.213429366</v>
      </c>
      <c r="BC90" s="14" t="n">
        <v>107.1924559968397</v>
      </c>
      <c r="BD90" s="14" t="n">
        <v>114.1808266904347</v>
      </c>
      <c r="BE90" s="14" t="n">
        <v>104.6011198459675</v>
      </c>
      <c r="BF90" s="14" t="n">
        <v>51.4004400975419</v>
      </c>
      <c r="BG90" s="14" t="n">
        <v>84.35850367499751</v>
      </c>
      <c r="BH90" s="14" t="n">
        <v>109.8152374734765</v>
      </c>
      <c r="BI90" s="14" t="n">
        <v>110.6492794153414</v>
      </c>
      <c r="BJ90" s="14" t="n">
        <v>84.19190461242752</v>
      </c>
      <c r="BK90" s="14" t="n">
        <v>0.05909359768740741</v>
      </c>
      <c r="BL90" s="14" t="n">
        <v>0.9088469190308959</v>
      </c>
      <c r="BM90" s="14" t="n">
        <v>4.859316233118658</v>
      </c>
      <c r="BN90" s="14" t="n">
        <v>0</v>
      </c>
      <c r="BO90" s="14" t="n">
        <v>0</v>
      </c>
      <c r="BP90" s="14" t="n">
        <v>0</v>
      </c>
      <c r="BQ90" s="14" t="inlineStr">
        <is>
          <t>Urban|Deciles|mean|1</t>
        </is>
      </c>
    </row>
    <row r="91">
      <c r="A91" s="14" t="inlineStr">
        <is>
          <t>EGY.distn.bsh.dec.urb.mean.2</t>
        </is>
      </c>
      <c r="B91" s="14" t="inlineStr">
        <is>
          <t>EGY</t>
        </is>
      </c>
      <c r="C91" s="14" t="n">
        <v>2017</v>
      </c>
      <c r="D91" s="14" t="inlineStr">
        <is>
          <t>Urban</t>
        </is>
      </c>
      <c r="E91" s="14" t="inlineStr">
        <is>
          <t>Deciles</t>
        </is>
      </c>
      <c r="F91" s="14" t="inlineStr">
        <is>
          <t>mean</t>
        </is>
      </c>
      <c r="G91" s="14" t="n">
        <v>2</v>
      </c>
      <c r="H91" s="14" t="n">
        <v>1.515877846078082</v>
      </c>
      <c r="I91" s="14" t="n">
        <v>0.001702630865423196</v>
      </c>
      <c r="J91" s="14" t="n">
        <v>4.022349023000599</v>
      </c>
      <c r="K91" s="14" t="n">
        <v>5.280899918353848</v>
      </c>
      <c r="L91" s="14" t="n">
        <v>0</v>
      </c>
      <c r="M91" s="14" t="n">
        <v>2.997047642574571</v>
      </c>
      <c r="N91" s="14" t="n">
        <v>0</v>
      </c>
      <c r="O91" s="14" t="n">
        <v>4.822119627191985</v>
      </c>
      <c r="P91" s="14" t="n">
        <v>0</v>
      </c>
      <c r="Q91" s="14" t="n">
        <v>3.240724390989204</v>
      </c>
      <c r="R91" s="14" t="n">
        <v>54.4735101549751</v>
      </c>
      <c r="S91" s="14" t="n">
        <v>8.983379460971028e-05</v>
      </c>
      <c r="T91" s="14" t="n">
        <v>0.3823643471242095</v>
      </c>
      <c r="U91" s="14" t="n">
        <v>3.139873480067098</v>
      </c>
      <c r="V91" s="14" t="n">
        <v>6.740114001190888</v>
      </c>
      <c r="W91" s="14" t="n">
        <v>0</v>
      </c>
      <c r="X91" s="14" t="n">
        <v>1.33813253054851</v>
      </c>
      <c r="Y91" s="14" t="n">
        <v>0.6373320509647561</v>
      </c>
      <c r="Z91" s="14" t="n">
        <v>0.09633643702447033</v>
      </c>
      <c r="AA91" s="14" t="n">
        <v>0.009107808707193257</v>
      </c>
      <c r="AB91" s="14" t="n">
        <v>2.152897121315155</v>
      </c>
      <c r="AC91" s="14" t="n">
        <v>5.202356298028486</v>
      </c>
      <c r="AD91" s="14" t="n">
        <v>7.308905530754608</v>
      </c>
      <c r="AE91" s="14" t="n">
        <v>0.3408240468827411</v>
      </c>
      <c r="AF91" s="14" t="n">
        <v>5.389285444552778</v>
      </c>
      <c r="AG91" s="14" t="n">
        <v>3254.566733335268</v>
      </c>
      <c r="AH91" s="14" t="n">
        <v>6710.817583260529</v>
      </c>
      <c r="AI91" s="14" t="n">
        <v>7694.092770883317</v>
      </c>
      <c r="AJ91" s="14" t="n">
        <v>8842.311349554468</v>
      </c>
      <c r="AK91" s="14" t="n">
        <v>8159.460265775481</v>
      </c>
      <c r="AL91" s="14" t="n">
        <v>9058.818343117215</v>
      </c>
      <c r="AM91" s="14" t="n">
        <v>10467.47941979699</v>
      </c>
      <c r="AN91" s="14" t="n">
        <v>11116.029570852</v>
      </c>
      <c r="AO91" s="14" t="n">
        <v>11444.5436461609</v>
      </c>
      <c r="AP91" s="14" t="n">
        <v>12237.315359055</v>
      </c>
      <c r="AQ91" s="14" t="n">
        <v>11631.01129392953</v>
      </c>
      <c r="AR91" s="14" t="n">
        <v>12963.08920772246</v>
      </c>
      <c r="AS91" s="14" t="n">
        <v>14099.83937625686</v>
      </c>
      <c r="AT91" s="14" t="n">
        <v>16852.50207204265</v>
      </c>
      <c r="AU91" s="14" t="n">
        <v>14847.79572830786</v>
      </c>
      <c r="AV91" s="14" t="n">
        <v>18139.48564234883</v>
      </c>
      <c r="AW91" s="14" t="n">
        <v>17443.66480929444</v>
      </c>
      <c r="AX91" s="14" t="n">
        <v>22100.78480774158</v>
      </c>
      <c r="AY91" s="14" t="n">
        <v>24197.48948116092</v>
      </c>
      <c r="AZ91" s="14" t="n">
        <v>62156.53086523014</v>
      </c>
      <c r="BA91" s="14" t="n">
        <v>7985.570340507707</v>
      </c>
      <c r="BB91" s="14" t="n">
        <v>4632608.017596959</v>
      </c>
      <c r="BC91" s="14" t="n">
        <v>114.461494342157</v>
      </c>
      <c r="BD91" s="14" t="n">
        <v>106.7323172922095</v>
      </c>
      <c r="BE91" s="14" t="n">
        <v>108.0575621533047</v>
      </c>
      <c r="BF91" s="14" t="n">
        <v>61.83865246000045</v>
      </c>
      <c r="BG91" s="14" t="n">
        <v>83.41271928474191</v>
      </c>
      <c r="BH91" s="14" t="n">
        <v>104.2410506803513</v>
      </c>
      <c r="BI91" s="14" t="n">
        <v>109.213254406633</v>
      </c>
      <c r="BJ91" s="14" t="n">
        <v>92.29044636690251</v>
      </c>
      <c r="BK91" s="14" t="n">
        <v>0.009877427588655738</v>
      </c>
      <c r="BL91" s="14" t="n">
        <v>0.01755549804002373</v>
      </c>
      <c r="BM91" s="14" t="n">
        <v>4.468377566128484</v>
      </c>
      <c r="BN91" s="14" t="n">
        <v>0</v>
      </c>
      <c r="BO91" s="14" t="n">
        <v>0</v>
      </c>
      <c r="BP91" s="14" t="n">
        <v>0</v>
      </c>
      <c r="BQ91" s="14" t="inlineStr">
        <is>
          <t>Urban|Deciles|mean|2</t>
        </is>
      </c>
    </row>
    <row r="92">
      <c r="A92" s="14" t="inlineStr">
        <is>
          <t>EGY.distn.bsh.dec.urb.mean.3</t>
        </is>
      </c>
      <c r="B92" s="14" t="inlineStr">
        <is>
          <t>EGY</t>
        </is>
      </c>
      <c r="C92" s="14" t="n">
        <v>2017</v>
      </c>
      <c r="D92" s="14" t="inlineStr">
        <is>
          <t>Urban</t>
        </is>
      </c>
      <c r="E92" s="14" t="inlineStr">
        <is>
          <t>Deciles</t>
        </is>
      </c>
      <c r="F92" s="14" t="inlineStr">
        <is>
          <t>mean</t>
        </is>
      </c>
      <c r="G92" s="14" t="n">
        <v>3</v>
      </c>
      <c r="H92" s="14" t="n">
        <v>1.56586672654392</v>
      </c>
      <c r="I92" s="14" t="n">
        <v>0.001613150283124009</v>
      </c>
      <c r="J92" s="14" t="n">
        <v>4.218300382721042</v>
      </c>
      <c r="K92" s="14" t="n">
        <v>5.671737925144678</v>
      </c>
      <c r="L92" s="14" t="n">
        <v>0</v>
      </c>
      <c r="M92" s="14" t="n">
        <v>3.291023564927811</v>
      </c>
      <c r="N92" s="14" t="n">
        <v>0</v>
      </c>
      <c r="O92" s="14" t="n">
        <v>5.00748562869957</v>
      </c>
      <c r="P92" s="14" t="n">
        <v>0</v>
      </c>
      <c r="Q92" s="14" t="n">
        <v>3.441799663455984</v>
      </c>
      <c r="R92" s="14" t="n">
        <v>55.2492403515681</v>
      </c>
      <c r="S92" s="14" t="n">
        <v>9.052493552392196e-05</v>
      </c>
      <c r="T92" s="14" t="n">
        <v>0.4291628902517697</v>
      </c>
      <c r="U92" s="14" t="n">
        <v>3.506283011148338</v>
      </c>
      <c r="V92" s="14" t="n">
        <v>6.015188450404776</v>
      </c>
      <c r="W92" s="14" t="n">
        <v>2.129113062974737e-05</v>
      </c>
      <c r="X92" s="14" t="n">
        <v>1.147325470272983</v>
      </c>
      <c r="Y92" s="14" t="n">
        <v>0.6503008609963807</v>
      </c>
      <c r="Z92" s="14" t="n">
        <v>0.0816365145133352</v>
      </c>
      <c r="AA92" s="14" t="n">
        <v>0.005842326679264729</v>
      </c>
      <c r="AB92" s="14" t="n">
        <v>2.336400368790494</v>
      </c>
      <c r="AC92" s="14" t="n">
        <v>5.442718680899758</v>
      </c>
      <c r="AD92" s="14" t="n">
        <v>7.609087118745404</v>
      </c>
      <c r="AE92" s="14" t="n">
        <v>0.271624171735272</v>
      </c>
      <c r="AF92" s="14" t="n">
        <v>5.381469728693901</v>
      </c>
      <c r="AG92" s="14" t="n">
        <v>3290.671505822143</v>
      </c>
      <c r="AH92" s="14" t="n">
        <v>7321.180808436271</v>
      </c>
      <c r="AI92" s="14" t="n">
        <v>7695.598788029739</v>
      </c>
      <c r="AJ92" s="14" t="n">
        <v>9080.213706495213</v>
      </c>
      <c r="AK92" s="14" t="n">
        <v>8613.320271452836</v>
      </c>
      <c r="AL92" s="14" t="n">
        <v>9505.636991992013</v>
      </c>
      <c r="AM92" s="14" t="n">
        <v>9603.284319176644</v>
      </c>
      <c r="AN92" s="14" t="n">
        <v>11056.83418519157</v>
      </c>
      <c r="AO92" s="14" t="n">
        <v>11153.18372335596</v>
      </c>
      <c r="AP92" s="14" t="n">
        <v>11993.26317855703</v>
      </c>
      <c r="AQ92" s="14" t="n">
        <v>11962.79456588166</v>
      </c>
      <c r="AR92" s="14" t="n">
        <v>14250.27899812864</v>
      </c>
      <c r="AS92" s="14" t="n">
        <v>14509.11592808542</v>
      </c>
      <c r="AT92" s="14" t="n">
        <v>14857.98993074019</v>
      </c>
      <c r="AU92" s="14" t="n">
        <v>16928.3643573226</v>
      </c>
      <c r="AV92" s="14" t="n">
        <v>17129.06744852776</v>
      </c>
      <c r="AW92" s="14" t="n">
        <v>18721.65800843382</v>
      </c>
      <c r="AX92" s="14" t="n">
        <v>23023.69613100533</v>
      </c>
      <c r="AY92" s="14" t="n">
        <v>21645.7710538461</v>
      </c>
      <c r="AZ92" s="14" t="n">
        <v>67011.98763934865</v>
      </c>
      <c r="BA92" s="14" t="n">
        <v>9214.238978583247</v>
      </c>
      <c r="BB92" s="14" t="n">
        <v>4701104.627564205</v>
      </c>
      <c r="BC92" s="14" t="n">
        <v>108.1819553626586</v>
      </c>
      <c r="BD92" s="14" t="n">
        <v>107.5072283261069</v>
      </c>
      <c r="BE92" s="14" t="n">
        <v>101.987193435487</v>
      </c>
      <c r="BF92" s="14" t="n">
        <v>67.79481718905095</v>
      </c>
      <c r="BG92" s="14" t="n">
        <v>86.61293811844074</v>
      </c>
      <c r="BH92" s="14" t="n">
        <v>100.0827430474796</v>
      </c>
      <c r="BI92" s="14" t="n">
        <v>109.1064383638128</v>
      </c>
      <c r="BJ92" s="14" t="n">
        <v>101.8560086588796</v>
      </c>
      <c r="BK92" s="14" t="n">
        <v>0</v>
      </c>
      <c r="BL92" s="14" t="n">
        <v>0</v>
      </c>
      <c r="BM92" s="14" t="n">
        <v>2.429141541627515</v>
      </c>
      <c r="BN92" s="14" t="n">
        <v>0</v>
      </c>
      <c r="BO92" s="14" t="n">
        <v>0</v>
      </c>
      <c r="BP92" s="14" t="n">
        <v>0</v>
      </c>
      <c r="BQ92" s="14" t="inlineStr">
        <is>
          <t>Urban|Deciles|mean|3</t>
        </is>
      </c>
    </row>
    <row r="93">
      <c r="A93" s="14" t="inlineStr">
        <is>
          <t>EGY.distn.bsh.dec.urb.mean.4</t>
        </is>
      </c>
      <c r="B93" s="14" t="inlineStr">
        <is>
          <t>EGY</t>
        </is>
      </c>
      <c r="C93" s="14" t="n">
        <v>2017</v>
      </c>
      <c r="D93" s="14" t="inlineStr">
        <is>
          <t>Urban</t>
        </is>
      </c>
      <c r="E93" s="14" t="inlineStr">
        <is>
          <t>Deciles</t>
        </is>
      </c>
      <c r="F93" s="14" t="inlineStr">
        <is>
          <t>mean</t>
        </is>
      </c>
      <c r="G93" s="14" t="n">
        <v>4</v>
      </c>
      <c r="H93" s="14" t="n">
        <v>1.458161125281415</v>
      </c>
      <c r="I93" s="14" t="n">
        <v>0.001703864441258642</v>
      </c>
      <c r="J93" s="14" t="n">
        <v>3.758908643389254</v>
      </c>
      <c r="K93" s="14" t="n">
        <v>5.748462826283994</v>
      </c>
      <c r="L93" s="14" t="n">
        <v>0</v>
      </c>
      <c r="M93" s="14" t="n">
        <v>3.574365822132037</v>
      </c>
      <c r="N93" s="14" t="n">
        <v>0</v>
      </c>
      <c r="O93" s="14" t="n">
        <v>4.743637187405374</v>
      </c>
      <c r="P93" s="14" t="n">
        <v>0</v>
      </c>
      <c r="Q93" s="14" t="n">
        <v>3.262083431104834</v>
      </c>
      <c r="R93" s="14" t="n">
        <v>54.01561814185578</v>
      </c>
      <c r="S93" s="14" t="n">
        <v>9.396325453832665e-05</v>
      </c>
      <c r="T93" s="14" t="n">
        <v>0.5168642237174121</v>
      </c>
      <c r="U93" s="14" t="n">
        <v>3.701333686001008</v>
      </c>
      <c r="V93" s="14" t="n">
        <v>5.551453521707732</v>
      </c>
      <c r="W93" s="14" t="n">
        <v>0</v>
      </c>
      <c r="X93" s="14" t="n">
        <v>0.9727664818469559</v>
      </c>
      <c r="Y93" s="14" t="n">
        <v>0.6402445071895492</v>
      </c>
      <c r="Z93" s="14" t="n">
        <v>0.115563842611627</v>
      </c>
      <c r="AA93" s="14" t="n">
        <v>0.02613973510302911</v>
      </c>
      <c r="AB93" s="14" t="n">
        <v>2.247392634320609</v>
      </c>
      <c r="AC93" s="14" t="n">
        <v>5.790505874285382</v>
      </c>
      <c r="AD93" s="14" t="n">
        <v>7.527585224073333</v>
      </c>
      <c r="AE93" s="14" t="n">
        <v>0.3043230133472703</v>
      </c>
      <c r="AF93" s="14" t="n">
        <v>5.478218036348435</v>
      </c>
      <c r="AG93" s="14" t="n">
        <v>3027.350148649885</v>
      </c>
      <c r="AH93" s="14" t="n">
        <v>7162.293934863972</v>
      </c>
      <c r="AI93" s="14" t="n">
        <v>6997.911150183765</v>
      </c>
      <c r="AJ93" s="14" t="n">
        <v>8851.909303617327</v>
      </c>
      <c r="AK93" s="14" t="n">
        <v>8735.177744925031</v>
      </c>
      <c r="AL93" s="14" t="n">
        <v>9654.023219459003</v>
      </c>
      <c r="AM93" s="14" t="n">
        <v>9055.710218872246</v>
      </c>
      <c r="AN93" s="14" t="n">
        <v>10494.94226134032</v>
      </c>
      <c r="AO93" s="14" t="n">
        <v>11358.66546054046</v>
      </c>
      <c r="AP93" s="14" t="n">
        <v>11933.48654163756</v>
      </c>
      <c r="AQ93" s="14" t="n">
        <v>11937.95224440063</v>
      </c>
      <c r="AR93" s="14" t="n">
        <v>13621.07814380091</v>
      </c>
      <c r="AS93" s="14" t="n">
        <v>13148.15716206465</v>
      </c>
      <c r="AT93" s="14" t="n">
        <v>15450.82881099812</v>
      </c>
      <c r="AU93" s="14" t="n">
        <v>15721.46810332435</v>
      </c>
      <c r="AV93" s="14" t="n">
        <v>19403.55156139715</v>
      </c>
      <c r="AW93" s="14" t="n">
        <v>19117.26927558001</v>
      </c>
      <c r="AX93" s="14" t="n">
        <v>23430.17433897861</v>
      </c>
      <c r="AY93" s="14" t="n">
        <v>22001.6511645818</v>
      </c>
      <c r="AZ93" s="14" t="n">
        <v>69742.39850639575</v>
      </c>
      <c r="BA93" s="14" t="n">
        <v>9828.767330654764</v>
      </c>
      <c r="BB93" s="14" t="n">
        <v>4804021.089343342</v>
      </c>
      <c r="BC93" s="14" t="n">
        <v>104.4287271036101</v>
      </c>
      <c r="BD93" s="14" t="n">
        <v>106.9333916856095</v>
      </c>
      <c r="BE93" s="14" t="n">
        <v>110.9038538245065</v>
      </c>
      <c r="BF93" s="14" t="n">
        <v>76.39557250541573</v>
      </c>
      <c r="BG93" s="14" t="n">
        <v>96.7756295588237</v>
      </c>
      <c r="BH93" s="14" t="n">
        <v>105.6877070916475</v>
      </c>
      <c r="BI93" s="14" t="n">
        <v>103.6318640133528</v>
      </c>
      <c r="BJ93" s="14" t="n">
        <v>91.41842033730077</v>
      </c>
      <c r="BK93" s="14" t="n">
        <v>0</v>
      </c>
      <c r="BL93" s="14" t="n">
        <v>0</v>
      </c>
      <c r="BM93" s="14" t="n">
        <v>0.4830782077446072</v>
      </c>
      <c r="BN93" s="14" t="n">
        <v>0</v>
      </c>
      <c r="BO93" s="14" t="n">
        <v>0</v>
      </c>
      <c r="BP93" s="14" t="n">
        <v>0</v>
      </c>
      <c r="BQ93" s="14" t="inlineStr">
        <is>
          <t>Urban|Deciles|mean|4</t>
        </is>
      </c>
    </row>
    <row r="94">
      <c r="A94" s="14" t="inlineStr">
        <is>
          <t>EGY.distn.bsh.dec.urb.mean.5</t>
        </is>
      </c>
      <c r="B94" s="14" t="inlineStr">
        <is>
          <t>EGY</t>
        </is>
      </c>
      <c r="C94" s="14" t="n">
        <v>2017</v>
      </c>
      <c r="D94" s="14" t="inlineStr">
        <is>
          <t>Urban</t>
        </is>
      </c>
      <c r="E94" s="14" t="inlineStr">
        <is>
          <t>Deciles</t>
        </is>
      </c>
      <c r="F94" s="14" t="inlineStr">
        <is>
          <t>mean</t>
        </is>
      </c>
      <c r="G94" s="14" t="n">
        <v>5</v>
      </c>
      <c r="H94" s="14" t="n">
        <v>1.598644605820062</v>
      </c>
      <c r="I94" s="14" t="n">
        <v>0.001133855069828469</v>
      </c>
      <c r="J94" s="14" t="n">
        <v>3.648587107034158</v>
      </c>
      <c r="K94" s="14" t="n">
        <v>5.820476067832673</v>
      </c>
      <c r="L94" s="14" t="n">
        <v>0</v>
      </c>
      <c r="M94" s="14" t="n">
        <v>3.294410806087441</v>
      </c>
      <c r="N94" s="14" t="n">
        <v>0</v>
      </c>
      <c r="O94" s="14" t="n">
        <v>4.969745858542831</v>
      </c>
      <c r="P94" s="14" t="n">
        <v>1.100634911237018e-05</v>
      </c>
      <c r="Q94" s="14" t="n">
        <v>3.141773697992912</v>
      </c>
      <c r="R94" s="14" t="n">
        <v>50.29994877012282</v>
      </c>
      <c r="S94" s="14" t="n">
        <v>6.276557662923427e-05</v>
      </c>
      <c r="T94" s="14" t="n">
        <v>0.5247433923760948</v>
      </c>
      <c r="U94" s="14" t="n">
        <v>4.074536796984287</v>
      </c>
      <c r="V94" s="14" t="n">
        <v>5.618549164564227</v>
      </c>
      <c r="W94" s="14" t="n">
        <v>8.727111462940936e-05</v>
      </c>
      <c r="X94" s="14" t="n">
        <v>0.8314055113801688</v>
      </c>
      <c r="Y94" s="14" t="n">
        <v>0.7312745728098289</v>
      </c>
      <c r="Z94" s="14" t="n">
        <v>0.1365879055836253</v>
      </c>
      <c r="AA94" s="14" t="n">
        <v>0.02079807195260369</v>
      </c>
      <c r="AB94" s="14" t="n">
        <v>2.080448443864544</v>
      </c>
      <c r="AC94" s="14" t="n">
        <v>5.918083787305669</v>
      </c>
      <c r="AD94" s="14" t="n">
        <v>7.64050234098646</v>
      </c>
      <c r="AE94" s="14" t="n">
        <v>0.4948327246971275</v>
      </c>
      <c r="AF94" s="14" t="n">
        <v>5.64017579922546</v>
      </c>
      <c r="AG94" s="14" t="n">
        <v>3033.916604043953</v>
      </c>
      <c r="AH94" s="14" t="n">
        <v>7569.701302935649</v>
      </c>
      <c r="AI94" s="14" t="n">
        <v>7229.641353422101</v>
      </c>
      <c r="AJ94" s="14" t="n">
        <v>9194.29934053034</v>
      </c>
      <c r="AK94" s="14" t="n">
        <v>8721.58039684723</v>
      </c>
      <c r="AL94" s="14" t="n">
        <v>9036.209835734531</v>
      </c>
      <c r="AM94" s="14" t="n">
        <v>9434.66955357945</v>
      </c>
      <c r="AN94" s="14" t="n">
        <v>10792.80997972264</v>
      </c>
      <c r="AO94" s="14" t="n">
        <v>11738.92383530649</v>
      </c>
      <c r="AP94" s="14" t="n">
        <v>12469.09574596575</v>
      </c>
      <c r="AQ94" s="14" t="n">
        <v>13158.59067787389</v>
      </c>
      <c r="AR94" s="14" t="n">
        <v>12801.17126926564</v>
      </c>
      <c r="AS94" s="14" t="n">
        <v>12904.86804273616</v>
      </c>
      <c r="AT94" s="14" t="n">
        <v>16143.18721443376</v>
      </c>
      <c r="AU94" s="14" t="n">
        <v>15727.33046428363</v>
      </c>
      <c r="AV94" s="14" t="n">
        <v>19106.20357084191</v>
      </c>
      <c r="AW94" s="14" t="n">
        <v>17513.7915627271</v>
      </c>
      <c r="AX94" s="14" t="n">
        <v>23240.63054474007</v>
      </c>
      <c r="AY94" s="14" t="n">
        <v>22949.54862707212</v>
      </c>
      <c r="AZ94" s="14" t="n">
        <v>67996.40694045885</v>
      </c>
      <c r="BA94" s="14" t="n">
        <v>12510.72497537535</v>
      </c>
      <c r="BB94" s="14" t="n">
        <v>5105464.087593474</v>
      </c>
      <c r="BC94" s="14" t="n">
        <v>105.0313452370481</v>
      </c>
      <c r="BD94" s="14" t="n">
        <v>106.7562953136133</v>
      </c>
      <c r="BE94" s="14" t="n">
        <v>106.4759147889125</v>
      </c>
      <c r="BF94" s="14" t="n">
        <v>77.70631756538292</v>
      </c>
      <c r="BG94" s="14" t="n">
        <v>100.0403046731111</v>
      </c>
      <c r="BH94" s="14" t="n">
        <v>113.8500088772459</v>
      </c>
      <c r="BI94" s="14" t="n">
        <v>114.7530273370781</v>
      </c>
      <c r="BJ94" s="14" t="n">
        <v>97.98841451990307</v>
      </c>
      <c r="BK94" s="14" t="n">
        <v>0</v>
      </c>
      <c r="BL94" s="14" t="n">
        <v>0</v>
      </c>
      <c r="BM94" s="14" t="n">
        <v>0.1619579629008516</v>
      </c>
      <c r="BN94" s="14" t="n">
        <v>0</v>
      </c>
      <c r="BO94" s="14" t="n">
        <v>0</v>
      </c>
      <c r="BP94" s="14" t="n">
        <v>0</v>
      </c>
      <c r="BQ94" s="14" t="inlineStr">
        <is>
          <t>Urban|Deciles|mean|5</t>
        </is>
      </c>
    </row>
    <row r="95">
      <c r="A95" s="14" t="inlineStr">
        <is>
          <t>EGY.distn.bsh.dec.urb.mean.6</t>
        </is>
      </c>
      <c r="B95" s="14" t="inlineStr">
        <is>
          <t>EGY</t>
        </is>
      </c>
      <c r="C95" s="14" t="n">
        <v>2017</v>
      </c>
      <c r="D95" s="14" t="inlineStr">
        <is>
          <t>Urban</t>
        </is>
      </c>
      <c r="E95" s="14" t="inlineStr">
        <is>
          <t>Deciles</t>
        </is>
      </c>
      <c r="F95" s="14" t="inlineStr">
        <is>
          <t>mean</t>
        </is>
      </c>
      <c r="G95" s="14" t="n">
        <v>6</v>
      </c>
      <c r="H95" s="14" t="n">
        <v>1.709272567166752</v>
      </c>
      <c r="I95" s="14" t="n">
        <v>0.001472354041388291</v>
      </c>
      <c r="J95" s="14" t="n">
        <v>3.994264067985876</v>
      </c>
      <c r="K95" s="14" t="n">
        <v>5.442076171077142</v>
      </c>
      <c r="L95" s="14" t="n">
        <v>0</v>
      </c>
      <c r="M95" s="14" t="n">
        <v>3.375000477552399</v>
      </c>
      <c r="N95" s="14" t="n">
        <v>0</v>
      </c>
      <c r="O95" s="14" t="n">
        <v>4.880067129716482</v>
      </c>
      <c r="P95" s="14" t="n">
        <v>0</v>
      </c>
      <c r="Q95" s="14" t="n">
        <v>3.13223180160709</v>
      </c>
      <c r="R95" s="14" t="n">
        <v>50.21159818561552</v>
      </c>
      <c r="S95" s="14" t="n">
        <v>7.505465161221498e-05</v>
      </c>
      <c r="T95" s="14" t="n">
        <v>0.5997385367151822</v>
      </c>
      <c r="U95" s="14" t="n">
        <v>3.807516812543302</v>
      </c>
      <c r="V95" s="14" t="n">
        <v>5.15061226392907</v>
      </c>
      <c r="W95" s="14" t="n">
        <v>4.563428153805475e-05</v>
      </c>
      <c r="X95" s="14" t="n">
        <v>0.9281279208759083</v>
      </c>
      <c r="Y95" s="14" t="n">
        <v>0.7095679722634476</v>
      </c>
      <c r="Z95" s="14" t="n">
        <v>0.09841155925573945</v>
      </c>
      <c r="AA95" s="14" t="n">
        <v>0.01627627307484052</v>
      </c>
      <c r="AB95" s="14" t="n">
        <v>1.76475555312546</v>
      </c>
      <c r="AC95" s="14" t="n">
        <v>6.001211705217472</v>
      </c>
      <c r="AD95" s="14" t="n">
        <v>8.220950706336552</v>
      </c>
      <c r="AE95" s="14" t="n">
        <v>0.5233093344650475</v>
      </c>
      <c r="AF95" s="14" t="n">
        <v>5.535460233132653</v>
      </c>
      <c r="AG95" s="14" t="n">
        <v>3386.390831889391</v>
      </c>
      <c r="AH95" s="14" t="n">
        <v>7265.134891990797</v>
      </c>
      <c r="AI95" s="14" t="n">
        <v>7176.272680188197</v>
      </c>
      <c r="AJ95" s="14" t="n">
        <v>8166.28132525471</v>
      </c>
      <c r="AK95" s="14" t="n">
        <v>8894.774866862685</v>
      </c>
      <c r="AL95" s="14" t="n">
        <v>9491.434282975371</v>
      </c>
      <c r="AM95" s="14" t="n">
        <v>9810.549375351968</v>
      </c>
      <c r="AN95" s="14" t="n">
        <v>10428.53514374674</v>
      </c>
      <c r="AO95" s="14" t="n">
        <v>11114.46182785638</v>
      </c>
      <c r="AP95" s="14" t="n">
        <v>12690.96229534981</v>
      </c>
      <c r="AQ95" s="14" t="n">
        <v>11402.8196041092</v>
      </c>
      <c r="AR95" s="14" t="n">
        <v>13014.49487335014</v>
      </c>
      <c r="AS95" s="14" t="n">
        <v>13083.09717284242</v>
      </c>
      <c r="AT95" s="14" t="n">
        <v>15310.9449054211</v>
      </c>
      <c r="AU95" s="14" t="n">
        <v>16431.20433207107</v>
      </c>
      <c r="AV95" s="14" t="n">
        <v>19003.73296308153</v>
      </c>
      <c r="AW95" s="14" t="n">
        <v>18116.9528769108</v>
      </c>
      <c r="AX95" s="14" t="n">
        <v>23540.40364827245</v>
      </c>
      <c r="AY95" s="14" t="n">
        <v>23432.87951387772</v>
      </c>
      <c r="AZ95" s="14" t="n">
        <v>64503.04980946819</v>
      </c>
      <c r="BA95" s="14" t="n">
        <v>12380.26433479147</v>
      </c>
      <c r="BB95" s="14" t="n">
        <v>5004890.23761902</v>
      </c>
      <c r="BC95" s="14" t="n">
        <v>107.3324170626231</v>
      </c>
      <c r="BD95" s="14" t="n">
        <v>104.8327505485139</v>
      </c>
      <c r="BE95" s="14" t="n">
        <v>107.8237952810367</v>
      </c>
      <c r="BF95" s="14" t="n">
        <v>74.52778188366045</v>
      </c>
      <c r="BG95" s="14" t="n">
        <v>103.4818760913408</v>
      </c>
      <c r="BH95" s="14" t="n">
        <v>111.6615451815528</v>
      </c>
      <c r="BI95" s="14" t="n">
        <v>102.5494025319267</v>
      </c>
      <c r="BJ95" s="14" t="n">
        <v>92.83828010615788</v>
      </c>
      <c r="BK95" s="14" t="n">
        <v>0</v>
      </c>
      <c r="BL95" s="14" t="n">
        <v>0</v>
      </c>
      <c r="BM95" s="14" t="n">
        <v>0.02384724771533322</v>
      </c>
      <c r="BN95" s="14" t="n">
        <v>0</v>
      </c>
      <c r="BO95" s="14" t="n">
        <v>0</v>
      </c>
      <c r="BP95" s="14" t="n">
        <v>0</v>
      </c>
      <c r="BQ95" s="14" t="inlineStr">
        <is>
          <t>Urban|Deciles|mean|6</t>
        </is>
      </c>
    </row>
    <row r="96">
      <c r="A96" s="14" t="inlineStr">
        <is>
          <t>EGY.distn.bsh.dec.urb.mean.7</t>
        </is>
      </c>
      <c r="B96" s="14" t="inlineStr">
        <is>
          <t>EGY</t>
        </is>
      </c>
      <c r="C96" s="14" t="n">
        <v>2017</v>
      </c>
      <c r="D96" s="14" t="inlineStr">
        <is>
          <t>Urban</t>
        </is>
      </c>
      <c r="E96" s="14" t="inlineStr">
        <is>
          <t>Deciles</t>
        </is>
      </c>
      <c r="F96" s="14" t="inlineStr">
        <is>
          <t>mean</t>
        </is>
      </c>
      <c r="G96" s="14" t="n">
        <v>7</v>
      </c>
      <c r="H96" s="14" t="n">
        <v>1.481992081409042</v>
      </c>
      <c r="I96" s="14" t="n">
        <v>0.001332692227186327</v>
      </c>
      <c r="J96" s="14" t="n">
        <v>3.93111482428083</v>
      </c>
      <c r="K96" s="14" t="n">
        <v>5.411881117556884</v>
      </c>
      <c r="L96" s="14" t="n">
        <v>0</v>
      </c>
      <c r="M96" s="14" t="n">
        <v>3.475399306504047</v>
      </c>
      <c r="N96" s="14" t="n">
        <v>0</v>
      </c>
      <c r="O96" s="14" t="n">
        <v>4.278779008226213</v>
      </c>
      <c r="P96" s="14" t="n">
        <v>2.217918130738621e-05</v>
      </c>
      <c r="Q96" s="14" t="n">
        <v>3.480589636108443</v>
      </c>
      <c r="R96" s="14" t="n">
        <v>53.52036455958638</v>
      </c>
      <c r="S96" s="14" t="n">
        <v>7.243539692911328e-05</v>
      </c>
      <c r="T96" s="14" t="n">
        <v>0.7354387203369419</v>
      </c>
      <c r="U96" s="14" t="n">
        <v>4.374980593634746</v>
      </c>
      <c r="V96" s="14" t="n">
        <v>5.108869672486009</v>
      </c>
      <c r="W96" s="14" t="n">
        <v>0.0001126583580232338</v>
      </c>
      <c r="X96" s="14" t="n">
        <v>0.8766381073717103</v>
      </c>
      <c r="Y96" s="14" t="n">
        <v>0.8140610154255962</v>
      </c>
      <c r="Z96" s="14" t="n">
        <v>0.1583933005022574</v>
      </c>
      <c r="AA96" s="14" t="n">
        <v>0.02277187261159393</v>
      </c>
      <c r="AB96" s="14" t="n">
        <v>1.554813321674235</v>
      </c>
      <c r="AC96" s="14" t="n">
        <v>7.279001850476748</v>
      </c>
      <c r="AD96" s="14" t="n">
        <v>7.837146058666252</v>
      </c>
      <c r="AE96" s="14" t="n">
        <v>0.6504101203032709</v>
      </c>
      <c r="AF96" s="14" t="n">
        <v>4.985797308842737</v>
      </c>
      <c r="AG96" s="14" t="n">
        <v>3042.015647663534</v>
      </c>
      <c r="AH96" s="14" t="n">
        <v>6922.694235643471</v>
      </c>
      <c r="AI96" s="14" t="n">
        <v>7213.248927929055</v>
      </c>
      <c r="AJ96" s="14" t="n">
        <v>9099.475313901465</v>
      </c>
      <c r="AK96" s="14" t="n">
        <v>7976.700978804201</v>
      </c>
      <c r="AL96" s="14" t="n">
        <v>9759.70169036175</v>
      </c>
      <c r="AM96" s="14" t="n">
        <v>10329.72486279617</v>
      </c>
      <c r="AN96" s="14" t="n">
        <v>10179.31637622909</v>
      </c>
      <c r="AO96" s="14" t="n">
        <v>11310.42164997194</v>
      </c>
      <c r="AP96" s="14" t="n">
        <v>13001.63921266479</v>
      </c>
      <c r="AQ96" s="14" t="n">
        <v>12425.31929398011</v>
      </c>
      <c r="AR96" s="14" t="n">
        <v>14732.34834624766</v>
      </c>
      <c r="AS96" s="14" t="n">
        <v>14217.32469677937</v>
      </c>
      <c r="AT96" s="14" t="n">
        <v>15651.310524627</v>
      </c>
      <c r="AU96" s="14" t="n">
        <v>16005.32389714306</v>
      </c>
      <c r="AV96" s="14" t="n">
        <v>18089.26615908683</v>
      </c>
      <c r="AW96" s="14" t="n">
        <v>19750.11434324404</v>
      </c>
      <c r="AX96" s="14" t="n">
        <v>22038.59617463024</v>
      </c>
      <c r="AY96" s="14" t="n">
        <v>23029.71633350329</v>
      </c>
      <c r="AZ96" s="14" t="n">
        <v>67284.42421303153</v>
      </c>
      <c r="BA96" s="14" t="n">
        <v>13852.73420594676</v>
      </c>
      <c r="BB96" s="14" t="n">
        <v>5145810.187492644</v>
      </c>
      <c r="BC96" s="14" t="n">
        <v>105.979931620326</v>
      </c>
      <c r="BD96" s="14" t="n">
        <v>108.7696675286923</v>
      </c>
      <c r="BE96" s="14" t="n">
        <v>100.3242696196897</v>
      </c>
      <c r="BF96" s="14" t="n">
        <v>85.75923100112215</v>
      </c>
      <c r="BG96" s="14" t="n">
        <v>92.75799510626544</v>
      </c>
      <c r="BH96" s="14" t="n">
        <v>102.1025286275522</v>
      </c>
      <c r="BI96" s="14" t="n">
        <v>112.4740215728823</v>
      </c>
      <c r="BJ96" s="14" t="n">
        <v>97.02739693999654</v>
      </c>
      <c r="BK96" s="14" t="n">
        <v>0</v>
      </c>
      <c r="BL96" s="14" t="n">
        <v>0</v>
      </c>
      <c r="BM96" s="14" t="n">
        <v>0.0224544478743084</v>
      </c>
      <c r="BN96" s="14" t="n">
        <v>0</v>
      </c>
      <c r="BO96" s="14" t="n">
        <v>0</v>
      </c>
      <c r="BP96" s="14" t="n">
        <v>0</v>
      </c>
      <c r="BQ96" s="14" t="inlineStr">
        <is>
          <t>Urban|Deciles|mean|7</t>
        </is>
      </c>
    </row>
    <row r="97">
      <c r="A97" s="14" t="inlineStr">
        <is>
          <t>EGY.distn.bsh.dec.urb.mean.8</t>
        </is>
      </c>
      <c r="B97" s="14" t="inlineStr">
        <is>
          <t>EGY</t>
        </is>
      </c>
      <c r="C97" s="14" t="n">
        <v>2017</v>
      </c>
      <c r="D97" s="14" t="inlineStr">
        <is>
          <t>Urban</t>
        </is>
      </c>
      <c r="E97" s="14" t="inlineStr">
        <is>
          <t>Deciles</t>
        </is>
      </c>
      <c r="F97" s="14" t="inlineStr">
        <is>
          <t>mean</t>
        </is>
      </c>
      <c r="G97" s="14" t="n">
        <v>8</v>
      </c>
      <c r="H97" s="14" t="n">
        <v>1.503160467733614</v>
      </c>
      <c r="I97" s="14" t="n">
        <v>0.0007085083050138217</v>
      </c>
      <c r="J97" s="14" t="n">
        <v>3.525018716306479</v>
      </c>
      <c r="K97" s="14" t="n">
        <v>5.050404602215011</v>
      </c>
      <c r="L97" s="14" t="n">
        <v>0</v>
      </c>
      <c r="M97" s="14" t="n">
        <v>3.828739259506976</v>
      </c>
      <c r="N97" s="14" t="n">
        <v>0</v>
      </c>
      <c r="O97" s="14" t="n">
        <v>3.965608063769628</v>
      </c>
      <c r="P97" s="14" t="n">
        <v>2.261917484602144e-05</v>
      </c>
      <c r="Q97" s="14" t="n">
        <v>3.386240193152231</v>
      </c>
      <c r="R97" s="14" t="n">
        <v>52.05034194576759</v>
      </c>
      <c r="S97" s="14" t="n">
        <v>4.490893187323815e-05</v>
      </c>
      <c r="T97" s="14" t="n">
        <v>0.6422343000135791</v>
      </c>
      <c r="U97" s="14" t="n">
        <v>4.305581166203295</v>
      </c>
      <c r="V97" s="14" t="n">
        <v>5.247426886129874</v>
      </c>
      <c r="W97" s="14" t="n">
        <v>9.775831214528792e-05</v>
      </c>
      <c r="X97" s="14" t="n">
        <v>0.6667275542929421</v>
      </c>
      <c r="Y97" s="14" t="n">
        <v>0.7944280751426372</v>
      </c>
      <c r="Z97" s="14" t="n">
        <v>0.1420322627160427</v>
      </c>
      <c r="AA97" s="14" t="n">
        <v>0.02614950097290854</v>
      </c>
      <c r="AB97" s="14" t="n">
        <v>1.434096734545214</v>
      </c>
      <c r="AC97" s="14" t="n">
        <v>7.499669972101217</v>
      </c>
      <c r="AD97" s="14" t="n">
        <v>7.692299052774564</v>
      </c>
      <c r="AE97" s="14" t="n">
        <v>0.6697309952094086</v>
      </c>
      <c r="AF97" s="14" t="n">
        <v>5.469385147982186</v>
      </c>
      <c r="AG97" s="14" t="n">
        <v>3222.467189956851</v>
      </c>
      <c r="AH97" s="14" t="n">
        <v>7242.718231549507</v>
      </c>
      <c r="AI97" s="14" t="n">
        <v>7280.833040564522</v>
      </c>
      <c r="AJ97" s="14" t="n">
        <v>9056.139890007626</v>
      </c>
      <c r="AK97" s="14" t="n">
        <v>8890.152646168995</v>
      </c>
      <c r="AL97" s="14" t="n">
        <v>9398.841802749275</v>
      </c>
      <c r="AM97" s="14" t="n">
        <v>9641.435629861509</v>
      </c>
      <c r="AN97" s="14" t="n">
        <v>10196.18413142173</v>
      </c>
      <c r="AO97" s="14" t="n">
        <v>10679.44393859743</v>
      </c>
      <c r="AP97" s="14" t="n">
        <v>11608.5814802903</v>
      </c>
      <c r="AQ97" s="14" t="n">
        <v>11894.29586845895</v>
      </c>
      <c r="AR97" s="14" t="n">
        <v>14215.07536375662</v>
      </c>
      <c r="AS97" s="14" t="n">
        <v>14112.67191980572</v>
      </c>
      <c r="AT97" s="14" t="n">
        <v>16450.90110801621</v>
      </c>
      <c r="AU97" s="14" t="n">
        <v>15707.01717698243</v>
      </c>
      <c r="AV97" s="14" t="n">
        <v>18731.52417026781</v>
      </c>
      <c r="AW97" s="14" t="n">
        <v>18435.89428127548</v>
      </c>
      <c r="AX97" s="14" t="n">
        <v>23713.38715801461</v>
      </c>
      <c r="AY97" s="14" t="n">
        <v>23982.14829769983</v>
      </c>
      <c r="AZ97" s="14" t="n">
        <v>65787.42920811646</v>
      </c>
      <c r="BA97" s="14" t="n">
        <v>16438.20859044712</v>
      </c>
      <c r="BB97" s="14" t="n">
        <v>5047163.0168795</v>
      </c>
      <c r="BC97" s="14" t="n">
        <v>111.1314497409523</v>
      </c>
      <c r="BD97" s="14" t="n">
        <v>106.2385886178501</v>
      </c>
      <c r="BE97" s="14" t="n">
        <v>99.22810526352279</v>
      </c>
      <c r="BF97" s="14" t="n">
        <v>76.38940238423821</v>
      </c>
      <c r="BG97" s="14" t="n">
        <v>97.66435913858146</v>
      </c>
      <c r="BH97" s="14" t="n">
        <v>101.1260102961087</v>
      </c>
      <c r="BI97" s="14" t="n">
        <v>113.9024124545742</v>
      </c>
      <c r="BJ97" s="14" t="n">
        <v>99.38353243071336</v>
      </c>
      <c r="BK97" s="14" t="n">
        <v>0</v>
      </c>
      <c r="BL97" s="14" t="n">
        <v>0</v>
      </c>
      <c r="BM97" s="14" t="n">
        <v>0</v>
      </c>
      <c r="BN97" s="14" t="n">
        <v>0</v>
      </c>
      <c r="BO97" s="14" t="n">
        <v>0</v>
      </c>
      <c r="BP97" s="14" t="n">
        <v>0</v>
      </c>
      <c r="BQ97" s="14" t="inlineStr">
        <is>
          <t>Urban|Deciles|mean|8</t>
        </is>
      </c>
    </row>
    <row r="98">
      <c r="A98" s="14" t="inlineStr">
        <is>
          <t>EGY.distn.bsh.dec.urb.mean.9</t>
        </is>
      </c>
      <c r="B98" s="14" t="inlineStr">
        <is>
          <t>EGY</t>
        </is>
      </c>
      <c r="C98" s="14" t="n">
        <v>2017</v>
      </c>
      <c r="D98" s="14" t="inlineStr">
        <is>
          <t>Urban</t>
        </is>
      </c>
      <c r="E98" s="14" t="inlineStr">
        <is>
          <t>Deciles</t>
        </is>
      </c>
      <c r="F98" s="14" t="inlineStr">
        <is>
          <t>mean</t>
        </is>
      </c>
      <c r="G98" s="14" t="n">
        <v>9</v>
      </c>
      <c r="H98" s="14" t="n">
        <v>1.567550480074987</v>
      </c>
      <c r="I98" s="14" t="n">
        <v>0.0008084965531231655</v>
      </c>
      <c r="J98" s="14" t="n">
        <v>3.906134270781724</v>
      </c>
      <c r="K98" s="14" t="n">
        <v>4.708279296828449</v>
      </c>
      <c r="L98" s="14" t="n">
        <v>0</v>
      </c>
      <c r="M98" s="14" t="n">
        <v>3.40750415327369</v>
      </c>
      <c r="N98" s="14" t="n">
        <v>0</v>
      </c>
      <c r="O98" s="14" t="n">
        <v>3.048532358861435</v>
      </c>
      <c r="P98" s="14" t="n">
        <v>1.162899321145572e-05</v>
      </c>
      <c r="Q98" s="14" t="n">
        <v>3.377694391055175</v>
      </c>
      <c r="R98" s="14" t="n">
        <v>49.28731635160825</v>
      </c>
      <c r="S98" s="14" t="n">
        <v>4.245976063369729e-05</v>
      </c>
      <c r="T98" s="14" t="n">
        <v>0.866238332862026</v>
      </c>
      <c r="U98" s="14" t="n">
        <v>4.789492288929565</v>
      </c>
      <c r="V98" s="14" t="n">
        <v>5.84024972245598</v>
      </c>
      <c r="W98" s="14" t="n">
        <v>5.740115799837305e-05</v>
      </c>
      <c r="X98" s="14" t="n">
        <v>0.6914494068887019</v>
      </c>
      <c r="Y98" s="14" t="n">
        <v>0.8318338421506033</v>
      </c>
      <c r="Z98" s="14" t="n">
        <v>0.159041513450425</v>
      </c>
      <c r="AA98" s="14" t="n">
        <v>0.02642933456512314</v>
      </c>
      <c r="AB98" s="14" t="n">
        <v>1.093810788670702</v>
      </c>
      <c r="AC98" s="14" t="n">
        <v>9.01356898054609</v>
      </c>
      <c r="AD98" s="14" t="n">
        <v>8.661179351710313</v>
      </c>
      <c r="AE98" s="14" t="n">
        <v>0.6363016594026336</v>
      </c>
      <c r="AF98" s="14" t="n">
        <v>4.74428109213115</v>
      </c>
      <c r="AG98" s="14" t="n">
        <v>3317.7211237952</v>
      </c>
      <c r="AH98" s="14" t="n">
        <v>7271.614208387183</v>
      </c>
      <c r="AI98" s="14" t="n">
        <v>7714.320380909378</v>
      </c>
      <c r="AJ98" s="14" t="n">
        <v>9044.307783960439</v>
      </c>
      <c r="AK98" s="14" t="n">
        <v>8597.597210946491</v>
      </c>
      <c r="AL98" s="14" t="n">
        <v>10501.22234798743</v>
      </c>
      <c r="AM98" s="14" t="n">
        <v>10112.43497527552</v>
      </c>
      <c r="AN98" s="14" t="n">
        <v>10919.37360489862</v>
      </c>
      <c r="AO98" s="14" t="n">
        <v>11658.21006452631</v>
      </c>
      <c r="AP98" s="14" t="n">
        <v>12622.2834784832</v>
      </c>
      <c r="AQ98" s="14" t="n">
        <v>12230.52180372239</v>
      </c>
      <c r="AR98" s="14" t="n">
        <v>13281.42660275105</v>
      </c>
      <c r="AS98" s="14" t="n">
        <v>13009.84431086159</v>
      </c>
      <c r="AT98" s="14" t="n">
        <v>15786.01040494591</v>
      </c>
      <c r="AU98" s="14" t="n">
        <v>16931.83957197175</v>
      </c>
      <c r="AV98" s="14" t="n">
        <v>17589.04524914573</v>
      </c>
      <c r="AW98" s="14" t="n">
        <v>18487.5437037887</v>
      </c>
      <c r="AX98" s="14" t="n">
        <v>21789.52876307393</v>
      </c>
      <c r="AY98" s="14" t="n">
        <v>24846.11238253468</v>
      </c>
      <c r="AZ98" s="14" t="n">
        <v>69899.04501661132</v>
      </c>
      <c r="BA98" s="14" t="n">
        <v>20805.20255106409</v>
      </c>
      <c r="BB98" s="14" t="n">
        <v>4779926.42192897</v>
      </c>
      <c r="BC98" s="14" t="n">
        <v>111.4918275218444</v>
      </c>
      <c r="BD98" s="14" t="n">
        <v>100.8981174274933</v>
      </c>
      <c r="BE98" s="14" t="n">
        <v>109.9013845227706</v>
      </c>
      <c r="BF98" s="14" t="n">
        <v>74.01246674969414</v>
      </c>
      <c r="BG98" s="14" t="n">
        <v>99.11930871328791</v>
      </c>
      <c r="BH98" s="14" t="n">
        <v>106.0924817424865</v>
      </c>
      <c r="BI98" s="14" t="n">
        <v>106.3038394676674</v>
      </c>
      <c r="BJ98" s="14" t="n">
        <v>100.6182417236196</v>
      </c>
      <c r="BK98" s="14" t="n">
        <v>0</v>
      </c>
      <c r="BL98" s="14" t="n">
        <v>0</v>
      </c>
      <c r="BM98" s="14" t="n">
        <v>0</v>
      </c>
      <c r="BN98" s="14" t="n">
        <v>0</v>
      </c>
      <c r="BO98" s="14" t="n">
        <v>0</v>
      </c>
      <c r="BP98" s="14" t="n">
        <v>0</v>
      </c>
      <c r="BQ98" s="14" t="inlineStr">
        <is>
          <t>Urban|Deciles|mean|9</t>
        </is>
      </c>
    </row>
    <row r="99">
      <c r="A99" s="14" t="inlineStr">
        <is>
          <t>EGY.distn.bsh.dec.urb.mean.10</t>
        </is>
      </c>
      <c r="B99" s="14" t="inlineStr">
        <is>
          <t>EGY</t>
        </is>
      </c>
      <c r="C99" s="14" t="n">
        <v>2017</v>
      </c>
      <c r="D99" s="14" t="inlineStr">
        <is>
          <t>Urban</t>
        </is>
      </c>
      <c r="E99" s="14" t="inlineStr">
        <is>
          <t>Deciles</t>
        </is>
      </c>
      <c r="F99" s="14" t="inlineStr">
        <is>
          <t>mean</t>
        </is>
      </c>
      <c r="G99" s="14" t="n">
        <v>10</v>
      </c>
      <c r="H99" s="14" t="n">
        <v>1.773708438290006</v>
      </c>
      <c r="I99" s="14" t="n">
        <v>0.0001642907187466625</v>
      </c>
      <c r="J99" s="14" t="n">
        <v>3.563574745461004</v>
      </c>
      <c r="K99" s="14" t="n">
        <v>4.270688733340188</v>
      </c>
      <c r="L99" s="14" t="n">
        <v>0</v>
      </c>
      <c r="M99" s="14" t="n">
        <v>3.503611058632416</v>
      </c>
      <c r="N99" s="14" t="n">
        <v>0</v>
      </c>
      <c r="O99" s="14" t="n">
        <v>1.426531336263007</v>
      </c>
      <c r="P99" s="14" t="n">
        <v>0</v>
      </c>
      <c r="Q99" s="14" t="n">
        <v>3.706393245471088</v>
      </c>
      <c r="R99" s="14" t="n">
        <v>46.59404774620818</v>
      </c>
      <c r="S99" s="14" t="n">
        <v>1.08072820571862e-05</v>
      </c>
      <c r="T99" s="14" t="n">
        <v>0.9423415410350208</v>
      </c>
      <c r="U99" s="14" t="n">
        <v>6.075963343922592</v>
      </c>
      <c r="V99" s="14" t="n">
        <v>6.481479673821609</v>
      </c>
      <c r="W99" s="14" t="n">
        <v>0.0001216903617061071</v>
      </c>
      <c r="X99" s="14" t="n">
        <v>0.5111390636348002</v>
      </c>
      <c r="Y99" s="14" t="n">
        <v>0.8518410383375894</v>
      </c>
      <c r="Z99" s="14" t="n">
        <v>0.1737962560265005</v>
      </c>
      <c r="AA99" s="14" t="n">
        <v>0.03829517182096092</v>
      </c>
      <c r="AB99" s="14" t="n">
        <v>0.9171448418690276</v>
      </c>
      <c r="AC99" s="14" t="n">
        <v>10.04800099085479</v>
      </c>
      <c r="AD99" s="14" t="n">
        <v>8.033955881709785</v>
      </c>
      <c r="AE99" s="14" t="n">
        <v>0.9782168542191478</v>
      </c>
      <c r="AF99" s="14" t="n">
        <v>4.360606428890907</v>
      </c>
      <c r="AG99" s="14" t="n">
        <v>2993.218034209816</v>
      </c>
      <c r="AH99" s="14" t="n">
        <v>7429.083913444562</v>
      </c>
      <c r="AI99" s="14" t="n">
        <v>7530.798267243748</v>
      </c>
      <c r="AJ99" s="14" t="n">
        <v>8590.328180135879</v>
      </c>
      <c r="AK99" s="14" t="n">
        <v>8024.984419224598</v>
      </c>
      <c r="AL99" s="14" t="n">
        <v>10440.27269229412</v>
      </c>
      <c r="AM99" s="14" t="n">
        <v>9072.701668867112</v>
      </c>
      <c r="AN99" s="14" t="n">
        <v>10304.21760814657</v>
      </c>
      <c r="AO99" s="14" t="n">
        <v>11617.43103202495</v>
      </c>
      <c r="AP99" s="14" t="n">
        <v>11724.95184508181</v>
      </c>
      <c r="AQ99" s="14" t="n">
        <v>12127.50524683695</v>
      </c>
      <c r="AR99" s="14" t="n">
        <v>13562.9709377783</v>
      </c>
      <c r="AS99" s="14" t="n">
        <v>13828.17708466089</v>
      </c>
      <c r="AT99" s="14" t="n">
        <v>14993.08283614144</v>
      </c>
      <c r="AU99" s="14" t="n">
        <v>16201.65274990246</v>
      </c>
      <c r="AV99" s="14" t="n">
        <v>19009.98536953401</v>
      </c>
      <c r="AW99" s="14" t="n">
        <v>18311.84693183401</v>
      </c>
      <c r="AX99" s="14" t="n">
        <v>23102.28969436861</v>
      </c>
      <c r="AY99" s="14" t="n">
        <v>25002.95319159363</v>
      </c>
      <c r="AZ99" s="14" t="n">
        <v>65530.39098120078</v>
      </c>
      <c r="BA99" s="14" t="n">
        <v>30139.9389241929</v>
      </c>
      <c r="BB99" s="14" t="n">
        <v>5116305.297096345</v>
      </c>
      <c r="BC99" s="14" t="n">
        <v>109.6798943198043</v>
      </c>
      <c r="BD99" s="14" t="n">
        <v>100.7871918503328</v>
      </c>
      <c r="BE99" s="14" t="n">
        <v>111.0417636524631</v>
      </c>
      <c r="BF99" s="14" t="n">
        <v>68.39090361754464</v>
      </c>
      <c r="BG99" s="14" t="n">
        <v>100.9988061338739</v>
      </c>
      <c r="BH99" s="14" t="n">
        <v>108.652948682518</v>
      </c>
      <c r="BI99" s="14" t="n">
        <v>102.7527182626984</v>
      </c>
      <c r="BJ99" s="14" t="n">
        <v>99.82044204070733</v>
      </c>
      <c r="BK99" s="14" t="n">
        <v>0</v>
      </c>
      <c r="BL99" s="14" t="n">
        <v>0</v>
      </c>
      <c r="BM99" s="14" t="n">
        <v>0</v>
      </c>
      <c r="BN99" s="14" t="n">
        <v>0</v>
      </c>
      <c r="BO99" s="14" t="n">
        <v>0</v>
      </c>
      <c r="BP99" s="14" t="n">
        <v>0</v>
      </c>
      <c r="BQ99" s="14" t="inlineStr">
        <is>
          <t>Urban|Deciles|mean|10</t>
        </is>
      </c>
    </row>
    <row r="100">
      <c r="A100" s="14" t="inlineStr">
        <is>
          <t>EGY.distn.bsh.bkt.urb.mean.9999</t>
        </is>
      </c>
      <c r="B100" s="14" t="inlineStr">
        <is>
          <t>EGY</t>
        </is>
      </c>
      <c r="C100" s="14" t="n">
        <v>2017</v>
      </c>
      <c r="D100" s="14" t="inlineStr">
        <is>
          <t>Urban</t>
        </is>
      </c>
      <c r="E100" s="14" t="inlineStr">
        <is>
          <t>Basket</t>
        </is>
      </c>
      <c r="F100" s="14" t="inlineStr">
        <is>
          <t>mean</t>
        </is>
      </c>
      <c r="G100" s="14" t="n">
        <v>9999</v>
      </c>
      <c r="H100" s="14" t="n">
        <v>1.634503259298848</v>
      </c>
      <c r="I100" s="14" t="n">
        <v>0.001309557258742634</v>
      </c>
      <c r="J100" s="14" t="n">
        <v>3.534302834142554</v>
      </c>
      <c r="K100" s="14" t="n">
        <v>5.163846153544612</v>
      </c>
      <c r="L100" s="14" t="n">
        <v>0</v>
      </c>
      <c r="M100" s="14" t="n">
        <v>3.321766467551434</v>
      </c>
      <c r="N100" s="14" t="n">
        <v>0</v>
      </c>
      <c r="O100" s="14" t="n">
        <v>4.059477968115822</v>
      </c>
      <c r="P100" s="14" t="n">
        <v>1.039885072440221e-05</v>
      </c>
      <c r="Q100" s="14" t="n">
        <v>3.629762473448341</v>
      </c>
      <c r="R100" s="14" t="n">
        <v>52.1506162704955</v>
      </c>
      <c r="S100" s="14" t="n">
        <v>6.08880612086865e-05</v>
      </c>
      <c r="T100" s="14" t="n">
        <v>0.5947036647912585</v>
      </c>
      <c r="U100" s="14" t="n">
        <v>3.735858994945129</v>
      </c>
      <c r="V100" s="14" t="n">
        <v>6.281629617919792</v>
      </c>
      <c r="W100" s="14" t="n">
        <v>5.320316503242209e-05</v>
      </c>
      <c r="X100" s="14" t="n">
        <v>0.9318141942051523</v>
      </c>
      <c r="Y100" s="14" t="n">
        <v>0.7473761018485006</v>
      </c>
      <c r="Z100" s="14" t="n">
        <v>0.1202021038091617</v>
      </c>
      <c r="AA100" s="14" t="n">
        <v>0.02161061873630103</v>
      </c>
      <c r="AB100" s="14" t="n">
        <v>1.896170103709501</v>
      </c>
      <c r="AC100" s="14" t="n">
        <v>6.650752838423737</v>
      </c>
      <c r="AD100" s="14" t="n">
        <v>7.651078655643733</v>
      </c>
      <c r="AE100" s="14" t="n">
        <v>0.548826987524328</v>
      </c>
      <c r="AF100" s="14" t="n">
        <v>5.371017371246131</v>
      </c>
      <c r="AG100" s="14" t="n">
        <v>3338.671670505068</v>
      </c>
      <c r="AH100" s="14" t="n">
        <v>6988.611295095993</v>
      </c>
      <c r="AI100" s="14" t="n">
        <v>7580.965440906689</v>
      </c>
      <c r="AJ100" s="14" t="n">
        <v>8264.456940373375</v>
      </c>
      <c r="AK100" s="14" t="n">
        <v>8169.538499855962</v>
      </c>
      <c r="AL100" s="14" t="n">
        <v>9738.258984418975</v>
      </c>
      <c r="AM100" s="14" t="n">
        <v>10048.06426311644</v>
      </c>
      <c r="AN100" s="14" t="n">
        <v>11174.90990254367</v>
      </c>
      <c r="AO100" s="14" t="n">
        <v>11508.33123798325</v>
      </c>
      <c r="AP100" s="14" t="n">
        <v>12631.43810718933</v>
      </c>
      <c r="AQ100" s="14" t="n">
        <v>11840.19450313764</v>
      </c>
      <c r="AR100" s="14" t="n">
        <v>14127.22145222736</v>
      </c>
      <c r="AS100" s="14" t="n">
        <v>14830.58588449178</v>
      </c>
      <c r="AT100" s="14" t="n">
        <v>16446.08945711061</v>
      </c>
      <c r="AU100" s="14" t="n">
        <v>16224.66867919417</v>
      </c>
      <c r="AV100" s="14" t="n">
        <v>17254.72386104412</v>
      </c>
      <c r="AW100" s="14" t="n">
        <v>19248.98548838517</v>
      </c>
      <c r="AX100" s="14" t="n">
        <v>24213.47729529061</v>
      </c>
      <c r="AY100" s="14" t="n">
        <v>23286.86465362539</v>
      </c>
      <c r="AZ100" s="14" t="n">
        <v>69355.08578384276</v>
      </c>
      <c r="BA100" s="14" t="n">
        <v>13687.95828829528</v>
      </c>
      <c r="BB100" s="14" t="n">
        <v>44984958.9217108</v>
      </c>
      <c r="BC100" s="14" t="n">
        <v>104.5272706852137</v>
      </c>
      <c r="BD100" s="14" t="n">
        <v>116.2211506075691</v>
      </c>
      <c r="BE100" s="14" t="n">
        <v>104.6387518525552</v>
      </c>
      <c r="BF100" s="14" t="n">
        <v>72.8452040965103</v>
      </c>
      <c r="BG100" s="14" t="n">
        <v>102.9314113248902</v>
      </c>
      <c r="BH100" s="14" t="n">
        <v>104.2462964089464</v>
      </c>
      <c r="BI100" s="14" t="n">
        <v>109.7345036665041</v>
      </c>
      <c r="BJ100" s="14" t="n">
        <v>97.99610780428696</v>
      </c>
      <c r="BK100" s="14" t="n">
        <v>0.06578166506390709</v>
      </c>
      <c r="BL100" s="14" t="n">
        <v>0.955061202467405</v>
      </c>
      <c r="BM100" s="14" t="n">
        <v>12.53038049014092</v>
      </c>
      <c r="BN100" s="14" t="n">
        <v>0</v>
      </c>
      <c r="BO100" s="14" t="n">
        <v>0</v>
      </c>
      <c r="BP100" s="14" t="n">
        <v>0</v>
      </c>
      <c r="BQ100" s="14" t="inlineStr">
        <is>
          <t>Urban|Basket|mean|9999</t>
        </is>
      </c>
    </row>
    <row r="101">
      <c r="A101" s="14" t="inlineStr">
        <is>
          <t>EGY.distn.bsh.dec.urb.median.1</t>
        </is>
      </c>
      <c r="B101" s="14" t="inlineStr">
        <is>
          <t>EGY</t>
        </is>
      </c>
      <c r="C101" s="14" t="n">
        <v>2017</v>
      </c>
      <c r="D101" s="14" t="inlineStr">
        <is>
          <t>Urban</t>
        </is>
      </c>
      <c r="E101" s="14" t="inlineStr">
        <is>
          <t>Deciles</t>
        </is>
      </c>
      <c r="F101" s="14" t="inlineStr">
        <is>
          <t>median</t>
        </is>
      </c>
      <c r="G101" s="14" t="n">
        <v>1</v>
      </c>
      <c r="H101" s="14" t="n">
        <v>0.922865130710476</v>
      </c>
      <c r="I101" s="14" t="n">
        <v>0</v>
      </c>
      <c r="J101" s="14" t="n">
        <v>3.702132862946125</v>
      </c>
      <c r="K101" s="14" t="n">
        <v>4.984845827135221</v>
      </c>
      <c r="L101" s="14" t="n">
        <v>0</v>
      </c>
      <c r="M101" s="14" t="n">
        <v>2.261981291158704</v>
      </c>
      <c r="N101" s="14" t="n">
        <v>0</v>
      </c>
      <c r="O101" s="14" t="n">
        <v>2.143272561808112</v>
      </c>
      <c r="P101" s="14" t="n">
        <v>0</v>
      </c>
      <c r="Q101" s="14" t="n">
        <v>3.113764779235049</v>
      </c>
      <c r="R101" s="14" t="n">
        <v>54.93223502476147</v>
      </c>
      <c r="S101" s="14" t="n">
        <v>0</v>
      </c>
      <c r="T101" s="14" t="n">
        <v>0</v>
      </c>
      <c r="U101" s="14" t="n">
        <v>1.159903370557235</v>
      </c>
      <c r="V101" s="14" t="n">
        <v>4.353745909605586</v>
      </c>
      <c r="W101" s="14" t="n">
        <v>0</v>
      </c>
      <c r="X101" s="14" t="n">
        <v>1.800052251903469</v>
      </c>
      <c r="Y101" s="14" t="n">
        <v>0</v>
      </c>
      <c r="Z101" s="14" t="n">
        <v>0</v>
      </c>
      <c r="AA101" s="14" t="n">
        <v>0</v>
      </c>
      <c r="AB101" s="14" t="n">
        <v>1.957029364415559</v>
      </c>
      <c r="AC101" s="14" t="n">
        <v>3.392769324336808</v>
      </c>
      <c r="AD101" s="14" t="n">
        <v>7.699885379275634</v>
      </c>
      <c r="AE101" s="14" t="n">
        <v>0</v>
      </c>
      <c r="AF101" s="14" t="n">
        <v>3.890429750321412</v>
      </c>
      <c r="AG101" s="14" t="n">
        <v>3235.143964744559</v>
      </c>
      <c r="AH101" s="14" t="n">
        <v>6923.065176196088</v>
      </c>
      <c r="AI101" s="14" t="n">
        <v>6895.643294772238</v>
      </c>
      <c r="AJ101" s="14" t="n">
        <v>8240.627544181809</v>
      </c>
      <c r="AK101" s="14" t="n">
        <v>8237.721229308687</v>
      </c>
      <c r="AL101" s="14" t="n">
        <v>10121.87676379927</v>
      </c>
      <c r="AM101" s="14" t="n">
        <v>10351.14621606422</v>
      </c>
      <c r="AN101" s="14" t="n">
        <v>11534.78924562001</v>
      </c>
      <c r="AO101" s="14" t="n">
        <v>10715.62188518305</v>
      </c>
      <c r="AP101" s="14" t="n">
        <v>11403.54122748189</v>
      </c>
      <c r="AQ101" s="14" t="n">
        <v>11355.84844117179</v>
      </c>
      <c r="AR101" s="14" t="n">
        <v>13650.31458246406</v>
      </c>
      <c r="AS101" s="14" t="n">
        <v>13896.98554643325</v>
      </c>
      <c r="AT101" s="14" t="n">
        <v>16516.04733199357</v>
      </c>
      <c r="AU101" s="14" t="n">
        <v>16392.38216867287</v>
      </c>
      <c r="AV101" s="14" t="n">
        <v>17213.2930442188</v>
      </c>
      <c r="AW101" s="14" t="n">
        <v>19377.71311418239</v>
      </c>
      <c r="AX101" s="14" t="n">
        <v>24322.65612103652</v>
      </c>
      <c r="AY101" s="14" t="n">
        <v>24966.43408174312</v>
      </c>
      <c r="AZ101" s="14" t="n">
        <v>63776.9616344903</v>
      </c>
      <c r="BA101" s="14" t="n">
        <v>5573.972751050332</v>
      </c>
      <c r="BB101" s="14" t="n">
        <v>4850806.463056025</v>
      </c>
      <c r="BC101" s="14" t="n">
        <v>0</v>
      </c>
      <c r="BD101" s="14" t="n">
        <v>0</v>
      </c>
      <c r="BE101" s="14" t="n">
        <v>0</v>
      </c>
      <c r="BF101" s="14" t="n">
        <v>0</v>
      </c>
      <c r="BG101" s="14" t="n">
        <v>0</v>
      </c>
      <c r="BH101" s="14" t="n">
        <v>0</v>
      </c>
      <c r="BI101" s="14" t="n">
        <v>0</v>
      </c>
      <c r="BJ101" s="14" t="n">
        <v>0</v>
      </c>
      <c r="BK101" s="14" t="n">
        <v>0.05460707040405243</v>
      </c>
      <c r="BL101" s="14" t="n">
        <v>0.8596625372363238</v>
      </c>
      <c r="BM101" s="14" t="n">
        <v>5.017091452628144</v>
      </c>
      <c r="BN101" s="14" t="n">
        <v>0</v>
      </c>
      <c r="BO101" s="14" t="n">
        <v>0</v>
      </c>
      <c r="BP101" s="14" t="n">
        <v>0</v>
      </c>
      <c r="BQ101" s="14" t="inlineStr">
        <is>
          <t>Urban|Deciles|median|1</t>
        </is>
      </c>
    </row>
    <row r="102">
      <c r="A102" s="14" t="inlineStr">
        <is>
          <t>EGY.distn.bsh.dec.urb.median.2</t>
        </is>
      </c>
      <c r="B102" s="14" t="inlineStr">
        <is>
          <t>EGY</t>
        </is>
      </c>
      <c r="C102" s="14" t="n">
        <v>2017</v>
      </c>
      <c r="D102" s="14" t="inlineStr">
        <is>
          <t>Urban</t>
        </is>
      </c>
      <c r="E102" s="14" t="inlineStr">
        <is>
          <t>Deciles</t>
        </is>
      </c>
      <c r="F102" s="14" t="inlineStr">
        <is>
          <t>median</t>
        </is>
      </c>
      <c r="G102" s="14" t="n">
        <v>2</v>
      </c>
      <c r="H102" s="14" t="n">
        <v>1.034276338240219</v>
      </c>
      <c r="I102" s="14" t="n">
        <v>0</v>
      </c>
      <c r="J102" s="14" t="n">
        <v>3.729402859902375</v>
      </c>
      <c r="K102" s="14" t="n">
        <v>4.799540850652127</v>
      </c>
      <c r="L102" s="14" t="n">
        <v>0</v>
      </c>
      <c r="M102" s="14" t="n">
        <v>2.481678092332813</v>
      </c>
      <c r="N102" s="14" t="n">
        <v>0</v>
      </c>
      <c r="O102" s="14" t="n">
        <v>2.721616325427668</v>
      </c>
      <c r="P102" s="14" t="n">
        <v>0</v>
      </c>
      <c r="Q102" s="14" t="n">
        <v>3.096375687736354</v>
      </c>
      <c r="R102" s="14" t="n">
        <v>54.9983466391969</v>
      </c>
      <c r="S102" s="14" t="n">
        <v>0</v>
      </c>
      <c r="T102" s="14" t="n">
        <v>0</v>
      </c>
      <c r="U102" s="14" t="n">
        <v>1.682229680251229</v>
      </c>
      <c r="V102" s="14" t="n">
        <v>3.764610523520422</v>
      </c>
      <c r="W102" s="14" t="n">
        <v>0</v>
      </c>
      <c r="X102" s="14" t="n">
        <v>1.134874033458558</v>
      </c>
      <c r="Y102" s="14" t="n">
        <v>0</v>
      </c>
      <c r="Z102" s="14" t="n">
        <v>0</v>
      </c>
      <c r="AA102" s="14" t="n">
        <v>0</v>
      </c>
      <c r="AB102" s="14" t="n">
        <v>2.002574702958696</v>
      </c>
      <c r="AC102" s="14" t="n">
        <v>3.271701836803081</v>
      </c>
      <c r="AD102" s="14" t="n">
        <v>6.72298636538498</v>
      </c>
      <c r="AE102" s="14" t="n">
        <v>0</v>
      </c>
      <c r="AF102" s="14" t="n">
        <v>4.833149855746673</v>
      </c>
      <c r="AG102" s="14" t="n">
        <v>3001.487277364016</v>
      </c>
      <c r="AH102" s="14" t="n">
        <v>6786.152303693105</v>
      </c>
      <c r="AI102" s="14" t="n">
        <v>7672.167864216021</v>
      </c>
      <c r="AJ102" s="14" t="n">
        <v>9065.470046387121</v>
      </c>
      <c r="AK102" s="14" t="n">
        <v>8947.881112125775</v>
      </c>
      <c r="AL102" s="14" t="n">
        <v>9897.469720953672</v>
      </c>
      <c r="AM102" s="14" t="n">
        <v>9469.263049170288</v>
      </c>
      <c r="AN102" s="14" t="n">
        <v>10436.82228073384</v>
      </c>
      <c r="AO102" s="14" t="n">
        <v>10206.23356824627</v>
      </c>
      <c r="AP102" s="14" t="n">
        <v>11957.33953663961</v>
      </c>
      <c r="AQ102" s="14" t="n">
        <v>11901.59074202393</v>
      </c>
      <c r="AR102" s="14" t="n">
        <v>13251.77312277223</v>
      </c>
      <c r="AS102" s="14" t="n">
        <v>14587.8987513635</v>
      </c>
      <c r="AT102" s="14" t="n">
        <v>15497.77698562379</v>
      </c>
      <c r="AU102" s="14" t="n">
        <v>16958.4293520301</v>
      </c>
      <c r="AV102" s="14" t="n">
        <v>19084.48172163778</v>
      </c>
      <c r="AW102" s="14" t="n">
        <v>19196.1650121052</v>
      </c>
      <c r="AX102" s="14" t="n">
        <v>23907.98005870256</v>
      </c>
      <c r="AY102" s="14" t="n">
        <v>23733.33939097732</v>
      </c>
      <c r="AZ102" s="14" t="n">
        <v>63491.09841485671</v>
      </c>
      <c r="BA102" s="14" t="n">
        <v>8494.094254096088</v>
      </c>
      <c r="BB102" s="14" t="n">
        <v>4685186.35082296</v>
      </c>
      <c r="BC102" s="14" t="n">
        <v>0</v>
      </c>
      <c r="BD102" s="14" t="n">
        <v>0</v>
      </c>
      <c r="BE102" s="14" t="n">
        <v>0</v>
      </c>
      <c r="BF102" s="14" t="n">
        <v>0</v>
      </c>
      <c r="BG102" s="14" t="n">
        <v>0</v>
      </c>
      <c r="BH102" s="14" t="n">
        <v>0</v>
      </c>
      <c r="BI102" s="14" t="n">
        <v>0</v>
      </c>
      <c r="BJ102" s="14" t="n">
        <v>0</v>
      </c>
      <c r="BK102" s="14" t="n">
        <v>0.008890734325835108</v>
      </c>
      <c r="BL102" s="14" t="n">
        <v>0.01669833715438543</v>
      </c>
      <c r="BM102" s="14" t="n">
        <v>5.148531608483481</v>
      </c>
      <c r="BN102" s="14" t="n">
        <v>0</v>
      </c>
      <c r="BO102" s="14" t="n">
        <v>0</v>
      </c>
      <c r="BP102" s="14" t="n">
        <v>0</v>
      </c>
      <c r="BQ102" s="14" t="inlineStr">
        <is>
          <t>Urban|Deciles|median|2</t>
        </is>
      </c>
    </row>
    <row r="103">
      <c r="A103" s="14" t="inlineStr">
        <is>
          <t>EGY.distn.bsh.dec.urb.median.3</t>
        </is>
      </c>
      <c r="B103" s="14" t="inlineStr">
        <is>
          <t>EGY</t>
        </is>
      </c>
      <c r="C103" s="14" t="n">
        <v>2017</v>
      </c>
      <c r="D103" s="14" t="inlineStr">
        <is>
          <t>Urban</t>
        </is>
      </c>
      <c r="E103" s="14" t="inlineStr">
        <is>
          <t>Deciles</t>
        </is>
      </c>
      <c r="F103" s="14" t="inlineStr">
        <is>
          <t>median</t>
        </is>
      </c>
      <c r="G103" s="14" t="n">
        <v>3</v>
      </c>
      <c r="H103" s="14" t="n">
        <v>1.182530509206696</v>
      </c>
      <c r="I103" s="14" t="n">
        <v>0</v>
      </c>
      <c r="J103" s="14" t="n">
        <v>3.647028087305353</v>
      </c>
      <c r="K103" s="14" t="n">
        <v>5.628634344415433</v>
      </c>
      <c r="L103" s="14" t="n">
        <v>0</v>
      </c>
      <c r="M103" s="14" t="n">
        <v>2.525181053833554</v>
      </c>
      <c r="N103" s="14" t="n">
        <v>0</v>
      </c>
      <c r="O103" s="14" t="n">
        <v>2.526434995811185</v>
      </c>
      <c r="P103" s="14" t="n">
        <v>0</v>
      </c>
      <c r="Q103" s="14" t="n">
        <v>2.957069507853916</v>
      </c>
      <c r="R103" s="14" t="n">
        <v>51.76602048913644</v>
      </c>
      <c r="S103" s="14" t="n">
        <v>0</v>
      </c>
      <c r="T103" s="14" t="n">
        <v>0</v>
      </c>
      <c r="U103" s="14" t="n">
        <v>1.825089457318322</v>
      </c>
      <c r="V103" s="14" t="n">
        <v>3.376919174154662</v>
      </c>
      <c r="W103" s="14" t="n">
        <v>0</v>
      </c>
      <c r="X103" s="14" t="n">
        <v>0.9163696042792235</v>
      </c>
      <c r="Y103" s="14" t="n">
        <v>0.4360458617715103</v>
      </c>
      <c r="Z103" s="14" t="n">
        <v>0</v>
      </c>
      <c r="AA103" s="14" t="n">
        <v>0</v>
      </c>
      <c r="AB103" s="14" t="n">
        <v>1.792454016215002</v>
      </c>
      <c r="AC103" s="14" t="n">
        <v>3.149061733346166</v>
      </c>
      <c r="AD103" s="14" t="n">
        <v>6.457957260927057</v>
      </c>
      <c r="AE103" s="14" t="n">
        <v>0</v>
      </c>
      <c r="AF103" s="14" t="n">
        <v>4.110065149316534</v>
      </c>
      <c r="AG103" s="14" t="n">
        <v>3079.022978940652</v>
      </c>
      <c r="AH103" s="14" t="n">
        <v>7272.656125644841</v>
      </c>
      <c r="AI103" s="14" t="n">
        <v>7055.411679944177</v>
      </c>
      <c r="AJ103" s="14" t="n">
        <v>8697.547724075839</v>
      </c>
      <c r="AK103" s="14" t="n">
        <v>8321.244780681707</v>
      </c>
      <c r="AL103" s="14" t="n">
        <v>10058.48722759463</v>
      </c>
      <c r="AM103" s="14" t="n">
        <v>9695.452391427978</v>
      </c>
      <c r="AN103" s="14" t="n">
        <v>11286.96835842205</v>
      </c>
      <c r="AO103" s="14" t="n">
        <v>11290.93797040636</v>
      </c>
      <c r="AP103" s="14" t="n">
        <v>12308.58014343929</v>
      </c>
      <c r="AQ103" s="14" t="n">
        <v>13026.33720294228</v>
      </c>
      <c r="AR103" s="14" t="n">
        <v>13159.14655090679</v>
      </c>
      <c r="AS103" s="14" t="n">
        <v>12882.33594593808</v>
      </c>
      <c r="AT103" s="14" t="n">
        <v>16426.58912272674</v>
      </c>
      <c r="AU103" s="14" t="n">
        <v>16653.32473334008</v>
      </c>
      <c r="AV103" s="14" t="n">
        <v>19171.63860537939</v>
      </c>
      <c r="AW103" s="14" t="n">
        <v>18249.83991056159</v>
      </c>
      <c r="AX103" s="14" t="n">
        <v>23640.65898979845</v>
      </c>
      <c r="AY103" s="14" t="n">
        <v>24551.64636370015</v>
      </c>
      <c r="AZ103" s="14" t="n">
        <v>68865.27462020879</v>
      </c>
      <c r="BA103" s="14" t="n">
        <v>8570.317701481134</v>
      </c>
      <c r="BB103" s="14" t="n">
        <v>5006451.616881688</v>
      </c>
      <c r="BC103" s="14" t="n">
        <v>0</v>
      </c>
      <c r="BD103" s="14" t="n">
        <v>0</v>
      </c>
      <c r="BE103" s="14" t="n">
        <v>0</v>
      </c>
      <c r="BF103" s="14" t="n">
        <v>0</v>
      </c>
      <c r="BG103" s="14" t="n">
        <v>0</v>
      </c>
      <c r="BH103" s="14" t="n">
        <v>0</v>
      </c>
      <c r="BI103" s="14" t="n">
        <v>0</v>
      </c>
      <c r="BJ103" s="14" t="n">
        <v>0</v>
      </c>
      <c r="BK103" s="14" t="n">
        <v>0</v>
      </c>
      <c r="BL103" s="14" t="n">
        <v>0</v>
      </c>
      <c r="BM103" s="14" t="n">
        <v>2.451103754424654</v>
      </c>
      <c r="BN103" s="14" t="n">
        <v>0</v>
      </c>
      <c r="BO103" s="14" t="n">
        <v>0</v>
      </c>
      <c r="BP103" s="14" t="n">
        <v>0</v>
      </c>
      <c r="BQ103" s="14" t="inlineStr">
        <is>
          <t>Urban|Deciles|median|3</t>
        </is>
      </c>
    </row>
    <row r="104">
      <c r="A104" s="14" t="inlineStr">
        <is>
          <t>EGY.distn.bsh.dec.urb.median.4</t>
        </is>
      </c>
      <c r="B104" s="14" t="inlineStr">
        <is>
          <t>EGY</t>
        </is>
      </c>
      <c r="C104" s="14" t="n">
        <v>2017</v>
      </c>
      <c r="D104" s="14" t="inlineStr">
        <is>
          <t>Urban</t>
        </is>
      </c>
      <c r="E104" s="14" t="inlineStr">
        <is>
          <t>Deciles</t>
        </is>
      </c>
      <c r="F104" s="14" t="inlineStr">
        <is>
          <t>median</t>
        </is>
      </c>
      <c r="G104" s="14" t="n">
        <v>4</v>
      </c>
      <c r="H104" s="14" t="n">
        <v>1.029604561041081</v>
      </c>
      <c r="I104" s="14" t="n">
        <v>0</v>
      </c>
      <c r="J104" s="14" t="n">
        <v>3.670477648049858</v>
      </c>
      <c r="K104" s="14" t="n">
        <v>5.285236435791984</v>
      </c>
      <c r="L104" s="14" t="n">
        <v>0</v>
      </c>
      <c r="M104" s="14" t="n">
        <v>2.856467647857611</v>
      </c>
      <c r="N104" s="14" t="n">
        <v>0</v>
      </c>
      <c r="O104" s="14" t="n">
        <v>2.498172808417342</v>
      </c>
      <c r="P104" s="14" t="n">
        <v>0</v>
      </c>
      <c r="Q104" s="14" t="n">
        <v>3.072712940720632</v>
      </c>
      <c r="R104" s="14" t="n">
        <v>57.31010095721308</v>
      </c>
      <c r="S104" s="14" t="n">
        <v>0</v>
      </c>
      <c r="T104" s="14" t="n">
        <v>0</v>
      </c>
      <c r="U104" s="14" t="n">
        <v>1.987820567096013</v>
      </c>
      <c r="V104" s="14" t="n">
        <v>3.278496493982481</v>
      </c>
      <c r="W104" s="14" t="n">
        <v>0</v>
      </c>
      <c r="X104" s="14" t="n">
        <v>0</v>
      </c>
      <c r="Y104" s="14" t="n">
        <v>0.4844761858515068</v>
      </c>
      <c r="Z104" s="14" t="n">
        <v>0</v>
      </c>
      <c r="AA104" s="14" t="n">
        <v>0</v>
      </c>
      <c r="AB104" s="14" t="n">
        <v>1.721662360781519</v>
      </c>
      <c r="AC104" s="14" t="n">
        <v>3.627585483517092</v>
      </c>
      <c r="AD104" s="14" t="n">
        <v>6.830460003561454</v>
      </c>
      <c r="AE104" s="14" t="n">
        <v>0</v>
      </c>
      <c r="AF104" s="14" t="n">
        <v>4.467980323200893</v>
      </c>
      <c r="AG104" s="14" t="n">
        <v>3261.697867463381</v>
      </c>
      <c r="AH104" s="14" t="n">
        <v>7222.647066328507</v>
      </c>
      <c r="AI104" s="14" t="n">
        <v>7031.371174693683</v>
      </c>
      <c r="AJ104" s="14" t="n">
        <v>8134.864240522508</v>
      </c>
      <c r="AK104" s="14" t="n">
        <v>8710.2834979586</v>
      </c>
      <c r="AL104" s="14" t="n">
        <v>9308.468133791999</v>
      </c>
      <c r="AM104" s="14" t="n">
        <v>10075.87418799874</v>
      </c>
      <c r="AN104" s="14" t="n">
        <v>11304.32472684193</v>
      </c>
      <c r="AO104" s="14" t="n">
        <v>10881.05870750575</v>
      </c>
      <c r="AP104" s="14" t="n">
        <v>11343.80094069505</v>
      </c>
      <c r="AQ104" s="14" t="n">
        <v>13018.92306962879</v>
      </c>
      <c r="AR104" s="14" t="n">
        <v>14333.34908415269</v>
      </c>
      <c r="AS104" s="14" t="n">
        <v>13116.13513698091</v>
      </c>
      <c r="AT104" s="14" t="n">
        <v>16578.59555321497</v>
      </c>
      <c r="AU104" s="14" t="n">
        <v>16021.34636311539</v>
      </c>
      <c r="AV104" s="14" t="n">
        <v>19483.66256563521</v>
      </c>
      <c r="AW104" s="14" t="n">
        <v>18923.85889287573</v>
      </c>
      <c r="AX104" s="14" t="n">
        <v>23007.50075733986</v>
      </c>
      <c r="AY104" s="14" t="n">
        <v>24829.46101593179</v>
      </c>
      <c r="AZ104" s="14" t="n">
        <v>67527.79778689139</v>
      </c>
      <c r="BA104" s="14" t="n">
        <v>10861.75904903286</v>
      </c>
      <c r="BB104" s="14" t="n">
        <v>4489176.635478712</v>
      </c>
      <c r="BC104" s="14" t="n">
        <v>0</v>
      </c>
      <c r="BD104" s="14" t="n">
        <v>0</v>
      </c>
      <c r="BE104" s="14" t="n">
        <v>0</v>
      </c>
      <c r="BF104" s="14" t="n">
        <v>0</v>
      </c>
      <c r="BG104" s="14" t="n">
        <v>0</v>
      </c>
      <c r="BH104" s="14" t="n">
        <v>0</v>
      </c>
      <c r="BI104" s="14" t="n">
        <v>0</v>
      </c>
      <c r="BJ104" s="14" t="n">
        <v>0</v>
      </c>
      <c r="BK104" s="14" t="n">
        <v>0</v>
      </c>
      <c r="BL104" s="14" t="n">
        <v>0</v>
      </c>
      <c r="BM104" s="14" t="n">
        <v>0.497487405883881</v>
      </c>
      <c r="BN104" s="14" t="n">
        <v>0</v>
      </c>
      <c r="BO104" s="14" t="n">
        <v>0</v>
      </c>
      <c r="BP104" s="14" t="n">
        <v>0</v>
      </c>
      <c r="BQ104" s="14" t="inlineStr">
        <is>
          <t>Urban|Deciles|median|4</t>
        </is>
      </c>
    </row>
    <row r="105">
      <c r="A105" s="14" t="inlineStr">
        <is>
          <t>EGY.distn.bsh.dec.urb.median.5</t>
        </is>
      </c>
      <c r="B105" s="14" t="inlineStr">
        <is>
          <t>EGY</t>
        </is>
      </c>
      <c r="C105" s="14" t="n">
        <v>2017</v>
      </c>
      <c r="D105" s="14" t="inlineStr">
        <is>
          <t>Urban</t>
        </is>
      </c>
      <c r="E105" s="14" t="inlineStr">
        <is>
          <t>Deciles</t>
        </is>
      </c>
      <c r="F105" s="14" t="inlineStr">
        <is>
          <t>median</t>
        </is>
      </c>
      <c r="G105" s="14" t="n">
        <v>5</v>
      </c>
      <c r="H105" s="14" t="n">
        <v>1.033966582315512</v>
      </c>
      <c r="I105" s="14" t="n">
        <v>0</v>
      </c>
      <c r="J105" s="14" t="n">
        <v>3.923301569692093</v>
      </c>
      <c r="K105" s="14" t="n">
        <v>5.179275675255465</v>
      </c>
      <c r="L105" s="14" t="n">
        <v>0</v>
      </c>
      <c r="M105" s="14" t="n">
        <v>2.998899481158558</v>
      </c>
      <c r="N105" s="14" t="n">
        <v>0</v>
      </c>
      <c r="O105" s="14" t="n">
        <v>1.702194639003916</v>
      </c>
      <c r="P105" s="14" t="n">
        <v>0</v>
      </c>
      <c r="Q105" s="14" t="n">
        <v>3.000768835799056</v>
      </c>
      <c r="R105" s="14" t="n">
        <v>51.85214735783428</v>
      </c>
      <c r="S105" s="14" t="n">
        <v>0</v>
      </c>
      <c r="T105" s="14" t="n">
        <v>0</v>
      </c>
      <c r="U105" s="14" t="n">
        <v>2.052615746896007</v>
      </c>
      <c r="V105" s="14" t="n">
        <v>3.419751958509035</v>
      </c>
      <c r="W105" s="14" t="n">
        <v>0</v>
      </c>
      <c r="X105" s="14" t="n">
        <v>0</v>
      </c>
      <c r="Y105" s="14" t="n">
        <v>0.6263307684650563</v>
      </c>
      <c r="Z105" s="14" t="n">
        <v>0</v>
      </c>
      <c r="AA105" s="14" t="n">
        <v>0</v>
      </c>
      <c r="AB105" s="14" t="n">
        <v>1.580576495433372</v>
      </c>
      <c r="AC105" s="14" t="n">
        <v>4.371505023387853</v>
      </c>
      <c r="AD105" s="14" t="n">
        <v>6.624791597900903</v>
      </c>
      <c r="AE105" s="14" t="n">
        <v>0</v>
      </c>
      <c r="AF105" s="14" t="n">
        <v>4.578157951807917</v>
      </c>
      <c r="AG105" s="14" t="n">
        <v>3135.573126627909</v>
      </c>
      <c r="AH105" s="14" t="n">
        <v>7117.172390744955</v>
      </c>
      <c r="AI105" s="14" t="n">
        <v>7397.05580232461</v>
      </c>
      <c r="AJ105" s="14" t="n">
        <v>8153.002776343995</v>
      </c>
      <c r="AK105" s="14" t="n">
        <v>8808.517530300047</v>
      </c>
      <c r="AL105" s="14" t="n">
        <v>10019.6853800479</v>
      </c>
      <c r="AM105" s="14" t="n">
        <v>10063.61333925643</v>
      </c>
      <c r="AN105" s="14" t="n">
        <v>11087.36506174651</v>
      </c>
      <c r="AO105" s="14" t="n">
        <v>10875.6605699159</v>
      </c>
      <c r="AP105" s="14" t="n">
        <v>11625.38070990718</v>
      </c>
      <c r="AQ105" s="14" t="n">
        <v>11443.05176836548</v>
      </c>
      <c r="AR105" s="14" t="n">
        <v>13731.98735768357</v>
      </c>
      <c r="AS105" s="14" t="n">
        <v>13436.09029171211</v>
      </c>
      <c r="AT105" s="14" t="n">
        <v>15764.56971568134</v>
      </c>
      <c r="AU105" s="14" t="n">
        <v>15342.67866864788</v>
      </c>
      <c r="AV105" s="14" t="n">
        <v>19526.29086952538</v>
      </c>
      <c r="AW105" s="14" t="n">
        <v>17612.7814934909</v>
      </c>
      <c r="AX105" s="14" t="n">
        <v>22676.40547334034</v>
      </c>
      <c r="AY105" s="14" t="n">
        <v>22710.36757999053</v>
      </c>
      <c r="AZ105" s="14" t="n">
        <v>68456.60252897396</v>
      </c>
      <c r="BA105" s="14" t="n">
        <v>11094.56464736719</v>
      </c>
      <c r="BB105" s="14" t="n">
        <v>4808909.827753683</v>
      </c>
      <c r="BC105" s="14" t="n">
        <v>0</v>
      </c>
      <c r="BD105" s="14" t="n">
        <v>0</v>
      </c>
      <c r="BE105" s="14" t="n">
        <v>0</v>
      </c>
      <c r="BF105" s="14" t="n">
        <v>0</v>
      </c>
      <c r="BG105" s="14" t="n">
        <v>0</v>
      </c>
      <c r="BH105" s="14" t="n">
        <v>0</v>
      </c>
      <c r="BI105" s="14" t="n">
        <v>0</v>
      </c>
      <c r="BJ105" s="14" t="n">
        <v>0</v>
      </c>
      <c r="BK105" s="14" t="n">
        <v>0</v>
      </c>
      <c r="BL105" s="14" t="n">
        <v>0</v>
      </c>
      <c r="BM105" s="14" t="n">
        <v>0.1607018986139522</v>
      </c>
      <c r="BN105" s="14" t="n">
        <v>0</v>
      </c>
      <c r="BO105" s="14" t="n">
        <v>0</v>
      </c>
      <c r="BP105" s="14" t="n">
        <v>0</v>
      </c>
      <c r="BQ105" s="14" t="inlineStr">
        <is>
          <t>Urban|Deciles|median|5</t>
        </is>
      </c>
    </row>
    <row r="106">
      <c r="A106" s="14" t="inlineStr">
        <is>
          <t>EGY.distn.bsh.dec.urb.median.6</t>
        </is>
      </c>
      <c r="B106" s="14" t="inlineStr">
        <is>
          <t>EGY</t>
        </is>
      </c>
      <c r="C106" s="14" t="n">
        <v>2017</v>
      </c>
      <c r="D106" s="14" t="inlineStr">
        <is>
          <t>Urban</t>
        </is>
      </c>
      <c r="E106" s="14" t="inlineStr">
        <is>
          <t>Deciles</t>
        </is>
      </c>
      <c r="F106" s="14" t="inlineStr">
        <is>
          <t>median</t>
        </is>
      </c>
      <c r="G106" s="14" t="n">
        <v>6</v>
      </c>
      <c r="H106" s="14" t="n">
        <v>1.130936823191654</v>
      </c>
      <c r="I106" s="14" t="n">
        <v>0</v>
      </c>
      <c r="J106" s="14" t="n">
        <v>3.561494031203272</v>
      </c>
      <c r="K106" s="14" t="n">
        <v>4.778529841133897</v>
      </c>
      <c r="L106" s="14" t="n">
        <v>0</v>
      </c>
      <c r="M106" s="14" t="n">
        <v>3.191708872466349</v>
      </c>
      <c r="N106" s="14" t="n">
        <v>0</v>
      </c>
      <c r="O106" s="14" t="n">
        <v>1.188190339207546</v>
      </c>
      <c r="P106" s="14" t="n">
        <v>0</v>
      </c>
      <c r="Q106" s="14" t="n">
        <v>2.953627025136265</v>
      </c>
      <c r="R106" s="14" t="n">
        <v>49.6953908382049</v>
      </c>
      <c r="S106" s="14" t="n">
        <v>0</v>
      </c>
      <c r="T106" s="14" t="n">
        <v>0</v>
      </c>
      <c r="U106" s="14" t="n">
        <v>2.424248047687237</v>
      </c>
      <c r="V106" s="14" t="n">
        <v>3.451202381968325</v>
      </c>
      <c r="W106" s="14" t="n">
        <v>0</v>
      </c>
      <c r="X106" s="14" t="n">
        <v>0</v>
      </c>
      <c r="Y106" s="14" t="n">
        <v>0.5699110437593219</v>
      </c>
      <c r="Z106" s="14" t="n">
        <v>0</v>
      </c>
      <c r="AA106" s="14" t="n">
        <v>0</v>
      </c>
      <c r="AB106" s="14" t="n">
        <v>1.434495231285454</v>
      </c>
      <c r="AC106" s="14" t="n">
        <v>4.530466738436471</v>
      </c>
      <c r="AD106" s="14" t="n">
        <v>7.137838869546198</v>
      </c>
      <c r="AE106" s="14" t="n">
        <v>0</v>
      </c>
      <c r="AF106" s="14" t="n">
        <v>4.204357847661535</v>
      </c>
      <c r="AG106" s="14" t="n">
        <v>2965.355554562963</v>
      </c>
      <c r="AH106" s="14" t="n">
        <v>6908.315467617985</v>
      </c>
      <c r="AI106" s="14" t="n">
        <v>7078.74551959187</v>
      </c>
      <c r="AJ106" s="14" t="n">
        <v>8391.029217751844</v>
      </c>
      <c r="AK106" s="14" t="n">
        <v>8412.323779850709</v>
      </c>
      <c r="AL106" s="14" t="n">
        <v>9474.981805795944</v>
      </c>
      <c r="AM106" s="14" t="n">
        <v>9934.43084581075</v>
      </c>
      <c r="AN106" s="14" t="n">
        <v>11403.80595952337</v>
      </c>
      <c r="AO106" s="14" t="n">
        <v>11591.91052736107</v>
      </c>
      <c r="AP106" s="14" t="n">
        <v>12922.83442790917</v>
      </c>
      <c r="AQ106" s="14" t="n">
        <v>12287.80787389484</v>
      </c>
      <c r="AR106" s="14" t="n">
        <v>13450.01704702915</v>
      </c>
      <c r="AS106" s="14" t="n">
        <v>14745.49436215471</v>
      </c>
      <c r="AT106" s="14" t="n">
        <v>14868.39764023538</v>
      </c>
      <c r="AU106" s="14" t="n">
        <v>14818.60948525527</v>
      </c>
      <c r="AV106" s="14" t="n">
        <v>17379.36564389582</v>
      </c>
      <c r="AW106" s="14" t="n">
        <v>19865.60587943738</v>
      </c>
      <c r="AX106" s="14" t="n">
        <v>23790.68520126673</v>
      </c>
      <c r="AY106" s="14" t="n">
        <v>23588.45433301381</v>
      </c>
      <c r="AZ106" s="14" t="n">
        <v>66325.63391073878</v>
      </c>
      <c r="BA106" s="14" t="n">
        <v>13568.67651425935</v>
      </c>
      <c r="BB106" s="14" t="n">
        <v>4807764.787615298</v>
      </c>
      <c r="BC106" s="14" t="n">
        <v>0</v>
      </c>
      <c r="BD106" s="14" t="n">
        <v>0</v>
      </c>
      <c r="BE106" s="14" t="n">
        <v>0</v>
      </c>
      <c r="BF106" s="14" t="n">
        <v>0</v>
      </c>
      <c r="BG106" s="14" t="n">
        <v>0</v>
      </c>
      <c r="BH106" s="14" t="n">
        <v>0</v>
      </c>
      <c r="BI106" s="14" t="n">
        <v>0</v>
      </c>
      <c r="BJ106" s="14" t="n">
        <v>0</v>
      </c>
      <c r="BK106" s="14" t="n">
        <v>0</v>
      </c>
      <c r="BL106" s="14" t="n">
        <v>0</v>
      </c>
      <c r="BM106" s="14" t="n">
        <v>0.02668960171468998</v>
      </c>
      <c r="BN106" s="14" t="n">
        <v>0</v>
      </c>
      <c r="BO106" s="14" t="n">
        <v>0</v>
      </c>
      <c r="BP106" s="14" t="n">
        <v>0</v>
      </c>
      <c r="BQ106" s="14" t="inlineStr">
        <is>
          <t>Urban|Deciles|median|6</t>
        </is>
      </c>
    </row>
    <row r="107">
      <c r="A107" s="14" t="inlineStr">
        <is>
          <t>EGY.distn.bsh.dec.urb.median.7</t>
        </is>
      </c>
      <c r="B107" s="14" t="inlineStr">
        <is>
          <t>EGY</t>
        </is>
      </c>
      <c r="C107" s="14" t="n">
        <v>2017</v>
      </c>
      <c r="D107" s="14" t="inlineStr">
        <is>
          <t>Urban</t>
        </is>
      </c>
      <c r="E107" s="14" t="inlineStr">
        <is>
          <t>Deciles</t>
        </is>
      </c>
      <c r="F107" s="14" t="inlineStr">
        <is>
          <t>median</t>
        </is>
      </c>
      <c r="G107" s="14" t="n">
        <v>7</v>
      </c>
      <c r="H107" s="14" t="n">
        <v>0.9900507828857222</v>
      </c>
      <c r="I107" s="14" t="n">
        <v>0</v>
      </c>
      <c r="J107" s="14" t="n">
        <v>3.542480275009422</v>
      </c>
      <c r="K107" s="14" t="n">
        <v>4.757207259925481</v>
      </c>
      <c r="L107" s="14" t="n">
        <v>0</v>
      </c>
      <c r="M107" s="14" t="n">
        <v>3.529353272083509</v>
      </c>
      <c r="N107" s="14" t="n">
        <v>0</v>
      </c>
      <c r="O107" s="14" t="n">
        <v>0</v>
      </c>
      <c r="P107" s="14" t="n">
        <v>0</v>
      </c>
      <c r="Q107" s="14" t="n">
        <v>2.95098587357986</v>
      </c>
      <c r="R107" s="14" t="n">
        <v>52.78079111887322</v>
      </c>
      <c r="S107" s="14" t="n">
        <v>0</v>
      </c>
      <c r="T107" s="14" t="n">
        <v>0</v>
      </c>
      <c r="U107" s="14" t="n">
        <v>2.791714955542834</v>
      </c>
      <c r="V107" s="14" t="n">
        <v>3.465073215304133</v>
      </c>
      <c r="W107" s="14" t="n">
        <v>0</v>
      </c>
      <c r="X107" s="14" t="n">
        <v>0</v>
      </c>
      <c r="Y107" s="14" t="n">
        <v>0.5575394755286486</v>
      </c>
      <c r="Z107" s="14" t="n">
        <v>0</v>
      </c>
      <c r="AA107" s="14" t="n">
        <v>0</v>
      </c>
      <c r="AB107" s="14" t="n">
        <v>1.130442842458003</v>
      </c>
      <c r="AC107" s="14" t="n">
        <v>5.178221125344852</v>
      </c>
      <c r="AD107" s="14" t="n">
        <v>6.922262994737603</v>
      </c>
      <c r="AE107" s="14" t="n">
        <v>0</v>
      </c>
      <c r="AF107" s="14" t="n">
        <v>4.387687858290245</v>
      </c>
      <c r="AG107" s="14" t="n">
        <v>3382.546326896071</v>
      </c>
      <c r="AH107" s="14" t="n">
        <v>7237.082450643442</v>
      </c>
      <c r="AI107" s="14" t="n">
        <v>7534.305634228382</v>
      </c>
      <c r="AJ107" s="14" t="n">
        <v>8039.225993605031</v>
      </c>
      <c r="AK107" s="14" t="n">
        <v>9027.313254959725</v>
      </c>
      <c r="AL107" s="14" t="n">
        <v>10290.78696584362</v>
      </c>
      <c r="AM107" s="14" t="n">
        <v>10217.57216548376</v>
      </c>
      <c r="AN107" s="14" t="n">
        <v>10731.12371316618</v>
      </c>
      <c r="AO107" s="14" t="n">
        <v>11628.71359678623</v>
      </c>
      <c r="AP107" s="14" t="n">
        <v>11654.46407857191</v>
      </c>
      <c r="AQ107" s="14" t="n">
        <v>12743.65760657607</v>
      </c>
      <c r="AR107" s="14" t="n">
        <v>13693.81994462395</v>
      </c>
      <c r="AS107" s="14" t="n">
        <v>14917.95001694913</v>
      </c>
      <c r="AT107" s="14" t="n">
        <v>15961.57637152029</v>
      </c>
      <c r="AU107" s="14" t="n">
        <v>15137.18929696268</v>
      </c>
      <c r="AV107" s="14" t="n">
        <v>19833.25884683636</v>
      </c>
      <c r="AW107" s="14" t="n">
        <v>19703.57475728577</v>
      </c>
      <c r="AX107" s="14" t="n">
        <v>23621.34990715965</v>
      </c>
      <c r="AY107" s="14" t="n">
        <v>22514.35363127468</v>
      </c>
      <c r="AZ107" s="14" t="n">
        <v>68366.36127202291</v>
      </c>
      <c r="BA107" s="14" t="n">
        <v>15198.69905315801</v>
      </c>
      <c r="BB107" s="14" t="n">
        <v>4880050.517640698</v>
      </c>
      <c r="BC107" s="14" t="n">
        <v>0</v>
      </c>
      <c r="BD107" s="14" t="n">
        <v>0</v>
      </c>
      <c r="BE107" s="14" t="n">
        <v>0</v>
      </c>
      <c r="BF107" s="14" t="n">
        <v>0</v>
      </c>
      <c r="BG107" s="14" t="n">
        <v>0</v>
      </c>
      <c r="BH107" s="14" t="n">
        <v>0</v>
      </c>
      <c r="BI107" s="14" t="n">
        <v>0</v>
      </c>
      <c r="BJ107" s="14" t="n">
        <v>0</v>
      </c>
      <c r="BK107" s="14" t="n">
        <v>0</v>
      </c>
      <c r="BL107" s="14" t="n">
        <v>0</v>
      </c>
      <c r="BM107" s="14" t="n">
        <v>0.02480505927293442</v>
      </c>
      <c r="BN107" s="14" t="n">
        <v>0</v>
      </c>
      <c r="BO107" s="14" t="n">
        <v>0</v>
      </c>
      <c r="BP107" s="14" t="n">
        <v>0</v>
      </c>
      <c r="BQ107" s="14" t="inlineStr">
        <is>
          <t>Urban|Deciles|median|7</t>
        </is>
      </c>
    </row>
    <row r="108">
      <c r="A108" s="14" t="inlineStr">
        <is>
          <t>EGY.distn.bsh.dec.urb.median.8</t>
        </is>
      </c>
      <c r="B108" s="14" t="inlineStr">
        <is>
          <t>EGY</t>
        </is>
      </c>
      <c r="C108" s="14" t="n">
        <v>2017</v>
      </c>
      <c r="D108" s="14" t="inlineStr">
        <is>
          <t>Urban</t>
        </is>
      </c>
      <c r="E108" s="14" t="inlineStr">
        <is>
          <t>Deciles</t>
        </is>
      </c>
      <c r="F108" s="14" t="inlineStr">
        <is>
          <t>median</t>
        </is>
      </c>
      <c r="G108" s="14" t="n">
        <v>8</v>
      </c>
      <c r="H108" s="14" t="n">
        <v>1.186538989486871</v>
      </c>
      <c r="I108" s="14" t="n">
        <v>0</v>
      </c>
      <c r="J108" s="14" t="n">
        <v>3.667194700438436</v>
      </c>
      <c r="K108" s="14" t="n">
        <v>4.755367334496833</v>
      </c>
      <c r="L108" s="14" t="n">
        <v>0</v>
      </c>
      <c r="M108" s="14" t="n">
        <v>3.361963673845767</v>
      </c>
      <c r="N108" s="14" t="n">
        <v>0</v>
      </c>
      <c r="O108" s="14" t="n">
        <v>0</v>
      </c>
      <c r="P108" s="14" t="n">
        <v>0</v>
      </c>
      <c r="Q108" s="14" t="n">
        <v>3.114411959701263</v>
      </c>
      <c r="R108" s="14" t="n">
        <v>50.64117068370678</v>
      </c>
      <c r="S108" s="14" t="n">
        <v>0</v>
      </c>
      <c r="T108" s="14" t="n">
        <v>0</v>
      </c>
      <c r="U108" s="14" t="n">
        <v>2.487631191530439</v>
      </c>
      <c r="V108" s="14" t="n">
        <v>3.31877805523402</v>
      </c>
      <c r="W108" s="14" t="n">
        <v>0</v>
      </c>
      <c r="X108" s="14" t="n">
        <v>0</v>
      </c>
      <c r="Y108" s="14" t="n">
        <v>0.6010166193961839</v>
      </c>
      <c r="Z108" s="14" t="n">
        <v>0</v>
      </c>
      <c r="AA108" s="14" t="n">
        <v>0</v>
      </c>
      <c r="AB108" s="14" t="n">
        <v>0.8588252051988546</v>
      </c>
      <c r="AC108" s="14" t="n">
        <v>5.378684059770456</v>
      </c>
      <c r="AD108" s="14" t="n">
        <v>6.928525580768513</v>
      </c>
      <c r="AE108" s="14" t="n">
        <v>0</v>
      </c>
      <c r="AF108" s="14" t="n">
        <v>4.841764459029645</v>
      </c>
      <c r="AG108" s="14" t="n">
        <v>3044.849304527705</v>
      </c>
      <c r="AH108" s="14" t="n">
        <v>7704.75506902775</v>
      </c>
      <c r="AI108" s="14" t="n">
        <v>7431.662986428819</v>
      </c>
      <c r="AJ108" s="14" t="n">
        <v>8654.737643706516</v>
      </c>
      <c r="AK108" s="14" t="n">
        <v>9089.374427969704</v>
      </c>
      <c r="AL108" s="14" t="n">
        <v>10373.00546165826</v>
      </c>
      <c r="AM108" s="14" t="n">
        <v>9111.03334162487</v>
      </c>
      <c r="AN108" s="14" t="n">
        <v>11621.76308070816</v>
      </c>
      <c r="AO108" s="14" t="n">
        <v>11081.83230264531</v>
      </c>
      <c r="AP108" s="14" t="n">
        <v>11418.05473665732</v>
      </c>
      <c r="AQ108" s="14" t="n">
        <v>12802.903815707</v>
      </c>
      <c r="AR108" s="14" t="n">
        <v>12975.26815507457</v>
      </c>
      <c r="AS108" s="14" t="n">
        <v>14050.1840941442</v>
      </c>
      <c r="AT108" s="14" t="n">
        <v>16437.1425568563</v>
      </c>
      <c r="AU108" s="14" t="n">
        <v>16833.07440258214</v>
      </c>
      <c r="AV108" s="14" t="n">
        <v>19405.92934232608</v>
      </c>
      <c r="AW108" s="14" t="n">
        <v>18248.29026221776</v>
      </c>
      <c r="AX108" s="14" t="n">
        <v>24850.2963310137</v>
      </c>
      <c r="AY108" s="14" t="n">
        <v>23355.64728168797</v>
      </c>
      <c r="AZ108" s="14" t="n">
        <v>62381.01786958607</v>
      </c>
      <c r="BA108" s="14" t="n">
        <v>16738.03169905943</v>
      </c>
      <c r="BB108" s="14" t="n">
        <v>4569498.063696841</v>
      </c>
      <c r="BC108" s="14" t="n">
        <v>0</v>
      </c>
      <c r="BD108" s="14" t="n">
        <v>0</v>
      </c>
      <c r="BE108" s="14" t="n">
        <v>0</v>
      </c>
      <c r="BF108" s="14" t="n">
        <v>0</v>
      </c>
      <c r="BG108" s="14" t="n">
        <v>0</v>
      </c>
      <c r="BH108" s="14" t="n">
        <v>0</v>
      </c>
      <c r="BI108" s="14" t="n">
        <v>0</v>
      </c>
      <c r="BJ108" s="14" t="n">
        <v>0</v>
      </c>
      <c r="BK108" s="14" t="n">
        <v>0</v>
      </c>
      <c r="BL108" s="14" t="n">
        <v>0</v>
      </c>
      <c r="BM108" s="14" t="n">
        <v>0</v>
      </c>
      <c r="BN108" s="14" t="n">
        <v>0</v>
      </c>
      <c r="BO108" s="14" t="n">
        <v>0</v>
      </c>
      <c r="BP108" s="14" t="n">
        <v>0</v>
      </c>
      <c r="BQ108" s="14" t="inlineStr">
        <is>
          <t>Urban|Deciles|median|8</t>
        </is>
      </c>
    </row>
    <row r="109">
      <c r="A109" s="14" t="inlineStr">
        <is>
          <t>EGY.distn.bsh.dec.urb.median.9</t>
        </is>
      </c>
      <c r="B109" s="14" t="inlineStr">
        <is>
          <t>EGY</t>
        </is>
      </c>
      <c r="C109" s="14" t="n">
        <v>2017</v>
      </c>
      <c r="D109" s="14" t="inlineStr">
        <is>
          <t>Urban</t>
        </is>
      </c>
      <c r="E109" s="14" t="inlineStr">
        <is>
          <t>Deciles</t>
        </is>
      </c>
      <c r="F109" s="14" t="inlineStr">
        <is>
          <t>median</t>
        </is>
      </c>
      <c r="G109" s="14" t="n">
        <v>9</v>
      </c>
      <c r="H109" s="14" t="n">
        <v>0.9912035759698671</v>
      </c>
      <c r="I109" s="14" t="n">
        <v>0</v>
      </c>
      <c r="J109" s="14" t="n">
        <v>3.512290121696185</v>
      </c>
      <c r="K109" s="14" t="n">
        <v>3.833837236350545</v>
      </c>
      <c r="L109" s="14" t="n">
        <v>0</v>
      </c>
      <c r="M109" s="14" t="n">
        <v>3.398891733968533</v>
      </c>
      <c r="N109" s="14" t="n">
        <v>0</v>
      </c>
      <c r="O109" s="14" t="n">
        <v>0</v>
      </c>
      <c r="P109" s="14" t="n">
        <v>0</v>
      </c>
      <c r="Q109" s="14" t="n">
        <v>3.272622841706526</v>
      </c>
      <c r="R109" s="14" t="n">
        <v>49.57583813259963</v>
      </c>
      <c r="S109" s="14" t="n">
        <v>0</v>
      </c>
      <c r="T109" s="14" t="n">
        <v>0</v>
      </c>
      <c r="U109" s="14" t="n">
        <v>2.962954954118288</v>
      </c>
      <c r="V109" s="14" t="n">
        <v>3.433269468949313</v>
      </c>
      <c r="W109" s="14" t="n">
        <v>0</v>
      </c>
      <c r="X109" s="14" t="n">
        <v>0</v>
      </c>
      <c r="Y109" s="14" t="n">
        <v>0.6532848224748562</v>
      </c>
      <c r="Z109" s="14" t="n">
        <v>0</v>
      </c>
      <c r="AA109" s="14" t="n">
        <v>0</v>
      </c>
      <c r="AB109" s="14" t="n">
        <v>0.7398901375558119</v>
      </c>
      <c r="AC109" s="14" t="n">
        <v>5.900475231298037</v>
      </c>
      <c r="AD109" s="14" t="n">
        <v>6.105685047012042</v>
      </c>
      <c r="AE109" s="14" t="n">
        <v>0</v>
      </c>
      <c r="AF109" s="14" t="n">
        <v>4.368167445905884</v>
      </c>
      <c r="AG109" s="14" t="n">
        <v>3103.755743105747</v>
      </c>
      <c r="AH109" s="14" t="n">
        <v>6667.689203002417</v>
      </c>
      <c r="AI109" s="14" t="n">
        <v>6922.497152103666</v>
      </c>
      <c r="AJ109" s="14" t="n">
        <v>8250.704186652059</v>
      </c>
      <c r="AK109" s="14" t="n">
        <v>7989.924736133</v>
      </c>
      <c r="AL109" s="14" t="n">
        <v>9258.448172151955</v>
      </c>
      <c r="AM109" s="14" t="n">
        <v>10160.64148171321</v>
      </c>
      <c r="AN109" s="14" t="n">
        <v>10539.98727295994</v>
      </c>
      <c r="AO109" s="14" t="n">
        <v>11019.11862319553</v>
      </c>
      <c r="AP109" s="14" t="n">
        <v>13081.3239621338</v>
      </c>
      <c r="AQ109" s="14" t="n">
        <v>11815.84285309727</v>
      </c>
      <c r="AR109" s="14" t="n">
        <v>13931.82176777103</v>
      </c>
      <c r="AS109" s="14" t="n">
        <v>14355.62398790344</v>
      </c>
      <c r="AT109" s="14" t="n">
        <v>15991.04316048137</v>
      </c>
      <c r="AU109" s="14" t="n">
        <v>15201.99171287128</v>
      </c>
      <c r="AV109" s="14" t="n">
        <v>18945.38249747312</v>
      </c>
      <c r="AW109" s="14" t="n">
        <v>18481.9586141207</v>
      </c>
      <c r="AX109" s="14" t="n">
        <v>24554.08307184599</v>
      </c>
      <c r="AY109" s="14" t="n">
        <v>22406.09431966427</v>
      </c>
      <c r="AZ109" s="14" t="n">
        <v>65624.32683921717</v>
      </c>
      <c r="BA109" s="14" t="n">
        <v>20867.24258286924</v>
      </c>
      <c r="BB109" s="14" t="n">
        <v>4894961.971770842</v>
      </c>
      <c r="BC109" s="14" t="n">
        <v>0</v>
      </c>
      <c r="BD109" s="14" t="n">
        <v>0</v>
      </c>
      <c r="BE109" s="14" t="n">
        <v>0</v>
      </c>
      <c r="BF109" s="14" t="n">
        <v>0</v>
      </c>
      <c r="BG109" s="14" t="n">
        <v>0</v>
      </c>
      <c r="BH109" s="14" t="n">
        <v>0</v>
      </c>
      <c r="BI109" s="14" t="n">
        <v>0</v>
      </c>
      <c r="BJ109" s="14" t="n">
        <v>0</v>
      </c>
      <c r="BK109" s="14" t="n">
        <v>0</v>
      </c>
      <c r="BL109" s="14" t="n">
        <v>0</v>
      </c>
      <c r="BM109" s="14" t="n">
        <v>0</v>
      </c>
      <c r="BN109" s="14" t="n">
        <v>0</v>
      </c>
      <c r="BO109" s="14" t="n">
        <v>0</v>
      </c>
      <c r="BP109" s="14" t="n">
        <v>0</v>
      </c>
      <c r="BQ109" s="14" t="inlineStr">
        <is>
          <t>Urban|Deciles|median|9</t>
        </is>
      </c>
    </row>
    <row r="110">
      <c r="A110" s="14" t="inlineStr">
        <is>
          <t>EGY.distn.bsh.dec.urb.median.10</t>
        </is>
      </c>
      <c r="B110" s="14" t="inlineStr">
        <is>
          <t>EGY</t>
        </is>
      </c>
      <c r="C110" s="14" t="n">
        <v>2017</v>
      </c>
      <c r="D110" s="14" t="inlineStr">
        <is>
          <t>Urban</t>
        </is>
      </c>
      <c r="E110" s="14" t="inlineStr">
        <is>
          <t>Deciles</t>
        </is>
      </c>
      <c r="F110" s="14" t="inlineStr">
        <is>
          <t>median</t>
        </is>
      </c>
      <c r="G110" s="14" t="n">
        <v>10</v>
      </c>
      <c r="H110" s="14" t="n">
        <v>0.9324655718773742</v>
      </c>
      <c r="I110" s="14" t="n">
        <v>0</v>
      </c>
      <c r="J110" s="14" t="n">
        <v>3.297206506550876</v>
      </c>
      <c r="K110" s="14" t="n">
        <v>3.61919633073644</v>
      </c>
      <c r="L110" s="14" t="n">
        <v>0</v>
      </c>
      <c r="M110" s="14" t="n">
        <v>3.273835876624811</v>
      </c>
      <c r="N110" s="14" t="n">
        <v>0</v>
      </c>
      <c r="O110" s="14" t="n">
        <v>0</v>
      </c>
      <c r="P110" s="14" t="n">
        <v>0</v>
      </c>
      <c r="Q110" s="14" t="n">
        <v>3.606351063689569</v>
      </c>
      <c r="R110" s="14" t="n">
        <v>48.2753910937027</v>
      </c>
      <c r="S110" s="14" t="n">
        <v>0</v>
      </c>
      <c r="T110" s="14" t="n">
        <v>0</v>
      </c>
      <c r="U110" s="14" t="n">
        <v>3.275276393335485</v>
      </c>
      <c r="V110" s="14" t="n">
        <v>4.709267119233174</v>
      </c>
      <c r="W110" s="14" t="n">
        <v>0</v>
      </c>
      <c r="X110" s="14" t="n">
        <v>0</v>
      </c>
      <c r="Y110" s="14" t="n">
        <v>0.6472567769478567</v>
      </c>
      <c r="Z110" s="14" t="n">
        <v>0</v>
      </c>
      <c r="AA110" s="14" t="n">
        <v>0</v>
      </c>
      <c r="AB110" s="14" t="n">
        <v>0.5008836217123301</v>
      </c>
      <c r="AC110" s="14" t="n">
        <v>6.581862387471349</v>
      </c>
      <c r="AD110" s="14" t="n">
        <v>5.212559052186841</v>
      </c>
      <c r="AE110" s="14" t="n">
        <v>0</v>
      </c>
      <c r="AF110" s="14" t="n">
        <v>3.280275485847065</v>
      </c>
      <c r="AG110" s="14" t="n">
        <v>3263.878029885555</v>
      </c>
      <c r="AH110" s="14" t="n">
        <v>7394.017674190523</v>
      </c>
      <c r="AI110" s="14" t="n">
        <v>6972.240714213987</v>
      </c>
      <c r="AJ110" s="14" t="n">
        <v>8107.126386993899</v>
      </c>
      <c r="AK110" s="14" t="n">
        <v>9219.270624541576</v>
      </c>
      <c r="AL110" s="14" t="n">
        <v>9320.40393472142</v>
      </c>
      <c r="AM110" s="14" t="n">
        <v>10021.40636737806</v>
      </c>
      <c r="AN110" s="14" t="n">
        <v>11141.74329829998</v>
      </c>
      <c r="AO110" s="14" t="n">
        <v>10728.2312877671</v>
      </c>
      <c r="AP110" s="14" t="n">
        <v>12446.03639245268</v>
      </c>
      <c r="AQ110" s="14" t="n">
        <v>13181.32532684106</v>
      </c>
      <c r="AR110" s="14" t="n">
        <v>13984.97283271415</v>
      </c>
      <c r="AS110" s="14" t="n">
        <v>13088.29491405346</v>
      </c>
      <c r="AT110" s="14" t="n">
        <v>15261.35003713054</v>
      </c>
      <c r="AU110" s="14" t="n">
        <v>15250.0020590236</v>
      </c>
      <c r="AV110" s="14" t="n">
        <v>18756.20031843936</v>
      </c>
      <c r="AW110" s="14" t="n">
        <v>19315.54586538105</v>
      </c>
      <c r="AX110" s="14" t="n">
        <v>22517.92080397245</v>
      </c>
      <c r="AY110" s="14" t="n">
        <v>22104.28548403174</v>
      </c>
      <c r="AZ110" s="14" t="n">
        <v>67320.0268478636</v>
      </c>
      <c r="BA110" s="14" t="n">
        <v>28527.77910692711</v>
      </c>
      <c r="BB110" s="14" t="n">
        <v>4597818.360835523</v>
      </c>
      <c r="BC110" s="14" t="n">
        <v>0</v>
      </c>
      <c r="BD110" s="14" t="n">
        <v>0</v>
      </c>
      <c r="BE110" s="14" t="n">
        <v>0</v>
      </c>
      <c r="BF110" s="14" t="n">
        <v>0</v>
      </c>
      <c r="BG110" s="14" t="n">
        <v>0</v>
      </c>
      <c r="BH110" s="14" t="n">
        <v>0</v>
      </c>
      <c r="BI110" s="14" t="n">
        <v>0</v>
      </c>
      <c r="BJ110" s="14" t="n">
        <v>0</v>
      </c>
      <c r="BK110" s="14" t="n">
        <v>0</v>
      </c>
      <c r="BL110" s="14" t="n">
        <v>0</v>
      </c>
      <c r="BM110" s="14" t="n">
        <v>0</v>
      </c>
      <c r="BN110" s="14" t="n">
        <v>0</v>
      </c>
      <c r="BO110" s="14" t="n">
        <v>0</v>
      </c>
      <c r="BP110" s="14" t="n">
        <v>0</v>
      </c>
      <c r="BQ110" s="14" t="inlineStr">
        <is>
          <t>Urban|Deciles|median|10</t>
        </is>
      </c>
    </row>
    <row r="111">
      <c r="A111" s="14" t="inlineStr">
        <is>
          <t>EGY.distn.bsh.bkt.urb.median.9999</t>
        </is>
      </c>
      <c r="B111" s="14" t="inlineStr">
        <is>
          <t>EGY</t>
        </is>
      </c>
      <c r="C111" s="14" t="n">
        <v>2017</v>
      </c>
      <c r="D111" s="14" t="inlineStr">
        <is>
          <t>Urban</t>
        </is>
      </c>
      <c r="E111" s="14" t="inlineStr">
        <is>
          <t>Basket</t>
        </is>
      </c>
      <c r="F111" s="14" t="inlineStr">
        <is>
          <t>median</t>
        </is>
      </c>
      <c r="G111" s="14" t="n">
        <v>9999</v>
      </c>
      <c r="H111" s="14" t="n">
        <v>1.043042499783852</v>
      </c>
      <c r="I111" s="14" t="n">
        <v>0</v>
      </c>
      <c r="J111" s="14" t="n">
        <v>3.879684082133076</v>
      </c>
      <c r="K111" s="14" t="n">
        <v>4.807398084090625</v>
      </c>
      <c r="L111" s="14" t="n">
        <v>0</v>
      </c>
      <c r="M111" s="14" t="n">
        <v>2.883763527340851</v>
      </c>
      <c r="N111" s="14" t="n">
        <v>0</v>
      </c>
      <c r="O111" s="14" t="n">
        <v>0.7443418840669996</v>
      </c>
      <c r="P111" s="14" t="n">
        <v>0</v>
      </c>
      <c r="Q111" s="14" t="n">
        <v>2.933471628207803</v>
      </c>
      <c r="R111" s="14" t="n">
        <v>51.75178083918601</v>
      </c>
      <c r="S111" s="14" t="n">
        <v>0</v>
      </c>
      <c r="T111" s="14" t="n">
        <v>0</v>
      </c>
      <c r="U111" s="14" t="n">
        <v>2.310193371653356</v>
      </c>
      <c r="V111" s="14" t="n">
        <v>3.550827503937331</v>
      </c>
      <c r="W111" s="14" t="n">
        <v>0</v>
      </c>
      <c r="X111" s="14" t="n">
        <v>0</v>
      </c>
      <c r="Y111" s="14" t="n">
        <v>0.5607064879627989</v>
      </c>
      <c r="Z111" s="14" t="n">
        <v>0</v>
      </c>
      <c r="AA111" s="14" t="n">
        <v>0</v>
      </c>
      <c r="AB111" s="14" t="n">
        <v>1.378950420723266</v>
      </c>
      <c r="AC111" s="14" t="n">
        <v>4.495505402451888</v>
      </c>
      <c r="AD111" s="14" t="n">
        <v>7.113898237555416</v>
      </c>
      <c r="AE111" s="14" t="n">
        <v>0</v>
      </c>
      <c r="AF111" s="14" t="n">
        <v>4.096019223107951</v>
      </c>
      <c r="AG111" s="14" t="n">
        <v>2985.153171019008</v>
      </c>
      <c r="AH111" s="14" t="n">
        <v>6972.482229089251</v>
      </c>
      <c r="AI111" s="14" t="n">
        <v>6916.427575407638</v>
      </c>
      <c r="AJ111" s="14" t="n">
        <v>7921.039963196243</v>
      </c>
      <c r="AK111" s="14" t="n">
        <v>8394.064011260418</v>
      </c>
      <c r="AL111" s="14" t="n">
        <v>10449.50193338704</v>
      </c>
      <c r="AM111" s="14" t="n">
        <v>10532.46922340353</v>
      </c>
      <c r="AN111" s="14" t="n">
        <v>10542.46532767221</v>
      </c>
      <c r="AO111" s="14" t="n">
        <v>10335.6240316137</v>
      </c>
      <c r="AP111" s="14" t="n">
        <v>12838.67817390284</v>
      </c>
      <c r="AQ111" s="14" t="n">
        <v>12896.13293136185</v>
      </c>
      <c r="AR111" s="14" t="n">
        <v>13588.50206489258</v>
      </c>
      <c r="AS111" s="14" t="n">
        <v>13310.06837796987</v>
      </c>
      <c r="AT111" s="14" t="n">
        <v>16323.66269343005</v>
      </c>
      <c r="AU111" s="14" t="n">
        <v>16490.20749059003</v>
      </c>
      <c r="AV111" s="14" t="n">
        <v>18980.94161176093</v>
      </c>
      <c r="AW111" s="14" t="n">
        <v>18119.50819232358</v>
      </c>
      <c r="AX111" s="14" t="n">
        <v>23413.26714873939</v>
      </c>
      <c r="AY111" s="14" t="n">
        <v>23252.29811940861</v>
      </c>
      <c r="AZ111" s="14" t="n">
        <v>60900.83935380776</v>
      </c>
      <c r="BA111" s="14" t="n">
        <v>12942.86672992675</v>
      </c>
      <c r="BB111" s="14" t="n">
        <v>48593936.31732479</v>
      </c>
      <c r="BC111" s="14" t="n">
        <v>0</v>
      </c>
      <c r="BD111" s="14" t="n">
        <v>0</v>
      </c>
      <c r="BE111" s="14" t="n">
        <v>0</v>
      </c>
      <c r="BF111" s="14" t="n">
        <v>0</v>
      </c>
      <c r="BG111" s="14" t="n">
        <v>0</v>
      </c>
      <c r="BH111" s="14" t="n">
        <v>0</v>
      </c>
      <c r="BI111" s="14" t="n">
        <v>0</v>
      </c>
      <c r="BJ111" s="14" t="n">
        <v>0</v>
      </c>
      <c r="BK111" s="14" t="n">
        <v>0.06784610663734808</v>
      </c>
      <c r="BL111" s="14" t="n">
        <v>0.9502538872436375</v>
      </c>
      <c r="BM111" s="14" t="n">
        <v>13.65729260074054</v>
      </c>
      <c r="BN111" s="14" t="n">
        <v>0</v>
      </c>
      <c r="BO111" s="14" t="n">
        <v>0</v>
      </c>
      <c r="BP111" s="14" t="n">
        <v>0</v>
      </c>
      <c r="BQ111" s="14" t="inlineStr">
        <is>
          <t>Urban|Basket|median|9999</t>
        </is>
      </c>
    </row>
    <row r="112">
      <c r="A112" s="14" t="inlineStr">
        <is>
          <t>EGY.distn.bsh.dec.urb.p25.1</t>
        </is>
      </c>
      <c r="B112" s="14" t="inlineStr">
        <is>
          <t>EGY</t>
        </is>
      </c>
      <c r="C112" s="14" t="n">
        <v>2017</v>
      </c>
      <c r="D112" s="14" t="inlineStr">
        <is>
          <t>Urban</t>
        </is>
      </c>
      <c r="E112" s="14" t="inlineStr">
        <is>
          <t>Deciles</t>
        </is>
      </c>
      <c r="F112" s="14" t="inlineStr">
        <is>
          <t>p25</t>
        </is>
      </c>
      <c r="G112" s="14" t="n">
        <v>1</v>
      </c>
      <c r="H112" s="14" t="n">
        <v>0.4615419985434085</v>
      </c>
      <c r="I112" s="14" t="n">
        <v>0</v>
      </c>
      <c r="J112" s="14" t="n">
        <v>2.816629483428622</v>
      </c>
      <c r="K112" s="14" t="n">
        <v>2.815716416832803</v>
      </c>
      <c r="L112" s="14" t="n">
        <v>0</v>
      </c>
      <c r="M112" s="14" t="n">
        <v>1.358468956660014</v>
      </c>
      <c r="N112" s="14" t="n">
        <v>0</v>
      </c>
      <c r="O112" s="14" t="n">
        <v>0.2965916393466971</v>
      </c>
      <c r="P112" s="14" t="n">
        <v>0</v>
      </c>
      <c r="Q112" s="14" t="n">
        <v>2.127488147313705</v>
      </c>
      <c r="R112" s="14" t="n">
        <v>47.37922097425449</v>
      </c>
      <c r="S112" s="14" t="n">
        <v>0</v>
      </c>
      <c r="T112" s="14" t="n">
        <v>0</v>
      </c>
      <c r="U112" s="14" t="n">
        <v>0.3211537436949315</v>
      </c>
      <c r="V112" s="14" t="n">
        <v>2.251668769443261</v>
      </c>
      <c r="W112" s="14" t="n">
        <v>0</v>
      </c>
      <c r="X112" s="14" t="n">
        <v>0</v>
      </c>
      <c r="Y112" s="14" t="n">
        <v>0</v>
      </c>
      <c r="Z112" s="14" t="n">
        <v>0</v>
      </c>
      <c r="AA112" s="14" t="n">
        <v>0</v>
      </c>
      <c r="AB112" s="14" t="n">
        <v>1.170402077577404</v>
      </c>
      <c r="AC112" s="14" t="n">
        <v>1.116482346693221</v>
      </c>
      <c r="AD112" s="14" t="n">
        <v>4.925422454922685</v>
      </c>
      <c r="AE112" s="14" t="n">
        <v>0</v>
      </c>
      <c r="AF112" s="14" t="n">
        <v>2.249774550780194</v>
      </c>
      <c r="AG112" s="14" t="n">
        <v>3378.95954103626</v>
      </c>
      <c r="AH112" s="14" t="n">
        <v>7088.851163817899</v>
      </c>
      <c r="AI112" s="14" t="n">
        <v>7698.973404996939</v>
      </c>
      <c r="AJ112" s="14" t="n">
        <v>8651.962009409614</v>
      </c>
      <c r="AK112" s="14" t="n">
        <v>8852.789830697207</v>
      </c>
      <c r="AL112" s="14" t="n">
        <v>10373.59041616799</v>
      </c>
      <c r="AM112" s="14" t="n">
        <v>10203.3031955623</v>
      </c>
      <c r="AN112" s="14" t="n">
        <v>11397.65978083748</v>
      </c>
      <c r="AO112" s="14" t="n">
        <v>10710.35450526901</v>
      </c>
      <c r="AP112" s="14" t="n">
        <v>13134.40271771971</v>
      </c>
      <c r="AQ112" s="14" t="n">
        <v>12543.69257810363</v>
      </c>
      <c r="AR112" s="14" t="n">
        <v>14432.39040703136</v>
      </c>
      <c r="AS112" s="14" t="n">
        <v>13558.56499230623</v>
      </c>
      <c r="AT112" s="14" t="n">
        <v>15729.80203813681</v>
      </c>
      <c r="AU112" s="14" t="n">
        <v>16764.99904386271</v>
      </c>
      <c r="AV112" s="14" t="n">
        <v>17076.23340287467</v>
      </c>
      <c r="AW112" s="14" t="n">
        <v>18005.54872000084</v>
      </c>
      <c r="AX112" s="14" t="n">
        <v>24737.71813342226</v>
      </c>
      <c r="AY112" s="14" t="n">
        <v>23197.68116856254</v>
      </c>
      <c r="AZ112" s="14" t="n">
        <v>69554.09873408398</v>
      </c>
      <c r="BA112" s="14" t="n">
        <v>5077.800740894111</v>
      </c>
      <c r="BB112" s="14" t="n">
        <v>5135572.54158688</v>
      </c>
      <c r="BC112" s="14" t="n">
        <v>0</v>
      </c>
      <c r="BD112" s="14" t="n">
        <v>0</v>
      </c>
      <c r="BE112" s="14" t="n">
        <v>110.9423124730135</v>
      </c>
      <c r="BF112" s="14" t="n">
        <v>47.41683377565495</v>
      </c>
      <c r="BG112" s="14" t="n">
        <v>80.36317699857165</v>
      </c>
      <c r="BH112" s="14" t="n">
        <v>91.72287264096872</v>
      </c>
      <c r="BI112" s="14" t="n">
        <v>97.19199742846091</v>
      </c>
      <c r="BJ112" s="14" t="n">
        <v>82.63006047248027</v>
      </c>
      <c r="BK112" s="14" t="n">
        <v>0.05714135580573848</v>
      </c>
      <c r="BL112" s="14" t="n">
        <v>0.8864118977761661</v>
      </c>
      <c r="BM112" s="14" t="n">
        <v>4.790969343782208</v>
      </c>
      <c r="BN112" s="14" t="n">
        <v>0</v>
      </c>
      <c r="BO112" s="14" t="n">
        <v>0</v>
      </c>
      <c r="BP112" s="14" t="n">
        <v>0</v>
      </c>
      <c r="BQ112" s="14" t="inlineStr">
        <is>
          <t>Urban|Deciles|p25|1</t>
        </is>
      </c>
    </row>
    <row r="113">
      <c r="A113" s="14" t="inlineStr">
        <is>
          <t>EGY.distn.bsh.dec.urb.p25.2</t>
        </is>
      </c>
      <c r="B113" s="14" t="inlineStr">
        <is>
          <t>EGY</t>
        </is>
      </c>
      <c r="C113" s="14" t="n">
        <v>2017</v>
      </c>
      <c r="D113" s="14" t="inlineStr">
        <is>
          <t>Urban</t>
        </is>
      </c>
      <c r="E113" s="14" t="inlineStr">
        <is>
          <t>Deciles</t>
        </is>
      </c>
      <c r="F113" s="14" t="inlineStr">
        <is>
          <t>p25</t>
        </is>
      </c>
      <c r="G113" s="14" t="n">
        <v>2</v>
      </c>
      <c r="H113" s="14" t="n">
        <v>0.5885847399370477</v>
      </c>
      <c r="I113" s="14" t="n">
        <v>0</v>
      </c>
      <c r="J113" s="14" t="n">
        <v>2.971030648254274</v>
      </c>
      <c r="K113" s="14" t="n">
        <v>3.057403388734615</v>
      </c>
      <c r="L113" s="14" t="n">
        <v>0</v>
      </c>
      <c r="M113" s="14" t="n">
        <v>1.703191674117518</v>
      </c>
      <c r="N113" s="14" t="n">
        <v>0</v>
      </c>
      <c r="O113" s="14" t="n">
        <v>0.507168957229245</v>
      </c>
      <c r="P113" s="14" t="n">
        <v>0</v>
      </c>
      <c r="Q113" s="14" t="n">
        <v>2.004570275404148</v>
      </c>
      <c r="R113" s="14" t="n">
        <v>47.2381597129129</v>
      </c>
      <c r="S113" s="14" t="n">
        <v>0</v>
      </c>
      <c r="T113" s="14" t="n">
        <v>0</v>
      </c>
      <c r="U113" s="14" t="n">
        <v>0.4400146997032615</v>
      </c>
      <c r="V113" s="14" t="n">
        <v>2.179857788808065</v>
      </c>
      <c r="W113" s="14" t="n">
        <v>0</v>
      </c>
      <c r="X113" s="14" t="n">
        <v>0</v>
      </c>
      <c r="Y113" s="14" t="n">
        <v>0</v>
      </c>
      <c r="Z113" s="14" t="n">
        <v>0</v>
      </c>
      <c r="AA113" s="14" t="n">
        <v>0</v>
      </c>
      <c r="AB113" s="14" t="n">
        <v>1.051065203493188</v>
      </c>
      <c r="AC113" s="14" t="n">
        <v>1.313803722386323</v>
      </c>
      <c r="AD113" s="14" t="n">
        <v>5.003808151588419</v>
      </c>
      <c r="AE113" s="14" t="n">
        <v>0</v>
      </c>
      <c r="AF113" s="14" t="n">
        <v>2.630702474687423</v>
      </c>
      <c r="AG113" s="14" t="n">
        <v>3114.446110884172</v>
      </c>
      <c r="AH113" s="14" t="n">
        <v>7454.287460923828</v>
      </c>
      <c r="AI113" s="14" t="n">
        <v>6769.338032542266</v>
      </c>
      <c r="AJ113" s="14" t="n">
        <v>8871.500921731787</v>
      </c>
      <c r="AK113" s="14" t="n">
        <v>8011.591686415586</v>
      </c>
      <c r="AL113" s="14" t="n">
        <v>9197.127325373349</v>
      </c>
      <c r="AM113" s="14" t="n">
        <v>9838.21535504022</v>
      </c>
      <c r="AN113" s="14" t="n">
        <v>10761.61984775902</v>
      </c>
      <c r="AO113" s="14" t="n">
        <v>11703.16473443051</v>
      </c>
      <c r="AP113" s="14" t="n">
        <v>12936.07935254411</v>
      </c>
      <c r="AQ113" s="14" t="n">
        <v>11564.45924504326</v>
      </c>
      <c r="AR113" s="14" t="n">
        <v>14500.37431022313</v>
      </c>
      <c r="AS113" s="14" t="n">
        <v>12807.42405967878</v>
      </c>
      <c r="AT113" s="14" t="n">
        <v>16051.34106653289</v>
      </c>
      <c r="AU113" s="14" t="n">
        <v>16761.21297621422</v>
      </c>
      <c r="AV113" s="14" t="n">
        <v>18547.4346524196</v>
      </c>
      <c r="AW113" s="14" t="n">
        <v>19752.25101692207</v>
      </c>
      <c r="AX113" s="14" t="n">
        <v>22151.57415332674</v>
      </c>
      <c r="AY113" s="14" t="n">
        <v>24783.07733613282</v>
      </c>
      <c r="AZ113" s="14" t="n">
        <v>68081.61534359097</v>
      </c>
      <c r="BA113" s="14" t="n">
        <v>7376.798377692257</v>
      </c>
      <c r="BB113" s="14" t="n">
        <v>4461857.064115246</v>
      </c>
      <c r="BC113" s="14" t="n">
        <v>0</v>
      </c>
      <c r="BD113" s="14" t="n">
        <v>0</v>
      </c>
      <c r="BE113" s="14" t="n">
        <v>99.92462879148071</v>
      </c>
      <c r="BF113" s="14" t="n">
        <v>67.62866793532579</v>
      </c>
      <c r="BG113" s="14" t="n">
        <v>86.8399581560414</v>
      </c>
      <c r="BH113" s="14" t="n">
        <v>113.9821514568558</v>
      </c>
      <c r="BI113" s="14" t="n">
        <v>101.2942914865899</v>
      </c>
      <c r="BJ113" s="14" t="n">
        <v>97.27400357935744</v>
      </c>
      <c r="BK113" s="14" t="n">
        <v>0.0103330209625581</v>
      </c>
      <c r="BL113" s="14" t="n">
        <v>0.0173555571093439</v>
      </c>
      <c r="BM113" s="14" t="n">
        <v>4.79740905017674</v>
      </c>
      <c r="BN113" s="14" t="n">
        <v>0</v>
      </c>
      <c r="BO113" s="14" t="n">
        <v>0</v>
      </c>
      <c r="BP113" s="14" t="n">
        <v>0</v>
      </c>
      <c r="BQ113" s="14" t="inlineStr">
        <is>
          <t>Urban|Deciles|p25|2</t>
        </is>
      </c>
    </row>
    <row r="114">
      <c r="A114" s="14" t="inlineStr">
        <is>
          <t>EGY.distn.bsh.dec.urb.p25.3</t>
        </is>
      </c>
      <c r="B114" s="14" t="inlineStr">
        <is>
          <t>EGY</t>
        </is>
      </c>
      <c r="C114" s="14" t="n">
        <v>2017</v>
      </c>
      <c r="D114" s="14" t="inlineStr">
        <is>
          <t>Urban</t>
        </is>
      </c>
      <c r="E114" s="14" t="inlineStr">
        <is>
          <t>Deciles</t>
        </is>
      </c>
      <c r="F114" s="14" t="inlineStr">
        <is>
          <t>p25</t>
        </is>
      </c>
      <c r="G114" s="14" t="n">
        <v>3</v>
      </c>
      <c r="H114" s="14" t="n">
        <v>0.5382171711970946</v>
      </c>
      <c r="I114" s="14" t="n">
        <v>0</v>
      </c>
      <c r="J114" s="14" t="n">
        <v>2.999689919601858</v>
      </c>
      <c r="K114" s="14" t="n">
        <v>3.594711505093686</v>
      </c>
      <c r="L114" s="14" t="n">
        <v>0</v>
      </c>
      <c r="M114" s="14" t="n">
        <v>1.593231658302154</v>
      </c>
      <c r="N114" s="14" t="n">
        <v>0</v>
      </c>
      <c r="O114" s="14" t="n">
        <v>0</v>
      </c>
      <c r="P114" s="14" t="n">
        <v>0</v>
      </c>
      <c r="Q114" s="14" t="n">
        <v>2.11239611184234</v>
      </c>
      <c r="R114" s="14" t="n">
        <v>50.05223971328643</v>
      </c>
      <c r="S114" s="14" t="n">
        <v>0</v>
      </c>
      <c r="T114" s="14" t="n">
        <v>0</v>
      </c>
      <c r="U114" s="14" t="n">
        <v>0.6880238527309992</v>
      </c>
      <c r="V114" s="14" t="n">
        <v>2.339852550034166</v>
      </c>
      <c r="W114" s="14" t="n">
        <v>0</v>
      </c>
      <c r="X114" s="14" t="n">
        <v>0</v>
      </c>
      <c r="Y114" s="14" t="n">
        <v>0</v>
      </c>
      <c r="Z114" s="14" t="n">
        <v>0</v>
      </c>
      <c r="AA114" s="14" t="n">
        <v>0</v>
      </c>
      <c r="AB114" s="14" t="n">
        <v>1.040331011882326</v>
      </c>
      <c r="AC114" s="14" t="n">
        <v>1.266804690903653</v>
      </c>
      <c r="AD114" s="14" t="n">
        <v>4.599066805936556</v>
      </c>
      <c r="AE114" s="14" t="n">
        <v>0</v>
      </c>
      <c r="AF114" s="14" t="n">
        <v>2.376439373002269</v>
      </c>
      <c r="AG114" s="14" t="n">
        <v>3175.163124240068</v>
      </c>
      <c r="AH114" s="14" t="n">
        <v>6640.384065535708</v>
      </c>
      <c r="AI114" s="14" t="n">
        <v>6849.471803654077</v>
      </c>
      <c r="AJ114" s="14" t="n">
        <v>8412.982500913893</v>
      </c>
      <c r="AK114" s="14" t="n">
        <v>7934.527072239066</v>
      </c>
      <c r="AL114" s="14" t="n">
        <v>9949.987941515583</v>
      </c>
      <c r="AM114" s="14" t="n">
        <v>9289.933479892967</v>
      </c>
      <c r="AN114" s="14" t="n">
        <v>11022.27203463623</v>
      </c>
      <c r="AO114" s="14" t="n">
        <v>11232.08955974362</v>
      </c>
      <c r="AP114" s="14" t="n">
        <v>11904.20532435219</v>
      </c>
      <c r="AQ114" s="14" t="n">
        <v>12568.77712596599</v>
      </c>
      <c r="AR114" s="14" t="n">
        <v>12809.74875915581</v>
      </c>
      <c r="AS114" s="14" t="n">
        <v>14152.18884550307</v>
      </c>
      <c r="AT114" s="14" t="n">
        <v>15133.78970835859</v>
      </c>
      <c r="AU114" s="14" t="n">
        <v>16353.9697349518</v>
      </c>
      <c r="AV114" s="14" t="n">
        <v>19519.30468450481</v>
      </c>
      <c r="AW114" s="14" t="n">
        <v>17150.55994112143</v>
      </c>
      <c r="AX114" s="14" t="n">
        <v>23525.00645973714</v>
      </c>
      <c r="AY114" s="14" t="n">
        <v>22917.3412971649</v>
      </c>
      <c r="AZ114" s="14" t="n">
        <v>66146.07866769061</v>
      </c>
      <c r="BA114" s="14" t="n">
        <v>8792.476547172169</v>
      </c>
      <c r="BB114" s="14" t="n">
        <v>5006166.409772522</v>
      </c>
      <c r="BC114" s="14" t="n">
        <v>0</v>
      </c>
      <c r="BD114" s="14" t="n">
        <v>0</v>
      </c>
      <c r="BE114" s="14" t="n">
        <v>103.5587890963543</v>
      </c>
      <c r="BF114" s="14" t="n">
        <v>73.57502978378234</v>
      </c>
      <c r="BG114" s="14" t="n">
        <v>97.44590604136262</v>
      </c>
      <c r="BH114" s="14" t="n">
        <v>112.4422462071084</v>
      </c>
      <c r="BI114" s="14" t="n">
        <v>103.8290619246831</v>
      </c>
      <c r="BJ114" s="14" t="n">
        <v>103.3124389454737</v>
      </c>
      <c r="BK114" s="14" t="n">
        <v>0</v>
      </c>
      <c r="BL114" s="14" t="n">
        <v>0</v>
      </c>
      <c r="BM114" s="14" t="n">
        <v>2.553345711066415</v>
      </c>
      <c r="BN114" s="14" t="n">
        <v>0</v>
      </c>
      <c r="BO114" s="14" t="n">
        <v>0</v>
      </c>
      <c r="BP114" s="14" t="n">
        <v>0</v>
      </c>
      <c r="BQ114" s="14" t="inlineStr">
        <is>
          <t>Urban|Deciles|p25|3</t>
        </is>
      </c>
    </row>
    <row r="115">
      <c r="A115" s="14" t="inlineStr">
        <is>
          <t>EGY.distn.bsh.dec.urb.p25.4</t>
        </is>
      </c>
      <c r="B115" s="14" t="inlineStr">
        <is>
          <t>EGY</t>
        </is>
      </c>
      <c r="C115" s="14" t="n">
        <v>2017</v>
      </c>
      <c r="D115" s="14" t="inlineStr">
        <is>
          <t>Urban</t>
        </is>
      </c>
      <c r="E115" s="14" t="inlineStr">
        <is>
          <t>Deciles</t>
        </is>
      </c>
      <c r="F115" s="14" t="inlineStr">
        <is>
          <t>p25</t>
        </is>
      </c>
      <c r="G115" s="14" t="n">
        <v>4</v>
      </c>
      <c r="H115" s="14" t="n">
        <v>0.5449698891694584</v>
      </c>
      <c r="I115" s="14" t="n">
        <v>0</v>
      </c>
      <c r="J115" s="14" t="n">
        <v>2.624074150778023</v>
      </c>
      <c r="K115" s="14" t="n">
        <v>3.104183872523064</v>
      </c>
      <c r="L115" s="14" t="n">
        <v>0</v>
      </c>
      <c r="M115" s="14" t="n">
        <v>1.771816863460491</v>
      </c>
      <c r="N115" s="14" t="n">
        <v>0</v>
      </c>
      <c r="O115" s="14" t="n">
        <v>0</v>
      </c>
      <c r="P115" s="14" t="n">
        <v>0</v>
      </c>
      <c r="Q115" s="14" t="n">
        <v>2.105007209048801</v>
      </c>
      <c r="R115" s="14" t="n">
        <v>42.13806243250023</v>
      </c>
      <c r="S115" s="14" t="n">
        <v>0</v>
      </c>
      <c r="T115" s="14" t="n">
        <v>0</v>
      </c>
      <c r="U115" s="14" t="n">
        <v>0.6364983613302622</v>
      </c>
      <c r="V115" s="14" t="n">
        <v>1.862592182877273</v>
      </c>
      <c r="W115" s="14" t="n">
        <v>0</v>
      </c>
      <c r="X115" s="14" t="n">
        <v>0</v>
      </c>
      <c r="Y115" s="14" t="n">
        <v>0</v>
      </c>
      <c r="Z115" s="14" t="n">
        <v>0</v>
      </c>
      <c r="AA115" s="14" t="n">
        <v>0</v>
      </c>
      <c r="AB115" s="14" t="n">
        <v>0.8040319974639306</v>
      </c>
      <c r="AC115" s="14" t="n">
        <v>1.646248840416686</v>
      </c>
      <c r="AD115" s="14" t="n">
        <v>4.35613055434977</v>
      </c>
      <c r="AE115" s="14" t="n">
        <v>0</v>
      </c>
      <c r="AF115" s="14" t="n">
        <v>2.647770786341096</v>
      </c>
      <c r="AG115" s="14" t="n">
        <v>3408.659640395124</v>
      </c>
      <c r="AH115" s="14" t="n">
        <v>7123.823864677892</v>
      </c>
      <c r="AI115" s="14" t="n">
        <v>6882.719892322064</v>
      </c>
      <c r="AJ115" s="14" t="n">
        <v>8361.608980086754</v>
      </c>
      <c r="AK115" s="14" t="n">
        <v>8430.25055608456</v>
      </c>
      <c r="AL115" s="14" t="n">
        <v>9953.823455929727</v>
      </c>
      <c r="AM115" s="14" t="n">
        <v>9925.309161469146</v>
      </c>
      <c r="AN115" s="14" t="n">
        <v>11193.44941031083</v>
      </c>
      <c r="AO115" s="14" t="n">
        <v>11758.60520558322</v>
      </c>
      <c r="AP115" s="14" t="n">
        <v>12170.69990175288</v>
      </c>
      <c r="AQ115" s="14" t="n">
        <v>12401.11888517454</v>
      </c>
      <c r="AR115" s="14" t="n">
        <v>12859.21674081167</v>
      </c>
      <c r="AS115" s="14" t="n">
        <v>13525.05040866312</v>
      </c>
      <c r="AT115" s="14" t="n">
        <v>14910.05184579891</v>
      </c>
      <c r="AU115" s="14" t="n">
        <v>14754.96074197147</v>
      </c>
      <c r="AV115" s="14" t="n">
        <v>17614.45455703692</v>
      </c>
      <c r="AW115" s="14" t="n">
        <v>18844.88422478826</v>
      </c>
      <c r="AX115" s="14" t="n">
        <v>23306.46116536631</v>
      </c>
      <c r="AY115" s="14" t="n">
        <v>25179.61167652485</v>
      </c>
      <c r="AZ115" s="14" t="n">
        <v>64346.41182561006</v>
      </c>
      <c r="BA115" s="14" t="n">
        <v>10509.16986892984</v>
      </c>
      <c r="BB115" s="14" t="n">
        <v>4971366.461759242</v>
      </c>
      <c r="BC115" s="14" t="n">
        <v>0</v>
      </c>
      <c r="BD115" s="14" t="n">
        <v>0</v>
      </c>
      <c r="BE115" s="14" t="n">
        <v>104.2436906591909</v>
      </c>
      <c r="BF115" s="14" t="n">
        <v>75.45526403656842</v>
      </c>
      <c r="BG115" s="14" t="n">
        <v>100.3267401378473</v>
      </c>
      <c r="BH115" s="14" t="n">
        <v>110.6761569623883</v>
      </c>
      <c r="BI115" s="14" t="n">
        <v>114.8313109410681</v>
      </c>
      <c r="BJ115" s="14" t="n">
        <v>99.11900448084269</v>
      </c>
      <c r="BK115" s="14" t="n">
        <v>0</v>
      </c>
      <c r="BL115" s="14" t="n">
        <v>0</v>
      </c>
      <c r="BM115" s="14" t="n">
        <v>0.5209920301775796</v>
      </c>
      <c r="BN115" s="14" t="n">
        <v>0</v>
      </c>
      <c r="BO115" s="14" t="n">
        <v>0</v>
      </c>
      <c r="BP115" s="14" t="n">
        <v>0</v>
      </c>
      <c r="BQ115" s="14" t="inlineStr">
        <is>
          <t>Urban|Deciles|p25|4</t>
        </is>
      </c>
    </row>
    <row r="116">
      <c r="A116" s="14" t="inlineStr">
        <is>
          <t>EGY.distn.bsh.dec.urb.p25.5</t>
        </is>
      </c>
      <c r="B116" s="14" t="inlineStr">
        <is>
          <t>EGY</t>
        </is>
      </c>
      <c r="C116" s="14" t="n">
        <v>2017</v>
      </c>
      <c r="D116" s="14" t="inlineStr">
        <is>
          <t>Urban</t>
        </is>
      </c>
      <c r="E116" s="14" t="inlineStr">
        <is>
          <t>Deciles</t>
        </is>
      </c>
      <c r="F116" s="14" t="inlineStr">
        <is>
          <t>p25</t>
        </is>
      </c>
      <c r="G116" s="14" t="n">
        <v>5</v>
      </c>
      <c r="H116" s="14" t="n">
        <v>0.5946698675458579</v>
      </c>
      <c r="I116" s="14" t="n">
        <v>0</v>
      </c>
      <c r="J116" s="14" t="n">
        <v>2.679639401018015</v>
      </c>
      <c r="K116" s="14" t="n">
        <v>2.982658806688475</v>
      </c>
      <c r="L116" s="14" t="n">
        <v>0</v>
      </c>
      <c r="M116" s="14" t="n">
        <v>1.857636932329372</v>
      </c>
      <c r="N116" s="14" t="n">
        <v>0</v>
      </c>
      <c r="O116" s="14" t="n">
        <v>0</v>
      </c>
      <c r="P116" s="14" t="n">
        <v>0</v>
      </c>
      <c r="Q116" s="14" t="n">
        <v>2.121260287716166</v>
      </c>
      <c r="R116" s="14" t="n">
        <v>42.71725325645908</v>
      </c>
      <c r="S116" s="14" t="n">
        <v>0</v>
      </c>
      <c r="T116" s="14" t="n">
        <v>0</v>
      </c>
      <c r="U116" s="14" t="n">
        <v>0.8778386245292751</v>
      </c>
      <c r="V116" s="14" t="n">
        <v>2.090105248777121</v>
      </c>
      <c r="W116" s="14" t="n">
        <v>0</v>
      </c>
      <c r="X116" s="14" t="n">
        <v>0</v>
      </c>
      <c r="Y116" s="14" t="n">
        <v>0</v>
      </c>
      <c r="Z116" s="14" t="n">
        <v>0</v>
      </c>
      <c r="AA116" s="14" t="n">
        <v>0</v>
      </c>
      <c r="AB116" s="14" t="n">
        <v>0.7252079708276559</v>
      </c>
      <c r="AC116" s="14" t="n">
        <v>1.746509907350289</v>
      </c>
      <c r="AD116" s="14" t="n">
        <v>4.962483674361645</v>
      </c>
      <c r="AE116" s="14" t="n">
        <v>0</v>
      </c>
      <c r="AF116" s="14" t="n">
        <v>2.682495315058728</v>
      </c>
      <c r="AG116" s="14" t="n">
        <v>3270.044555996364</v>
      </c>
      <c r="AH116" s="14" t="n">
        <v>6975.091160937005</v>
      </c>
      <c r="AI116" s="14" t="n">
        <v>7611.660179651025</v>
      </c>
      <c r="AJ116" s="14" t="n">
        <v>9206.199449389967</v>
      </c>
      <c r="AK116" s="14" t="n">
        <v>8601.74163675938</v>
      </c>
      <c r="AL116" s="14" t="n">
        <v>9233.864841419458</v>
      </c>
      <c r="AM116" s="14" t="n">
        <v>9709.79812531672</v>
      </c>
      <c r="AN116" s="14" t="n">
        <v>10854.14731493697</v>
      </c>
      <c r="AO116" s="14" t="n">
        <v>10901.72715664686</v>
      </c>
      <c r="AP116" s="14" t="n">
        <v>12923.54249921668</v>
      </c>
      <c r="AQ116" s="14" t="n">
        <v>12112.92586500676</v>
      </c>
      <c r="AR116" s="14" t="n">
        <v>14709.53668051603</v>
      </c>
      <c r="AS116" s="14" t="n">
        <v>14084.8542033174</v>
      </c>
      <c r="AT116" s="14" t="n">
        <v>16172.44154291114</v>
      </c>
      <c r="AU116" s="14" t="n">
        <v>15219.79349984025</v>
      </c>
      <c r="AV116" s="14" t="n">
        <v>18999.55625844794</v>
      </c>
      <c r="AW116" s="14" t="n">
        <v>19586.17942601278</v>
      </c>
      <c r="AX116" s="14" t="n">
        <v>24953.51469433747</v>
      </c>
      <c r="AY116" s="14" t="n">
        <v>21923.38674626519</v>
      </c>
      <c r="AZ116" s="14" t="n">
        <v>63319.10618156267</v>
      </c>
      <c r="BA116" s="14" t="n">
        <v>10865.60795825418</v>
      </c>
      <c r="BB116" s="14" t="n">
        <v>4708267.280179742</v>
      </c>
      <c r="BC116" s="14" t="n">
        <v>0</v>
      </c>
      <c r="BD116" s="14" t="n">
        <v>0</v>
      </c>
      <c r="BE116" s="14" t="n">
        <v>111.7242258101059</v>
      </c>
      <c r="BF116" s="14" t="n">
        <v>73.39537561545097</v>
      </c>
      <c r="BG116" s="14" t="n">
        <v>98.93296846845932</v>
      </c>
      <c r="BH116" s="14" t="n">
        <v>103.2684336457434</v>
      </c>
      <c r="BI116" s="14" t="n">
        <v>113.5045472170343</v>
      </c>
      <c r="BJ116" s="14" t="n">
        <v>99.34002185459819</v>
      </c>
      <c r="BK116" s="14" t="n">
        <v>0</v>
      </c>
      <c r="BL116" s="14" t="n">
        <v>0</v>
      </c>
      <c r="BM116" s="14" t="n">
        <v>0.1579913100866486</v>
      </c>
      <c r="BN116" s="14" t="n">
        <v>0</v>
      </c>
      <c r="BO116" s="14" t="n">
        <v>0</v>
      </c>
      <c r="BP116" s="14" t="n">
        <v>0</v>
      </c>
      <c r="BQ116" s="14" t="inlineStr">
        <is>
          <t>Urban|Deciles|p25|5</t>
        </is>
      </c>
    </row>
    <row r="117">
      <c r="A117" s="14" t="inlineStr">
        <is>
          <t>EGY.distn.bsh.dec.urb.p25.6</t>
        </is>
      </c>
      <c r="B117" s="14" t="inlineStr">
        <is>
          <t>EGY</t>
        </is>
      </c>
      <c r="C117" s="14" t="n">
        <v>2017</v>
      </c>
      <c r="D117" s="14" t="inlineStr">
        <is>
          <t>Urban</t>
        </is>
      </c>
      <c r="E117" s="14" t="inlineStr">
        <is>
          <t>Deciles</t>
        </is>
      </c>
      <c r="F117" s="14" t="inlineStr">
        <is>
          <t>p25</t>
        </is>
      </c>
      <c r="G117" s="14" t="n">
        <v>6</v>
      </c>
      <c r="H117" s="14" t="n">
        <v>0.5573084698261377</v>
      </c>
      <c r="I117" s="14" t="n">
        <v>0</v>
      </c>
      <c r="J117" s="14" t="n">
        <v>2.936558815455568</v>
      </c>
      <c r="K117" s="14" t="n">
        <v>2.721803947017862</v>
      </c>
      <c r="L117" s="14" t="n">
        <v>0</v>
      </c>
      <c r="M117" s="14" t="n">
        <v>2.154401045576026</v>
      </c>
      <c r="N117" s="14" t="n">
        <v>0</v>
      </c>
      <c r="O117" s="14" t="n">
        <v>0</v>
      </c>
      <c r="P117" s="14" t="n">
        <v>0</v>
      </c>
      <c r="Q117" s="14" t="n">
        <v>2.167676682678087</v>
      </c>
      <c r="R117" s="14" t="n">
        <v>44.42145657375512</v>
      </c>
      <c r="S117" s="14" t="n">
        <v>0</v>
      </c>
      <c r="T117" s="14" t="n">
        <v>0</v>
      </c>
      <c r="U117" s="14" t="n">
        <v>0.9058620911195503</v>
      </c>
      <c r="V117" s="14" t="n">
        <v>1.998523085131878</v>
      </c>
      <c r="W117" s="14" t="n">
        <v>0</v>
      </c>
      <c r="X117" s="14" t="n">
        <v>0</v>
      </c>
      <c r="Y117" s="14" t="n">
        <v>0</v>
      </c>
      <c r="Z117" s="14" t="n">
        <v>0</v>
      </c>
      <c r="AA117" s="14" t="n">
        <v>0</v>
      </c>
      <c r="AB117" s="14" t="n">
        <v>0.5245414695073272</v>
      </c>
      <c r="AC117" s="14" t="n">
        <v>1.640253563611982</v>
      </c>
      <c r="AD117" s="14" t="n">
        <v>4.799778269343848</v>
      </c>
      <c r="AE117" s="14" t="n">
        <v>0</v>
      </c>
      <c r="AF117" s="14" t="n">
        <v>2.920789190478839</v>
      </c>
      <c r="AG117" s="14" t="n">
        <v>3142.680735063918</v>
      </c>
      <c r="AH117" s="14" t="n">
        <v>6945.222179041859</v>
      </c>
      <c r="AI117" s="14" t="n">
        <v>7702.329611530468</v>
      </c>
      <c r="AJ117" s="14" t="n">
        <v>8981.536822606111</v>
      </c>
      <c r="AK117" s="14" t="n">
        <v>8471.967312916586</v>
      </c>
      <c r="AL117" s="14" t="n">
        <v>10259.85124286245</v>
      </c>
      <c r="AM117" s="14" t="n">
        <v>10490.42333875849</v>
      </c>
      <c r="AN117" s="14" t="n">
        <v>11293.46468549684</v>
      </c>
      <c r="AO117" s="14" t="n">
        <v>11710.17869197198</v>
      </c>
      <c r="AP117" s="14" t="n">
        <v>12433.31027802916</v>
      </c>
      <c r="AQ117" s="14" t="n">
        <v>12527.20985095695</v>
      </c>
      <c r="AR117" s="14" t="n">
        <v>13349.38633981045</v>
      </c>
      <c r="AS117" s="14" t="n">
        <v>12823.29593658429</v>
      </c>
      <c r="AT117" s="14" t="n">
        <v>16052.63905888887</v>
      </c>
      <c r="AU117" s="14" t="n">
        <v>15322.06959668053</v>
      </c>
      <c r="AV117" s="14" t="n">
        <v>19071.93883067139</v>
      </c>
      <c r="AW117" s="14" t="n">
        <v>18549.90038432302</v>
      </c>
      <c r="AX117" s="14" t="n">
        <v>21639.34141468925</v>
      </c>
      <c r="AY117" s="14" t="n">
        <v>23730.41961354229</v>
      </c>
      <c r="AZ117" s="14" t="n">
        <v>69878.13271557995</v>
      </c>
      <c r="BA117" s="14" t="n">
        <v>11882.89040649549</v>
      </c>
      <c r="BB117" s="14" t="n">
        <v>4845717.898418339</v>
      </c>
      <c r="BC117" s="14" t="n">
        <v>0</v>
      </c>
      <c r="BD117" s="14" t="n">
        <v>0</v>
      </c>
      <c r="BE117" s="14" t="n">
        <v>100.2977293807796</v>
      </c>
      <c r="BF117" s="14" t="n">
        <v>67.6420858168843</v>
      </c>
      <c r="BG117" s="14" t="n">
        <v>95.90708363412148</v>
      </c>
      <c r="BH117" s="14" t="n">
        <v>99.76901305704344</v>
      </c>
      <c r="BI117" s="14" t="n">
        <v>102.0095903056622</v>
      </c>
      <c r="BJ117" s="14" t="n">
        <v>100.2106182183752</v>
      </c>
      <c r="BK117" s="14" t="n">
        <v>0</v>
      </c>
      <c r="BL117" s="14" t="n">
        <v>0</v>
      </c>
      <c r="BM117" s="14" t="n">
        <v>0.02392567465961067</v>
      </c>
      <c r="BN117" s="14" t="n">
        <v>0</v>
      </c>
      <c r="BO117" s="14" t="n">
        <v>0</v>
      </c>
      <c r="BP117" s="14" t="n">
        <v>0</v>
      </c>
      <c r="BQ117" s="14" t="inlineStr">
        <is>
          <t>Urban|Deciles|p25|6</t>
        </is>
      </c>
    </row>
    <row r="118">
      <c r="A118" s="14" t="inlineStr">
        <is>
          <t>EGY.distn.bsh.dec.urb.p25.7</t>
        </is>
      </c>
      <c r="B118" s="14" t="inlineStr">
        <is>
          <t>EGY</t>
        </is>
      </c>
      <c r="C118" s="14" t="n">
        <v>2017</v>
      </c>
      <c r="D118" s="14" t="inlineStr">
        <is>
          <t>Urban</t>
        </is>
      </c>
      <c r="E118" s="14" t="inlineStr">
        <is>
          <t>Deciles</t>
        </is>
      </c>
      <c r="F118" s="14" t="inlineStr">
        <is>
          <t>p25</t>
        </is>
      </c>
      <c r="G118" s="14" t="n">
        <v>7</v>
      </c>
      <c r="H118" s="14" t="n">
        <v>0.5268170437261835</v>
      </c>
      <c r="I118" s="14" t="n">
        <v>0</v>
      </c>
      <c r="J118" s="14" t="n">
        <v>2.561820938259079</v>
      </c>
      <c r="K118" s="14" t="n">
        <v>2.457495105809735</v>
      </c>
      <c r="L118" s="14" t="n">
        <v>0</v>
      </c>
      <c r="M118" s="14" t="n">
        <v>1.868693744020379</v>
      </c>
      <c r="N118" s="14" t="n">
        <v>0</v>
      </c>
      <c r="O118" s="14" t="n">
        <v>0</v>
      </c>
      <c r="P118" s="14" t="n">
        <v>0</v>
      </c>
      <c r="Q118" s="14" t="n">
        <v>2.187639832796715</v>
      </c>
      <c r="R118" s="14" t="n">
        <v>45.94313746807973</v>
      </c>
      <c r="S118" s="14" t="n">
        <v>0</v>
      </c>
      <c r="T118" s="14" t="n">
        <v>0</v>
      </c>
      <c r="U118" s="14" t="n">
        <v>1.039519305797674</v>
      </c>
      <c r="V118" s="14" t="n">
        <v>2.00622622133091</v>
      </c>
      <c r="W118" s="14" t="n">
        <v>0</v>
      </c>
      <c r="X118" s="14" t="n">
        <v>0</v>
      </c>
      <c r="Y118" s="14" t="n">
        <v>0</v>
      </c>
      <c r="Z118" s="14" t="n">
        <v>0</v>
      </c>
      <c r="AA118" s="14" t="n">
        <v>0</v>
      </c>
      <c r="AB118" s="14" t="n">
        <v>0.4309384999352059</v>
      </c>
      <c r="AC118" s="14" t="n">
        <v>1.641623847129276</v>
      </c>
      <c r="AD118" s="14" t="n">
        <v>4.03007235243128</v>
      </c>
      <c r="AE118" s="14" t="n">
        <v>0</v>
      </c>
      <c r="AF118" s="14" t="n">
        <v>2.67628352202383</v>
      </c>
      <c r="AG118" s="14" t="n">
        <v>2960.759014387784</v>
      </c>
      <c r="AH118" s="14" t="n">
        <v>7630.070052956159</v>
      </c>
      <c r="AI118" s="14" t="n">
        <v>6748.007855117118</v>
      </c>
      <c r="AJ118" s="14" t="n">
        <v>8462.866492517715</v>
      </c>
      <c r="AK118" s="14" t="n">
        <v>8837.72029769638</v>
      </c>
      <c r="AL118" s="14" t="n">
        <v>9295.232361776809</v>
      </c>
      <c r="AM118" s="14" t="n">
        <v>10350.83798908726</v>
      </c>
      <c r="AN118" s="14" t="n">
        <v>10354.26056593102</v>
      </c>
      <c r="AO118" s="14" t="n">
        <v>11361.64466674979</v>
      </c>
      <c r="AP118" s="14" t="n">
        <v>12880.14181727276</v>
      </c>
      <c r="AQ118" s="14" t="n">
        <v>11969.80752500409</v>
      </c>
      <c r="AR118" s="14" t="n">
        <v>13131.31867468336</v>
      </c>
      <c r="AS118" s="14" t="n">
        <v>14914.1573148387</v>
      </c>
      <c r="AT118" s="14" t="n">
        <v>15553.61983394032</v>
      </c>
      <c r="AU118" s="14" t="n">
        <v>16188.85465929367</v>
      </c>
      <c r="AV118" s="14" t="n">
        <v>17196.10703943204</v>
      </c>
      <c r="AW118" s="14" t="n">
        <v>17820.32803592445</v>
      </c>
      <c r="AX118" s="14" t="n">
        <v>23104.45034797763</v>
      </c>
      <c r="AY118" s="14" t="n">
        <v>25212.18646369494</v>
      </c>
      <c r="AZ118" s="14" t="n">
        <v>65403.89257402527</v>
      </c>
      <c r="BA118" s="14" t="n">
        <v>14639.03181519638</v>
      </c>
      <c r="BB118" s="14" t="n">
        <v>5082765.571507816</v>
      </c>
      <c r="BC118" s="14" t="n">
        <v>0</v>
      </c>
      <c r="BD118" s="14" t="n">
        <v>0</v>
      </c>
      <c r="BE118" s="14" t="n">
        <v>102.8079198687219</v>
      </c>
      <c r="BF118" s="14" t="n">
        <v>70.98411148314968</v>
      </c>
      <c r="BG118" s="14" t="n">
        <v>95.82584352361927</v>
      </c>
      <c r="BH118" s="14" t="n">
        <v>107.7976308464112</v>
      </c>
      <c r="BI118" s="14" t="n">
        <v>103.9533561248638</v>
      </c>
      <c r="BJ118" s="14" t="n">
        <v>100.0455389653067</v>
      </c>
      <c r="BK118" s="14" t="n">
        <v>0</v>
      </c>
      <c r="BL118" s="14" t="n">
        <v>0</v>
      </c>
      <c r="BM118" s="14" t="n">
        <v>0.02170747748831775</v>
      </c>
      <c r="BN118" s="14" t="n">
        <v>0</v>
      </c>
      <c r="BO118" s="14" t="n">
        <v>0</v>
      </c>
      <c r="BP118" s="14" t="n">
        <v>0</v>
      </c>
      <c r="BQ118" s="14" t="inlineStr">
        <is>
          <t>Urban|Deciles|p25|7</t>
        </is>
      </c>
    </row>
    <row r="119">
      <c r="A119" s="14" t="inlineStr">
        <is>
          <t>EGY.distn.bsh.dec.urb.p25.8</t>
        </is>
      </c>
      <c r="B119" s="14" t="inlineStr">
        <is>
          <t>EGY</t>
        </is>
      </c>
      <c r="C119" s="14" t="n">
        <v>2017</v>
      </c>
      <c r="D119" s="14" t="inlineStr">
        <is>
          <t>Urban</t>
        </is>
      </c>
      <c r="E119" s="14" t="inlineStr">
        <is>
          <t>Deciles</t>
        </is>
      </c>
      <c r="F119" s="14" t="inlineStr">
        <is>
          <t>p25</t>
        </is>
      </c>
      <c r="G119" s="14" t="n">
        <v>8</v>
      </c>
      <c r="H119" s="14" t="n">
        <v>0.5847691807792342</v>
      </c>
      <c r="I119" s="14" t="n">
        <v>0</v>
      </c>
      <c r="J119" s="14" t="n">
        <v>2.591587803519457</v>
      </c>
      <c r="K119" s="14" t="n">
        <v>2.353222068598228</v>
      </c>
      <c r="L119" s="14" t="n">
        <v>0</v>
      </c>
      <c r="M119" s="14" t="n">
        <v>2.117568219315464</v>
      </c>
      <c r="N119" s="14" t="n">
        <v>0</v>
      </c>
      <c r="O119" s="14" t="n">
        <v>0</v>
      </c>
      <c r="P119" s="14" t="n">
        <v>0</v>
      </c>
      <c r="Q119" s="14" t="n">
        <v>2.017841479423639</v>
      </c>
      <c r="R119" s="14" t="n">
        <v>42.44016843768088</v>
      </c>
      <c r="S119" s="14" t="n">
        <v>0</v>
      </c>
      <c r="T119" s="14" t="n">
        <v>0</v>
      </c>
      <c r="U119" s="14" t="n">
        <v>1.0329434066377</v>
      </c>
      <c r="V119" s="14" t="n">
        <v>2.047623257189126</v>
      </c>
      <c r="W119" s="14" t="n">
        <v>0</v>
      </c>
      <c r="X119" s="14" t="n">
        <v>0</v>
      </c>
      <c r="Y119" s="14" t="n">
        <v>0</v>
      </c>
      <c r="Z119" s="14" t="n">
        <v>0</v>
      </c>
      <c r="AA119" s="14" t="n">
        <v>0</v>
      </c>
      <c r="AB119" s="14" t="n">
        <v>0.3187973172665067</v>
      </c>
      <c r="AC119" s="14" t="n">
        <v>1.698381324624303</v>
      </c>
      <c r="AD119" s="14" t="n">
        <v>4.233176099555764</v>
      </c>
      <c r="AE119" s="14" t="n">
        <v>0</v>
      </c>
      <c r="AF119" s="14" t="n">
        <v>2.398740282486798</v>
      </c>
      <c r="AG119" s="14" t="n">
        <v>3201.389329753236</v>
      </c>
      <c r="AH119" s="14" t="n">
        <v>7514.356471795782</v>
      </c>
      <c r="AI119" s="14" t="n">
        <v>7353.145518254476</v>
      </c>
      <c r="AJ119" s="14" t="n">
        <v>8042.388289780629</v>
      </c>
      <c r="AK119" s="14" t="n">
        <v>8612.222254506738</v>
      </c>
      <c r="AL119" s="14" t="n">
        <v>10489.58709331286</v>
      </c>
      <c r="AM119" s="14" t="n">
        <v>9130.209004888931</v>
      </c>
      <c r="AN119" s="14" t="n">
        <v>10757.71318691044</v>
      </c>
      <c r="AO119" s="14" t="n">
        <v>10765.31178110055</v>
      </c>
      <c r="AP119" s="14" t="n">
        <v>11556.97066159539</v>
      </c>
      <c r="AQ119" s="14" t="n">
        <v>12354.72849765748</v>
      </c>
      <c r="AR119" s="14" t="n">
        <v>13262.31751327774</v>
      </c>
      <c r="AS119" s="14" t="n">
        <v>14571.27711091204</v>
      </c>
      <c r="AT119" s="14" t="n">
        <v>15812.01649395881</v>
      </c>
      <c r="AU119" s="14" t="n">
        <v>15985.08945055089</v>
      </c>
      <c r="AV119" s="14" t="n">
        <v>18222.47068922974</v>
      </c>
      <c r="AW119" s="14" t="n">
        <v>19007.50742649113</v>
      </c>
      <c r="AX119" s="14" t="n">
        <v>23492.51788462172</v>
      </c>
      <c r="AY119" s="14" t="n">
        <v>21884.81584856795</v>
      </c>
      <c r="AZ119" s="14" t="n">
        <v>68524.88792770055</v>
      </c>
      <c r="BA119" s="14" t="n">
        <v>14632.95080181556</v>
      </c>
      <c r="BB119" s="14" t="n">
        <v>4677031.329864903</v>
      </c>
      <c r="BC119" s="14" t="n">
        <v>0</v>
      </c>
      <c r="BD119" s="14" t="n">
        <v>0</v>
      </c>
      <c r="BE119" s="14" t="n">
        <v>105.8821276439823</v>
      </c>
      <c r="BF119" s="14" t="n">
        <v>67.21026158981108</v>
      </c>
      <c r="BG119" s="14" t="n">
        <v>98.64810396603792</v>
      </c>
      <c r="BH119" s="14" t="n">
        <v>98.03318612850843</v>
      </c>
      <c r="BI119" s="14" t="n">
        <v>98.64652512089347</v>
      </c>
      <c r="BJ119" s="14" t="n">
        <v>99.97052659643327</v>
      </c>
      <c r="BK119" s="14" t="n">
        <v>0</v>
      </c>
      <c r="BL119" s="14" t="n">
        <v>0</v>
      </c>
      <c r="BM119" s="14" t="n">
        <v>0</v>
      </c>
      <c r="BN119" s="14" t="n">
        <v>0</v>
      </c>
      <c r="BO119" s="14" t="n">
        <v>0</v>
      </c>
      <c r="BP119" s="14" t="n">
        <v>0</v>
      </c>
      <c r="BQ119" s="14" t="inlineStr">
        <is>
          <t>Urban|Deciles|p25|8</t>
        </is>
      </c>
    </row>
    <row r="120">
      <c r="A120" s="14" t="inlineStr">
        <is>
          <t>EGY.distn.bsh.dec.urb.p25.9</t>
        </is>
      </c>
      <c r="B120" s="14" t="inlineStr">
        <is>
          <t>EGY</t>
        </is>
      </c>
      <c r="C120" s="14" t="n">
        <v>2017</v>
      </c>
      <c r="D120" s="14" t="inlineStr">
        <is>
          <t>Urban</t>
        </is>
      </c>
      <c r="E120" s="14" t="inlineStr">
        <is>
          <t>Deciles</t>
        </is>
      </c>
      <c r="F120" s="14" t="inlineStr">
        <is>
          <t>p25</t>
        </is>
      </c>
      <c r="G120" s="14" t="n">
        <v>9</v>
      </c>
      <c r="H120" s="14" t="n">
        <v>0.4993895691453785</v>
      </c>
      <c r="I120" s="14" t="n">
        <v>0</v>
      </c>
      <c r="J120" s="14" t="n">
        <v>2.514732064752894</v>
      </c>
      <c r="K120" s="14" t="n">
        <v>1.416924209340271</v>
      </c>
      <c r="L120" s="14" t="n">
        <v>0</v>
      </c>
      <c r="M120" s="14" t="n">
        <v>1.844298288344586</v>
      </c>
      <c r="N120" s="14" t="n">
        <v>0</v>
      </c>
      <c r="O120" s="14" t="n">
        <v>0</v>
      </c>
      <c r="P120" s="14" t="n">
        <v>0</v>
      </c>
      <c r="Q120" s="14" t="n">
        <v>2.351658125730122</v>
      </c>
      <c r="R120" s="14" t="n">
        <v>45.29760677163643</v>
      </c>
      <c r="S120" s="14" t="n">
        <v>0</v>
      </c>
      <c r="T120" s="14" t="n">
        <v>0</v>
      </c>
      <c r="U120" s="14" t="n">
        <v>1.103485423363758</v>
      </c>
      <c r="V120" s="14" t="n">
        <v>2.129695602793911</v>
      </c>
      <c r="W120" s="14" t="n">
        <v>0</v>
      </c>
      <c r="X120" s="14" t="n">
        <v>0</v>
      </c>
      <c r="Y120" s="14" t="n">
        <v>0</v>
      </c>
      <c r="Z120" s="14" t="n">
        <v>0</v>
      </c>
      <c r="AA120" s="14" t="n">
        <v>0</v>
      </c>
      <c r="AB120" s="14" t="n">
        <v>0.2675029145680313</v>
      </c>
      <c r="AC120" s="14" t="n">
        <v>1.821020937126125</v>
      </c>
      <c r="AD120" s="14" t="n">
        <v>3.906911499924071</v>
      </c>
      <c r="AE120" s="14" t="n">
        <v>0</v>
      </c>
      <c r="AF120" s="14" t="n">
        <v>2.133753009225054</v>
      </c>
      <c r="AG120" s="14" t="n">
        <v>3213.679462112968</v>
      </c>
      <c r="AH120" s="14" t="n">
        <v>7504.096733542674</v>
      </c>
      <c r="AI120" s="14" t="n">
        <v>6733.045680328859</v>
      </c>
      <c r="AJ120" s="14" t="n">
        <v>8117.269220574124</v>
      </c>
      <c r="AK120" s="14" t="n">
        <v>8024.434379255169</v>
      </c>
      <c r="AL120" s="14" t="n">
        <v>9906.540800480976</v>
      </c>
      <c r="AM120" s="14" t="n">
        <v>10542.57888913166</v>
      </c>
      <c r="AN120" s="14" t="n">
        <v>10733.89137476748</v>
      </c>
      <c r="AO120" s="14" t="n">
        <v>10247.13323225642</v>
      </c>
      <c r="AP120" s="14" t="n">
        <v>12307.2542062536</v>
      </c>
      <c r="AQ120" s="14" t="n">
        <v>11564.92144274876</v>
      </c>
      <c r="AR120" s="14" t="n">
        <v>13154.83804718643</v>
      </c>
      <c r="AS120" s="14" t="n">
        <v>14412.16856392296</v>
      </c>
      <c r="AT120" s="14" t="n">
        <v>15018.77497190357</v>
      </c>
      <c r="AU120" s="14" t="n">
        <v>15658.25065671983</v>
      </c>
      <c r="AV120" s="14" t="n">
        <v>17438.73266393673</v>
      </c>
      <c r="AW120" s="14" t="n">
        <v>18278.16875009209</v>
      </c>
      <c r="AX120" s="14" t="n">
        <v>22095.99977845893</v>
      </c>
      <c r="AY120" s="14" t="n">
        <v>23387.76726065156</v>
      </c>
      <c r="AZ120" s="14" t="n">
        <v>69472.86036595929</v>
      </c>
      <c r="BA120" s="14" t="n">
        <v>17404.43388587654</v>
      </c>
      <c r="BB120" s="14" t="n">
        <v>4806722.949104073</v>
      </c>
      <c r="BC120" s="14" t="n">
        <v>0</v>
      </c>
      <c r="BD120" s="14" t="n">
        <v>0</v>
      </c>
      <c r="BE120" s="14" t="n">
        <v>101.3676165761962</v>
      </c>
      <c r="BF120" s="14" t="n">
        <v>56.7840239730291</v>
      </c>
      <c r="BG120" s="14" t="n">
        <v>102.4014620615068</v>
      </c>
      <c r="BH120" s="14" t="n">
        <v>104.8293687816306</v>
      </c>
      <c r="BI120" s="14" t="n">
        <v>103.5642317725652</v>
      </c>
      <c r="BJ120" s="14" t="n">
        <v>100.3258435775461</v>
      </c>
      <c r="BK120" s="14" t="n">
        <v>0</v>
      </c>
      <c r="BL120" s="14" t="n">
        <v>0</v>
      </c>
      <c r="BM120" s="14" t="n">
        <v>0</v>
      </c>
      <c r="BN120" s="14" t="n">
        <v>0</v>
      </c>
      <c r="BO120" s="14" t="n">
        <v>0</v>
      </c>
      <c r="BP120" s="14" t="n">
        <v>0</v>
      </c>
      <c r="BQ120" s="14" t="inlineStr">
        <is>
          <t>Urban|Deciles|p25|9</t>
        </is>
      </c>
    </row>
    <row r="121">
      <c r="A121" s="14" t="inlineStr">
        <is>
          <t>EGY.distn.bsh.dec.urb.p25.10</t>
        </is>
      </c>
      <c r="B121" s="14" t="inlineStr">
        <is>
          <t>EGY</t>
        </is>
      </c>
      <c r="C121" s="14" t="n">
        <v>2017</v>
      </c>
      <c r="D121" s="14" t="inlineStr">
        <is>
          <t>Urban</t>
        </is>
      </c>
      <c r="E121" s="14" t="inlineStr">
        <is>
          <t>Deciles</t>
        </is>
      </c>
      <c r="F121" s="14" t="inlineStr">
        <is>
          <t>p25</t>
        </is>
      </c>
      <c r="G121" s="14" t="n">
        <v>10</v>
      </c>
      <c r="H121" s="14" t="n">
        <v>0.4214388412179541</v>
      </c>
      <c r="I121" s="14" t="n">
        <v>0</v>
      </c>
      <c r="J121" s="14" t="n">
        <v>2.645560845651247</v>
      </c>
      <c r="K121" s="14" t="n">
        <v>1.20813080772722</v>
      </c>
      <c r="L121" s="14" t="n">
        <v>0</v>
      </c>
      <c r="M121" s="14" t="n">
        <v>1.770019778018046</v>
      </c>
      <c r="N121" s="14" t="n">
        <v>0</v>
      </c>
      <c r="O121" s="14" t="n">
        <v>0</v>
      </c>
      <c r="P121" s="14" t="n">
        <v>0</v>
      </c>
      <c r="Q121" s="14" t="n">
        <v>2.30464214479364</v>
      </c>
      <c r="R121" s="14" t="n">
        <v>38.05882302105314</v>
      </c>
      <c r="S121" s="14" t="n">
        <v>0</v>
      </c>
      <c r="T121" s="14" t="n">
        <v>0</v>
      </c>
      <c r="U121" s="14" t="n">
        <v>1.343025136355681</v>
      </c>
      <c r="V121" s="14" t="n">
        <v>2.242443813222747</v>
      </c>
      <c r="W121" s="14" t="n">
        <v>0</v>
      </c>
      <c r="X121" s="14" t="n">
        <v>0</v>
      </c>
      <c r="Y121" s="14" t="n">
        <v>0</v>
      </c>
      <c r="Z121" s="14" t="n">
        <v>0</v>
      </c>
      <c r="AA121" s="14" t="n">
        <v>0</v>
      </c>
      <c r="AB121" s="14" t="n">
        <v>0.2067082347192778</v>
      </c>
      <c r="AC121" s="14" t="n">
        <v>1.478116395179178</v>
      </c>
      <c r="AD121" s="14" t="n">
        <v>2.210825145512096</v>
      </c>
      <c r="AE121" s="14" t="n">
        <v>0</v>
      </c>
      <c r="AF121" s="14" t="n">
        <v>1.615747963900407</v>
      </c>
      <c r="AG121" s="14" t="n">
        <v>3313.292999555199</v>
      </c>
      <c r="AH121" s="14" t="n">
        <v>7555.080908964474</v>
      </c>
      <c r="AI121" s="14" t="n">
        <v>6831.541061593532</v>
      </c>
      <c r="AJ121" s="14" t="n">
        <v>8554.314582184037</v>
      </c>
      <c r="AK121" s="14" t="n">
        <v>8187.660313544015</v>
      </c>
      <c r="AL121" s="14" t="n">
        <v>9641.935309404053</v>
      </c>
      <c r="AM121" s="14" t="n">
        <v>9589.560776207925</v>
      </c>
      <c r="AN121" s="14" t="n">
        <v>10137.53295743119</v>
      </c>
      <c r="AO121" s="14" t="n">
        <v>10378.82962054087</v>
      </c>
      <c r="AP121" s="14" t="n">
        <v>12897.60922437352</v>
      </c>
      <c r="AQ121" s="14" t="n">
        <v>12068.93445418718</v>
      </c>
      <c r="AR121" s="14" t="n">
        <v>14842.57957085559</v>
      </c>
      <c r="AS121" s="14" t="n">
        <v>14297.18792825841</v>
      </c>
      <c r="AT121" s="14" t="n">
        <v>16429.01258758285</v>
      </c>
      <c r="AU121" s="14" t="n">
        <v>14879.79045183362</v>
      </c>
      <c r="AV121" s="14" t="n">
        <v>18709.96998189357</v>
      </c>
      <c r="AW121" s="14" t="n">
        <v>18074.40433338968</v>
      </c>
      <c r="AX121" s="14" t="n">
        <v>22764.30999582</v>
      </c>
      <c r="AY121" s="14" t="n">
        <v>22681.4939459037</v>
      </c>
      <c r="AZ121" s="14" t="n">
        <v>65154.78016328913</v>
      </c>
      <c r="BA121" s="14" t="n">
        <v>24905.56976241991</v>
      </c>
      <c r="BB121" s="14" t="n">
        <v>4814080.802502978</v>
      </c>
      <c r="BC121" s="14" t="n">
        <v>0</v>
      </c>
      <c r="BD121" s="14" t="n">
        <v>0</v>
      </c>
      <c r="BE121" s="14" t="n">
        <v>106.5584315855605</v>
      </c>
      <c r="BF121" s="14" t="n">
        <v>54.2708070155885</v>
      </c>
      <c r="BG121" s="14" t="n">
        <v>108.2633045383508</v>
      </c>
      <c r="BH121" s="14" t="n">
        <v>106.6638041365066</v>
      </c>
      <c r="BI121" s="14" t="n">
        <v>107.8292920637555</v>
      </c>
      <c r="BJ121" s="14" t="n">
        <v>93.60846615719986</v>
      </c>
      <c r="BK121" s="14" t="n">
        <v>0</v>
      </c>
      <c r="BL121" s="14" t="n">
        <v>0</v>
      </c>
      <c r="BM121" s="14" t="n">
        <v>0</v>
      </c>
      <c r="BN121" s="14" t="n">
        <v>0</v>
      </c>
      <c r="BO121" s="14" t="n">
        <v>0</v>
      </c>
      <c r="BP121" s="14" t="n">
        <v>0</v>
      </c>
      <c r="BQ121" s="14" t="inlineStr">
        <is>
          <t>Urban|Deciles|p25|10</t>
        </is>
      </c>
    </row>
    <row r="122">
      <c r="A122" s="14" t="inlineStr">
        <is>
          <t>EGY.distn.bsh.bkt.urb.p25.9999</t>
        </is>
      </c>
      <c r="B122" s="14" t="inlineStr">
        <is>
          <t>EGY</t>
        </is>
      </c>
      <c r="C122" s="14" t="n">
        <v>2017</v>
      </c>
      <c r="D122" s="14" t="inlineStr">
        <is>
          <t>Urban</t>
        </is>
      </c>
      <c r="E122" s="14" t="inlineStr">
        <is>
          <t>Basket</t>
        </is>
      </c>
      <c r="F122" s="14" t="inlineStr">
        <is>
          <t>p25</t>
        </is>
      </c>
      <c r="G122" s="14" t="n">
        <v>9999</v>
      </c>
      <c r="H122" s="14" t="n">
        <v>0.5245025962990175</v>
      </c>
      <c r="I122" s="14" t="n">
        <v>0</v>
      </c>
      <c r="J122" s="14" t="n">
        <v>2.662851838729358</v>
      </c>
      <c r="K122" s="14" t="n">
        <v>2.384823206540679</v>
      </c>
      <c r="L122" s="14" t="n">
        <v>0</v>
      </c>
      <c r="M122" s="14" t="n">
        <v>1.638988607515049</v>
      </c>
      <c r="N122" s="14" t="n">
        <v>0</v>
      </c>
      <c r="O122" s="14" t="n">
        <v>0</v>
      </c>
      <c r="P122" s="14" t="n">
        <v>0</v>
      </c>
      <c r="Q122" s="14" t="n">
        <v>1.988064242402876</v>
      </c>
      <c r="R122" s="14" t="n">
        <v>47.69448209655785</v>
      </c>
      <c r="S122" s="14" t="n">
        <v>0</v>
      </c>
      <c r="T122" s="14" t="n">
        <v>0</v>
      </c>
      <c r="U122" s="14" t="n">
        <v>0.7344598585735975</v>
      </c>
      <c r="V122" s="14" t="n">
        <v>2.061486850025589</v>
      </c>
      <c r="W122" s="14" t="n">
        <v>0</v>
      </c>
      <c r="X122" s="14" t="n">
        <v>0</v>
      </c>
      <c r="Y122" s="14" t="n">
        <v>0</v>
      </c>
      <c r="Z122" s="14" t="n">
        <v>0</v>
      </c>
      <c r="AA122" s="14" t="n">
        <v>0</v>
      </c>
      <c r="AB122" s="14" t="n">
        <v>0.4887184662659949</v>
      </c>
      <c r="AC122" s="14" t="n">
        <v>1.391202650479306</v>
      </c>
      <c r="AD122" s="14" t="n">
        <v>4.272445416223241</v>
      </c>
      <c r="AE122" s="14" t="n">
        <v>0</v>
      </c>
      <c r="AF122" s="14" t="n">
        <v>2.591800016756745</v>
      </c>
      <c r="AG122" s="14" t="n">
        <v>3094.08647827185</v>
      </c>
      <c r="AH122" s="14" t="n">
        <v>7441.469820451965</v>
      </c>
      <c r="AI122" s="14" t="n">
        <v>7182.411682364186</v>
      </c>
      <c r="AJ122" s="14" t="n">
        <v>8690.548598527273</v>
      </c>
      <c r="AK122" s="14" t="n">
        <v>8978.868333668574</v>
      </c>
      <c r="AL122" s="14" t="n">
        <v>9620.110062742775</v>
      </c>
      <c r="AM122" s="14" t="n">
        <v>10416.00205940399</v>
      </c>
      <c r="AN122" s="14" t="n">
        <v>11303.5009898004</v>
      </c>
      <c r="AO122" s="14" t="n">
        <v>10290.52309468971</v>
      </c>
      <c r="AP122" s="14" t="n">
        <v>11910.61810323441</v>
      </c>
      <c r="AQ122" s="14" t="n">
        <v>12884.00272800931</v>
      </c>
      <c r="AR122" s="14" t="n">
        <v>14402.26749250606</v>
      </c>
      <c r="AS122" s="14" t="n">
        <v>13259.25243299878</v>
      </c>
      <c r="AT122" s="14" t="n">
        <v>16266.45634377091</v>
      </c>
      <c r="AU122" s="14" t="n">
        <v>14807.84005537619</v>
      </c>
      <c r="AV122" s="14" t="n">
        <v>18695.01727741499</v>
      </c>
      <c r="AW122" s="14" t="n">
        <v>17575.62489813073</v>
      </c>
      <c r="AX122" s="14" t="n">
        <v>21864.51580721669</v>
      </c>
      <c r="AY122" s="14" t="n">
        <v>23044.4357807661</v>
      </c>
      <c r="AZ122" s="14" t="n">
        <v>69566.74717439518</v>
      </c>
      <c r="BA122" s="14" t="n">
        <v>9727.264074196306</v>
      </c>
      <c r="BB122" s="14" t="n">
        <v>50750503.22441697</v>
      </c>
      <c r="BC122" s="14" t="n">
        <v>0</v>
      </c>
      <c r="BD122" s="14" t="n">
        <v>0</v>
      </c>
      <c r="BE122" s="14" t="n">
        <v>102.1356292071411</v>
      </c>
      <c r="BF122" s="14" t="n">
        <v>59.99062354944832</v>
      </c>
      <c r="BG122" s="14" t="n">
        <v>86.50576832295339</v>
      </c>
      <c r="BH122" s="14" t="n">
        <v>99.32909674771876</v>
      </c>
      <c r="BI122" s="14" t="n">
        <v>109.9102328954152</v>
      </c>
      <c r="BJ122" s="14" t="n">
        <v>91.75700319467448</v>
      </c>
      <c r="BK122" s="14" t="n">
        <v>0.07057991639165671</v>
      </c>
      <c r="BL122" s="14" t="n">
        <v>0.8633744643995896</v>
      </c>
      <c r="BM122" s="14" t="n">
        <v>12.5212170015617</v>
      </c>
      <c r="BN122" s="14" t="n">
        <v>0</v>
      </c>
      <c r="BO122" s="14" t="n">
        <v>0</v>
      </c>
      <c r="BP122" s="14" t="n">
        <v>0</v>
      </c>
      <c r="BQ122" s="14" t="inlineStr">
        <is>
          <t>Urban|Basket|p25|9999</t>
        </is>
      </c>
    </row>
    <row r="123">
      <c r="A123" s="14" t="inlineStr">
        <is>
          <t>EGY.distn.bsh.dec.urb.p75.1</t>
        </is>
      </c>
      <c r="B123" s="14" t="inlineStr">
        <is>
          <t>EGY</t>
        </is>
      </c>
      <c r="C123" s="14" t="n">
        <v>2017</v>
      </c>
      <c r="D123" s="14" t="inlineStr">
        <is>
          <t>Urban</t>
        </is>
      </c>
      <c r="E123" s="14" t="inlineStr">
        <is>
          <t>Deciles</t>
        </is>
      </c>
      <c r="F123" s="14" t="inlineStr">
        <is>
          <t>p75</t>
        </is>
      </c>
      <c r="G123" s="14" t="n">
        <v>1</v>
      </c>
      <c r="H123" s="14" t="n">
        <v>1.604989815450524</v>
      </c>
      <c r="I123" s="14" t="n">
        <v>0</v>
      </c>
      <c r="J123" s="14" t="n">
        <v>4.667780653695605</v>
      </c>
      <c r="K123" s="14" t="n">
        <v>7.161113840974481</v>
      </c>
      <c r="L123" s="14" t="n">
        <v>0</v>
      </c>
      <c r="M123" s="14" t="n">
        <v>3.465850332807347</v>
      </c>
      <c r="N123" s="14" t="n">
        <v>0</v>
      </c>
      <c r="O123" s="14" t="n">
        <v>4.669621747377094</v>
      </c>
      <c r="P123" s="14" t="n">
        <v>0</v>
      </c>
      <c r="Q123" s="14" t="n">
        <v>4.411825562848441</v>
      </c>
      <c r="R123" s="14" t="n">
        <v>63.25312966275467</v>
      </c>
      <c r="S123" s="14" t="n">
        <v>0</v>
      </c>
      <c r="T123" s="14" t="n">
        <v>0</v>
      </c>
      <c r="U123" s="14" t="n">
        <v>3.46990340813134</v>
      </c>
      <c r="V123" s="14" t="n">
        <v>10.00098509280146</v>
      </c>
      <c r="W123" s="14" t="n">
        <v>0</v>
      </c>
      <c r="X123" s="14" t="n">
        <v>2.986642410039673</v>
      </c>
      <c r="Y123" s="14" t="n">
        <v>1.291172639064839</v>
      </c>
      <c r="Z123" s="14" t="n">
        <v>0</v>
      </c>
      <c r="AA123" s="14" t="n">
        <v>0</v>
      </c>
      <c r="AB123" s="14" t="n">
        <v>3.47239512773401</v>
      </c>
      <c r="AC123" s="14" t="n">
        <v>7.12051585075626</v>
      </c>
      <c r="AD123" s="14" t="n">
        <v>10.67255038515603</v>
      </c>
      <c r="AE123" s="14" t="n">
        <v>0</v>
      </c>
      <c r="AF123" s="14" t="n">
        <v>6.514899468774606</v>
      </c>
      <c r="AG123" s="14" t="n">
        <v>3077.336930247135</v>
      </c>
      <c r="AH123" s="14" t="n">
        <v>7334.709273374037</v>
      </c>
      <c r="AI123" s="14" t="n">
        <v>6846.479191127239</v>
      </c>
      <c r="AJ123" s="14" t="n">
        <v>7927.458366266354</v>
      </c>
      <c r="AK123" s="14" t="n">
        <v>8731.737637327973</v>
      </c>
      <c r="AL123" s="14" t="n">
        <v>9586.183427464159</v>
      </c>
      <c r="AM123" s="14" t="n">
        <v>10299.31289826653</v>
      </c>
      <c r="AN123" s="14" t="n">
        <v>11058.7051350301</v>
      </c>
      <c r="AO123" s="14" t="n">
        <v>11794.39816743911</v>
      </c>
      <c r="AP123" s="14" t="n">
        <v>12404.0591068816</v>
      </c>
      <c r="AQ123" s="14" t="n">
        <v>12303.65139821963</v>
      </c>
      <c r="AR123" s="14" t="n">
        <v>14771.17565061181</v>
      </c>
      <c r="AS123" s="14" t="n">
        <v>13282.61639957968</v>
      </c>
      <c r="AT123" s="14" t="n">
        <v>16197.80276976247</v>
      </c>
      <c r="AU123" s="14" t="n">
        <v>15931.40135353776</v>
      </c>
      <c r="AV123" s="14" t="n">
        <v>19416.00961122017</v>
      </c>
      <c r="AW123" s="14" t="n">
        <v>17789.3131994914</v>
      </c>
      <c r="AX123" s="14" t="n">
        <v>22897.50410563274</v>
      </c>
      <c r="AY123" s="14" t="n">
        <v>23866.48653610633</v>
      </c>
      <c r="AZ123" s="14" t="n">
        <v>66285.47334043408</v>
      </c>
      <c r="BA123" s="14" t="n">
        <v>6749.166366669577</v>
      </c>
      <c r="BB123" s="14" t="n">
        <v>4868951.12010307</v>
      </c>
      <c r="BC123" s="14" t="n">
        <v>0</v>
      </c>
      <c r="BD123" s="14" t="n">
        <v>0</v>
      </c>
      <c r="BE123" s="14" t="n">
        <v>102.1196690471948</v>
      </c>
      <c r="BF123" s="14" t="n">
        <v>62.87976556290176</v>
      </c>
      <c r="BG123" s="14" t="n">
        <v>92.0857123035799</v>
      </c>
      <c r="BH123" s="14" t="n">
        <v>106.287783541731</v>
      </c>
      <c r="BI123" s="14" t="n">
        <v>102.5318126930122</v>
      </c>
      <c r="BJ123" s="14" t="n">
        <v>99.86111963684286</v>
      </c>
      <c r="BK123" s="14" t="n">
        <v>0.05389618021476603</v>
      </c>
      <c r="BL123" s="14" t="n">
        <v>0.8892587122521675</v>
      </c>
      <c r="BM123" s="14" t="n">
        <v>4.806189846421884</v>
      </c>
      <c r="BN123" s="14" t="n">
        <v>0</v>
      </c>
      <c r="BO123" s="14" t="n">
        <v>0</v>
      </c>
      <c r="BP123" s="14" t="n">
        <v>0</v>
      </c>
      <c r="BQ123" s="14" t="inlineStr">
        <is>
          <t>Urban|Deciles|p75|1</t>
        </is>
      </c>
    </row>
    <row r="124">
      <c r="A124" s="14" t="inlineStr">
        <is>
          <t>EGY.distn.bsh.dec.urb.p75.2</t>
        </is>
      </c>
      <c r="B124" s="14" t="inlineStr">
        <is>
          <t>EGY</t>
        </is>
      </c>
      <c r="C124" s="14" t="n">
        <v>2017</v>
      </c>
      <c r="D124" s="14" t="inlineStr">
        <is>
          <t>Urban</t>
        </is>
      </c>
      <c r="E124" s="14" t="inlineStr">
        <is>
          <t>Deciles</t>
        </is>
      </c>
      <c r="F124" s="14" t="inlineStr">
        <is>
          <t>p75</t>
        </is>
      </c>
      <c r="G124" s="14" t="n">
        <v>2</v>
      </c>
      <c r="H124" s="14" t="n">
        <v>1.768433913690681</v>
      </c>
      <c r="I124" s="14" t="n">
        <v>0</v>
      </c>
      <c r="J124" s="14" t="n">
        <v>4.664736770367917</v>
      </c>
      <c r="K124" s="14" t="n">
        <v>7.984384205798045</v>
      </c>
      <c r="L124" s="14" t="n">
        <v>0</v>
      </c>
      <c r="M124" s="14" t="n">
        <v>3.971165012859839</v>
      </c>
      <c r="N124" s="14" t="n">
        <v>0</v>
      </c>
      <c r="O124" s="14" t="n">
        <v>7.083264509559328</v>
      </c>
      <c r="P124" s="14" t="n">
        <v>0</v>
      </c>
      <c r="Q124" s="14" t="n">
        <v>4.223206779889094</v>
      </c>
      <c r="R124" s="14" t="n">
        <v>65.33182008683688</v>
      </c>
      <c r="S124" s="14" t="n">
        <v>0</v>
      </c>
      <c r="T124" s="14" t="n">
        <v>0</v>
      </c>
      <c r="U124" s="14" t="n">
        <v>3.565884480012526</v>
      </c>
      <c r="V124" s="14" t="n">
        <v>8.111922784740997</v>
      </c>
      <c r="W124" s="14" t="n">
        <v>0</v>
      </c>
      <c r="X124" s="14" t="n">
        <v>2.415808261504297</v>
      </c>
      <c r="Y124" s="14" t="n">
        <v>1.231742207282092</v>
      </c>
      <c r="Z124" s="14" t="n">
        <v>0</v>
      </c>
      <c r="AA124" s="14" t="n">
        <v>0</v>
      </c>
      <c r="AB124" s="14" t="n">
        <v>2.999550780820421</v>
      </c>
      <c r="AC124" s="14" t="n">
        <v>6.850009906165449</v>
      </c>
      <c r="AD124" s="14" t="n">
        <v>9.254296827734931</v>
      </c>
      <c r="AE124" s="14" t="n">
        <v>0</v>
      </c>
      <c r="AF124" s="14" t="n">
        <v>6.680195107268318</v>
      </c>
      <c r="AG124" s="14" t="n">
        <v>3192.3170775358</v>
      </c>
      <c r="AH124" s="14" t="n">
        <v>6885.27281555016</v>
      </c>
      <c r="AI124" s="14" t="n">
        <v>6857.414217698985</v>
      </c>
      <c r="AJ124" s="14" t="n">
        <v>8772.277390437106</v>
      </c>
      <c r="AK124" s="14" t="n">
        <v>9039.952622909623</v>
      </c>
      <c r="AL124" s="14" t="n">
        <v>9604.468745136972</v>
      </c>
      <c r="AM124" s="14" t="n">
        <v>9152.326709577699</v>
      </c>
      <c r="AN124" s="14" t="n">
        <v>10620.62325476781</v>
      </c>
      <c r="AO124" s="14" t="n">
        <v>10877.13668736063</v>
      </c>
      <c r="AP124" s="14" t="n">
        <v>12537.81954872398</v>
      </c>
      <c r="AQ124" s="14" t="n">
        <v>12570.1622989462</v>
      </c>
      <c r="AR124" s="14" t="n">
        <v>12796.59038687681</v>
      </c>
      <c r="AS124" s="14" t="n">
        <v>14135.42028118457</v>
      </c>
      <c r="AT124" s="14" t="n">
        <v>15618.49035417548</v>
      </c>
      <c r="AU124" s="14" t="n">
        <v>16579.36083433961</v>
      </c>
      <c r="AV124" s="14" t="n">
        <v>17717.91379259818</v>
      </c>
      <c r="AW124" s="14" t="n">
        <v>19363.9343001948</v>
      </c>
      <c r="AX124" s="14" t="n">
        <v>24345.7837633462</v>
      </c>
      <c r="AY124" s="14" t="n">
        <v>21797.51135916697</v>
      </c>
      <c r="AZ124" s="14" t="n">
        <v>69658.91386632361</v>
      </c>
      <c r="BA124" s="14" t="n">
        <v>8717.138113866285</v>
      </c>
      <c r="BB124" s="14" t="n">
        <v>4431167.122525274</v>
      </c>
      <c r="BC124" s="14" t="n">
        <v>0</v>
      </c>
      <c r="BD124" s="14" t="n">
        <v>0</v>
      </c>
      <c r="BE124" s="14" t="n">
        <v>99.91243118275628</v>
      </c>
      <c r="BF124" s="14" t="n">
        <v>71.49828380592582</v>
      </c>
      <c r="BG124" s="14" t="n">
        <v>97.88134461668436</v>
      </c>
      <c r="BH124" s="14" t="n">
        <v>114.9384027060895</v>
      </c>
      <c r="BI124" s="14" t="n">
        <v>103.2358384356234</v>
      </c>
      <c r="BJ124" s="14" t="n">
        <v>101.895903965558</v>
      </c>
      <c r="BK124" s="14" t="n">
        <v>0.009961029090144281</v>
      </c>
      <c r="BL124" s="14" t="n">
        <v>0.01855703940581725</v>
      </c>
      <c r="BM124" s="14" t="n">
        <v>4.488375060424151</v>
      </c>
      <c r="BN124" s="14" t="n">
        <v>0</v>
      </c>
      <c r="BO124" s="14" t="n">
        <v>0</v>
      </c>
      <c r="BP124" s="14" t="n">
        <v>0</v>
      </c>
      <c r="BQ124" s="14" t="inlineStr">
        <is>
          <t>Urban|Deciles|p75|2</t>
        </is>
      </c>
    </row>
    <row r="125">
      <c r="A125" s="14" t="inlineStr">
        <is>
          <t>EGY.distn.bsh.dec.urb.p75.3</t>
        </is>
      </c>
      <c r="B125" s="14" t="inlineStr">
        <is>
          <t>EGY</t>
        </is>
      </c>
      <c r="C125" s="14" t="n">
        <v>2017</v>
      </c>
      <c r="D125" s="14" t="inlineStr">
        <is>
          <t>Urban</t>
        </is>
      </c>
      <c r="E125" s="14" t="inlineStr">
        <is>
          <t>Deciles</t>
        </is>
      </c>
      <c r="F125" s="14" t="inlineStr">
        <is>
          <t>p75</t>
        </is>
      </c>
      <c r="G125" s="14" t="n">
        <v>3</v>
      </c>
      <c r="H125" s="14" t="n">
        <v>1.91332845128583</v>
      </c>
      <c r="I125" s="14" t="n">
        <v>0</v>
      </c>
      <c r="J125" s="14" t="n">
        <v>4.492121408728877</v>
      </c>
      <c r="K125" s="14" t="n">
        <v>7.821506757523268</v>
      </c>
      <c r="L125" s="14" t="n">
        <v>0</v>
      </c>
      <c r="M125" s="14" t="n">
        <v>4.145821793508999</v>
      </c>
      <c r="N125" s="14" t="n">
        <v>0</v>
      </c>
      <c r="O125" s="14" t="n">
        <v>7.484393971289345</v>
      </c>
      <c r="P125" s="14" t="n">
        <v>0</v>
      </c>
      <c r="Q125" s="14" t="n">
        <v>4.144338330376254</v>
      </c>
      <c r="R125" s="14" t="n">
        <v>64.73799583197942</v>
      </c>
      <c r="S125" s="14" t="n">
        <v>0</v>
      </c>
      <c r="T125" s="14" t="n">
        <v>0</v>
      </c>
      <c r="U125" s="14" t="n">
        <v>4.321396604837274</v>
      </c>
      <c r="V125" s="14" t="n">
        <v>8.145797878071441</v>
      </c>
      <c r="W125" s="14" t="n">
        <v>0</v>
      </c>
      <c r="X125" s="14" t="n">
        <v>2.303674173436542</v>
      </c>
      <c r="Y125" s="14" t="n">
        <v>1.046976078827633</v>
      </c>
      <c r="Z125" s="14" t="n">
        <v>0</v>
      </c>
      <c r="AA125" s="14" t="n">
        <v>0</v>
      </c>
      <c r="AB125" s="14" t="n">
        <v>3.215874706210616</v>
      </c>
      <c r="AC125" s="14" t="n">
        <v>6.991187409385993</v>
      </c>
      <c r="AD125" s="14" t="n">
        <v>9.070196410463952</v>
      </c>
      <c r="AE125" s="14" t="n">
        <v>0</v>
      </c>
      <c r="AF125" s="14" t="n">
        <v>6.345470737829901</v>
      </c>
      <c r="AG125" s="14" t="n">
        <v>3039.034234866422</v>
      </c>
      <c r="AH125" s="14" t="n">
        <v>6703.476435746556</v>
      </c>
      <c r="AI125" s="14" t="n">
        <v>7662.76163051114</v>
      </c>
      <c r="AJ125" s="14" t="n">
        <v>8685.835819681286</v>
      </c>
      <c r="AK125" s="14" t="n">
        <v>9209.885377089504</v>
      </c>
      <c r="AL125" s="14" t="n">
        <v>9987.463343345431</v>
      </c>
      <c r="AM125" s="14" t="n">
        <v>9957.944089071259</v>
      </c>
      <c r="AN125" s="14" t="n">
        <v>10911.91655939194</v>
      </c>
      <c r="AO125" s="14" t="n">
        <v>11471.57524356192</v>
      </c>
      <c r="AP125" s="14" t="n">
        <v>12391.2737802483</v>
      </c>
      <c r="AQ125" s="14" t="n">
        <v>11426.78705755632</v>
      </c>
      <c r="AR125" s="14" t="n">
        <v>12856.03845496054</v>
      </c>
      <c r="AS125" s="14" t="n">
        <v>13238.96953430279</v>
      </c>
      <c r="AT125" s="14" t="n">
        <v>14955.55797413039</v>
      </c>
      <c r="AU125" s="14" t="n">
        <v>16059.50810093224</v>
      </c>
      <c r="AV125" s="14" t="n">
        <v>17723.23107530899</v>
      </c>
      <c r="AW125" s="14" t="n">
        <v>18562.46758623424</v>
      </c>
      <c r="AX125" s="14" t="n">
        <v>22791.12164323934</v>
      </c>
      <c r="AY125" s="14" t="n">
        <v>23260.8294912417</v>
      </c>
      <c r="AZ125" s="14" t="n">
        <v>70025.44480064565</v>
      </c>
      <c r="BA125" s="14" t="n">
        <v>10321.76775663628</v>
      </c>
      <c r="BB125" s="14" t="n">
        <v>4793921.840551379</v>
      </c>
      <c r="BC125" s="14" t="n">
        <v>0</v>
      </c>
      <c r="BD125" s="14" t="n">
        <v>0</v>
      </c>
      <c r="BE125" s="14" t="n">
        <v>100.5808274207743</v>
      </c>
      <c r="BF125" s="14" t="n">
        <v>72.71157220253868</v>
      </c>
      <c r="BG125" s="14" t="n">
        <v>92.02571405748701</v>
      </c>
      <c r="BH125" s="14" t="n">
        <v>111.7530372369942</v>
      </c>
      <c r="BI125" s="14" t="n">
        <v>107.8716634316118</v>
      </c>
      <c r="BJ125" s="14" t="n">
        <v>96.34632390391903</v>
      </c>
      <c r="BK125" s="14" t="n">
        <v>0</v>
      </c>
      <c r="BL125" s="14" t="n">
        <v>0</v>
      </c>
      <c r="BM125" s="14" t="n">
        <v>2.626738149066436</v>
      </c>
      <c r="BN125" s="14" t="n">
        <v>0</v>
      </c>
      <c r="BO125" s="14" t="n">
        <v>0</v>
      </c>
      <c r="BP125" s="14" t="n">
        <v>0</v>
      </c>
      <c r="BQ125" s="14" t="inlineStr">
        <is>
          <t>Urban|Deciles|p75|3</t>
        </is>
      </c>
    </row>
    <row r="126">
      <c r="A126" s="14" t="inlineStr">
        <is>
          <t>EGY.distn.bsh.dec.urb.p75.4</t>
        </is>
      </c>
      <c r="B126" s="14" t="inlineStr">
        <is>
          <t>EGY</t>
        </is>
      </c>
      <c r="C126" s="14" t="n">
        <v>2017</v>
      </c>
      <c r="D126" s="14" t="inlineStr">
        <is>
          <t>Urban</t>
        </is>
      </c>
      <c r="E126" s="14" t="inlineStr">
        <is>
          <t>Deciles</t>
        </is>
      </c>
      <c r="F126" s="14" t="inlineStr">
        <is>
          <t>p75</t>
        </is>
      </c>
      <c r="G126" s="14" t="n">
        <v>4</v>
      </c>
      <c r="H126" s="14" t="n">
        <v>1.732969469806251</v>
      </c>
      <c r="I126" s="14" t="n">
        <v>0</v>
      </c>
      <c r="J126" s="14" t="n">
        <v>4.765951480804159</v>
      </c>
      <c r="K126" s="14" t="n">
        <v>8.012347584679214</v>
      </c>
      <c r="L126" s="14" t="n">
        <v>0</v>
      </c>
      <c r="M126" s="14" t="n">
        <v>4.095620689481644</v>
      </c>
      <c r="N126" s="14" t="n">
        <v>0</v>
      </c>
      <c r="O126" s="14" t="n">
        <v>7.429779773739958</v>
      </c>
      <c r="P126" s="14" t="n">
        <v>0</v>
      </c>
      <c r="Q126" s="14" t="n">
        <v>3.958349153633771</v>
      </c>
      <c r="R126" s="14" t="n">
        <v>59.17954466212554</v>
      </c>
      <c r="S126" s="14" t="n">
        <v>0</v>
      </c>
      <c r="T126" s="14" t="n">
        <v>0</v>
      </c>
      <c r="U126" s="14" t="n">
        <v>4.008047869517207</v>
      </c>
      <c r="V126" s="14" t="n">
        <v>6.98564299988157</v>
      </c>
      <c r="W126" s="14" t="n">
        <v>0</v>
      </c>
      <c r="X126" s="14" t="n">
        <v>2.082674303032931</v>
      </c>
      <c r="Y126" s="14" t="n">
        <v>1.11664137248227</v>
      </c>
      <c r="Z126" s="14" t="n">
        <v>0</v>
      </c>
      <c r="AA126" s="14" t="n">
        <v>0</v>
      </c>
      <c r="AB126" s="14" t="n">
        <v>3.373027780250529</v>
      </c>
      <c r="AC126" s="14" t="n">
        <v>8.198598836064896</v>
      </c>
      <c r="AD126" s="14" t="n">
        <v>9.56746795300147</v>
      </c>
      <c r="AE126" s="14" t="n">
        <v>0</v>
      </c>
      <c r="AF126" s="14" t="n">
        <v>7.597974383490056</v>
      </c>
      <c r="AG126" s="14" t="n">
        <v>3131.509005154522</v>
      </c>
      <c r="AH126" s="14" t="n">
        <v>7108.421061970003</v>
      </c>
      <c r="AI126" s="14" t="n">
        <v>7369.893665489894</v>
      </c>
      <c r="AJ126" s="14" t="n">
        <v>9142.011572855201</v>
      </c>
      <c r="AK126" s="14" t="n">
        <v>8035.969346637275</v>
      </c>
      <c r="AL126" s="14" t="n">
        <v>9246.080274966196</v>
      </c>
      <c r="AM126" s="14" t="n">
        <v>10106.82470318472</v>
      </c>
      <c r="AN126" s="14" t="n">
        <v>10299.51142227837</v>
      </c>
      <c r="AO126" s="14" t="n">
        <v>11086.60102770492</v>
      </c>
      <c r="AP126" s="14" t="n">
        <v>12363.6501771389</v>
      </c>
      <c r="AQ126" s="14" t="n">
        <v>11833.99856259382</v>
      </c>
      <c r="AR126" s="14" t="n">
        <v>14420.91168007817</v>
      </c>
      <c r="AS126" s="14" t="n">
        <v>14776.31316465901</v>
      </c>
      <c r="AT126" s="14" t="n">
        <v>14932.91392275956</v>
      </c>
      <c r="AU126" s="14" t="n">
        <v>16282.50080892778</v>
      </c>
      <c r="AV126" s="14" t="n">
        <v>19731.81731404066</v>
      </c>
      <c r="AW126" s="14" t="n">
        <v>18035.47730015207</v>
      </c>
      <c r="AX126" s="14" t="n">
        <v>23304.61190681018</v>
      </c>
      <c r="AY126" s="14" t="n">
        <v>23017.56307533929</v>
      </c>
      <c r="AZ126" s="14" t="n">
        <v>67153.62286218313</v>
      </c>
      <c r="BA126" s="14" t="n">
        <v>10966.21469646484</v>
      </c>
      <c r="BB126" s="14" t="n">
        <v>4423040.354911643</v>
      </c>
      <c r="BC126" s="14" t="n">
        <v>0</v>
      </c>
      <c r="BD126" s="14" t="n">
        <v>0</v>
      </c>
      <c r="BE126" s="14" t="n">
        <v>109.3291291830662</v>
      </c>
      <c r="BF126" s="14" t="n">
        <v>76.25966691791768</v>
      </c>
      <c r="BG126" s="14" t="n">
        <v>107.53306447874</v>
      </c>
      <c r="BH126" s="14" t="n">
        <v>99.32152015492009</v>
      </c>
      <c r="BI126" s="14" t="n">
        <v>110.4254237709703</v>
      </c>
      <c r="BJ126" s="14" t="n">
        <v>100.9903175488286</v>
      </c>
      <c r="BK126" s="14" t="n">
        <v>0</v>
      </c>
      <c r="BL126" s="14" t="n">
        <v>0</v>
      </c>
      <c r="BM126" s="14" t="n">
        <v>0.5033431487201893</v>
      </c>
      <c r="BN126" s="14" t="n">
        <v>0</v>
      </c>
      <c r="BO126" s="14" t="n">
        <v>0</v>
      </c>
      <c r="BP126" s="14" t="n">
        <v>0</v>
      </c>
      <c r="BQ126" s="14" t="inlineStr">
        <is>
          <t>Urban|Deciles|p75|4</t>
        </is>
      </c>
    </row>
    <row r="127">
      <c r="A127" s="14" t="inlineStr">
        <is>
          <t>EGY.distn.bsh.dec.urb.p75.5</t>
        </is>
      </c>
      <c r="B127" s="14" t="inlineStr">
        <is>
          <t>EGY</t>
        </is>
      </c>
      <c r="C127" s="14" t="n">
        <v>2017</v>
      </c>
      <c r="D127" s="14" t="inlineStr">
        <is>
          <t>Urban</t>
        </is>
      </c>
      <c r="E127" s="14" t="inlineStr">
        <is>
          <t>Deciles</t>
        </is>
      </c>
      <c r="F127" s="14" t="inlineStr">
        <is>
          <t>p75</t>
        </is>
      </c>
      <c r="G127" s="14" t="n">
        <v>5</v>
      </c>
      <c r="H127" s="14" t="n">
        <v>1.909981087124542</v>
      </c>
      <c r="I127" s="14" t="n">
        <v>0</v>
      </c>
      <c r="J127" s="14" t="n">
        <v>4.738396013288808</v>
      </c>
      <c r="K127" s="14" t="n">
        <v>8.205270611984695</v>
      </c>
      <c r="L127" s="14" t="n">
        <v>0</v>
      </c>
      <c r="M127" s="14" t="n">
        <v>4.666943923584097</v>
      </c>
      <c r="N127" s="14" t="n">
        <v>0</v>
      </c>
      <c r="O127" s="14" t="n">
        <v>7.69030686968772</v>
      </c>
      <c r="P127" s="14" t="n">
        <v>0</v>
      </c>
      <c r="Q127" s="14" t="n">
        <v>4.242967430079165</v>
      </c>
      <c r="R127" s="14" t="n">
        <v>60.54488105981805</v>
      </c>
      <c r="S127" s="14" t="n">
        <v>0</v>
      </c>
      <c r="T127" s="14" t="n">
        <v>0</v>
      </c>
      <c r="U127" s="14" t="n">
        <v>4.825046260078473</v>
      </c>
      <c r="V127" s="14" t="n">
        <v>6.926442062982328</v>
      </c>
      <c r="W127" s="14" t="n">
        <v>0</v>
      </c>
      <c r="X127" s="14" t="n">
        <v>1.966700885415794</v>
      </c>
      <c r="Y127" s="14" t="n">
        <v>1.150058465795338</v>
      </c>
      <c r="Z127" s="14" t="n">
        <v>0</v>
      </c>
      <c r="AA127" s="14" t="n">
        <v>0</v>
      </c>
      <c r="AB127" s="14" t="n">
        <v>2.989950789321951</v>
      </c>
      <c r="AC127" s="14" t="n">
        <v>8.252024442008297</v>
      </c>
      <c r="AD127" s="14" t="n">
        <v>10.32001181513703</v>
      </c>
      <c r="AE127" s="14" t="n">
        <v>0</v>
      </c>
      <c r="AF127" s="14" t="n">
        <v>6.55843232049332</v>
      </c>
      <c r="AG127" s="14" t="n">
        <v>2969.097667412853</v>
      </c>
      <c r="AH127" s="14" t="n">
        <v>7670.808045625596</v>
      </c>
      <c r="AI127" s="14" t="n">
        <v>7221.930916989142</v>
      </c>
      <c r="AJ127" s="14" t="n">
        <v>8273.214901734478</v>
      </c>
      <c r="AK127" s="14" t="n">
        <v>8375.443160539684</v>
      </c>
      <c r="AL127" s="14" t="n">
        <v>9865.283264255746</v>
      </c>
      <c r="AM127" s="14" t="n">
        <v>9657.294466661935</v>
      </c>
      <c r="AN127" s="14" t="n">
        <v>11247.46749362333</v>
      </c>
      <c r="AO127" s="14" t="n">
        <v>10287.71713086689</v>
      </c>
      <c r="AP127" s="14" t="n">
        <v>13200.067965741</v>
      </c>
      <c r="AQ127" s="14" t="n">
        <v>12424.864038438</v>
      </c>
      <c r="AR127" s="14" t="n">
        <v>14219.18927565438</v>
      </c>
      <c r="AS127" s="14" t="n">
        <v>14108.44945668321</v>
      </c>
      <c r="AT127" s="14" t="n">
        <v>15024.97825638555</v>
      </c>
      <c r="AU127" s="14" t="n">
        <v>15268.04061274762</v>
      </c>
      <c r="AV127" s="14" t="n">
        <v>17662.99964140781</v>
      </c>
      <c r="AW127" s="14" t="n">
        <v>18312.75740132348</v>
      </c>
      <c r="AX127" s="14" t="n">
        <v>23616.97477607949</v>
      </c>
      <c r="AY127" s="14" t="n">
        <v>24001.10932825347</v>
      </c>
      <c r="AZ127" s="14" t="n">
        <v>68932.44193675542</v>
      </c>
      <c r="BA127" s="14" t="n">
        <v>13172.63579375291</v>
      </c>
      <c r="BB127" s="14" t="n">
        <v>5016739.695449893</v>
      </c>
      <c r="BC127" s="14" t="n">
        <v>0</v>
      </c>
      <c r="BD127" s="14" t="n">
        <v>0</v>
      </c>
      <c r="BE127" s="14" t="n">
        <v>114.4390930030622</v>
      </c>
      <c r="BF127" s="14" t="n">
        <v>81.25508713876057</v>
      </c>
      <c r="BG127" s="14" t="n">
        <v>97.6495487192755</v>
      </c>
      <c r="BH127" s="14" t="n">
        <v>115.0348368179697</v>
      </c>
      <c r="BI127" s="14" t="n">
        <v>98.6013871101374</v>
      </c>
      <c r="BJ127" s="14" t="n">
        <v>106.1909478304324</v>
      </c>
      <c r="BK127" s="14" t="n">
        <v>0</v>
      </c>
      <c r="BL127" s="14" t="n">
        <v>0</v>
      </c>
      <c r="BM127" s="14" t="n">
        <v>0.1520765832941156</v>
      </c>
      <c r="BN127" s="14" t="n">
        <v>0</v>
      </c>
      <c r="BO127" s="14" t="n">
        <v>0</v>
      </c>
      <c r="BP127" s="14" t="n">
        <v>0</v>
      </c>
      <c r="BQ127" s="14" t="inlineStr">
        <is>
          <t>Urban|Deciles|p75|5</t>
        </is>
      </c>
    </row>
    <row r="128">
      <c r="A128" s="14" t="inlineStr">
        <is>
          <t>EGY.distn.bsh.dec.urb.p75.6</t>
        </is>
      </c>
      <c r="B128" s="14" t="inlineStr">
        <is>
          <t>EGY</t>
        </is>
      </c>
      <c r="C128" s="14" t="n">
        <v>2017</v>
      </c>
      <c r="D128" s="14" t="inlineStr">
        <is>
          <t>Urban</t>
        </is>
      </c>
      <c r="E128" s="14" t="inlineStr">
        <is>
          <t>Deciles</t>
        </is>
      </c>
      <c r="F128" s="14" t="inlineStr">
        <is>
          <t>p75</t>
        </is>
      </c>
      <c r="G128" s="14" t="n">
        <v>6</v>
      </c>
      <c r="H128" s="14" t="n">
        <v>2.081518682953299</v>
      </c>
      <c r="I128" s="14" t="n">
        <v>0</v>
      </c>
      <c r="J128" s="14" t="n">
        <v>4.65172564291975</v>
      </c>
      <c r="K128" s="14" t="n">
        <v>6.84134624200182</v>
      </c>
      <c r="L128" s="14" t="n">
        <v>0</v>
      </c>
      <c r="M128" s="14" t="n">
        <v>4.723712965099396</v>
      </c>
      <c r="N128" s="14" t="n">
        <v>0</v>
      </c>
      <c r="O128" s="14" t="n">
        <v>6.938499941272485</v>
      </c>
      <c r="P128" s="14" t="n">
        <v>0</v>
      </c>
      <c r="Q128" s="14" t="n">
        <v>3.943758755967546</v>
      </c>
      <c r="R128" s="14" t="n">
        <v>60.03906657918474</v>
      </c>
      <c r="S128" s="14" t="n">
        <v>0</v>
      </c>
      <c r="T128" s="14" t="n">
        <v>0</v>
      </c>
      <c r="U128" s="14" t="n">
        <v>4.491159990072838</v>
      </c>
      <c r="V128" s="14" t="n">
        <v>6.452177302555048</v>
      </c>
      <c r="W128" s="14" t="n">
        <v>0</v>
      </c>
      <c r="X128" s="14" t="n">
        <v>1.593083510298899</v>
      </c>
      <c r="Y128" s="14" t="n">
        <v>1.117046607453599</v>
      </c>
      <c r="Z128" s="14" t="n">
        <v>0</v>
      </c>
      <c r="AA128" s="14" t="n">
        <v>0</v>
      </c>
      <c r="AB128" s="14" t="n">
        <v>2.833871428773299</v>
      </c>
      <c r="AC128" s="14" t="n">
        <v>9.452614541455121</v>
      </c>
      <c r="AD128" s="14" t="n">
        <v>9.245073596352572</v>
      </c>
      <c r="AE128" s="14" t="n">
        <v>0</v>
      </c>
      <c r="AF128" s="14" t="n">
        <v>7.261976171599551</v>
      </c>
      <c r="AG128" s="14" t="n">
        <v>2966.226593518215</v>
      </c>
      <c r="AH128" s="14" t="n">
        <v>7317.548428725883</v>
      </c>
      <c r="AI128" s="14" t="n">
        <v>7538.35229066821</v>
      </c>
      <c r="AJ128" s="14" t="n">
        <v>8721.733317690525</v>
      </c>
      <c r="AK128" s="14" t="n">
        <v>7987.961158779258</v>
      </c>
      <c r="AL128" s="14" t="n">
        <v>10330.71596590214</v>
      </c>
      <c r="AM128" s="14" t="n">
        <v>10252.02586561964</v>
      </c>
      <c r="AN128" s="14" t="n">
        <v>10208.53824297569</v>
      </c>
      <c r="AO128" s="14" t="n">
        <v>10877.32497484075</v>
      </c>
      <c r="AP128" s="14" t="n">
        <v>11585.5054848806</v>
      </c>
      <c r="AQ128" s="14" t="n">
        <v>12447.77016160568</v>
      </c>
      <c r="AR128" s="14" t="n">
        <v>14391.71522169983</v>
      </c>
      <c r="AS128" s="14" t="n">
        <v>13463.7684060499</v>
      </c>
      <c r="AT128" s="14" t="n">
        <v>15616.6916316334</v>
      </c>
      <c r="AU128" s="14" t="n">
        <v>16588.68333407169</v>
      </c>
      <c r="AV128" s="14" t="n">
        <v>17115.09917569088</v>
      </c>
      <c r="AW128" s="14" t="n">
        <v>18760.71778164433</v>
      </c>
      <c r="AX128" s="14" t="n">
        <v>23776.04187400884</v>
      </c>
      <c r="AY128" s="14" t="n">
        <v>24620.20326644295</v>
      </c>
      <c r="AZ128" s="14" t="n">
        <v>61534.10988241045</v>
      </c>
      <c r="BA128" s="14" t="n">
        <v>14077.85384355557</v>
      </c>
      <c r="BB128" s="14" t="n">
        <v>5069923.719194369</v>
      </c>
      <c r="BC128" s="14" t="n">
        <v>0</v>
      </c>
      <c r="BD128" s="14" t="n">
        <v>0</v>
      </c>
      <c r="BE128" s="14" t="n">
        <v>114.3023000197948</v>
      </c>
      <c r="BF128" s="14" t="n">
        <v>83.46023960956202</v>
      </c>
      <c r="BG128" s="14" t="n">
        <v>102.5496853602015</v>
      </c>
      <c r="BH128" s="14" t="n">
        <v>110.6024081371964</v>
      </c>
      <c r="BI128" s="14" t="n">
        <v>107.1322466254177</v>
      </c>
      <c r="BJ128" s="14" t="n">
        <v>100.7373293256675</v>
      </c>
      <c r="BK128" s="14" t="n">
        <v>0</v>
      </c>
      <c r="BL128" s="14" t="n">
        <v>0</v>
      </c>
      <c r="BM128" s="14" t="n">
        <v>0.02351343300144814</v>
      </c>
      <c r="BN128" s="14" t="n">
        <v>0</v>
      </c>
      <c r="BO128" s="14" t="n">
        <v>0</v>
      </c>
      <c r="BP128" s="14" t="n">
        <v>0</v>
      </c>
      <c r="BQ128" s="14" t="inlineStr">
        <is>
          <t>Urban|Deciles|p75|6</t>
        </is>
      </c>
    </row>
    <row r="129">
      <c r="A129" s="14" t="inlineStr">
        <is>
          <t>EGY.distn.bsh.dec.urb.p75.7</t>
        </is>
      </c>
      <c r="B129" s="14" t="inlineStr">
        <is>
          <t>EGY</t>
        </is>
      </c>
      <c r="C129" s="14" t="n">
        <v>2017</v>
      </c>
      <c r="D129" s="14" t="inlineStr">
        <is>
          <t>Urban</t>
        </is>
      </c>
      <c r="E129" s="14" t="inlineStr">
        <is>
          <t>Deciles</t>
        </is>
      </c>
      <c r="F129" s="14" t="inlineStr">
        <is>
          <t>p75</t>
        </is>
      </c>
      <c r="G129" s="14" t="n">
        <v>7</v>
      </c>
      <c r="H129" s="14" t="n">
        <v>1.824861436076183</v>
      </c>
      <c r="I129" s="14" t="n">
        <v>0</v>
      </c>
      <c r="J129" s="14" t="n">
        <v>4.565759290917169</v>
      </c>
      <c r="K129" s="14" t="n">
        <v>7.315323839837929</v>
      </c>
      <c r="L129" s="14" t="n">
        <v>0</v>
      </c>
      <c r="M129" s="14" t="n">
        <v>4.93704730396048</v>
      </c>
      <c r="N129" s="14" t="n">
        <v>0</v>
      </c>
      <c r="O129" s="14" t="n">
        <v>6.67936198162388</v>
      </c>
      <c r="P129" s="14" t="n">
        <v>0</v>
      </c>
      <c r="Q129" s="14" t="n">
        <v>4.254430088404981</v>
      </c>
      <c r="R129" s="14" t="n">
        <v>62.18442761190027</v>
      </c>
      <c r="S129" s="14" t="n">
        <v>0</v>
      </c>
      <c r="T129" s="14" t="n">
        <v>0</v>
      </c>
      <c r="U129" s="14" t="n">
        <v>5.47304517860886</v>
      </c>
      <c r="V129" s="14" t="n">
        <v>6.269438005139741</v>
      </c>
      <c r="W129" s="14" t="n">
        <v>0</v>
      </c>
      <c r="X129" s="14" t="n">
        <v>1.598837409894752</v>
      </c>
      <c r="Y129" s="14" t="n">
        <v>1.167766253883763</v>
      </c>
      <c r="Z129" s="14" t="n">
        <v>0</v>
      </c>
      <c r="AA129" s="14" t="n">
        <v>0</v>
      </c>
      <c r="AB129" s="14" t="n">
        <v>2.328228906881607</v>
      </c>
      <c r="AC129" s="14" t="n">
        <v>11.25890597526587</v>
      </c>
      <c r="AD129" s="14" t="n">
        <v>10.63351821762826</v>
      </c>
      <c r="AE129" s="14" t="n">
        <v>0</v>
      </c>
      <c r="AF129" s="14" t="n">
        <v>7.225514816188682</v>
      </c>
      <c r="AG129" s="14" t="n">
        <v>3340.532451475573</v>
      </c>
      <c r="AH129" s="14" t="n">
        <v>6957.819127548524</v>
      </c>
      <c r="AI129" s="14" t="n">
        <v>7159.104375179298</v>
      </c>
      <c r="AJ129" s="14" t="n">
        <v>8715.44804849609</v>
      </c>
      <c r="AK129" s="14" t="n">
        <v>8691.346272918288</v>
      </c>
      <c r="AL129" s="14" t="n">
        <v>9461.432280173492</v>
      </c>
      <c r="AM129" s="14" t="n">
        <v>9745.439395366891</v>
      </c>
      <c r="AN129" s="14" t="n">
        <v>10769.05985619034</v>
      </c>
      <c r="AO129" s="14" t="n">
        <v>10593.80964396306</v>
      </c>
      <c r="AP129" s="14" t="n">
        <v>12802.675944617</v>
      </c>
      <c r="AQ129" s="14" t="n">
        <v>12160.28518113823</v>
      </c>
      <c r="AR129" s="14" t="n">
        <v>14616.97294155939</v>
      </c>
      <c r="AS129" s="14" t="n">
        <v>13103.00374836571</v>
      </c>
      <c r="AT129" s="14" t="n">
        <v>15226.10202532378</v>
      </c>
      <c r="AU129" s="14" t="n">
        <v>16843.26157996919</v>
      </c>
      <c r="AV129" s="14" t="n">
        <v>19774.39386589932</v>
      </c>
      <c r="AW129" s="14" t="n">
        <v>18088.20376587975</v>
      </c>
      <c r="AX129" s="14" t="n">
        <v>24516.78981862414</v>
      </c>
      <c r="AY129" s="14" t="n">
        <v>24975.28624925212</v>
      </c>
      <c r="AZ129" s="14" t="n">
        <v>69124.38905737821</v>
      </c>
      <c r="BA129" s="14" t="n">
        <v>16024.51954214851</v>
      </c>
      <c r="BB129" s="14" t="n">
        <v>4835130.696149804</v>
      </c>
      <c r="BC129" s="14" t="n">
        <v>0</v>
      </c>
      <c r="BD129" s="14" t="n">
        <v>0</v>
      </c>
      <c r="BE129" s="14" t="n">
        <v>111.9414670000072</v>
      </c>
      <c r="BF129" s="14" t="n">
        <v>87.86303924018051</v>
      </c>
      <c r="BG129" s="14" t="n">
        <v>99.51322415489498</v>
      </c>
      <c r="BH129" s="14" t="n">
        <v>108.3313246683322</v>
      </c>
      <c r="BI129" s="14" t="n">
        <v>110.4508184605562</v>
      </c>
      <c r="BJ129" s="14" t="n">
        <v>104.3573993060393</v>
      </c>
      <c r="BK129" s="14" t="n">
        <v>0</v>
      </c>
      <c r="BL129" s="14" t="n">
        <v>0</v>
      </c>
      <c r="BM129" s="14" t="n">
        <v>0.02509539397411624</v>
      </c>
      <c r="BN129" s="14" t="n">
        <v>0</v>
      </c>
      <c r="BO129" s="14" t="n">
        <v>0</v>
      </c>
      <c r="BP129" s="14" t="n">
        <v>0</v>
      </c>
      <c r="BQ129" s="14" t="inlineStr">
        <is>
          <t>Urban|Deciles|p75|7</t>
        </is>
      </c>
    </row>
    <row r="130">
      <c r="A130" s="14" t="inlineStr">
        <is>
          <t>EGY.distn.bsh.dec.urb.p75.8</t>
        </is>
      </c>
      <c r="B130" s="14" t="inlineStr">
        <is>
          <t>EGY</t>
        </is>
      </c>
      <c r="C130" s="14" t="n">
        <v>2017</v>
      </c>
      <c r="D130" s="14" t="inlineStr">
        <is>
          <t>Urban</t>
        </is>
      </c>
      <c r="E130" s="14" t="inlineStr">
        <is>
          <t>Deciles</t>
        </is>
      </c>
      <c r="F130" s="14" t="inlineStr">
        <is>
          <t>p75</t>
        </is>
      </c>
      <c r="G130" s="14" t="n">
        <v>8</v>
      </c>
      <c r="H130" s="14" t="n">
        <v>1.938883893665073</v>
      </c>
      <c r="I130" s="14" t="n">
        <v>0</v>
      </c>
      <c r="J130" s="14" t="n">
        <v>4.504755537012636</v>
      </c>
      <c r="K130" s="14" t="n">
        <v>7.426797525923234</v>
      </c>
      <c r="L130" s="14" t="n">
        <v>0</v>
      </c>
      <c r="M130" s="14" t="n">
        <v>4.909827876615575</v>
      </c>
      <c r="N130" s="14" t="n">
        <v>0</v>
      </c>
      <c r="O130" s="14" t="n">
        <v>4.704237225847933</v>
      </c>
      <c r="P130" s="14" t="n">
        <v>0</v>
      </c>
      <c r="Q130" s="14" t="n">
        <v>4.415303641972157</v>
      </c>
      <c r="R130" s="14" t="n">
        <v>63.18344676959602</v>
      </c>
      <c r="S130" s="14" t="n">
        <v>0</v>
      </c>
      <c r="T130" s="14" t="n">
        <v>0</v>
      </c>
      <c r="U130" s="14" t="n">
        <v>5.189894949489017</v>
      </c>
      <c r="V130" s="14" t="n">
        <v>6.656199615417498</v>
      </c>
      <c r="W130" s="14" t="n">
        <v>0</v>
      </c>
      <c r="X130" s="14" t="n">
        <v>1.25155226464265</v>
      </c>
      <c r="Y130" s="14" t="n">
        <v>1.186476962815805</v>
      </c>
      <c r="Z130" s="14" t="n">
        <v>0</v>
      </c>
      <c r="AA130" s="14" t="n">
        <v>0</v>
      </c>
      <c r="AB130" s="14" t="n">
        <v>2.05068794426517</v>
      </c>
      <c r="AC130" s="14" t="n">
        <v>9.940138207124731</v>
      </c>
      <c r="AD130" s="14" t="n">
        <v>10.75134445152166</v>
      </c>
      <c r="AE130" s="14" t="n">
        <v>0</v>
      </c>
      <c r="AF130" s="14" t="n">
        <v>7.380492284073849</v>
      </c>
      <c r="AG130" s="14" t="n">
        <v>3407.508199476733</v>
      </c>
      <c r="AH130" s="14" t="n">
        <v>7393.187141959539</v>
      </c>
      <c r="AI130" s="14" t="n">
        <v>6857.481159063833</v>
      </c>
      <c r="AJ130" s="14" t="n">
        <v>8388.354051446302</v>
      </c>
      <c r="AK130" s="14" t="n">
        <v>9143.354927489403</v>
      </c>
      <c r="AL130" s="14" t="n">
        <v>10115.68488323728</v>
      </c>
      <c r="AM130" s="14" t="n">
        <v>9490.036837703266</v>
      </c>
      <c r="AN130" s="14" t="n">
        <v>11749.71935746668</v>
      </c>
      <c r="AO130" s="14" t="n">
        <v>11297.95650372631</v>
      </c>
      <c r="AP130" s="14" t="n">
        <v>11888.98162544634</v>
      </c>
      <c r="AQ130" s="14" t="n">
        <v>13054.49428178951</v>
      </c>
      <c r="AR130" s="14" t="n">
        <v>13275.10281798738</v>
      </c>
      <c r="AS130" s="14" t="n">
        <v>13653.34426960185</v>
      </c>
      <c r="AT130" s="14" t="n">
        <v>16632.2801700946</v>
      </c>
      <c r="AU130" s="14" t="n">
        <v>15800.27927817739</v>
      </c>
      <c r="AV130" s="14" t="n">
        <v>18086.89291196528</v>
      </c>
      <c r="AW130" s="14" t="n">
        <v>17289.34932649126</v>
      </c>
      <c r="AX130" s="14" t="n">
        <v>22022.8952779853</v>
      </c>
      <c r="AY130" s="14" t="n">
        <v>22228.38420184008</v>
      </c>
      <c r="AZ130" s="14" t="n">
        <v>67395.4687904311</v>
      </c>
      <c r="BA130" s="14" t="n">
        <v>19885.2748641667</v>
      </c>
      <c r="BB130" s="14" t="n">
        <v>5029117.082109704</v>
      </c>
      <c r="BC130" s="14" t="n">
        <v>0</v>
      </c>
      <c r="BD130" s="14" t="n">
        <v>0</v>
      </c>
      <c r="BE130" s="14" t="n">
        <v>112.8722055571332</v>
      </c>
      <c r="BF130" s="14" t="n">
        <v>80.01605291051091</v>
      </c>
      <c r="BG130" s="14" t="n">
        <v>106.2185136221034</v>
      </c>
      <c r="BH130" s="14" t="n">
        <v>98.78261585308627</v>
      </c>
      <c r="BI130" s="14" t="n">
        <v>99.35227848604376</v>
      </c>
      <c r="BJ130" s="14" t="n">
        <v>107.2689795833558</v>
      </c>
      <c r="BK130" s="14" t="n">
        <v>0</v>
      </c>
      <c r="BL130" s="14" t="n">
        <v>0</v>
      </c>
      <c r="BM130" s="14" t="n">
        <v>0</v>
      </c>
      <c r="BN130" s="14" t="n">
        <v>0</v>
      </c>
      <c r="BO130" s="14" t="n">
        <v>0</v>
      </c>
      <c r="BP130" s="14" t="n">
        <v>0</v>
      </c>
      <c r="BQ130" s="14" t="inlineStr">
        <is>
          <t>Urban|Deciles|p75|8</t>
        </is>
      </c>
    </row>
    <row r="131">
      <c r="A131" s="14" t="inlineStr">
        <is>
          <t>EGY.distn.bsh.dec.urb.p75.9</t>
        </is>
      </c>
      <c r="B131" s="14" t="inlineStr">
        <is>
          <t>EGY</t>
        </is>
      </c>
      <c r="C131" s="14" t="n">
        <v>2017</v>
      </c>
      <c r="D131" s="14" t="inlineStr">
        <is>
          <t>Urban</t>
        </is>
      </c>
      <c r="E131" s="14" t="inlineStr">
        <is>
          <t>Deciles</t>
        </is>
      </c>
      <c r="F131" s="14" t="inlineStr">
        <is>
          <t>p75</t>
        </is>
      </c>
      <c r="G131" s="14" t="n">
        <v>9</v>
      </c>
      <c r="H131" s="14" t="n">
        <v>1.880594623818477</v>
      </c>
      <c r="I131" s="14" t="n">
        <v>0</v>
      </c>
      <c r="J131" s="14" t="n">
        <v>4.632576432185984</v>
      </c>
      <c r="K131" s="14" t="n">
        <v>6.502662957775083</v>
      </c>
      <c r="L131" s="14" t="n">
        <v>0</v>
      </c>
      <c r="M131" s="14" t="n">
        <v>4.702365585376113</v>
      </c>
      <c r="N131" s="14" t="n">
        <v>0</v>
      </c>
      <c r="O131" s="14" t="n">
        <v>1.414436782648165</v>
      </c>
      <c r="P131" s="14" t="n">
        <v>0</v>
      </c>
      <c r="Q131" s="14" t="n">
        <v>4.366779201184806</v>
      </c>
      <c r="R131" s="14" t="n">
        <v>59.57199014424955</v>
      </c>
      <c r="S131" s="14" t="n">
        <v>0</v>
      </c>
      <c r="T131" s="14" t="n">
        <v>0</v>
      </c>
      <c r="U131" s="14" t="n">
        <v>5.722122176158643</v>
      </c>
      <c r="V131" s="14" t="n">
        <v>6.741772113635257</v>
      </c>
      <c r="W131" s="14" t="n">
        <v>0</v>
      </c>
      <c r="X131" s="14" t="n">
        <v>1.187036550066604</v>
      </c>
      <c r="Y131" s="14" t="n">
        <v>1.186754299391662</v>
      </c>
      <c r="Z131" s="14" t="n">
        <v>0</v>
      </c>
      <c r="AA131" s="14" t="n">
        <v>0</v>
      </c>
      <c r="AB131" s="14" t="n">
        <v>1.641460739240636</v>
      </c>
      <c r="AC131" s="14" t="n">
        <v>12.6565507741378</v>
      </c>
      <c r="AD131" s="14" t="n">
        <v>11.382235431273</v>
      </c>
      <c r="AE131" s="14" t="n">
        <v>0</v>
      </c>
      <c r="AF131" s="14" t="n">
        <v>7.115504248169121</v>
      </c>
      <c r="AG131" s="14" t="n">
        <v>3368.352370663402</v>
      </c>
      <c r="AH131" s="14" t="n">
        <v>7125.741172611675</v>
      </c>
      <c r="AI131" s="14" t="n">
        <v>7626.952505587032</v>
      </c>
      <c r="AJ131" s="14" t="n">
        <v>8869.248103109208</v>
      </c>
      <c r="AK131" s="14" t="n">
        <v>8176.924462277329</v>
      </c>
      <c r="AL131" s="14" t="n">
        <v>9533.090695270985</v>
      </c>
      <c r="AM131" s="14" t="n">
        <v>9114.082927888889</v>
      </c>
      <c r="AN131" s="14" t="n">
        <v>10374.99779698606</v>
      </c>
      <c r="AO131" s="14" t="n">
        <v>10730.05294398243</v>
      </c>
      <c r="AP131" s="14" t="n">
        <v>11575.29363058776</v>
      </c>
      <c r="AQ131" s="14" t="n">
        <v>11507.63435286714</v>
      </c>
      <c r="AR131" s="14" t="n">
        <v>14605.46047686997</v>
      </c>
      <c r="AS131" s="14" t="n">
        <v>13217.59017463971</v>
      </c>
      <c r="AT131" s="14" t="n">
        <v>14557.19524295055</v>
      </c>
      <c r="AU131" s="14" t="n">
        <v>15669.10154649097</v>
      </c>
      <c r="AV131" s="14" t="n">
        <v>17803.21322409864</v>
      </c>
      <c r="AW131" s="14" t="n">
        <v>18668.63507527797</v>
      </c>
      <c r="AX131" s="14" t="n">
        <v>21582.89100793208</v>
      </c>
      <c r="AY131" s="14" t="n">
        <v>22028.97885383036</v>
      </c>
      <c r="AZ131" s="14" t="n">
        <v>64327.42309894771</v>
      </c>
      <c r="BA131" s="14" t="n">
        <v>21284.27143910385</v>
      </c>
      <c r="BB131" s="14" t="n">
        <v>4808226.328329143</v>
      </c>
      <c r="BC131" s="14" t="n">
        <v>0</v>
      </c>
      <c r="BD131" s="14" t="n">
        <v>0</v>
      </c>
      <c r="BE131" s="14" t="n">
        <v>108.4803775271193</v>
      </c>
      <c r="BF131" s="14" t="n">
        <v>73.43356683836473</v>
      </c>
      <c r="BG131" s="14" t="n">
        <v>103.0618878534761</v>
      </c>
      <c r="BH131" s="14" t="n">
        <v>102.7415812425084</v>
      </c>
      <c r="BI131" s="14" t="n">
        <v>97.30299933608435</v>
      </c>
      <c r="BJ131" s="14" t="n">
        <v>95.3467002568737</v>
      </c>
      <c r="BK131" s="14" t="n">
        <v>0</v>
      </c>
      <c r="BL131" s="14" t="n">
        <v>0</v>
      </c>
      <c r="BM131" s="14" t="n">
        <v>0</v>
      </c>
      <c r="BN131" s="14" t="n">
        <v>0</v>
      </c>
      <c r="BO131" s="14" t="n">
        <v>0</v>
      </c>
      <c r="BP131" s="14" t="n">
        <v>0</v>
      </c>
      <c r="BQ131" s="14" t="inlineStr">
        <is>
          <t>Urban|Deciles|p75|9</t>
        </is>
      </c>
    </row>
    <row r="132">
      <c r="A132" s="14" t="inlineStr">
        <is>
          <t>EGY.distn.bsh.dec.urb.p75.10</t>
        </is>
      </c>
      <c r="B132" s="14" t="inlineStr">
        <is>
          <t>EGY</t>
        </is>
      </c>
      <c r="C132" s="14" t="n">
        <v>2017</v>
      </c>
      <c r="D132" s="14" t="inlineStr">
        <is>
          <t>Urban</t>
        </is>
      </c>
      <c r="E132" s="14" t="inlineStr">
        <is>
          <t>Deciles</t>
        </is>
      </c>
      <c r="F132" s="14" t="inlineStr">
        <is>
          <t>p75</t>
        </is>
      </c>
      <c r="G132" s="14" t="n">
        <v>10</v>
      </c>
      <c r="H132" s="14" t="n">
        <v>1.916654030433038</v>
      </c>
      <c r="I132" s="14" t="n">
        <v>0</v>
      </c>
      <c r="J132" s="14" t="n">
        <v>4.754218712056072</v>
      </c>
      <c r="K132" s="14" t="n">
        <v>6.595063638685168</v>
      </c>
      <c r="L132" s="14" t="n">
        <v>0</v>
      </c>
      <c r="M132" s="14" t="n">
        <v>5.043113619949766</v>
      </c>
      <c r="N132" s="14" t="n">
        <v>0</v>
      </c>
      <c r="O132" s="14" t="n">
        <v>0</v>
      </c>
      <c r="P132" s="14" t="n">
        <v>0</v>
      </c>
      <c r="Q132" s="14" t="n">
        <v>4.866936078165296</v>
      </c>
      <c r="R132" s="14" t="n">
        <v>56.02824742088323</v>
      </c>
      <c r="S132" s="14" t="n">
        <v>0</v>
      </c>
      <c r="T132" s="14" t="n">
        <v>0</v>
      </c>
      <c r="U132" s="14" t="n">
        <v>6.840575603141793</v>
      </c>
      <c r="V132" s="14" t="n">
        <v>8.104845832225084</v>
      </c>
      <c r="W132" s="14" t="n">
        <v>0</v>
      </c>
      <c r="X132" s="14" t="n">
        <v>0.7911170157210653</v>
      </c>
      <c r="Y132" s="14" t="n">
        <v>1.194249787940056</v>
      </c>
      <c r="Z132" s="14" t="n">
        <v>0</v>
      </c>
      <c r="AA132" s="14" t="n">
        <v>0</v>
      </c>
      <c r="AB132" s="14" t="n">
        <v>1.034469071695434</v>
      </c>
      <c r="AC132" s="14" t="n">
        <v>16.05513428389778</v>
      </c>
      <c r="AD132" s="14" t="n">
        <v>11.6017074914389</v>
      </c>
      <c r="AE132" s="14" t="n">
        <v>0</v>
      </c>
      <c r="AF132" s="14" t="n">
        <v>5.907569376776738</v>
      </c>
      <c r="AG132" s="14" t="n">
        <v>3361.466830894378</v>
      </c>
      <c r="AH132" s="14" t="n">
        <v>6880.284023008743</v>
      </c>
      <c r="AI132" s="14" t="n">
        <v>7644.957175186799</v>
      </c>
      <c r="AJ132" s="14" t="n">
        <v>9022.0034318128</v>
      </c>
      <c r="AK132" s="14" t="n">
        <v>9183.364371052949</v>
      </c>
      <c r="AL132" s="14" t="n">
        <v>9565.408585085597</v>
      </c>
      <c r="AM132" s="14" t="n">
        <v>9235.619431559056</v>
      </c>
      <c r="AN132" s="14" t="n">
        <v>10805.73981913438</v>
      </c>
      <c r="AO132" s="14" t="n">
        <v>10849.30903116898</v>
      </c>
      <c r="AP132" s="14" t="n">
        <v>11860.30067219393</v>
      </c>
      <c r="AQ132" s="14" t="n">
        <v>12550.77693020696</v>
      </c>
      <c r="AR132" s="14" t="n">
        <v>13244.21815911091</v>
      </c>
      <c r="AS132" s="14" t="n">
        <v>13756.1208088427</v>
      </c>
      <c r="AT132" s="14" t="n">
        <v>16517.53509815021</v>
      </c>
      <c r="AU132" s="14" t="n">
        <v>15868.41515129266</v>
      </c>
      <c r="AV132" s="14" t="n">
        <v>19299.14433323889</v>
      </c>
      <c r="AW132" s="14" t="n">
        <v>18836.70754618398</v>
      </c>
      <c r="AX132" s="14" t="n">
        <v>24986.15645420608</v>
      </c>
      <c r="AY132" s="14" t="n">
        <v>24666.94201790195</v>
      </c>
      <c r="AZ132" s="14" t="n">
        <v>70092.23364155204</v>
      </c>
      <c r="BA132" s="14" t="n">
        <v>31659.93151623784</v>
      </c>
      <c r="BB132" s="14" t="n">
        <v>4505304.761642944</v>
      </c>
      <c r="BC132" s="14" t="n">
        <v>0</v>
      </c>
      <c r="BD132" s="14" t="n">
        <v>0</v>
      </c>
      <c r="BE132" s="14" t="n">
        <v>104.7787011451731</v>
      </c>
      <c r="BF132" s="14" t="n">
        <v>81.72060750012349</v>
      </c>
      <c r="BG132" s="14" t="n">
        <v>100.8430904047059</v>
      </c>
      <c r="BH132" s="14" t="n">
        <v>113.8594817223662</v>
      </c>
      <c r="BI132" s="14" t="n">
        <v>90.70576581325513</v>
      </c>
      <c r="BJ132" s="14" t="n">
        <v>100.4200657834109</v>
      </c>
      <c r="BK132" s="14" t="n">
        <v>0</v>
      </c>
      <c r="BL132" s="14" t="n">
        <v>0</v>
      </c>
      <c r="BM132" s="14" t="n">
        <v>0</v>
      </c>
      <c r="BN132" s="14" t="n">
        <v>0</v>
      </c>
      <c r="BO132" s="14" t="n">
        <v>0</v>
      </c>
      <c r="BP132" s="14" t="n">
        <v>0</v>
      </c>
      <c r="BQ132" s="14" t="inlineStr">
        <is>
          <t>Urban|Deciles|p75|10</t>
        </is>
      </c>
    </row>
    <row r="133">
      <c r="A133" s="14" t="inlineStr">
        <is>
          <t>EGY.distn.bsh.bkt.urb.p75.9999</t>
        </is>
      </c>
      <c r="B133" s="14" t="inlineStr">
        <is>
          <t>EGY</t>
        </is>
      </c>
      <c r="C133" s="14" t="n">
        <v>2017</v>
      </c>
      <c r="D133" s="14" t="inlineStr">
        <is>
          <t>Urban</t>
        </is>
      </c>
      <c r="E133" s="14" t="inlineStr">
        <is>
          <t>Basket</t>
        </is>
      </c>
      <c r="F133" s="14" t="inlineStr">
        <is>
          <t>p75</t>
        </is>
      </c>
      <c r="G133" s="14" t="n">
        <v>9999</v>
      </c>
      <c r="H133" s="14" t="n">
        <v>1.879670126416967</v>
      </c>
      <c r="I133" s="14" t="n">
        <v>0</v>
      </c>
      <c r="J133" s="14" t="n">
        <v>4.515490023417352</v>
      </c>
      <c r="K133" s="14" t="n">
        <v>7.541282459859821</v>
      </c>
      <c r="L133" s="14" t="n">
        <v>0</v>
      </c>
      <c r="M133" s="14" t="n">
        <v>4.741233363981917</v>
      </c>
      <c r="N133" s="14" t="n">
        <v>0</v>
      </c>
      <c r="O133" s="14" t="n">
        <v>6.166496847833363</v>
      </c>
      <c r="P133" s="14" t="n">
        <v>0</v>
      </c>
      <c r="Q133" s="14" t="n">
        <v>4.340089524876663</v>
      </c>
      <c r="R133" s="14" t="n">
        <v>64.51429359446135</v>
      </c>
      <c r="S133" s="14" t="n">
        <v>0</v>
      </c>
      <c r="T133" s="14" t="n">
        <v>0</v>
      </c>
      <c r="U133" s="14" t="n">
        <v>4.609073216873757</v>
      </c>
      <c r="V133" s="14" t="n">
        <v>6.957350873343253</v>
      </c>
      <c r="W133" s="14" t="n">
        <v>0</v>
      </c>
      <c r="X133" s="14" t="n">
        <v>1.976496552136423</v>
      </c>
      <c r="Y133" s="14" t="n">
        <v>1.084789754121475</v>
      </c>
      <c r="Z133" s="14" t="n">
        <v>0</v>
      </c>
      <c r="AA133" s="14" t="n">
        <v>0</v>
      </c>
      <c r="AB133" s="14" t="n">
        <v>2.46651266838472</v>
      </c>
      <c r="AC133" s="14" t="n">
        <v>9.904674869723857</v>
      </c>
      <c r="AD133" s="14" t="n">
        <v>9.581575962767486</v>
      </c>
      <c r="AE133" s="14" t="n">
        <v>0</v>
      </c>
      <c r="AF133" s="14" t="n">
        <v>7.223876329365091</v>
      </c>
      <c r="AG133" s="14" t="n">
        <v>3246.979441389542</v>
      </c>
      <c r="AH133" s="14" t="n">
        <v>6931.974890394442</v>
      </c>
      <c r="AI133" s="14" t="n">
        <v>7576.462928957992</v>
      </c>
      <c r="AJ133" s="14" t="n">
        <v>8306.427059716851</v>
      </c>
      <c r="AK133" s="14" t="n">
        <v>8142.428772143275</v>
      </c>
      <c r="AL133" s="14" t="n">
        <v>9449.704115533663</v>
      </c>
      <c r="AM133" s="14" t="n">
        <v>9418.242949592757</v>
      </c>
      <c r="AN133" s="14" t="n">
        <v>11398.72987223799</v>
      </c>
      <c r="AO133" s="14" t="n">
        <v>11491.12125129615</v>
      </c>
      <c r="AP133" s="14" t="n">
        <v>11894.59810985101</v>
      </c>
      <c r="AQ133" s="14" t="n">
        <v>12130.87202938411</v>
      </c>
      <c r="AR133" s="14" t="n">
        <v>14087.96391014236</v>
      </c>
      <c r="AS133" s="14" t="n">
        <v>14346.01494057766</v>
      </c>
      <c r="AT133" s="14" t="n">
        <v>14954.80227691092</v>
      </c>
      <c r="AU133" s="14" t="n">
        <v>14870.44675365657</v>
      </c>
      <c r="AV133" s="14" t="n">
        <v>19495.06217723469</v>
      </c>
      <c r="AW133" s="14" t="n">
        <v>18983.47594865029</v>
      </c>
      <c r="AX133" s="14" t="n">
        <v>23039.92988995589</v>
      </c>
      <c r="AY133" s="14" t="n">
        <v>24648.20869685225</v>
      </c>
      <c r="AZ133" s="14" t="n">
        <v>63858.44223788943</v>
      </c>
      <c r="BA133" s="14" t="n">
        <v>16628.04508673166</v>
      </c>
      <c r="BB133" s="14" t="n">
        <v>44990247.22858617</v>
      </c>
      <c r="BC133" s="14" t="n">
        <v>0</v>
      </c>
      <c r="BD133" s="14" t="n">
        <v>0</v>
      </c>
      <c r="BE133" s="14" t="n">
        <v>110.3998049299507</v>
      </c>
      <c r="BF133" s="14" t="n">
        <v>78.02723011345515</v>
      </c>
      <c r="BG133" s="14" t="n">
        <v>110.0014892613456</v>
      </c>
      <c r="BH133" s="14" t="n">
        <v>105.2904376199782</v>
      </c>
      <c r="BI133" s="14" t="n">
        <v>99.92530232793142</v>
      </c>
      <c r="BJ133" s="14" t="n">
        <v>96.0865577412319</v>
      </c>
      <c r="BK133" s="14" t="n">
        <v>0.06389532429522982</v>
      </c>
      <c r="BL133" s="14" t="n">
        <v>0.9098535015888043</v>
      </c>
      <c r="BM133" s="14" t="n">
        <v>12.95472864080678</v>
      </c>
      <c r="BN133" s="14" t="n">
        <v>0</v>
      </c>
      <c r="BO133" s="14" t="n">
        <v>0</v>
      </c>
      <c r="BP133" s="14" t="n">
        <v>0</v>
      </c>
      <c r="BQ133" s="14" t="inlineStr">
        <is>
          <t>Urban|Basket|p75|9999</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F1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s>
  <sheetData>
    <row r="1">
      <c r="A1" s="13" t="inlineStr">
        <is>
          <t>code</t>
        </is>
      </c>
      <c r="B1" s="13" t="inlineStr">
        <is>
          <t>iso3</t>
        </is>
      </c>
      <c r="C1" s="13" t="inlineStr">
        <is>
          <t>year</t>
        </is>
      </c>
      <c r="D1" s="13" t="inlineStr">
        <is>
          <t>sample</t>
        </is>
      </c>
      <c r="E1" s="13" t="inlineStr">
        <is>
          <t>type</t>
        </is>
      </c>
      <c r="F1" s="13" t="inlineStr">
        <is>
          <t>stat_type</t>
        </is>
      </c>
      <c r="G1" s="13" t="inlineStr">
        <is>
          <t>quant_cons</t>
        </is>
      </c>
      <c r="H1" s="13" t="inlineStr">
        <is>
          <t>ely_elasticity</t>
        </is>
      </c>
      <c r="I1" s="13" t="inlineStr">
        <is>
          <t>nga_elasticity</t>
        </is>
      </c>
      <c r="J1" s="13" t="inlineStr">
        <is>
          <t>gso_elasticity</t>
        </is>
      </c>
      <c r="K1" s="13" t="inlineStr">
        <is>
          <t>die_elasticity</t>
        </is>
      </c>
      <c r="L1" s="13" t="inlineStr">
        <is>
          <t>coa_elasticity</t>
        </is>
      </c>
      <c r="M1" s="13" t="inlineStr">
        <is>
          <t>oil_elasticity</t>
        </is>
      </c>
      <c r="N1" s="13" t="inlineStr">
        <is>
          <t>lpg_elasticity</t>
        </is>
      </c>
      <c r="O1" s="13" t="inlineStr">
        <is>
          <t>ker_elasticity</t>
        </is>
      </c>
      <c r="P1" s="13" t="inlineStr">
        <is>
          <t>ccl_elasticity</t>
        </is>
      </c>
      <c r="Q1" s="13" t="inlineStr">
        <is>
          <t>fwd_elasticity</t>
        </is>
      </c>
      <c r="R1" s="13" t="inlineStr">
        <is>
          <t>appliances_elasticity</t>
        </is>
      </c>
      <c r="S1" s="13" t="inlineStr">
        <is>
          <t>chemicals_elasticity</t>
        </is>
      </c>
      <c r="T1" s="13" t="inlineStr">
        <is>
          <t>clothing_elasticity</t>
        </is>
      </c>
      <c r="U1" s="13" t="inlineStr">
        <is>
          <t>communications_elasticity</t>
        </is>
      </c>
      <c r="V1" s="13" t="inlineStr">
        <is>
          <t>education_elasticity</t>
        </is>
      </c>
      <c r="W1" s="13" t="inlineStr">
        <is>
          <t>food_elasticity</t>
        </is>
      </c>
      <c r="X1" s="13" t="inlineStr">
        <is>
          <t>health_srv_elasticity</t>
        </is>
      </c>
      <c r="Y1" s="13" t="inlineStr">
        <is>
          <t>housing_elasticity</t>
        </is>
      </c>
      <c r="Z1" s="13" t="inlineStr">
        <is>
          <t>other_elasticity</t>
        </is>
      </c>
      <c r="AA1" s="13" t="inlineStr">
        <is>
          <t>paper_elasticity</t>
        </is>
      </c>
      <c r="AB1" s="13" t="inlineStr">
        <is>
          <t>pharma_elasticity</t>
        </is>
      </c>
      <c r="AC1" s="13" t="inlineStr">
        <is>
          <t>rectourism_elasticity</t>
        </is>
      </c>
      <c r="AD1" s="13" t="inlineStr">
        <is>
          <t>transp_eqt_elasticity</t>
        </is>
      </c>
      <c r="AE1" s="13" t="inlineStr">
        <is>
          <t>transp_pub_elasticity</t>
        </is>
      </c>
      <c r="AF1" s="13" t="inlineStr">
        <is>
          <t>key</t>
        </is>
      </c>
    </row>
    <row r="2">
      <c r="A2" s="14" t="inlineStr">
        <is>
          <t>EGY.distn.dec.ove.mean.1</t>
        </is>
      </c>
      <c r="B2" s="14" t="inlineStr">
        <is>
          <t>EGY</t>
        </is>
      </c>
      <c r="C2" s="14" t="n">
        <v>2005</v>
      </c>
      <c r="D2" s="14" t="inlineStr">
        <is>
          <t>Overall</t>
        </is>
      </c>
      <c r="E2" s="14" t="inlineStr">
        <is>
          <t>Deciles</t>
        </is>
      </c>
      <c r="F2" s="14" t="inlineStr">
        <is>
          <t>mean</t>
        </is>
      </c>
      <c r="G2" s="14" t="n">
        <v>1</v>
      </c>
      <c r="H2" s="14" t="n">
        <v>-0.7902569174766541</v>
      </c>
      <c r="I2" s="14" t="n">
        <v>-0.7902569174766541</v>
      </c>
      <c r="J2" s="14" t="n">
        <v>-0.9036660194396973</v>
      </c>
      <c r="K2" s="14" t="n">
        <v>-0.9036660194396973</v>
      </c>
      <c r="L2" s="14" t="n">
        <v>-0.7902569174766541</v>
      </c>
      <c r="M2" s="14" t="n">
        <v>-0.7902569174766541</v>
      </c>
      <c r="N2" s="14" t="n">
        <v>-0.7902569174766541</v>
      </c>
      <c r="O2" s="14" t="n">
        <v>-0.7902569174766541</v>
      </c>
      <c r="P2" s="14" t="n">
        <v>-0.7902569174766541</v>
      </c>
      <c r="Q2" s="14" t="n">
        <v>-0.7902569174766541</v>
      </c>
      <c r="R2" s="14" t="n">
        <v>-0.7744752764701843</v>
      </c>
      <c r="S2" s="14" t="n">
        <v>-1.507830381393433</v>
      </c>
      <c r="T2" s="14" t="n">
        <v>-0.7104546427726746</v>
      </c>
      <c r="U2" s="14" t="n">
        <v>-0.9036660194396973</v>
      </c>
      <c r="V2" s="14" t="n">
        <v>-0.6849652528762817</v>
      </c>
      <c r="W2" s="14" t="n">
        <v>-0.6356893181800842</v>
      </c>
      <c r="X2" s="14" t="n">
        <v>-1.449552416801453</v>
      </c>
      <c r="Y2" s="14" t="n">
        <v>-0.7902569174766541</v>
      </c>
      <c r="Z2" s="14" t="n">
        <v>-1.507830381393433</v>
      </c>
      <c r="AA2" s="14" t="n">
        <v>-1.507830381393433</v>
      </c>
      <c r="AB2" s="14" t="n">
        <v>-1.449552416801453</v>
      </c>
      <c r="AC2" s="14" t="n">
        <v>-2.375121831893921</v>
      </c>
      <c r="AD2" s="14" t="n">
        <v>-0.9036660194396973</v>
      </c>
      <c r="AE2" s="14" t="n">
        <v>-0.9036660194396973</v>
      </c>
      <c r="AF2" s="14" t="inlineStr">
        <is>
          <t>Overall|Deciles|mean|1</t>
        </is>
      </c>
    </row>
    <row r="3">
      <c r="A3" s="14" t="inlineStr">
        <is>
          <t>EGY.distn.dec.ove.mean.2</t>
        </is>
      </c>
      <c r="B3" s="14" t="inlineStr">
        <is>
          <t>EGY</t>
        </is>
      </c>
      <c r="C3" s="14" t="n">
        <v>2005</v>
      </c>
      <c r="D3" s="14" t="inlineStr">
        <is>
          <t>Overall</t>
        </is>
      </c>
      <c r="E3" s="14" t="inlineStr">
        <is>
          <t>Deciles</t>
        </is>
      </c>
      <c r="F3" s="14" t="inlineStr">
        <is>
          <t>mean</t>
        </is>
      </c>
      <c r="G3" s="14" t="n">
        <v>2</v>
      </c>
      <c r="H3" s="14" t="n">
        <v>-0.7902569174766541</v>
      </c>
      <c r="I3" s="14" t="n">
        <v>-0.7902569174766541</v>
      </c>
      <c r="J3" s="14" t="n">
        <v>-0.9036660194396973</v>
      </c>
      <c r="K3" s="14" t="n">
        <v>-0.9036660194396973</v>
      </c>
      <c r="L3" s="14" t="n">
        <v>-0.7902569174766541</v>
      </c>
      <c r="M3" s="14" t="n">
        <v>-0.7902569174766541</v>
      </c>
      <c r="N3" s="14" t="n">
        <v>-0.7902569174766541</v>
      </c>
      <c r="O3" s="14" t="n">
        <v>-0.7902569174766541</v>
      </c>
      <c r="P3" s="14" t="n">
        <v>-0.7902569174766541</v>
      </c>
      <c r="Q3" s="14" t="n">
        <v>-0.7902569174766541</v>
      </c>
      <c r="R3" s="14" t="n">
        <v>-0.7744752764701843</v>
      </c>
      <c r="S3" s="14" t="n">
        <v>-1.507830381393433</v>
      </c>
      <c r="T3" s="14" t="n">
        <v>-0.7104546427726746</v>
      </c>
      <c r="U3" s="14" t="n">
        <v>-0.9036660194396973</v>
      </c>
      <c r="V3" s="14" t="n">
        <v>-0.6849652528762817</v>
      </c>
      <c r="W3" s="14" t="n">
        <v>-0.6356893181800842</v>
      </c>
      <c r="X3" s="14" t="n">
        <v>-1.449552416801453</v>
      </c>
      <c r="Y3" s="14" t="n">
        <v>-0.7902569174766541</v>
      </c>
      <c r="Z3" s="14" t="n">
        <v>-1.507830381393433</v>
      </c>
      <c r="AA3" s="14" t="n">
        <v>-1.507830381393433</v>
      </c>
      <c r="AB3" s="14" t="n">
        <v>-1.449552416801453</v>
      </c>
      <c r="AC3" s="14" t="n">
        <v>-2.375121831893921</v>
      </c>
      <c r="AD3" s="14" t="n">
        <v>-0.9036660194396973</v>
      </c>
      <c r="AE3" s="14" t="n">
        <v>-0.9036660194396973</v>
      </c>
      <c r="AF3" s="14" t="inlineStr">
        <is>
          <t>Overall|Deciles|mean|2</t>
        </is>
      </c>
    </row>
    <row r="4">
      <c r="A4" s="14" t="inlineStr">
        <is>
          <t>EGY.distn.dec.ove.mean.3</t>
        </is>
      </c>
      <c r="B4" s="14" t="inlineStr">
        <is>
          <t>EGY</t>
        </is>
      </c>
      <c r="C4" s="14" t="n">
        <v>2005</v>
      </c>
      <c r="D4" s="14" t="inlineStr">
        <is>
          <t>Overall</t>
        </is>
      </c>
      <c r="E4" s="14" t="inlineStr">
        <is>
          <t>Deciles</t>
        </is>
      </c>
      <c r="F4" s="14" t="inlineStr">
        <is>
          <t>mean</t>
        </is>
      </c>
      <c r="G4" s="14" t="n">
        <v>3</v>
      </c>
      <c r="H4" s="14" t="n">
        <v>-0.7902569174766541</v>
      </c>
      <c r="I4" s="14" t="n">
        <v>-0.7902569174766541</v>
      </c>
      <c r="J4" s="14" t="n">
        <v>-0.9036660194396973</v>
      </c>
      <c r="K4" s="14" t="n">
        <v>-0.9036660194396973</v>
      </c>
      <c r="L4" s="14" t="n">
        <v>-0.7902569174766541</v>
      </c>
      <c r="M4" s="14" t="n">
        <v>-0.7902569174766541</v>
      </c>
      <c r="N4" s="14" t="n">
        <v>-0.7902569174766541</v>
      </c>
      <c r="O4" s="14" t="n">
        <v>-0.7902569174766541</v>
      </c>
      <c r="P4" s="14" t="n">
        <v>-0.7902569174766541</v>
      </c>
      <c r="Q4" s="14" t="n">
        <v>-0.7902569174766541</v>
      </c>
      <c r="R4" s="14" t="n">
        <v>-0.7744752764701843</v>
      </c>
      <c r="S4" s="14" t="n">
        <v>-1.507830381393433</v>
      </c>
      <c r="T4" s="14" t="n">
        <v>-0.7104546427726746</v>
      </c>
      <c r="U4" s="14" t="n">
        <v>-0.9036660194396973</v>
      </c>
      <c r="V4" s="14" t="n">
        <v>-0.6849652528762817</v>
      </c>
      <c r="W4" s="14" t="n">
        <v>-0.6356893181800842</v>
      </c>
      <c r="X4" s="14" t="n">
        <v>-1.449552416801453</v>
      </c>
      <c r="Y4" s="14" t="n">
        <v>-0.7902569174766541</v>
      </c>
      <c r="Z4" s="14" t="n">
        <v>-1.507830381393433</v>
      </c>
      <c r="AA4" s="14" t="n">
        <v>-1.507830381393433</v>
      </c>
      <c r="AB4" s="14" t="n">
        <v>-1.449552416801453</v>
      </c>
      <c r="AC4" s="14" t="n">
        <v>-2.375121831893921</v>
      </c>
      <c r="AD4" s="14" t="n">
        <v>-0.9036660194396973</v>
      </c>
      <c r="AE4" s="14" t="n">
        <v>-0.9036660194396973</v>
      </c>
      <c r="AF4" s="14" t="inlineStr">
        <is>
          <t>Overall|Deciles|mean|3</t>
        </is>
      </c>
    </row>
    <row r="5">
      <c r="A5" s="14" t="inlineStr">
        <is>
          <t>EGY.distn.dec.ove.mean.4</t>
        </is>
      </c>
      <c r="B5" s="14" t="inlineStr">
        <is>
          <t>EGY</t>
        </is>
      </c>
      <c r="C5" s="14" t="n">
        <v>2005</v>
      </c>
      <c r="D5" s="14" t="inlineStr">
        <is>
          <t>Overall</t>
        </is>
      </c>
      <c r="E5" s="14" t="inlineStr">
        <is>
          <t>Deciles</t>
        </is>
      </c>
      <c r="F5" s="14" t="inlineStr">
        <is>
          <t>mean</t>
        </is>
      </c>
      <c r="G5" s="14" t="n">
        <v>4</v>
      </c>
      <c r="H5" s="14" t="n">
        <v>-0.7839999794960022</v>
      </c>
      <c r="I5" s="14" t="n">
        <v>-0.7839999794960022</v>
      </c>
      <c r="J5" s="14" t="n">
        <v>-0.8600000143051147</v>
      </c>
      <c r="K5" s="14" t="n">
        <v>-0.8600000143051147</v>
      </c>
      <c r="L5" s="14" t="n">
        <v>-0.7839999794960022</v>
      </c>
      <c r="M5" s="14" t="n">
        <v>-0.7839999794960022</v>
      </c>
      <c r="N5" s="14" t="n">
        <v>-0.7839999794960022</v>
      </c>
      <c r="O5" s="14" t="n">
        <v>-0.7839999794960022</v>
      </c>
      <c r="P5" s="14" t="n">
        <v>-0.7839999794960022</v>
      </c>
      <c r="Q5" s="14" t="n">
        <v>-0.7839999794960022</v>
      </c>
      <c r="R5" s="14" t="n">
        <v>-0.7710000276565552</v>
      </c>
      <c r="S5" s="14" t="n">
        <v>-1.026999950408936</v>
      </c>
      <c r="T5" s="14" t="n">
        <v>-0.7089999914169312</v>
      </c>
      <c r="U5" s="14" t="n">
        <v>-0.8600000143051147</v>
      </c>
      <c r="V5" s="14" t="n">
        <v>-0.6779999732971191</v>
      </c>
      <c r="W5" s="14" t="n">
        <v>-0.5350000262260437</v>
      </c>
      <c r="X5" s="14" t="n">
        <v>-1.023000001907349</v>
      </c>
      <c r="Y5" s="14" t="n">
        <v>-0.7839999794960022</v>
      </c>
      <c r="Z5" s="14" t="n">
        <v>-1.026999950408936</v>
      </c>
      <c r="AA5" s="14" t="n">
        <v>-1.026999950408936</v>
      </c>
      <c r="AB5" s="14" t="n">
        <v>-1.023000001907349</v>
      </c>
      <c r="AC5" s="14" t="n">
        <v>-1.146999955177307</v>
      </c>
      <c r="AD5" s="14" t="n">
        <v>-0.8600000143051147</v>
      </c>
      <c r="AE5" s="14" t="n">
        <v>-0.8600000143051147</v>
      </c>
      <c r="AF5" s="14" t="inlineStr">
        <is>
          <t>Overall|Deciles|mean|4</t>
        </is>
      </c>
    </row>
    <row r="6">
      <c r="A6" s="14" t="inlineStr">
        <is>
          <t>EGY.distn.dec.ove.mean.5</t>
        </is>
      </c>
      <c r="B6" s="14" t="inlineStr">
        <is>
          <t>EGY</t>
        </is>
      </c>
      <c r="C6" s="14" t="n">
        <v>2005</v>
      </c>
      <c r="D6" s="14" t="inlineStr">
        <is>
          <t>Overall</t>
        </is>
      </c>
      <c r="E6" s="14" t="inlineStr">
        <is>
          <t>Deciles</t>
        </is>
      </c>
      <c r="F6" s="14" t="inlineStr">
        <is>
          <t>mean</t>
        </is>
      </c>
      <c r="G6" s="14" t="n">
        <v>5</v>
      </c>
      <c r="H6" s="14" t="n">
        <v>-0.7839999794960022</v>
      </c>
      <c r="I6" s="14" t="n">
        <v>-0.7839999794960022</v>
      </c>
      <c r="J6" s="14" t="n">
        <v>-0.8600000143051147</v>
      </c>
      <c r="K6" s="14" t="n">
        <v>-0.8600000143051147</v>
      </c>
      <c r="L6" s="14" t="n">
        <v>-0.7839999794960022</v>
      </c>
      <c r="M6" s="14" t="n">
        <v>-0.7839999794960022</v>
      </c>
      <c r="N6" s="14" t="n">
        <v>-0.7839999794960022</v>
      </c>
      <c r="O6" s="14" t="n">
        <v>-0.7839999794960022</v>
      </c>
      <c r="P6" s="14" t="n">
        <v>-0.7839999794960022</v>
      </c>
      <c r="Q6" s="14" t="n">
        <v>-0.7839999794960022</v>
      </c>
      <c r="R6" s="14" t="n">
        <v>-0.7710000276565552</v>
      </c>
      <c r="S6" s="14" t="n">
        <v>-1.026999950408936</v>
      </c>
      <c r="T6" s="14" t="n">
        <v>-0.7089999914169312</v>
      </c>
      <c r="U6" s="14" t="n">
        <v>-0.8600000143051147</v>
      </c>
      <c r="V6" s="14" t="n">
        <v>-0.6779999732971191</v>
      </c>
      <c r="W6" s="14" t="n">
        <v>-0.5350000262260437</v>
      </c>
      <c r="X6" s="14" t="n">
        <v>-1.023000001907349</v>
      </c>
      <c r="Y6" s="14" t="n">
        <v>-0.7839999794960022</v>
      </c>
      <c r="Z6" s="14" t="n">
        <v>-1.026999950408936</v>
      </c>
      <c r="AA6" s="14" t="n">
        <v>-1.026999950408936</v>
      </c>
      <c r="AB6" s="14" t="n">
        <v>-1.023000001907349</v>
      </c>
      <c r="AC6" s="14" t="n">
        <v>-1.146999955177307</v>
      </c>
      <c r="AD6" s="14" t="n">
        <v>-0.8600000143051147</v>
      </c>
      <c r="AE6" s="14" t="n">
        <v>-0.8600000143051147</v>
      </c>
      <c r="AF6" s="14" t="inlineStr">
        <is>
          <t>Overall|Deciles|mean|5</t>
        </is>
      </c>
    </row>
    <row r="7">
      <c r="A7" s="14" t="inlineStr">
        <is>
          <t>EGY.distn.dec.ove.mean.6</t>
        </is>
      </c>
      <c r="B7" s="14" t="inlineStr">
        <is>
          <t>EGY</t>
        </is>
      </c>
      <c r="C7" s="14" t="n">
        <v>2005</v>
      </c>
      <c r="D7" s="14" t="inlineStr">
        <is>
          <t>Overall</t>
        </is>
      </c>
      <c r="E7" s="14" t="inlineStr">
        <is>
          <t>Deciles</t>
        </is>
      </c>
      <c r="F7" s="14" t="inlineStr">
        <is>
          <t>mean</t>
        </is>
      </c>
      <c r="G7" s="14" t="n">
        <v>6</v>
      </c>
      <c r="H7" s="14" t="n">
        <v>-0.7839999794960022</v>
      </c>
      <c r="I7" s="14" t="n">
        <v>-0.7839999794960022</v>
      </c>
      <c r="J7" s="14" t="n">
        <v>-0.8600000143051147</v>
      </c>
      <c r="K7" s="14" t="n">
        <v>-0.8600000143051147</v>
      </c>
      <c r="L7" s="14" t="n">
        <v>-0.7839999794960022</v>
      </c>
      <c r="M7" s="14" t="n">
        <v>-0.7839999794960022</v>
      </c>
      <c r="N7" s="14" t="n">
        <v>-0.7839999794960022</v>
      </c>
      <c r="O7" s="14" t="n">
        <v>-0.7839999794960022</v>
      </c>
      <c r="P7" s="14" t="n">
        <v>-0.7839999794960022</v>
      </c>
      <c r="Q7" s="14" t="n">
        <v>-0.7839999794960022</v>
      </c>
      <c r="R7" s="14" t="n">
        <v>-0.7710000276565552</v>
      </c>
      <c r="S7" s="14" t="n">
        <v>-1.026999950408936</v>
      </c>
      <c r="T7" s="14" t="n">
        <v>-0.7089999914169312</v>
      </c>
      <c r="U7" s="14" t="n">
        <v>-0.8600000143051147</v>
      </c>
      <c r="V7" s="14" t="n">
        <v>-0.6779999732971191</v>
      </c>
      <c r="W7" s="14" t="n">
        <v>-0.5350000262260437</v>
      </c>
      <c r="X7" s="14" t="n">
        <v>-1.023000001907349</v>
      </c>
      <c r="Y7" s="14" t="n">
        <v>-0.7839999794960022</v>
      </c>
      <c r="Z7" s="14" t="n">
        <v>-1.026999950408936</v>
      </c>
      <c r="AA7" s="14" t="n">
        <v>-1.026999950408936</v>
      </c>
      <c r="AB7" s="14" t="n">
        <v>-1.023000001907349</v>
      </c>
      <c r="AC7" s="14" t="n">
        <v>-1.146999955177307</v>
      </c>
      <c r="AD7" s="14" t="n">
        <v>-0.8600000143051147</v>
      </c>
      <c r="AE7" s="14" t="n">
        <v>-0.8600000143051147</v>
      </c>
      <c r="AF7" s="14" t="inlineStr">
        <is>
          <t>Overall|Deciles|mean|6</t>
        </is>
      </c>
    </row>
    <row r="8">
      <c r="A8" s="14" t="inlineStr">
        <is>
          <t>EGY.distn.dec.ove.mean.7</t>
        </is>
      </c>
      <c r="B8" s="14" t="inlineStr">
        <is>
          <t>EGY</t>
        </is>
      </c>
      <c r="C8" s="14" t="n">
        <v>2005</v>
      </c>
      <c r="D8" s="14" t="inlineStr">
        <is>
          <t>Overall</t>
        </is>
      </c>
      <c r="E8" s="14" t="inlineStr">
        <is>
          <t>Deciles</t>
        </is>
      </c>
      <c r="F8" s="14" t="inlineStr">
        <is>
          <t>mean</t>
        </is>
      </c>
      <c r="G8" s="14" t="n">
        <v>7</v>
      </c>
      <c r="H8" s="14" t="n">
        <v>-0.7839999794960022</v>
      </c>
      <c r="I8" s="14" t="n">
        <v>-0.7839999794960022</v>
      </c>
      <c r="J8" s="14" t="n">
        <v>-0.8600000143051147</v>
      </c>
      <c r="K8" s="14" t="n">
        <v>-0.8600000143051147</v>
      </c>
      <c r="L8" s="14" t="n">
        <v>-0.7839999794960022</v>
      </c>
      <c r="M8" s="14" t="n">
        <v>-0.7839999794960022</v>
      </c>
      <c r="N8" s="14" t="n">
        <v>-0.7839999794960022</v>
      </c>
      <c r="O8" s="14" t="n">
        <v>-0.7839999794960022</v>
      </c>
      <c r="P8" s="14" t="n">
        <v>-0.7839999794960022</v>
      </c>
      <c r="Q8" s="14" t="n">
        <v>-0.7839999794960022</v>
      </c>
      <c r="R8" s="14" t="n">
        <v>-0.7710000276565552</v>
      </c>
      <c r="S8" s="14" t="n">
        <v>-1.026999950408936</v>
      </c>
      <c r="T8" s="14" t="n">
        <v>-0.7089999914169312</v>
      </c>
      <c r="U8" s="14" t="n">
        <v>-0.8600000143051147</v>
      </c>
      <c r="V8" s="14" t="n">
        <v>-0.6779999732971191</v>
      </c>
      <c r="W8" s="14" t="n">
        <v>-0.5350000262260437</v>
      </c>
      <c r="X8" s="14" t="n">
        <v>-1.023000001907349</v>
      </c>
      <c r="Y8" s="14" t="n">
        <v>-0.7839999794960022</v>
      </c>
      <c r="Z8" s="14" t="n">
        <v>-1.026999950408936</v>
      </c>
      <c r="AA8" s="14" t="n">
        <v>-1.026999950408936</v>
      </c>
      <c r="AB8" s="14" t="n">
        <v>-1.023000001907349</v>
      </c>
      <c r="AC8" s="14" t="n">
        <v>-1.146999955177307</v>
      </c>
      <c r="AD8" s="14" t="n">
        <v>-0.8600000143051147</v>
      </c>
      <c r="AE8" s="14" t="n">
        <v>-0.8600000143051147</v>
      </c>
      <c r="AF8" s="14" t="inlineStr">
        <is>
          <t>Overall|Deciles|mean|7</t>
        </is>
      </c>
    </row>
    <row r="9">
      <c r="A9" s="14" t="inlineStr">
        <is>
          <t>EGY.distn.dec.ove.mean.8</t>
        </is>
      </c>
      <c r="B9" s="14" t="inlineStr">
        <is>
          <t>EGY</t>
        </is>
      </c>
      <c r="C9" s="14" t="n">
        <v>2005</v>
      </c>
      <c r="D9" s="14" t="inlineStr">
        <is>
          <t>Overall</t>
        </is>
      </c>
      <c r="E9" s="14" t="inlineStr">
        <is>
          <t>Deciles</t>
        </is>
      </c>
      <c r="F9" s="14" t="inlineStr">
        <is>
          <t>mean</t>
        </is>
      </c>
      <c r="G9" s="14" t="n">
        <v>8</v>
      </c>
      <c r="H9" s="14" t="n">
        <v>-0.7843776941299438</v>
      </c>
      <c r="I9" s="14" t="n">
        <v>-0.7843776941299438</v>
      </c>
      <c r="J9" s="14" t="n">
        <v>-0.8623199462890625</v>
      </c>
      <c r="K9" s="14" t="n">
        <v>-0.8623199462890625</v>
      </c>
      <c r="L9" s="14" t="n">
        <v>-0.7843776941299438</v>
      </c>
      <c r="M9" s="14" t="n">
        <v>-0.7843776941299438</v>
      </c>
      <c r="N9" s="14" t="n">
        <v>-0.7843776941299438</v>
      </c>
      <c r="O9" s="14" t="n">
        <v>-0.7843776941299438</v>
      </c>
      <c r="P9" s="14" t="n">
        <v>-0.7843776941299438</v>
      </c>
      <c r="Q9" s="14" t="n">
        <v>-0.7843776941299438</v>
      </c>
      <c r="R9" s="14" t="n">
        <v>-0.7712535858154297</v>
      </c>
      <c r="S9" s="14" t="n">
        <v>-1.036556363105774</v>
      </c>
      <c r="T9" s="14" t="n">
        <v>-0.7090408802032471</v>
      </c>
      <c r="U9" s="14" t="n">
        <v>-0.8623199462890625</v>
      </c>
      <c r="V9" s="14" t="n">
        <v>-0.6787009239196777</v>
      </c>
      <c r="W9" s="14" t="n">
        <v>-0.5493266582489014</v>
      </c>
      <c r="X9" s="14" t="n">
        <v>-1.032321572303772</v>
      </c>
      <c r="Y9" s="14" t="n">
        <v>-0.7843776941299438</v>
      </c>
      <c r="Z9" s="14" t="n">
        <v>-1.036556363105774</v>
      </c>
      <c r="AA9" s="14" t="n">
        <v>-1.036556363105774</v>
      </c>
      <c r="AB9" s="14" t="n">
        <v>-1.032321572303772</v>
      </c>
      <c r="AC9" s="14" t="n">
        <v>-1.163357734680176</v>
      </c>
      <c r="AD9" s="14" t="n">
        <v>-0.8623199462890625</v>
      </c>
      <c r="AE9" s="14" t="n">
        <v>-0.8623199462890625</v>
      </c>
      <c r="AF9" s="14" t="inlineStr">
        <is>
          <t>Overall|Deciles|mean|8</t>
        </is>
      </c>
    </row>
    <row r="10">
      <c r="A10" s="14" t="inlineStr">
        <is>
          <t>EGY.distn.dec.ove.mean.9</t>
        </is>
      </c>
      <c r="B10" s="14" t="inlineStr">
        <is>
          <t>EGY</t>
        </is>
      </c>
      <c r="C10" s="14" t="n">
        <v>2005</v>
      </c>
      <c r="D10" s="14" t="inlineStr">
        <is>
          <t>Overall</t>
        </is>
      </c>
      <c r="E10" s="14" t="inlineStr">
        <is>
          <t>Deciles</t>
        </is>
      </c>
      <c r="F10" s="14" t="inlineStr">
        <is>
          <t>mean</t>
        </is>
      </c>
      <c r="G10" s="14" t="n">
        <v>9</v>
      </c>
      <c r="H10" s="14" t="n">
        <v>-0.7843776941299438</v>
      </c>
      <c r="I10" s="14" t="n">
        <v>-0.7843776941299438</v>
      </c>
      <c r="J10" s="14" t="n">
        <v>-0.8623199462890625</v>
      </c>
      <c r="K10" s="14" t="n">
        <v>-0.8623199462890625</v>
      </c>
      <c r="L10" s="14" t="n">
        <v>-0.7843776941299438</v>
      </c>
      <c r="M10" s="14" t="n">
        <v>-0.7843776941299438</v>
      </c>
      <c r="N10" s="14" t="n">
        <v>-0.7843776941299438</v>
      </c>
      <c r="O10" s="14" t="n">
        <v>-0.7843776941299438</v>
      </c>
      <c r="P10" s="14" t="n">
        <v>-0.7843776941299438</v>
      </c>
      <c r="Q10" s="14" t="n">
        <v>-0.7843776941299438</v>
      </c>
      <c r="R10" s="14" t="n">
        <v>-0.7712535858154297</v>
      </c>
      <c r="S10" s="14" t="n">
        <v>-1.036556363105774</v>
      </c>
      <c r="T10" s="14" t="n">
        <v>-0.7090408802032471</v>
      </c>
      <c r="U10" s="14" t="n">
        <v>-0.8623199462890625</v>
      </c>
      <c r="V10" s="14" t="n">
        <v>-0.6787009239196777</v>
      </c>
      <c r="W10" s="14" t="n">
        <v>-0.5493266582489014</v>
      </c>
      <c r="X10" s="14" t="n">
        <v>-1.032321572303772</v>
      </c>
      <c r="Y10" s="14" t="n">
        <v>-0.7843776941299438</v>
      </c>
      <c r="Z10" s="14" t="n">
        <v>-1.036556363105774</v>
      </c>
      <c r="AA10" s="14" t="n">
        <v>-1.036556363105774</v>
      </c>
      <c r="AB10" s="14" t="n">
        <v>-1.032321572303772</v>
      </c>
      <c r="AC10" s="14" t="n">
        <v>-1.163357734680176</v>
      </c>
      <c r="AD10" s="14" t="n">
        <v>-0.8623199462890625</v>
      </c>
      <c r="AE10" s="14" t="n">
        <v>-0.8623199462890625</v>
      </c>
      <c r="AF10" s="14" t="inlineStr">
        <is>
          <t>Overall|Deciles|mean|9</t>
        </is>
      </c>
    </row>
    <row r="11">
      <c r="A11" s="14" t="inlineStr">
        <is>
          <t>EGY.distn.dec.ove.mean.10</t>
        </is>
      </c>
      <c r="B11" s="14" t="inlineStr">
        <is>
          <t>EGY</t>
        </is>
      </c>
      <c r="C11" s="14" t="n">
        <v>2005</v>
      </c>
      <c r="D11" s="14" t="inlineStr">
        <is>
          <t>Overall</t>
        </is>
      </c>
      <c r="E11" s="14" t="inlineStr">
        <is>
          <t>Deciles</t>
        </is>
      </c>
      <c r="F11" s="14" t="inlineStr">
        <is>
          <t>mean</t>
        </is>
      </c>
      <c r="G11" s="14" t="n">
        <v>10</v>
      </c>
      <c r="H11" s="14" t="n">
        <v>-0.7843776941299438</v>
      </c>
      <c r="I11" s="14" t="n">
        <v>-0.7843776941299438</v>
      </c>
      <c r="J11" s="14" t="n">
        <v>-0.8623199462890625</v>
      </c>
      <c r="K11" s="14" t="n">
        <v>-0.8623199462890625</v>
      </c>
      <c r="L11" s="14" t="n">
        <v>-0.7843776941299438</v>
      </c>
      <c r="M11" s="14" t="n">
        <v>-0.7843776941299438</v>
      </c>
      <c r="N11" s="14" t="n">
        <v>-0.7843776941299438</v>
      </c>
      <c r="O11" s="14" t="n">
        <v>-0.7843776941299438</v>
      </c>
      <c r="P11" s="14" t="n">
        <v>-0.7843776941299438</v>
      </c>
      <c r="Q11" s="14" t="n">
        <v>-0.7843776941299438</v>
      </c>
      <c r="R11" s="14" t="n">
        <v>-0.7712535858154297</v>
      </c>
      <c r="S11" s="14" t="n">
        <v>-1.036556363105774</v>
      </c>
      <c r="T11" s="14" t="n">
        <v>-0.7090408802032471</v>
      </c>
      <c r="U11" s="14" t="n">
        <v>-0.8623199462890625</v>
      </c>
      <c r="V11" s="14" t="n">
        <v>-0.6787009239196777</v>
      </c>
      <c r="W11" s="14" t="n">
        <v>-0.5493266582489014</v>
      </c>
      <c r="X11" s="14" t="n">
        <v>-1.032321572303772</v>
      </c>
      <c r="Y11" s="14" t="n">
        <v>-0.7843776941299438</v>
      </c>
      <c r="Z11" s="14" t="n">
        <v>-1.036556363105774</v>
      </c>
      <c r="AA11" s="14" t="n">
        <v>-1.036556363105774</v>
      </c>
      <c r="AB11" s="14" t="n">
        <v>-1.032321572303772</v>
      </c>
      <c r="AC11" s="14" t="n">
        <v>-1.163357734680176</v>
      </c>
      <c r="AD11" s="14" t="n">
        <v>-0.8623199462890625</v>
      </c>
      <c r="AE11" s="14" t="n">
        <v>-0.8623199462890625</v>
      </c>
      <c r="AF11" s="14" t="inlineStr">
        <is>
          <t>Overall|Deciles|mean|10</t>
        </is>
      </c>
    </row>
    <row r="12">
      <c r="A12" s="14" t="inlineStr">
        <is>
          <t>EGY.distn.bkt.ove.mean.9999</t>
        </is>
      </c>
      <c r="B12" s="14" t="inlineStr">
        <is>
          <t>EGY</t>
        </is>
      </c>
      <c r="C12" s="14" t="n">
        <v>2005</v>
      </c>
      <c r="D12" s="14" t="inlineStr">
        <is>
          <t>Overall</t>
        </is>
      </c>
      <c r="E12" s="14" t="inlineStr">
        <is>
          <t>Basket</t>
        </is>
      </c>
      <c r="F12" s="14" t="inlineStr">
        <is>
          <t>mean</t>
        </is>
      </c>
      <c r="G12" s="14" t="n">
        <v>9999</v>
      </c>
      <c r="H12" s="14" t="n">
        <v>-0.7859903573989868</v>
      </c>
      <c r="I12" s="14" t="n">
        <v>-0.7859903573989868</v>
      </c>
      <c r="J12" s="14" t="n">
        <v>-0.8737958073616028</v>
      </c>
      <c r="K12" s="14" t="n">
        <v>-0.8737958073616028</v>
      </c>
      <c r="L12" s="14" t="n">
        <v>-0.7859903573989868</v>
      </c>
      <c r="M12" s="14" t="n">
        <v>-0.7859903573989868</v>
      </c>
      <c r="N12" s="14" t="n">
        <v>-0.7859903573989868</v>
      </c>
      <c r="O12" s="14" t="n">
        <v>-0.7859903573989868</v>
      </c>
      <c r="P12" s="14" t="n">
        <v>-0.7859903573989868</v>
      </c>
      <c r="Q12" s="14" t="n">
        <v>-0.7859903573989868</v>
      </c>
      <c r="R12" s="14" t="n">
        <v>-0.7721186876296997</v>
      </c>
      <c r="S12" s="14" t="n">
        <v>-1.174116015434265</v>
      </c>
      <c r="T12" s="14" t="n">
        <v>-0.7094486355781555</v>
      </c>
      <c r="U12" s="14" t="n">
        <v>-0.8737958073616028</v>
      </c>
      <c r="V12" s="14" t="n">
        <v>-0.6802998185157776</v>
      </c>
      <c r="W12" s="14" t="n">
        <v>-0.5695047974586487</v>
      </c>
      <c r="X12" s="14" t="n">
        <v>-1.153762221336365</v>
      </c>
      <c r="Y12" s="14" t="n">
        <v>-0.7859903573989868</v>
      </c>
      <c r="Z12" s="14" t="n">
        <v>-1.174116015434265</v>
      </c>
      <c r="AA12" s="14" t="n">
        <v>-1.174116015434265</v>
      </c>
      <c r="AB12" s="14" t="n">
        <v>-1.153762221336365</v>
      </c>
      <c r="AC12" s="14" t="n">
        <v>-1.520343899726868</v>
      </c>
      <c r="AD12" s="14" t="n">
        <v>-0.8737958073616028</v>
      </c>
      <c r="AE12" s="14" t="n">
        <v>-0.8737958073616028</v>
      </c>
      <c r="AF12" s="14" t="inlineStr">
        <is>
          <t>Overall|Basket|mean|9999</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H41"/>
  <sheetViews>
    <sheetView workbookViewId="0">
      <pane ySplit="35" topLeftCell="A36"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3" t="inlineStr">
        <is>
          <t>Series_Code</t>
        </is>
      </c>
      <c r="B1" s="13" t="inlineStr">
        <is>
          <t>Country_Name</t>
        </is>
      </c>
      <c r="C1" s="13" t="inlineStr">
        <is>
          <t>ISO_3_Country_Code</t>
        </is>
      </c>
      <c r="D1" s="13" t="inlineStr">
        <is>
          <t>Year</t>
        </is>
      </c>
      <c r="E1" s="13" t="inlineStr">
        <is>
          <t>firstnm_Value</t>
        </is>
      </c>
      <c r="F1" s="13" t="inlineStr">
        <is>
          <t>firstnm_indicator_name</t>
        </is>
      </c>
      <c r="G1" s="13" t="inlineStr">
        <is>
          <t>firstnm_Sub_Topic5</t>
        </is>
      </c>
      <c r="H1" s="13" t="inlineStr">
        <is>
          <t>firstnm_Sub_Topic6</t>
        </is>
      </c>
    </row>
    <row r="2">
      <c r="A2" s="14" t="inlineStr">
        <is>
          <t>EGY.per_allsp.avt_q1_preT_tot</t>
        </is>
      </c>
      <c r="B2" s="14" t="inlineStr">
        <is>
          <t>Egypt, Arab Rep.</t>
        </is>
      </c>
      <c r="C2" s="14" t="inlineStr">
        <is>
          <t>EGY</t>
        </is>
      </c>
      <c r="D2" s="14" t="n">
        <v>2008</v>
      </c>
      <c r="E2" s="14" t="n">
        <v>1.701829075813293</v>
      </c>
      <c r="F2" s="14" t="inlineStr">
        <is>
          <t>Average per capita transfer held by 1st quintile (poorest) -All Social Protection and Labor (preT)</t>
        </is>
      </c>
      <c r="G2" s="14" t="inlineStr">
        <is>
          <t>All Social Protection and Labor</t>
        </is>
      </c>
      <c r="H2" s="14" t="inlineStr">
        <is>
          <t>All Social Protection and Labor</t>
        </is>
      </c>
    </row>
    <row r="3">
      <c r="A3" s="14" t="inlineStr">
        <is>
          <t>EGY.per_allsp.avt_q2_preT_tot</t>
        </is>
      </c>
      <c r="B3" s="14" t="inlineStr">
        <is>
          <t>Egypt, Arab Rep.</t>
        </is>
      </c>
      <c r="C3" s="14" t="inlineStr">
        <is>
          <t>EGY</t>
        </is>
      </c>
      <c r="D3" s="14" t="n">
        <v>2008</v>
      </c>
      <c r="E3" s="14" t="n">
        <v>1.4042809009552</v>
      </c>
      <c r="F3" s="14" t="inlineStr">
        <is>
          <t>Average per capita transfer held by 2nd quintile -All Social Protection and Labor (preT)</t>
        </is>
      </c>
      <c r="G3" s="14" t="inlineStr">
        <is>
          <t>All Social Protection and Labor</t>
        </is>
      </c>
      <c r="H3" s="14" t="inlineStr">
        <is>
          <t>All Social Protection and Labor</t>
        </is>
      </c>
    </row>
    <row r="4">
      <c r="A4" s="14" t="inlineStr">
        <is>
          <t>EGY.per_allsp.avt_q3_preT_tot</t>
        </is>
      </c>
      <c r="B4" s="14" t="inlineStr">
        <is>
          <t>Egypt, Arab Rep.</t>
        </is>
      </c>
      <c r="C4" s="14" t="inlineStr">
        <is>
          <t>EGY</t>
        </is>
      </c>
      <c r="D4" s="14" t="n">
        <v>2008</v>
      </c>
      <c r="E4" s="14" t="n">
        <v>1.858706116676331</v>
      </c>
      <c r="F4" s="14" t="inlineStr">
        <is>
          <t>Average per capita transfer held by 3rd quintile -All Social Protection and Labor (preT)</t>
        </is>
      </c>
      <c r="G4" s="14" t="inlineStr">
        <is>
          <t>All Social Protection and Labor</t>
        </is>
      </c>
      <c r="H4" s="14" t="inlineStr">
        <is>
          <t>All Social Protection and Labor</t>
        </is>
      </c>
    </row>
    <row r="5">
      <c r="A5" s="14" t="inlineStr">
        <is>
          <t>EGY.per_allsp.avt_q4_preT_tot</t>
        </is>
      </c>
      <c r="B5" s="14" t="inlineStr">
        <is>
          <t>Egypt, Arab Rep.</t>
        </is>
      </c>
      <c r="C5" s="14" t="inlineStr">
        <is>
          <t>EGY</t>
        </is>
      </c>
      <c r="D5" s="14" t="n">
        <v>2008</v>
      </c>
      <c r="E5" s="14" t="n">
        <v>1.829251289367676</v>
      </c>
      <c r="F5" s="14" t="inlineStr">
        <is>
          <t>Average per capita transfer held by 4th quintile -All Social Protection and Labor (preT)</t>
        </is>
      </c>
      <c r="G5" s="14" t="inlineStr">
        <is>
          <t>All Social Protection and Labor</t>
        </is>
      </c>
      <c r="H5" s="14" t="inlineStr">
        <is>
          <t>All Social Protection and Labor</t>
        </is>
      </c>
    </row>
    <row r="6">
      <c r="A6" s="14" t="inlineStr">
        <is>
          <t>EGY.per_allsp.avt_q5_preT_tot</t>
        </is>
      </c>
      <c r="B6" s="14" t="inlineStr">
        <is>
          <t>Egypt, Arab Rep.</t>
        </is>
      </c>
      <c r="C6" s="14" t="inlineStr">
        <is>
          <t>EGY</t>
        </is>
      </c>
      <c r="D6" s="14" t="n">
        <v>2008</v>
      </c>
      <c r="E6" s="14" t="n">
        <v>4.406506061553955</v>
      </c>
      <c r="F6" s="14" t="inlineStr">
        <is>
          <t>Average per capita transfer held by 5th quintile (richest) -All Social Protection and Labor (preT)</t>
        </is>
      </c>
      <c r="G6" s="14" t="inlineStr">
        <is>
          <t>All Social Protection and Labor</t>
        </is>
      </c>
      <c r="H6" s="14" t="inlineStr">
        <is>
          <t>All Social Protection and Labor</t>
        </is>
      </c>
    </row>
    <row r="7">
      <c r="A7" s="14" t="inlineStr">
        <is>
          <t>EGY.per_sa_allsa.avt_q1_preT_tot</t>
        </is>
      </c>
      <c r="B7" s="14" t="inlineStr">
        <is>
          <t>Egypt, Arab Rep.</t>
        </is>
      </c>
      <c r="C7" s="14" t="inlineStr">
        <is>
          <t>EGY</t>
        </is>
      </c>
      <c r="D7" s="14" t="n">
        <v>2008</v>
      </c>
      <c r="E7" s="14" t="n">
        <v>0.3547559082508087</v>
      </c>
      <c r="F7" s="14" t="inlineStr">
        <is>
          <t>Average per capita transfer held by 1st quintile (poorest) - All Social Assistance (preT)</t>
        </is>
      </c>
      <c r="G7" s="14" t="inlineStr">
        <is>
          <t>Social Assistance</t>
        </is>
      </c>
      <c r="H7" s="14" t="inlineStr">
        <is>
          <t>All Social Assistance</t>
        </is>
      </c>
    </row>
    <row r="8">
      <c r="A8" s="14" t="inlineStr">
        <is>
          <t>EGY.per_sa_allsa.avt_q2_preT_tot</t>
        </is>
      </c>
      <c r="B8" s="14" t="inlineStr">
        <is>
          <t>Egypt, Arab Rep.</t>
        </is>
      </c>
      <c r="C8" s="14" t="inlineStr">
        <is>
          <t>EGY</t>
        </is>
      </c>
      <c r="D8" s="14" t="n">
        <v>2008</v>
      </c>
      <c r="E8" s="14" t="n">
        <v>0.2657167911529541</v>
      </c>
      <c r="F8" s="14" t="inlineStr">
        <is>
          <t>Average per capita transfer held by 2nd quintile - All Social Assistance (preT)</t>
        </is>
      </c>
      <c r="G8" s="14" t="inlineStr">
        <is>
          <t>Social Assistance</t>
        </is>
      </c>
      <c r="H8" s="14" t="inlineStr">
        <is>
          <t>All Social Assistance</t>
        </is>
      </c>
    </row>
    <row r="9">
      <c r="A9" s="14" t="inlineStr">
        <is>
          <t>EGY.per_sa_allsa.avt_q3_preT_tot</t>
        </is>
      </c>
      <c r="B9" s="14" t="inlineStr">
        <is>
          <t>Egypt, Arab Rep.</t>
        </is>
      </c>
      <c r="C9" s="14" t="inlineStr">
        <is>
          <t>EGY</t>
        </is>
      </c>
      <c r="D9" s="14" t="n">
        <v>2008</v>
      </c>
      <c r="E9" s="14" t="n">
        <v>0.3326095044612885</v>
      </c>
      <c r="F9" s="14" t="inlineStr">
        <is>
          <t>Average per capita transfer held by 3rd quintile - All Social Assistance (preT)</t>
        </is>
      </c>
      <c r="G9" s="14" t="inlineStr">
        <is>
          <t>Social Assistance</t>
        </is>
      </c>
      <c r="H9" s="14" t="inlineStr">
        <is>
          <t>All Social Assistance</t>
        </is>
      </c>
    </row>
    <row r="10">
      <c r="A10" s="14" t="inlineStr">
        <is>
          <t>EGY.per_sa_allsa.avt_q4_preT_tot</t>
        </is>
      </c>
      <c r="B10" s="14" t="inlineStr">
        <is>
          <t>Egypt, Arab Rep.</t>
        </is>
      </c>
      <c r="C10" s="14" t="inlineStr">
        <is>
          <t>EGY</t>
        </is>
      </c>
      <c r="D10" s="14" t="n">
        <v>2008</v>
      </c>
      <c r="E10" s="14" t="n">
        <v>0.3066478967666626</v>
      </c>
      <c r="F10" s="14" t="inlineStr">
        <is>
          <t>Average per capita transfer held by 4th quintile - All Social Assistance (preT)</t>
        </is>
      </c>
      <c r="G10" s="14" t="inlineStr">
        <is>
          <t>Social Assistance</t>
        </is>
      </c>
      <c r="H10" s="14" t="inlineStr">
        <is>
          <t>All Social Assistance</t>
        </is>
      </c>
    </row>
    <row r="11">
      <c r="A11" s="14" t="inlineStr">
        <is>
          <t>EGY.per_sa_allsa.avt_q5_preT_tot</t>
        </is>
      </c>
      <c r="B11" s="14" t="inlineStr">
        <is>
          <t>Egypt, Arab Rep.</t>
        </is>
      </c>
      <c r="C11" s="14" t="inlineStr">
        <is>
          <t>EGY</t>
        </is>
      </c>
      <c r="D11" s="14" t="n">
        <v>2008</v>
      </c>
      <c r="E11" s="14" t="n">
        <v>0.3710348010063171</v>
      </c>
      <c r="F11" s="14" t="inlineStr">
        <is>
          <t>Average per capita transfer held by 5th quintile (richest) - All Social Assistance (preT)</t>
        </is>
      </c>
      <c r="G11" s="14" t="inlineStr">
        <is>
          <t>Social Assistance</t>
        </is>
      </c>
      <c r="H11" s="14" t="inlineStr">
        <is>
          <t>All Social Assistance</t>
        </is>
      </c>
    </row>
    <row r="12">
      <c r="A12" s="14" t="inlineStr">
        <is>
          <t>EGY.per_sa_ct.avt_q1_preT_tot</t>
        </is>
      </c>
      <c r="B12" s="14" t="inlineStr">
        <is>
          <t>Egypt, Arab Rep.</t>
        </is>
      </c>
      <c r="C12" s="14" t="inlineStr">
        <is>
          <t>EGY</t>
        </is>
      </c>
      <c r="D12" s="14" t="n">
        <v>2008</v>
      </c>
      <c r="E12" s="14" t="n">
        <v>1.024693727493286</v>
      </c>
      <c r="F12" s="14" t="inlineStr">
        <is>
          <t>Average per capita transfer held by 1st quintile (poorest) - Cash Transfer (preT)</t>
        </is>
      </c>
      <c r="G12" s="14" t="inlineStr">
        <is>
          <t>Social Assistance</t>
        </is>
      </c>
      <c r="H12" s="14" t="inlineStr">
        <is>
          <t>Cash Transfers</t>
        </is>
      </c>
    </row>
    <row r="13">
      <c r="A13" s="14" t="inlineStr">
        <is>
          <t>EGY.per_sa_ct.avt_q2_preT_tot</t>
        </is>
      </c>
      <c r="B13" s="14" t="inlineStr">
        <is>
          <t>Egypt, Arab Rep.</t>
        </is>
      </c>
      <c r="C13" s="14" t="inlineStr">
        <is>
          <t>EGY</t>
        </is>
      </c>
      <c r="D13" s="14" t="n">
        <v>2008</v>
      </c>
      <c r="E13" s="14" t="n">
        <v>0.7078378796577454</v>
      </c>
      <c r="F13" s="14" t="inlineStr">
        <is>
          <t>Average per capita transfer held by 2nd quintile - Cash Transfer (preT)</t>
        </is>
      </c>
      <c r="G13" s="14" t="inlineStr">
        <is>
          <t>Social Assistance</t>
        </is>
      </c>
      <c r="H13" s="14" t="inlineStr">
        <is>
          <t>Cash Transfers</t>
        </is>
      </c>
    </row>
    <row r="14">
      <c r="A14" s="14" t="inlineStr">
        <is>
          <t>EGY.per_sa_ct.avt_q3_preT_tot</t>
        </is>
      </c>
      <c r="B14" s="14" t="inlineStr">
        <is>
          <t>Egypt, Arab Rep.</t>
        </is>
      </c>
      <c r="C14" s="14" t="inlineStr">
        <is>
          <t>EGY</t>
        </is>
      </c>
      <c r="D14" s="14" t="n">
        <v>2008</v>
      </c>
      <c r="E14" s="14" t="n">
        <v>1.08569598197937</v>
      </c>
      <c r="F14" s="14" t="inlineStr">
        <is>
          <t>Average per capita transfer held by 3rd quintile - Cash Transfer (preT)</t>
        </is>
      </c>
      <c r="G14" s="14" t="inlineStr">
        <is>
          <t>Social Assistance</t>
        </is>
      </c>
      <c r="H14" s="14" t="inlineStr">
        <is>
          <t>Cash Transfers</t>
        </is>
      </c>
    </row>
    <row r="15">
      <c r="A15" s="14" t="inlineStr">
        <is>
          <t>EGY.per_sa_ct.avt_q4_preT_tot</t>
        </is>
      </c>
      <c r="B15" s="14" t="inlineStr">
        <is>
          <t>Egypt, Arab Rep.</t>
        </is>
      </c>
      <c r="C15" s="14" t="inlineStr">
        <is>
          <t>EGY</t>
        </is>
      </c>
      <c r="D15" s="14" t="n">
        <v>2008</v>
      </c>
      <c r="E15" s="14" t="n">
        <v>0.784868061542511</v>
      </c>
      <c r="F15" s="14" t="inlineStr">
        <is>
          <t>Average per capita transfer held by 4th quintile - Cash Transfer (preT)</t>
        </is>
      </c>
      <c r="G15" s="14" t="inlineStr">
        <is>
          <t>Social Assistance</t>
        </is>
      </c>
      <c r="H15" s="14" t="inlineStr">
        <is>
          <t>Cash Transfers</t>
        </is>
      </c>
    </row>
    <row r="16">
      <c r="A16" s="14" t="inlineStr">
        <is>
          <t>EGY.per_sa_ct.avt_q5_preT_tot</t>
        </is>
      </c>
      <c r="B16" s="14" t="inlineStr">
        <is>
          <t>Egypt, Arab Rep.</t>
        </is>
      </c>
      <c r="C16" s="14" t="inlineStr">
        <is>
          <t>EGY</t>
        </is>
      </c>
      <c r="D16" s="14" t="n">
        <v>2008</v>
      </c>
      <c r="E16" s="14" t="n">
        <v>0.9650470614433289</v>
      </c>
      <c r="F16" s="14" t="inlineStr">
        <is>
          <t>Average per capita transfer held by 5th quintile (richest) - Cash Transfer (preT)</t>
        </is>
      </c>
      <c r="G16" s="14" t="inlineStr">
        <is>
          <t>Social Assistance</t>
        </is>
      </c>
      <c r="H16" s="14" t="inlineStr">
        <is>
          <t>Cash Transfers</t>
        </is>
      </c>
    </row>
    <row r="17">
      <c r="A17" s="14" t="inlineStr">
        <is>
          <t>EGY.per_sa_ik.avt_q1_preT_tot</t>
        </is>
      </c>
      <c r="B17" s="14" t="inlineStr">
        <is>
          <t>Egypt, Arab Rep.</t>
        </is>
      </c>
      <c r="C17" s="14" t="inlineStr">
        <is>
          <t>EGY</t>
        </is>
      </c>
      <c r="D17" s="14" t="n">
        <v>2008</v>
      </c>
      <c r="E17" s="14" t="n">
        <v>0.1784599423408508</v>
      </c>
      <c r="F17" s="14" t="inlineStr">
        <is>
          <t>Average per capita transfer held by 1st quintile (poorest) - In-Kind (preT)</t>
        </is>
      </c>
      <c r="G17" s="14" t="inlineStr">
        <is>
          <t>Social Assistance</t>
        </is>
      </c>
      <c r="H17" s="14" t="inlineStr">
        <is>
          <t>In-Kind</t>
        </is>
      </c>
    </row>
    <row r="18">
      <c r="A18" s="14" t="inlineStr">
        <is>
          <t>EGY.per_sa_ik.avt_q2_preT_tot</t>
        </is>
      </c>
      <c r="B18" s="14" t="inlineStr">
        <is>
          <t>Egypt, Arab Rep.</t>
        </is>
      </c>
      <c r="C18" s="14" t="inlineStr">
        <is>
          <t>EGY</t>
        </is>
      </c>
      <c r="D18" s="14" t="n">
        <v>2008</v>
      </c>
      <c r="E18" s="14" t="n">
        <v>0.1986256092786789</v>
      </c>
      <c r="F18" s="14" t="inlineStr">
        <is>
          <t>Average per capita transfer held by 2nd quintile - In-Kind (preT)</t>
        </is>
      </c>
      <c r="G18" s="14" t="inlineStr">
        <is>
          <t>Social Assistance</t>
        </is>
      </c>
      <c r="H18" s="14" t="inlineStr">
        <is>
          <t>In-Kind</t>
        </is>
      </c>
    </row>
    <row r="19">
      <c r="A19" s="14" t="inlineStr">
        <is>
          <t>EGY.per_sa_ik.avt_q3_preT_tot</t>
        </is>
      </c>
      <c r="B19" s="14" t="inlineStr">
        <is>
          <t>Egypt, Arab Rep.</t>
        </is>
      </c>
      <c r="C19" s="14" t="inlineStr">
        <is>
          <t>EGY</t>
        </is>
      </c>
      <c r="D19" s="14" t="n">
        <v>2008</v>
      </c>
      <c r="E19" s="14" t="n">
        <v>0.2165990024805069</v>
      </c>
      <c r="F19" s="14" t="inlineStr">
        <is>
          <t>Average per capita transfer held by 3rd quintile - In-Kind (preT)</t>
        </is>
      </c>
      <c r="G19" s="14" t="inlineStr">
        <is>
          <t>Social Assistance</t>
        </is>
      </c>
      <c r="H19" s="14" t="inlineStr">
        <is>
          <t>In-Kind</t>
        </is>
      </c>
    </row>
    <row r="20">
      <c r="A20" s="14" t="inlineStr">
        <is>
          <t>EGY.per_sa_ik.avt_q4_preT_tot</t>
        </is>
      </c>
      <c r="B20" s="14" t="inlineStr">
        <is>
          <t>Egypt, Arab Rep.</t>
        </is>
      </c>
      <c r="C20" s="14" t="inlineStr">
        <is>
          <t>EGY</t>
        </is>
      </c>
      <c r="D20" s="14" t="n">
        <v>2008</v>
      </c>
      <c r="E20" s="14" t="n">
        <v>0.2341246455907822</v>
      </c>
      <c r="F20" s="14" t="inlineStr">
        <is>
          <t>Average per capita transfer held by 4th quintile - In-Kind (preT)</t>
        </is>
      </c>
      <c r="G20" s="14" t="inlineStr">
        <is>
          <t>Social Assistance</t>
        </is>
      </c>
      <c r="H20" s="14" t="inlineStr">
        <is>
          <t>In-Kind</t>
        </is>
      </c>
    </row>
    <row r="21">
      <c r="A21" s="14" t="inlineStr">
        <is>
          <t>EGY.per_sa_ik.avt_q5_preT_tot</t>
        </is>
      </c>
      <c r="B21" s="14" t="inlineStr">
        <is>
          <t>Egypt, Arab Rep.</t>
        </is>
      </c>
      <c r="C21" s="14" t="inlineStr">
        <is>
          <t>EGY</t>
        </is>
      </c>
      <c r="D21" s="14" t="n">
        <v>2008</v>
      </c>
      <c r="E21" s="14" t="n">
        <v>0.3122527003288269</v>
      </c>
      <c r="F21" s="14" t="inlineStr">
        <is>
          <t>Average per capita transfer held by 5th quintile (richest) - In-Kind (preT)</t>
        </is>
      </c>
      <c r="G21" s="14" t="inlineStr">
        <is>
          <t>Social Assistance</t>
        </is>
      </c>
      <c r="H21" s="14" t="inlineStr">
        <is>
          <t>In-Kind</t>
        </is>
      </c>
    </row>
    <row r="22">
      <c r="A22" s="14" t="inlineStr">
        <is>
          <t>EGY.per_si_allsi.avt_q1_preT_tot</t>
        </is>
      </c>
      <c r="B22" s="14" t="inlineStr">
        <is>
          <t>Egypt, Arab Rep.</t>
        </is>
      </c>
      <c r="C22" s="14" t="inlineStr">
        <is>
          <t>EGY</t>
        </is>
      </c>
      <c r="D22" s="14" t="n">
        <v>2008</v>
      </c>
      <c r="E22" s="14" t="n">
        <v>3.410625696182251</v>
      </c>
      <c r="F22" s="14" t="inlineStr">
        <is>
          <t>Average per capita transfer held by 1st quintile (poorest) - All Social Insurance (preT)</t>
        </is>
      </c>
      <c r="G22" s="14" t="inlineStr">
        <is>
          <t>Social Insurance</t>
        </is>
      </c>
      <c r="H22" s="14" t="inlineStr">
        <is>
          <t>All Social Insurance</t>
        </is>
      </c>
    </row>
    <row r="23">
      <c r="A23" s="14" t="inlineStr">
        <is>
          <t>EGY.per_si_allsi.avt_q2_preT_tot</t>
        </is>
      </c>
      <c r="B23" s="14" t="inlineStr">
        <is>
          <t>Egypt, Arab Rep.</t>
        </is>
      </c>
      <c r="C23" s="14" t="inlineStr">
        <is>
          <t>EGY</t>
        </is>
      </c>
      <c r="D23" s="14" t="n">
        <v>2008</v>
      </c>
      <c r="E23" s="14" t="n">
        <v>3.653099775314331</v>
      </c>
      <c r="F23" s="14" t="inlineStr">
        <is>
          <t>Average per capita transfer held by 2nd quintile - All Social Insurance (preT)</t>
        </is>
      </c>
      <c r="G23" s="14" t="inlineStr">
        <is>
          <t>Social Insurance</t>
        </is>
      </c>
      <c r="H23" s="14" t="inlineStr">
        <is>
          <t>All Social Insurance</t>
        </is>
      </c>
    </row>
    <row r="24">
      <c r="A24" s="14" t="inlineStr">
        <is>
          <t>EGY.per_si_allsi.avt_q3_preT_tot</t>
        </is>
      </c>
      <c r="B24" s="14" t="inlineStr">
        <is>
          <t>Egypt, Arab Rep.</t>
        </is>
      </c>
      <c r="C24" s="14" t="inlineStr">
        <is>
          <t>EGY</t>
        </is>
      </c>
      <c r="D24" s="14" t="n">
        <v>2008</v>
      </c>
      <c r="E24" s="14" t="n">
        <v>4.544201850891113</v>
      </c>
      <c r="F24" s="14" t="inlineStr">
        <is>
          <t>Average per capita transfer held by 3rd quintile - All Social Insurance (preT)</t>
        </is>
      </c>
      <c r="G24" s="14" t="inlineStr">
        <is>
          <t>Social Insurance</t>
        </is>
      </c>
      <c r="H24" s="14" t="inlineStr">
        <is>
          <t>All Social Insurance</t>
        </is>
      </c>
    </row>
    <row r="25">
      <c r="A25" s="14" t="inlineStr">
        <is>
          <t>EGY.per_si_allsi.avt_q4_preT_tot</t>
        </is>
      </c>
      <c r="B25" s="14" t="inlineStr">
        <is>
          <t>Egypt, Arab Rep.</t>
        </is>
      </c>
      <c r="C25" s="14" t="inlineStr">
        <is>
          <t>EGY</t>
        </is>
      </c>
      <c r="D25" s="14" t="n">
        <v>2008</v>
      </c>
      <c r="E25" s="14" t="n">
        <v>4.691322326660156</v>
      </c>
      <c r="F25" s="14" t="inlineStr">
        <is>
          <t>Average per capita transfer held by 4th quintile - All Social Insurance (preT)</t>
        </is>
      </c>
      <c r="G25" s="14" t="inlineStr">
        <is>
          <t>Social Insurance</t>
        </is>
      </c>
      <c r="H25" s="14" t="inlineStr">
        <is>
          <t>All Social Insurance</t>
        </is>
      </c>
    </row>
    <row r="26">
      <c r="A26" s="14" t="inlineStr">
        <is>
          <t>EGY.per_si_allsi.avt_q5_preT_tot</t>
        </is>
      </c>
      <c r="B26" s="14" t="inlineStr">
        <is>
          <t>Egypt, Arab Rep.</t>
        </is>
      </c>
      <c r="C26" s="14" t="inlineStr">
        <is>
          <t>EGY</t>
        </is>
      </c>
      <c r="D26" s="14" t="n">
        <v>2008</v>
      </c>
      <c r="E26" s="14" t="n">
        <v>7.790436744689941</v>
      </c>
      <c r="F26" s="14" t="inlineStr">
        <is>
          <t>Average per capita transfer held by 5th quintile (richest) - All Social Insurance (preT)</t>
        </is>
      </c>
      <c r="G26" s="14" t="inlineStr">
        <is>
          <t>Social Insurance</t>
        </is>
      </c>
      <c r="H26" s="14" t="inlineStr">
        <is>
          <t>All Social Insurance</t>
        </is>
      </c>
    </row>
    <row r="27">
      <c r="A27" s="14" t="inlineStr">
        <is>
          <t>EGY.per_si_cp.avt_q1_preT_tot</t>
        </is>
      </c>
      <c r="B27" s="14" t="inlineStr">
        <is>
          <t>Egypt, Arab Rep.</t>
        </is>
      </c>
      <c r="C27" s="14" t="inlineStr">
        <is>
          <t>EGY</t>
        </is>
      </c>
      <c r="D27" s="14" t="n">
        <v>2008</v>
      </c>
      <c r="E27" s="14" t="n">
        <v>3.410625696182251</v>
      </c>
      <c r="F27" s="14" t="inlineStr">
        <is>
          <t>Average per capita transfer held by 1st quintile (poorest) - Contributory Pensions (preT)</t>
        </is>
      </c>
      <c r="G27" s="14" t="inlineStr">
        <is>
          <t>Social Insurance</t>
        </is>
      </c>
      <c r="H27" s="14" t="inlineStr">
        <is>
          <t>Contributory Pensions</t>
        </is>
      </c>
    </row>
    <row r="28">
      <c r="A28" s="14" t="inlineStr">
        <is>
          <t>EGY.per_si_cp.avt_q2_preT_tot</t>
        </is>
      </c>
      <c r="B28" s="14" t="inlineStr">
        <is>
          <t>Egypt, Arab Rep.</t>
        </is>
      </c>
      <c r="C28" s="14" t="inlineStr">
        <is>
          <t>EGY</t>
        </is>
      </c>
      <c r="D28" s="14" t="n">
        <v>2008</v>
      </c>
      <c r="E28" s="14" t="n">
        <v>3.653099775314331</v>
      </c>
      <c r="F28" s="14" t="inlineStr">
        <is>
          <t>Average per capita transfer held by 2nd quintile - Contributory Pensions (preT)</t>
        </is>
      </c>
      <c r="G28" s="14" t="inlineStr">
        <is>
          <t>Social Insurance</t>
        </is>
      </c>
      <c r="H28" s="14" t="inlineStr">
        <is>
          <t>Contributory Pensions</t>
        </is>
      </c>
    </row>
    <row r="29">
      <c r="A29" s="14" t="inlineStr">
        <is>
          <t>EGY.per_si_cp.avt_q3_preT_tot</t>
        </is>
      </c>
      <c r="B29" s="14" t="inlineStr">
        <is>
          <t>Egypt, Arab Rep.</t>
        </is>
      </c>
      <c r="C29" s="14" t="inlineStr">
        <is>
          <t>EGY</t>
        </is>
      </c>
      <c r="D29" s="14" t="n">
        <v>2008</v>
      </c>
      <c r="E29" s="14" t="n">
        <v>4.544201850891113</v>
      </c>
      <c r="F29" s="14" t="inlineStr">
        <is>
          <t>Average per capita transfer held by 3rd quintile - Contributory Pensions (preT)</t>
        </is>
      </c>
      <c r="G29" s="14" t="inlineStr">
        <is>
          <t>Social Insurance</t>
        </is>
      </c>
      <c r="H29" s="14" t="inlineStr">
        <is>
          <t>Contributory Pensions</t>
        </is>
      </c>
    </row>
    <row r="30">
      <c r="A30" s="14" t="inlineStr">
        <is>
          <t>EGY.per_si_cp.avt_q4_preT_tot</t>
        </is>
      </c>
      <c r="B30" s="14" t="inlineStr">
        <is>
          <t>Egypt, Arab Rep.</t>
        </is>
      </c>
      <c r="C30" s="14" t="inlineStr">
        <is>
          <t>EGY</t>
        </is>
      </c>
      <c r="D30" s="14" t="n">
        <v>2008</v>
      </c>
      <c r="E30" s="14" t="n">
        <v>4.691322326660156</v>
      </c>
      <c r="F30" s="14" t="inlineStr">
        <is>
          <t>Average per capita transfer held by 4th quintile - Contributory Pensions (preT)</t>
        </is>
      </c>
      <c r="G30" s="14" t="inlineStr">
        <is>
          <t>Social Insurance</t>
        </is>
      </c>
      <c r="H30" s="14" t="inlineStr">
        <is>
          <t>Contributory Pensions</t>
        </is>
      </c>
    </row>
    <row r="31">
      <c r="A31" s="14" t="inlineStr">
        <is>
          <t>EGY.per_si_cp.avt_q5_preT_tot</t>
        </is>
      </c>
      <c r="B31" s="14" t="inlineStr">
        <is>
          <t>Egypt, Arab Rep.</t>
        </is>
      </c>
      <c r="C31" s="14" t="inlineStr">
        <is>
          <t>EGY</t>
        </is>
      </c>
      <c r="D31" s="14" t="n">
        <v>2008</v>
      </c>
      <c r="E31" s="14" t="n">
        <v>7.790436744689941</v>
      </c>
      <c r="F31" s="14" t="inlineStr">
        <is>
          <t>Average per capita transfer held by 5th quintile (richest) - Contributory Pensions (preT)</t>
        </is>
      </c>
      <c r="G31" s="14" t="inlineStr">
        <is>
          <t>Social Insurance</t>
        </is>
      </c>
      <c r="H31" s="14" t="inlineStr">
        <is>
          <t>Contributory Pensions</t>
        </is>
      </c>
    </row>
    <row r="34">
      <c r="A34" s="2" t="inlineStr">
        <is>
          <t>ASPIRE incidence pivot (avg. per-capita transfer, preT, US$ PPP/day, by quintile)</t>
        </is>
      </c>
    </row>
    <row r="35">
      <c r="A35" s="13" t="inlineStr">
        <is>
          <t>program</t>
        </is>
      </c>
      <c r="B35" s="13" t="inlineStr">
        <is>
          <t>label</t>
        </is>
      </c>
      <c r="C35" s="13" t="inlineStr">
        <is>
          <t>Q1</t>
        </is>
      </c>
      <c r="D35" s="13" t="inlineStr">
        <is>
          <t>Q2</t>
        </is>
      </c>
      <c r="E35" s="13" t="inlineStr">
        <is>
          <t>Q3</t>
        </is>
      </c>
      <c r="F35" s="13" t="inlineStr">
        <is>
          <t>Q4</t>
        </is>
      </c>
      <c r="G35" s="13" t="inlineStr">
        <is>
          <t>Q5</t>
        </is>
      </c>
    </row>
    <row r="36">
      <c r="A36" s="14" t="inlineStr">
        <is>
          <t>allsp</t>
        </is>
      </c>
      <c r="B36" s="14" t="inlineStr">
        <is>
          <t>All Social Protection and Labor</t>
        </is>
      </c>
      <c r="C36" s="14" t="n">
        <v>1.701829075813293</v>
      </c>
      <c r="D36" s="14" t="n">
        <v>1.4042809009552</v>
      </c>
      <c r="E36" s="14" t="n">
        <v>1.858706116676331</v>
      </c>
      <c r="F36" s="14" t="n">
        <v>1.829251289367676</v>
      </c>
      <c r="G36" s="14" t="n">
        <v>4.406506061553955</v>
      </c>
    </row>
    <row r="37">
      <c r="A37" s="14" t="inlineStr">
        <is>
          <t>sa_allsa</t>
        </is>
      </c>
      <c r="B37" s="14" t="inlineStr">
        <is>
          <t>All Social Assistance</t>
        </is>
      </c>
      <c r="C37" s="14" t="n">
        <v>0.3547559082508087</v>
      </c>
      <c r="D37" s="14" t="n">
        <v>0.2657167911529541</v>
      </c>
      <c r="E37" s="14" t="n">
        <v>0.3326095044612885</v>
      </c>
      <c r="F37" s="14" t="n">
        <v>0.3066478967666626</v>
      </c>
      <c r="G37" s="14" t="n">
        <v>0.3710348010063171</v>
      </c>
    </row>
    <row r="38">
      <c r="A38" s="14" t="inlineStr">
        <is>
          <t>sa_ct</t>
        </is>
      </c>
      <c r="B38" s="14" t="inlineStr">
        <is>
          <t>Cash Transfers</t>
        </is>
      </c>
      <c r="C38" s="14" t="n">
        <v>1.024693727493286</v>
      </c>
      <c r="D38" s="14" t="n">
        <v>0.7078378796577454</v>
      </c>
      <c r="E38" s="14" t="n">
        <v>1.08569598197937</v>
      </c>
      <c r="F38" s="14" t="n">
        <v>0.784868061542511</v>
      </c>
      <c r="G38" s="14" t="n">
        <v>0.9650470614433289</v>
      </c>
    </row>
    <row r="39">
      <c r="A39" s="14" t="inlineStr">
        <is>
          <t>sa_ik</t>
        </is>
      </c>
      <c r="B39" s="14" t="inlineStr">
        <is>
          <t>In-Kind</t>
        </is>
      </c>
      <c r="C39" s="14" t="n">
        <v>0.1784599423408508</v>
      </c>
      <c r="D39" s="14" t="n">
        <v>0.1986256092786789</v>
      </c>
      <c r="E39" s="14" t="n">
        <v>0.2165990024805069</v>
      </c>
      <c r="F39" s="14" t="n">
        <v>0.2341246455907822</v>
      </c>
      <c r="G39" s="14" t="n">
        <v>0.3122527003288269</v>
      </c>
    </row>
    <row r="40">
      <c r="A40" s="14" t="inlineStr">
        <is>
          <t>si_allsi</t>
        </is>
      </c>
      <c r="B40" s="14" t="inlineStr">
        <is>
          <t>All Social Insurance</t>
        </is>
      </c>
      <c r="C40" s="14" t="n">
        <v>3.410625696182251</v>
      </c>
      <c r="D40" s="14" t="n">
        <v>3.653099775314331</v>
      </c>
      <c r="E40" s="14" t="n">
        <v>4.544201850891113</v>
      </c>
      <c r="F40" s="14" t="n">
        <v>4.691322326660156</v>
      </c>
      <c r="G40" s="14" t="n">
        <v>7.790436744689941</v>
      </c>
    </row>
    <row r="41">
      <c r="A41" s="14" t="inlineStr">
        <is>
          <t>si_cp</t>
        </is>
      </c>
      <c r="B41" s="14" t="inlineStr">
        <is>
          <t>Contributory Pensions</t>
        </is>
      </c>
      <c r="C41" s="14" t="n">
        <v>3.410625696182251</v>
      </c>
      <c r="D41" s="14" t="n">
        <v>3.653099775314331</v>
      </c>
      <c r="E41" s="14" t="n">
        <v>4.544201850891113</v>
      </c>
      <c r="F41" s="14" t="n">
        <v>4.691322326660156</v>
      </c>
      <c r="G41" s="14" t="n">
        <v>7.790436744689941</v>
      </c>
    </row>
  </sheetData>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7.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s>
  <sheetData>
    <row r="1">
      <c r="A1" s="13" t="inlineStr">
        <is>
          <t>code</t>
        </is>
      </c>
      <c r="B1" s="13" t="inlineStr">
        <is>
          <t>iso3</t>
        </is>
      </c>
      <c r="C1" s="13" t="inlineStr">
        <is>
          <t>year</t>
        </is>
      </c>
      <c r="D1" s="13" t="inlineStr">
        <is>
          <t>sample</t>
        </is>
      </c>
      <c r="E1" s="13" t="inlineStr">
        <is>
          <t>main_fuel</t>
        </is>
      </c>
      <c r="F1" s="13" t="inlineStr">
        <is>
          <t>max_share</t>
        </is>
      </c>
    </row>
    <row r="2">
      <c r="A2" s="14" t="inlineStr">
        <is>
          <t>EGY.distn.pcoff.ove</t>
        </is>
      </c>
      <c r="B2" s="14" t="inlineStr">
        <is>
          <t>EGY</t>
        </is>
      </c>
      <c r="C2" s="14" t="n">
        <v>2017</v>
      </c>
      <c r="D2" s="14" t="inlineStr">
        <is>
          <t>Overall</t>
        </is>
      </c>
      <c r="E2" s="14" t="inlineStr">
        <is>
          <t>lpg</t>
        </is>
      </c>
      <c r="F2" s="14" t="n">
        <v>74.05000305175781</v>
      </c>
    </row>
    <row r="3">
      <c r="A3" s="14" t="inlineStr">
        <is>
          <t>EGY.distn.pcoff.rur</t>
        </is>
      </c>
      <c r="B3" s="14" t="inlineStr">
        <is>
          <t>EGY</t>
        </is>
      </c>
      <c r="C3" s="14" t="n">
        <v>2017</v>
      </c>
      <c r="D3" s="14" t="inlineStr">
        <is>
          <t>Rural</t>
        </is>
      </c>
      <c r="E3" s="14" t="inlineStr">
        <is>
          <t>lpg</t>
        </is>
      </c>
      <c r="F3" s="14" t="n">
        <v>96.48000335693359</v>
      </c>
    </row>
    <row r="4">
      <c r="A4" s="14" t="inlineStr">
        <is>
          <t>EGY.distn.pcoff.urb</t>
        </is>
      </c>
      <c r="B4" s="14" t="inlineStr">
        <is>
          <t>EGY</t>
        </is>
      </c>
      <c r="C4" s="14" t="n">
        <v>2017</v>
      </c>
      <c r="D4" s="14" t="inlineStr">
        <is>
          <t>Urban</t>
        </is>
      </c>
      <c r="E4" s="14" t="inlineStr">
        <is>
          <t>nga</t>
        </is>
      </c>
      <c r="F4" s="14" t="n">
        <v>54.29499816894531</v>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BQ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 width="15" customWidth="1" min="65" max="65"/>
    <col width="15" customWidth="1" min="66" max="66"/>
    <col width="15" customWidth="1" min="67" max="67"/>
    <col width="15" customWidth="1" min="68" max="68"/>
    <col width="15" customWidth="1" min="69" max="69"/>
  </cols>
  <sheetData>
    <row r="1">
      <c r="A1" s="13" t="inlineStr">
        <is>
          <t>Country_Name</t>
        </is>
      </c>
      <c r="B1" s="13" t="inlineStr">
        <is>
          <t>Country_Code</t>
        </is>
      </c>
      <c r="C1" s="13" t="inlineStr">
        <is>
          <t>Indicator_Name</t>
        </is>
      </c>
      <c r="D1" s="13" t="inlineStr">
        <is>
          <t>Indicator_Code</t>
        </is>
      </c>
      <c r="E1" s="13" t="inlineStr">
        <is>
          <t>Latest_Year</t>
        </is>
      </c>
      <c r="F1" s="13" t="inlineStr">
        <is>
          <t>Y1960</t>
        </is>
      </c>
      <c r="G1" s="13" t="inlineStr">
        <is>
          <t>Y1961</t>
        </is>
      </c>
      <c r="H1" s="13" t="inlineStr">
        <is>
          <t>Y1962</t>
        </is>
      </c>
      <c r="I1" s="13" t="inlineStr">
        <is>
          <t>Y1963</t>
        </is>
      </c>
      <c r="J1" s="13" t="inlineStr">
        <is>
          <t>Y1964</t>
        </is>
      </c>
      <c r="K1" s="13" t="inlineStr">
        <is>
          <t>Y1965</t>
        </is>
      </c>
      <c r="L1" s="13" t="inlineStr">
        <is>
          <t>Y1966</t>
        </is>
      </c>
      <c r="M1" s="13" t="inlineStr">
        <is>
          <t>Y1967</t>
        </is>
      </c>
      <c r="N1" s="13" t="inlineStr">
        <is>
          <t>Y1968</t>
        </is>
      </c>
      <c r="O1" s="13" t="inlineStr">
        <is>
          <t>Y1969</t>
        </is>
      </c>
      <c r="P1" s="13" t="inlineStr">
        <is>
          <t>Y1970</t>
        </is>
      </c>
      <c r="Q1" s="13" t="inlineStr">
        <is>
          <t>Y1971</t>
        </is>
      </c>
      <c r="R1" s="13" t="inlineStr">
        <is>
          <t>Y1972</t>
        </is>
      </c>
      <c r="S1" s="13" t="inlineStr">
        <is>
          <t>Y1973</t>
        </is>
      </c>
      <c r="T1" s="13" t="inlineStr">
        <is>
          <t>Y1974</t>
        </is>
      </c>
      <c r="U1" s="13" t="inlineStr">
        <is>
          <t>Y1975</t>
        </is>
      </c>
      <c r="V1" s="13" t="inlineStr">
        <is>
          <t>Y1976</t>
        </is>
      </c>
      <c r="W1" s="13" t="inlineStr">
        <is>
          <t>Y1977</t>
        </is>
      </c>
      <c r="X1" s="13" t="inlineStr">
        <is>
          <t>Y1978</t>
        </is>
      </c>
      <c r="Y1" s="13" t="inlineStr">
        <is>
          <t>Y1979</t>
        </is>
      </c>
      <c r="Z1" s="13" t="inlineStr">
        <is>
          <t>Y1980</t>
        </is>
      </c>
      <c r="AA1" s="13" t="inlineStr">
        <is>
          <t>Y1981</t>
        </is>
      </c>
      <c r="AB1" s="13" t="inlineStr">
        <is>
          <t>Y1982</t>
        </is>
      </c>
      <c r="AC1" s="13" t="inlineStr">
        <is>
          <t>Y1983</t>
        </is>
      </c>
      <c r="AD1" s="13" t="inlineStr">
        <is>
          <t>Y1984</t>
        </is>
      </c>
      <c r="AE1" s="13" t="inlineStr">
        <is>
          <t>Y1985</t>
        </is>
      </c>
      <c r="AF1" s="13" t="inlineStr">
        <is>
          <t>Y1986</t>
        </is>
      </c>
      <c r="AG1" s="13" t="inlineStr">
        <is>
          <t>Y1987</t>
        </is>
      </c>
      <c r="AH1" s="13" t="inlineStr">
        <is>
          <t>Y1988</t>
        </is>
      </c>
      <c r="AI1" s="13" t="inlineStr">
        <is>
          <t>Y1989</t>
        </is>
      </c>
      <c r="AJ1" s="13" t="inlineStr">
        <is>
          <t>Y1990</t>
        </is>
      </c>
      <c r="AK1" s="13" t="inlineStr">
        <is>
          <t>Y1991</t>
        </is>
      </c>
      <c r="AL1" s="13" t="inlineStr">
        <is>
          <t>Y1992</t>
        </is>
      </c>
      <c r="AM1" s="13" t="inlineStr">
        <is>
          <t>Y1993</t>
        </is>
      </c>
      <c r="AN1" s="13" t="inlineStr">
        <is>
          <t>Y1994</t>
        </is>
      </c>
      <c r="AO1" s="13" t="inlineStr">
        <is>
          <t>Y1995</t>
        </is>
      </c>
      <c r="AP1" s="13" t="inlineStr">
        <is>
          <t>Y1996</t>
        </is>
      </c>
      <c r="AQ1" s="13" t="inlineStr">
        <is>
          <t>Y1997</t>
        </is>
      </c>
      <c r="AR1" s="13" t="inlineStr">
        <is>
          <t>Y1998</t>
        </is>
      </c>
      <c r="AS1" s="13" t="inlineStr">
        <is>
          <t>Y1999</t>
        </is>
      </c>
      <c r="AT1" s="13" t="inlineStr">
        <is>
          <t>Y2000</t>
        </is>
      </c>
      <c r="AU1" s="13" t="inlineStr">
        <is>
          <t>Y2001</t>
        </is>
      </c>
      <c r="AV1" s="13" t="inlineStr">
        <is>
          <t>Y2002</t>
        </is>
      </c>
      <c r="AW1" s="13" t="inlineStr">
        <is>
          <t>Y2003</t>
        </is>
      </c>
      <c r="AX1" s="13" t="inlineStr">
        <is>
          <t>Y2004</t>
        </is>
      </c>
      <c r="AY1" s="13" t="inlineStr">
        <is>
          <t>Y2005</t>
        </is>
      </c>
      <c r="AZ1" s="13" t="inlineStr">
        <is>
          <t>Y2006</t>
        </is>
      </c>
      <c r="BA1" s="13" t="inlineStr">
        <is>
          <t>Y2007</t>
        </is>
      </c>
      <c r="BB1" s="13" t="inlineStr">
        <is>
          <t>Y2008</t>
        </is>
      </c>
      <c r="BC1" s="13" t="inlineStr">
        <is>
          <t>Y2009</t>
        </is>
      </c>
      <c r="BD1" s="13" t="inlineStr">
        <is>
          <t>Y2010</t>
        </is>
      </c>
      <c r="BE1" s="13" t="inlineStr">
        <is>
          <t>Y2011</t>
        </is>
      </c>
      <c r="BF1" s="13" t="inlineStr">
        <is>
          <t>Y2012</t>
        </is>
      </c>
      <c r="BG1" s="13" t="inlineStr">
        <is>
          <t>Y2013</t>
        </is>
      </c>
      <c r="BH1" s="13" t="inlineStr">
        <is>
          <t>Y2014</t>
        </is>
      </c>
      <c r="BI1" s="13" t="inlineStr">
        <is>
          <t>Y2015</t>
        </is>
      </c>
      <c r="BJ1" s="13" t="inlineStr">
        <is>
          <t>Y2016</t>
        </is>
      </c>
      <c r="BK1" s="13" t="inlineStr">
        <is>
          <t>Y2017</t>
        </is>
      </c>
      <c r="BL1" s="13" t="inlineStr">
        <is>
          <t>Y2018</t>
        </is>
      </c>
      <c r="BM1" s="13" t="inlineStr">
        <is>
          <t>Y2019</t>
        </is>
      </c>
      <c r="BN1" s="13" t="inlineStr">
        <is>
          <t>Y2020</t>
        </is>
      </c>
      <c r="BO1" s="13" t="inlineStr">
        <is>
          <t>Y2021</t>
        </is>
      </c>
      <c r="BP1" s="13" t="inlineStr">
        <is>
          <t>Y2022</t>
        </is>
      </c>
      <c r="BQ1" s="13" t="inlineStr">
        <is>
          <t>Y2023</t>
        </is>
      </c>
    </row>
    <row r="2">
      <c r="A2" s="14" t="inlineStr">
        <is>
          <t>Egypt, Arab Rep.</t>
        </is>
      </c>
      <c r="B2" s="14" t="inlineStr">
        <is>
          <t>EGY</t>
        </is>
      </c>
      <c r="C2" s="14" t="inlineStr">
        <is>
          <t>Households and NPISHs final consumption expenditure (% of GDP)</t>
        </is>
      </c>
      <c r="D2" s="14" t="inlineStr">
        <is>
          <t>NE.CON.PRVT.ZS</t>
        </is>
      </c>
      <c r="E2" s="14" t="n">
        <v>2023</v>
      </c>
      <c r="F2" s="14" t="n">
        <v>70.95166575641726</v>
      </c>
      <c r="G2" s="14" t="n">
        <v>69.67799642218246</v>
      </c>
      <c r="H2" s="14" t="n">
        <v>71.46357899895852</v>
      </c>
      <c r="I2" s="14" t="n">
        <v>69.88190057676462</v>
      </c>
      <c r="J2" s="14" t="n">
        <v>67.44810744810745</v>
      </c>
      <c r="K2" s="14" t="n">
        <v>67.08452880158904</v>
      </c>
      <c r="L2" s="14" t="n">
        <v>68.04891015417331</v>
      </c>
      <c r="M2" s="14" t="n">
        <v>68.95218557677134</v>
      </c>
      <c r="N2" s="14" t="n">
        <v>70.50019692792438</v>
      </c>
      <c r="O2" s="14" t="n">
        <v>68.40347361389446</v>
      </c>
      <c r="P2" s="14" t="n">
        <v>66.6260619690155</v>
      </c>
      <c r="Q2" s="14" t="n">
        <v>67.34306958556743</v>
      </c>
      <c r="R2" s="14" t="n">
        <v>67.66561952684107</v>
      </c>
      <c r="S2" s="14" t="n">
        <v>67.04778583937954</v>
      </c>
      <c r="T2" s="14" t="n">
        <v>66.88804340484927</v>
      </c>
      <c r="U2" s="14" t="n">
        <v>66.10447367429238</v>
      </c>
      <c r="V2" s="14" t="n">
        <v>65.68475375115592</v>
      </c>
      <c r="W2" s="14" t="n">
        <v>65.12015980706221</v>
      </c>
      <c r="X2" s="14" t="n">
        <v>66.59297017339148</v>
      </c>
      <c r="Y2" s="14" t="n">
        <v>68.08726534753932</v>
      </c>
      <c r="Z2" s="14" t="n">
        <v>69.17015047339885</v>
      </c>
      <c r="AA2" s="14" t="n">
        <v>63.09864657798506</v>
      </c>
      <c r="AB2" s="14" t="n">
        <v>64.50391877449235</v>
      </c>
      <c r="AC2" s="14" t="n">
        <v>64.66165413533834</v>
      </c>
      <c r="AD2" s="14" t="n">
        <v>65.50632911392405</v>
      </c>
      <c r="AE2" s="14" t="n">
        <v>64.6112600536193</v>
      </c>
      <c r="AF2" s="14" t="n">
        <v>64.17233560090703</v>
      </c>
      <c r="AG2" s="14" t="n">
        <v>69.70873436893203</v>
      </c>
      <c r="AH2" s="14" t="n">
        <v>70.77922077922078</v>
      </c>
      <c r="AI2" s="14" t="n">
        <v>70.2597412987013</v>
      </c>
      <c r="AJ2" s="14" t="n">
        <v>71.92066805845512</v>
      </c>
      <c r="AK2" s="14" t="n">
        <v>73.06666666666666</v>
      </c>
      <c r="AL2" s="14" t="n">
        <v>72.60963335729691</v>
      </c>
      <c r="AM2" s="14" t="n">
        <v>74.0979381443299</v>
      </c>
      <c r="AN2" s="14" t="n">
        <v>74.57142857142857</v>
      </c>
      <c r="AO2" s="14" t="n">
        <v>74.4607843137255</v>
      </c>
      <c r="AP2" s="14" t="n">
        <v>76.93984306887532</v>
      </c>
      <c r="AQ2" s="14" t="n">
        <v>77.17186912373073</v>
      </c>
      <c r="AR2" s="14" t="n">
        <v>76.68754349338901</v>
      </c>
      <c r="AS2" s="14" t="n">
        <v>75.03250975292588</v>
      </c>
      <c r="AT2" s="14" t="n">
        <v>75.86004116436342</v>
      </c>
      <c r="AU2" s="14" t="n">
        <v>75.27181488709228</v>
      </c>
      <c r="AV2" s="14" t="n">
        <v>73.76616521509634</v>
      </c>
      <c r="AW2" s="14" t="n">
        <v>73.02994011976048</v>
      </c>
      <c r="AX2" s="14" t="n">
        <v>71.66701009684731</v>
      </c>
      <c r="AY2" s="14" t="n">
        <v>71.5506035283194</v>
      </c>
      <c r="AZ2" s="14" t="n">
        <v>70.60061518536507</v>
      </c>
      <c r="BA2" s="14" t="n">
        <v>72.3952738990333</v>
      </c>
      <c r="BB2" s="14" t="n">
        <v>72.31714126186488</v>
      </c>
      <c r="BC2" s="14" t="n">
        <v>76.09863749760123</v>
      </c>
      <c r="BD2" s="14" t="n">
        <v>74.57318083872038</v>
      </c>
      <c r="BE2" s="14" t="n">
        <v>75.56706294216322</v>
      </c>
      <c r="BF2" s="14" t="n">
        <v>80.71296351585359</v>
      </c>
      <c r="BG2" s="14" t="n">
        <v>80.77295205332187</v>
      </c>
      <c r="BH2" s="14" t="n">
        <v>82.93896713615024</v>
      </c>
      <c r="BI2" s="14" t="n">
        <v>82.42972298375547</v>
      </c>
      <c r="BJ2" s="14" t="n">
        <v>83.08850668044585</v>
      </c>
      <c r="BK2" s="14" t="n">
        <v>86.08003501189857</v>
      </c>
      <c r="BL2" s="14" t="n">
        <v>83.29047190433329</v>
      </c>
      <c r="BM2" s="14" t="n">
        <v>80.49678341672623</v>
      </c>
      <c r="BN2" s="14" t="n">
        <v>83.64593830250627</v>
      </c>
      <c r="BO2" s="14" t="n">
        <v>86.00501268178475</v>
      </c>
      <c r="BP2" s="14" t="n">
        <v>82.52215492508766</v>
      </c>
      <c r="BQ2" s="14" t="n">
        <v>82.57183370423617</v>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BP1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 width="15" customWidth="1" min="65" max="65"/>
    <col width="15" customWidth="1" min="66" max="66"/>
    <col width="15" customWidth="1" min="67" max="67"/>
    <col width="15" customWidth="1" min="68" max="68"/>
  </cols>
  <sheetData>
    <row r="1">
      <c r="A1" s="13" t="inlineStr">
        <is>
          <t>dis</t>
        </is>
      </c>
      <c r="B1" s="13" t="inlineStr">
        <is>
          <t>iso3</t>
        </is>
      </c>
      <c r="C1" s="13" t="inlineStr">
        <is>
          <t>year</t>
        </is>
      </c>
      <c r="D1" s="13" t="inlineStr">
        <is>
          <t>sector</t>
        </is>
      </c>
      <c r="E1" s="13" t="inlineStr">
        <is>
          <t>afs</t>
        </is>
      </c>
      <c r="F1" s="13" t="inlineStr">
        <is>
          <t>atp</t>
        </is>
      </c>
      <c r="G1" s="13" t="inlineStr">
        <is>
          <t>b_t</t>
        </is>
      </c>
      <c r="H1" s="13" t="inlineStr">
        <is>
          <t>bph</t>
        </is>
      </c>
      <c r="I1" s="13" t="inlineStr">
        <is>
          <t>c_b</t>
        </is>
      </c>
      <c r="J1" s="13" t="inlineStr">
        <is>
          <t>chm</t>
        </is>
      </c>
      <c r="K1" s="13" t="inlineStr">
        <is>
          <t>cmn</t>
        </is>
      </c>
      <c r="L1" s="13" t="inlineStr">
        <is>
          <t>cmt</t>
        </is>
      </c>
      <c r="M1" s="13" t="inlineStr">
        <is>
          <t>cns</t>
        </is>
      </c>
      <c r="N1" s="13" t="inlineStr">
        <is>
          <t>coa</t>
        </is>
      </c>
      <c r="O1" s="13" t="inlineStr">
        <is>
          <t>ctl</t>
        </is>
      </c>
      <c r="P1" s="13" t="inlineStr">
        <is>
          <t>dwe</t>
        </is>
      </c>
      <c r="Q1" s="13" t="inlineStr">
        <is>
          <t>edu</t>
        </is>
      </c>
      <c r="R1" s="13" t="inlineStr">
        <is>
          <t>eeq</t>
        </is>
      </c>
      <c r="S1" s="13" t="inlineStr">
        <is>
          <t>ele</t>
        </is>
      </c>
      <c r="T1" s="13" t="inlineStr">
        <is>
          <t>ely</t>
        </is>
      </c>
      <c r="U1" s="13" t="inlineStr">
        <is>
          <t>fmp</t>
        </is>
      </c>
      <c r="V1" s="13" t="inlineStr">
        <is>
          <t>frs</t>
        </is>
      </c>
      <c r="W1" s="13" t="inlineStr">
        <is>
          <t>fsh</t>
        </is>
      </c>
      <c r="X1" s="13" t="inlineStr">
        <is>
          <t>gro</t>
        </is>
      </c>
      <c r="Y1" s="13" t="inlineStr">
        <is>
          <t>hht</t>
        </is>
      </c>
      <c r="Z1" s="13" t="inlineStr">
        <is>
          <t>i_s</t>
        </is>
      </c>
      <c r="AA1" s="13" t="inlineStr">
        <is>
          <t>ins</t>
        </is>
      </c>
      <c r="AB1" s="13" t="inlineStr">
        <is>
          <t>lea</t>
        </is>
      </c>
      <c r="AC1" s="13" t="inlineStr">
        <is>
          <t>lum</t>
        </is>
      </c>
      <c r="AD1" s="13" t="inlineStr">
        <is>
          <t>mil</t>
        </is>
      </c>
      <c r="AE1" s="13" t="inlineStr">
        <is>
          <t>mvh</t>
        </is>
      </c>
      <c r="AF1" s="13" t="inlineStr">
        <is>
          <t>nfm</t>
        </is>
      </c>
      <c r="AG1" s="13" t="inlineStr">
        <is>
          <t>nga</t>
        </is>
      </c>
      <c r="AH1" s="13" t="inlineStr">
        <is>
          <t>nmm</t>
        </is>
      </c>
      <c r="AI1" s="13" t="inlineStr">
        <is>
          <t>oap</t>
        </is>
      </c>
      <c r="AJ1" s="13" t="inlineStr">
        <is>
          <t>obs</t>
        </is>
      </c>
      <c r="AK1" s="13" t="inlineStr">
        <is>
          <t>ocr</t>
        </is>
      </c>
      <c r="AL1" s="13" t="inlineStr">
        <is>
          <t>ofd</t>
        </is>
      </c>
      <c r="AM1" s="13" t="inlineStr">
        <is>
          <t>ofi</t>
        </is>
      </c>
      <c r="AN1" s="13" t="inlineStr">
        <is>
          <t>oil</t>
        </is>
      </c>
      <c r="AO1" s="13" t="inlineStr">
        <is>
          <t>ome</t>
        </is>
      </c>
      <c r="AP1" s="13" t="inlineStr">
        <is>
          <t>omf</t>
        </is>
      </c>
      <c r="AQ1" s="13" t="inlineStr">
        <is>
          <t>omt</t>
        </is>
      </c>
      <c r="AR1" s="13" t="inlineStr">
        <is>
          <t>osd</t>
        </is>
      </c>
      <c r="AS1" s="13" t="inlineStr">
        <is>
          <t>osg</t>
        </is>
      </c>
      <c r="AT1" s="13" t="inlineStr">
        <is>
          <t>otn</t>
        </is>
      </c>
      <c r="AU1" s="13" t="inlineStr">
        <is>
          <t>otp</t>
        </is>
      </c>
      <c r="AV1" s="13" t="inlineStr">
        <is>
          <t>oxt</t>
        </is>
      </c>
      <c r="AW1" s="13" t="inlineStr">
        <is>
          <t>p_c</t>
        </is>
      </c>
      <c r="AX1" s="13" t="inlineStr">
        <is>
          <t>pcr</t>
        </is>
      </c>
      <c r="AY1" s="13" t="inlineStr">
        <is>
          <t>pdr</t>
        </is>
      </c>
      <c r="AZ1" s="13" t="inlineStr">
        <is>
          <t>pfb</t>
        </is>
      </c>
      <c r="BA1" s="13" t="inlineStr">
        <is>
          <t>ppp</t>
        </is>
      </c>
      <c r="BB1" s="13" t="inlineStr">
        <is>
          <t>rmk</t>
        </is>
      </c>
      <c r="BC1" s="13" t="inlineStr">
        <is>
          <t>ros</t>
        </is>
      </c>
      <c r="BD1" s="13" t="inlineStr">
        <is>
          <t>rpp</t>
        </is>
      </c>
      <c r="BE1" s="13" t="inlineStr">
        <is>
          <t>rsa</t>
        </is>
      </c>
      <c r="BF1" s="13" t="inlineStr">
        <is>
          <t>sgr</t>
        </is>
      </c>
      <c r="BG1" s="13" t="inlineStr">
        <is>
          <t>tex</t>
        </is>
      </c>
      <c r="BH1" s="13" t="inlineStr">
        <is>
          <t>trd</t>
        </is>
      </c>
      <c r="BI1" s="13" t="inlineStr">
        <is>
          <t>v_f</t>
        </is>
      </c>
      <c r="BJ1" s="13" t="inlineStr">
        <is>
          <t>vol</t>
        </is>
      </c>
      <c r="BK1" s="13" t="inlineStr">
        <is>
          <t>wap</t>
        </is>
      </c>
      <c r="BL1" s="13" t="inlineStr">
        <is>
          <t>whs</t>
        </is>
      </c>
      <c r="BM1" s="13" t="inlineStr">
        <is>
          <t>wht</t>
        </is>
      </c>
      <c r="BN1" s="13" t="inlineStr">
        <is>
          <t>wol</t>
        </is>
      </c>
      <c r="BO1" s="13" t="inlineStr">
        <is>
          <t>wtp</t>
        </is>
      </c>
      <c r="BP1" s="13" t="inlineStr">
        <is>
          <t>wtr</t>
        </is>
      </c>
    </row>
    <row r="2">
      <c r="A2" s="14" t="inlineStr">
        <is>
          <t>egy.domcons</t>
        </is>
      </c>
      <c r="B2" s="14" t="inlineStr">
        <is>
          <t>egy</t>
        </is>
      </c>
      <c r="C2" s="14" t="n">
        <v>2014</v>
      </c>
      <c r="D2" s="14" t="inlineStr">
        <is>
          <t>DOMCONS</t>
        </is>
      </c>
      <c r="E2" s="14" t="n">
        <v>0</v>
      </c>
      <c r="F2" s="14" t="n">
        <v>0</v>
      </c>
      <c r="G2" s="14" t="n">
        <v>0</v>
      </c>
      <c r="H2" s="14" t="n">
        <v>0</v>
      </c>
      <c r="I2" s="14" t="n">
        <v>0</v>
      </c>
      <c r="J2" s="14" t="n">
        <v>0</v>
      </c>
      <c r="K2" s="14" t="n">
        <v>0</v>
      </c>
      <c r="L2" s="14" t="n">
        <v>0</v>
      </c>
      <c r="M2" s="14" t="n">
        <v>0</v>
      </c>
      <c r="N2" s="14" t="n">
        <v>64.59691446791108</v>
      </c>
      <c r="O2" s="14" t="n">
        <v>0</v>
      </c>
      <c r="P2" s="14" t="n">
        <v>0</v>
      </c>
      <c r="Q2" s="14" t="n">
        <v>0</v>
      </c>
      <c r="R2" s="14" t="n">
        <v>0</v>
      </c>
      <c r="S2" s="14" t="n">
        <v>0</v>
      </c>
      <c r="T2" s="14" t="n">
        <v>6813.091359690929</v>
      </c>
      <c r="U2" s="14" t="n">
        <v>0</v>
      </c>
      <c r="V2" s="14" t="n">
        <v>0</v>
      </c>
      <c r="W2" s="14" t="n">
        <v>0</v>
      </c>
      <c r="X2" s="14" t="n">
        <v>0</v>
      </c>
      <c r="Y2" s="14" t="n">
        <v>0</v>
      </c>
      <c r="Z2" s="14" t="n">
        <v>0</v>
      </c>
      <c r="AA2" s="14" t="n">
        <v>0</v>
      </c>
      <c r="AB2" s="14" t="n">
        <v>0</v>
      </c>
      <c r="AC2" s="14" t="n">
        <v>0</v>
      </c>
      <c r="AD2" s="14" t="n">
        <v>0</v>
      </c>
      <c r="AE2" s="14" t="n">
        <v>0</v>
      </c>
      <c r="AF2" s="14" t="n">
        <v>0</v>
      </c>
      <c r="AG2" s="14" t="n">
        <v>4463.13850837898</v>
      </c>
      <c r="AH2" s="14" t="n">
        <v>0</v>
      </c>
      <c r="AI2" s="14" t="n">
        <v>0</v>
      </c>
      <c r="AJ2" s="14" t="n">
        <v>0</v>
      </c>
      <c r="AK2" s="14" t="n">
        <v>0</v>
      </c>
      <c r="AL2" s="14" t="n">
        <v>0</v>
      </c>
      <c r="AM2" s="14" t="n">
        <v>0</v>
      </c>
      <c r="AN2" s="14" t="n">
        <v>13191.64184161225</v>
      </c>
      <c r="AO2" s="14" t="n">
        <v>0</v>
      </c>
      <c r="AP2" s="14" t="n">
        <v>0</v>
      </c>
      <c r="AQ2" s="14" t="n">
        <v>0</v>
      </c>
      <c r="AR2" s="14" t="n">
        <v>0</v>
      </c>
      <c r="AS2" s="14" t="n">
        <v>0</v>
      </c>
      <c r="AT2" s="14" t="n">
        <v>0</v>
      </c>
      <c r="AU2" s="14" t="n">
        <v>0</v>
      </c>
      <c r="AV2" s="14" t="n">
        <v>0</v>
      </c>
      <c r="AW2" s="14" t="n">
        <v>15651.84162723344</v>
      </c>
      <c r="AX2" s="14" t="n">
        <v>0</v>
      </c>
      <c r="AY2" s="14" t="n">
        <v>0</v>
      </c>
      <c r="AZ2" s="14" t="n">
        <v>0</v>
      </c>
      <c r="BA2" s="14" t="n">
        <v>0</v>
      </c>
      <c r="BB2" s="14" t="n">
        <v>0</v>
      </c>
      <c r="BC2" s="14" t="n">
        <v>0</v>
      </c>
      <c r="BD2" s="14" t="n">
        <v>0</v>
      </c>
      <c r="BE2" s="14" t="n">
        <v>0</v>
      </c>
      <c r="BF2" s="14" t="n">
        <v>0</v>
      </c>
      <c r="BG2" s="14" t="n">
        <v>0</v>
      </c>
      <c r="BH2" s="14" t="n">
        <v>0</v>
      </c>
      <c r="BI2" s="14" t="n">
        <v>0</v>
      </c>
      <c r="BJ2" s="14" t="n">
        <v>0</v>
      </c>
      <c r="BK2" s="14" t="n">
        <v>0</v>
      </c>
      <c r="BL2" s="14" t="n">
        <v>0</v>
      </c>
      <c r="BM2" s="14" t="n">
        <v>0</v>
      </c>
      <c r="BN2" s="14" t="n">
        <v>0</v>
      </c>
      <c r="BO2" s="14" t="n">
        <v>0</v>
      </c>
      <c r="BP2" s="14" t="n">
        <v>0</v>
      </c>
    </row>
    <row r="3">
      <c r="A3" s="14" t="inlineStr">
        <is>
          <t>egy.exports</t>
        </is>
      </c>
      <c r="B3" s="14" t="inlineStr">
        <is>
          <t>egy</t>
        </is>
      </c>
      <c r="C3" s="14" t="n">
        <v>2014</v>
      </c>
      <c r="D3" s="14" t="inlineStr">
        <is>
          <t>Exports</t>
        </is>
      </c>
      <c r="E3" s="14" t="n">
        <v>335.5282856451755</v>
      </c>
      <c r="F3" s="14" t="n">
        <v>1632.764478285377</v>
      </c>
      <c r="G3" s="14" t="n">
        <v>278.7427461310844</v>
      </c>
      <c r="H3" s="14" t="n">
        <v>439.7257039744865</v>
      </c>
      <c r="I3" s="14" t="n">
        <v>8.374982079894679</v>
      </c>
      <c r="J3" s="14" t="n">
        <v>4260.237447426311</v>
      </c>
      <c r="K3" s="14" t="n">
        <v>1542.719589393561</v>
      </c>
      <c r="L3" s="14" t="n">
        <v>81.17109070605319</v>
      </c>
      <c r="M3" s="14" t="n">
        <v>1252.250717347223</v>
      </c>
      <c r="N3" s="14" t="n">
        <v>0.2714006322878333</v>
      </c>
      <c r="O3" s="14" t="n">
        <v>10.61536166341131</v>
      </c>
      <c r="P3" s="14" t="n">
        <v>2.835724119027109e-18</v>
      </c>
      <c r="Q3" s="14" t="n">
        <v>626.674947088246</v>
      </c>
      <c r="R3" s="14" t="n">
        <v>1783.081958815172</v>
      </c>
      <c r="S3" s="14" t="n">
        <v>935.6651027733634</v>
      </c>
      <c r="T3" s="14" t="n">
        <v>37.25014846146367</v>
      </c>
      <c r="U3" s="14" t="n">
        <v>386.7738191023405</v>
      </c>
      <c r="V3" s="14" t="n">
        <v>4.184230551517405</v>
      </c>
      <c r="W3" s="14" t="n">
        <v>120.7069449267197</v>
      </c>
      <c r="X3" s="14" t="n">
        <v>17.57535349378789</v>
      </c>
      <c r="Y3" s="14" t="n">
        <v>359.0971582073201</v>
      </c>
      <c r="Z3" s="14" t="n">
        <v>1020.299515710827</v>
      </c>
      <c r="AA3" s="14" t="n">
        <v>308.6170038645651</v>
      </c>
      <c r="AB3" s="14" t="n">
        <v>270.1322826101171</v>
      </c>
      <c r="AC3" s="14" t="n">
        <v>199.8800200849132</v>
      </c>
      <c r="AD3" s="14" t="n">
        <v>530.5601652489244</v>
      </c>
      <c r="AE3" s="14" t="n">
        <v>316.3117304480133</v>
      </c>
      <c r="AF3" s="14" t="n">
        <v>1756.120836378591</v>
      </c>
      <c r="AG3" s="14" t="n">
        <v>1147.189066238858</v>
      </c>
      <c r="AH3" s="14" t="n">
        <v>1438.056425385738</v>
      </c>
      <c r="AI3" s="14" t="n">
        <v>48.49238640903623</v>
      </c>
      <c r="AJ3" s="14" t="n">
        <v>1622.631364377046</v>
      </c>
      <c r="AK3" s="14" t="n">
        <v>298.0788173093279</v>
      </c>
      <c r="AL3" s="14" t="n">
        <v>2222.98909327719</v>
      </c>
      <c r="AM3" s="14" t="n">
        <v>339.8236797030518</v>
      </c>
      <c r="AN3" s="14" t="n">
        <v>6625.505762296008</v>
      </c>
      <c r="AO3" s="14" t="n">
        <v>208.7090637312702</v>
      </c>
      <c r="AP3" s="14" t="n">
        <v>398.6929246353438</v>
      </c>
      <c r="AQ3" s="14" t="n">
        <v>21.245498008713</v>
      </c>
      <c r="AR3" s="14" t="n">
        <v>89.55473632499437</v>
      </c>
      <c r="AS3" s="14" t="n">
        <v>223.2710065469071</v>
      </c>
      <c r="AT3" s="14" t="n">
        <v>56.96858223830781</v>
      </c>
      <c r="AU3" s="14" t="n">
        <v>8226.633791167793</v>
      </c>
      <c r="AV3" s="14" t="n">
        <v>783.0605278796911</v>
      </c>
      <c r="AW3" s="14" t="n">
        <v>2662.498965017147</v>
      </c>
      <c r="AX3" s="14" t="n">
        <v>88.54101849254803</v>
      </c>
      <c r="AY3" s="14" t="n">
        <v>8.848552083930514</v>
      </c>
      <c r="AZ3" s="14" t="n">
        <v>175.2661995933163</v>
      </c>
      <c r="BA3" s="14" t="n">
        <v>686.3188500165522</v>
      </c>
      <c r="BB3" s="14" t="n">
        <v>7.826054433315496</v>
      </c>
      <c r="BC3" s="14" t="n">
        <v>1222.420771564812</v>
      </c>
      <c r="BD3" s="14" t="n">
        <v>994.8345202094124</v>
      </c>
      <c r="BE3" s="14" t="n">
        <v>84.3143622685981</v>
      </c>
      <c r="BF3" s="14" t="n">
        <v>384.0786975715005</v>
      </c>
      <c r="BG3" s="14" t="n">
        <v>2462.506509084509</v>
      </c>
      <c r="BH3" s="14" t="n">
        <v>529.9936681313962</v>
      </c>
      <c r="BI3" s="14" t="n">
        <v>2770.888073311235</v>
      </c>
      <c r="BJ3" s="14" t="n">
        <v>198.7691201600127</v>
      </c>
      <c r="BK3" s="14" t="n">
        <v>3309.505736474517</v>
      </c>
      <c r="BL3" s="14" t="n">
        <v>873.7992198632855</v>
      </c>
      <c r="BM3" s="14" t="n">
        <v>19.66831206773589</v>
      </c>
      <c r="BN3" s="14" t="n">
        <v>53.64998593140721</v>
      </c>
      <c r="BO3" s="14" t="n">
        <v>257.7768857531872</v>
      </c>
      <c r="BP3" s="14" t="n">
        <v>28.53510701889304</v>
      </c>
    </row>
    <row r="4">
      <c r="A4" s="14" t="inlineStr">
        <is>
          <t>egy.hhd</t>
        </is>
      </c>
      <c r="B4" s="14" t="inlineStr">
        <is>
          <t>egy</t>
        </is>
      </c>
      <c r="C4" s="14" t="n">
        <v>2014</v>
      </c>
      <c r="D4" s="14" t="inlineStr">
        <is>
          <t>HHD</t>
        </is>
      </c>
      <c r="E4" s="14" t="n">
        <v>11788.17417907898</v>
      </c>
      <c r="F4" s="14" t="n">
        <v>1557.20125781555</v>
      </c>
      <c r="G4" s="14" t="n">
        <v>12253.56372105347</v>
      </c>
      <c r="H4" s="14" t="n">
        <v>1465.54696420537</v>
      </c>
      <c r="I4" s="14" t="n">
        <v>1413.976351563488</v>
      </c>
      <c r="J4" s="14" t="n">
        <v>3664.884924652531</v>
      </c>
      <c r="K4" s="14" t="n">
        <v>21384.12869234012</v>
      </c>
      <c r="L4" s="14" t="n">
        <v>2437.612249185023</v>
      </c>
      <c r="M4" s="14" t="n">
        <v>2943.255023188833</v>
      </c>
      <c r="N4" s="14" t="n">
        <v>7.843540741018303e-06</v>
      </c>
      <c r="O4" s="14" t="n">
        <v>1292.016071156633</v>
      </c>
      <c r="P4" s="14" t="n">
        <v>15164.09657566115</v>
      </c>
      <c r="Q4" s="14" t="n">
        <v>5220.098286518767</v>
      </c>
      <c r="R4" s="14" t="n">
        <v>28.10243829353687</v>
      </c>
      <c r="S4" s="14" t="n">
        <v>2965.06129478206</v>
      </c>
      <c r="T4" s="14" t="n">
        <v>5392.294091528629</v>
      </c>
      <c r="U4" s="14" t="n">
        <v>747.2657185216138</v>
      </c>
      <c r="V4" s="14" t="n">
        <v>1.960413607538677</v>
      </c>
      <c r="W4" s="14" t="n">
        <v>4076.770365993106</v>
      </c>
      <c r="X4" s="14" t="n">
        <v>2255.606826644553</v>
      </c>
      <c r="Y4" s="14" t="n">
        <v>7403.592253060665</v>
      </c>
      <c r="Z4" s="14" t="n">
        <v>463.4370203303788</v>
      </c>
      <c r="AA4" s="14" t="n">
        <v>5392.792520964949</v>
      </c>
      <c r="AB4" s="14" t="n">
        <v>149.6756069354406</v>
      </c>
      <c r="AC4" s="14" t="n">
        <v>4777.100996356691</v>
      </c>
      <c r="AD4" s="14" t="n">
        <v>6467.379118549007</v>
      </c>
      <c r="AE4" s="14" t="n">
        <v>4516.164271927209</v>
      </c>
      <c r="AF4" s="14" t="n">
        <v>724.0018512535388</v>
      </c>
      <c r="AG4" s="14" t="n">
        <v>152.9609722836253</v>
      </c>
      <c r="AH4" s="14" t="n">
        <v>4391.351794904191</v>
      </c>
      <c r="AI4" s="14" t="n">
        <v>1388.461755614373</v>
      </c>
      <c r="AJ4" s="14" t="n">
        <v>673.0071118374999</v>
      </c>
      <c r="AK4" s="14" t="n">
        <v>35.14332119096412</v>
      </c>
      <c r="AL4" s="14" t="n">
        <v>20188.42671461906</v>
      </c>
      <c r="AM4" s="14" t="n">
        <v>7797.1218932668</v>
      </c>
      <c r="AN4" s="14" t="n">
        <v>26.99239658769939</v>
      </c>
      <c r="AO4" s="14" t="n">
        <v>76.15088497392864</v>
      </c>
      <c r="AP4" s="14" t="n">
        <v>264.3402444737334</v>
      </c>
      <c r="AQ4" s="14" t="n">
        <v>1230.235917095529</v>
      </c>
      <c r="AR4" s="14" t="n">
        <v>1348.999808029183</v>
      </c>
      <c r="AS4" s="14" t="n">
        <v>1920.103403427013</v>
      </c>
      <c r="AT4" s="14" t="n">
        <v>721.9324393365478</v>
      </c>
      <c r="AU4" s="14" t="n">
        <v>11607.09290832922</v>
      </c>
      <c r="AV4" s="14" t="n">
        <v>233.7447425339156</v>
      </c>
      <c r="AW4" s="14" t="n">
        <v>6077.796865308306</v>
      </c>
      <c r="AX4" s="14" t="n">
        <v>4766.901629863221</v>
      </c>
      <c r="AY4" s="14" t="n">
        <v>1420.65611048419</v>
      </c>
      <c r="AZ4" s="14" t="n">
        <v>1565.929438039626</v>
      </c>
      <c r="BA4" s="14" t="n">
        <v>1656.168993933371</v>
      </c>
      <c r="BB4" s="14" t="n">
        <v>1479.98270206055</v>
      </c>
      <c r="BC4" s="14" t="n">
        <v>13448.61896408108</v>
      </c>
      <c r="BD4" s="14" t="n">
        <v>1191.277707940329</v>
      </c>
      <c r="BE4" s="14" t="n">
        <v>2650.993975021017</v>
      </c>
      <c r="BF4" s="14" t="n">
        <v>1332.756308906719</v>
      </c>
      <c r="BG4" s="14" t="n">
        <v>9507.237626520526</v>
      </c>
      <c r="BH4" s="14" t="n">
        <v>18701.51101350466</v>
      </c>
      <c r="BI4" s="14" t="n">
        <v>11829.7772976423</v>
      </c>
      <c r="BJ4" s="14" t="n">
        <v>56.49877302429069</v>
      </c>
      <c r="BK4" s="14" t="n">
        <v>23189.65613278986</v>
      </c>
      <c r="BL4" s="14" t="n">
        <v>2617.816323747082</v>
      </c>
      <c r="BM4" s="14" t="n">
        <v>3876.457105398485</v>
      </c>
      <c r="BN4" s="14" t="n">
        <v>11.83708862046136</v>
      </c>
      <c r="BO4" s="14" t="n">
        <v>670.3418200760937</v>
      </c>
      <c r="BP4" s="14" t="n">
        <v>963.3712710497272</v>
      </c>
    </row>
    <row r="5">
      <c r="A5" s="14" t="inlineStr">
        <is>
          <t>egy.imports</t>
        </is>
      </c>
      <c r="B5" s="14" t="inlineStr">
        <is>
          <t>egy</t>
        </is>
      </c>
      <c r="C5" s="14" t="n">
        <v>2014</v>
      </c>
      <c r="D5" s="14" t="inlineStr">
        <is>
          <t>Imports</t>
        </is>
      </c>
      <c r="E5" s="14" t="n">
        <v>247.9022062354582</v>
      </c>
      <c r="F5" s="14" t="n">
        <v>1018.126970914398</v>
      </c>
      <c r="G5" s="14" t="n">
        <v>830.1149301253048</v>
      </c>
      <c r="H5" s="14" t="n">
        <v>2298.987051235575</v>
      </c>
      <c r="I5" s="14" t="n">
        <v>25.7500807846374</v>
      </c>
      <c r="J5" s="14" t="n">
        <v>8300.252260202269</v>
      </c>
      <c r="K5" s="14" t="n">
        <v>878.4655955218431</v>
      </c>
      <c r="L5" s="14" t="n">
        <v>1526.660157320114</v>
      </c>
      <c r="M5" s="14" t="n">
        <v>427.9136936985427</v>
      </c>
      <c r="N5" s="14" t="n">
        <v>65.545075683058</v>
      </c>
      <c r="O5" s="14" t="n">
        <v>126.8749588064658</v>
      </c>
      <c r="P5" s="14" t="n">
        <v>2.993118485905269e-18</v>
      </c>
      <c r="Q5" s="14" t="n">
        <v>1559.768769910856</v>
      </c>
      <c r="R5" s="14" t="n">
        <v>3213.016134600268</v>
      </c>
      <c r="S5" s="14" t="n">
        <v>4306.270530843162</v>
      </c>
      <c r="T5" s="14" t="n">
        <v>18.03804762842133</v>
      </c>
      <c r="U5" s="14" t="n">
        <v>1849.218020431399</v>
      </c>
      <c r="V5" s="14" t="n">
        <v>35.1247213353943</v>
      </c>
      <c r="W5" s="14" t="n">
        <v>12.83981522639677</v>
      </c>
      <c r="X5" s="14" t="n">
        <v>2247.540802439292</v>
      </c>
      <c r="Y5" s="14" t="n">
        <v>247.258033623381</v>
      </c>
      <c r="Z5" s="14" t="n">
        <v>5159.578016555496</v>
      </c>
      <c r="AA5" s="14" t="n">
        <v>1130.969850655253</v>
      </c>
      <c r="AB5" s="14" t="n">
        <v>776.8154349957856</v>
      </c>
      <c r="AC5" s="14" t="n">
        <v>2054.577829569452</v>
      </c>
      <c r="AD5" s="14" t="n">
        <v>1021.33907546877</v>
      </c>
      <c r="AE5" s="14" t="n">
        <v>6392.357725140548</v>
      </c>
      <c r="AF5" s="14" t="n">
        <v>2758.006495324101</v>
      </c>
      <c r="AG5" s="14" t="n">
        <v>4.769646572028042</v>
      </c>
      <c r="AH5" s="14" t="n">
        <v>1180.326767193251</v>
      </c>
      <c r="AI5" s="14" t="n">
        <v>135.3778033361356</v>
      </c>
      <c r="AJ5" s="14" t="n">
        <v>3402.312216786918</v>
      </c>
      <c r="AK5" s="14" t="n">
        <v>661.2690020524602</v>
      </c>
      <c r="AL5" s="14" t="n">
        <v>2029.867538697739</v>
      </c>
      <c r="AM5" s="14" t="n">
        <v>328.5707378057748</v>
      </c>
      <c r="AN5" s="14" t="n">
        <v>1722.344298191249</v>
      </c>
      <c r="AO5" s="14" t="n">
        <v>6360.191660843098</v>
      </c>
      <c r="AP5" s="14" t="n">
        <v>1184.508460630489</v>
      </c>
      <c r="AQ5" s="14" t="n">
        <v>192.0085067399105</v>
      </c>
      <c r="AR5" s="14" t="n">
        <v>1412.005529979685</v>
      </c>
      <c r="AS5" s="14" t="n">
        <v>202.1878668932715</v>
      </c>
      <c r="AT5" s="14" t="n">
        <v>594.6133636948025</v>
      </c>
      <c r="AU5" s="14" t="n">
        <v>1130.99864589475</v>
      </c>
      <c r="AV5" s="14" t="n">
        <v>868.4118158171699</v>
      </c>
      <c r="AW5" s="14" t="n">
        <v>7150.28106719335</v>
      </c>
      <c r="AX5" s="14" t="n">
        <v>30.65085523778745</v>
      </c>
      <c r="AY5" s="14" t="n">
        <v>0.5892799992341591</v>
      </c>
      <c r="AZ5" s="14" t="n">
        <v>200.89054554413</v>
      </c>
      <c r="BA5" s="14" t="n">
        <v>1863.555105885506</v>
      </c>
      <c r="BB5" s="14" t="n">
        <v>1.069458336622275</v>
      </c>
      <c r="BC5" s="14" t="n">
        <v>517.4615894935896</v>
      </c>
      <c r="BD5" s="14" t="n">
        <v>2399.669269549035</v>
      </c>
      <c r="BE5" s="14" t="n">
        <v>108.0675866685043</v>
      </c>
      <c r="BF5" s="14" t="n">
        <v>740.3520527634779</v>
      </c>
      <c r="BG5" s="14" t="n">
        <v>3643.180179612279</v>
      </c>
      <c r="BH5" s="14" t="n">
        <v>467.2484555212682</v>
      </c>
      <c r="BI5" s="14" t="n">
        <v>1255.13215256712</v>
      </c>
      <c r="BJ5" s="14" t="n">
        <v>2893.052816738514</v>
      </c>
      <c r="BK5" s="14" t="n">
        <v>1715.559909034025</v>
      </c>
      <c r="BL5" s="14" t="n">
        <v>162.9626701770227</v>
      </c>
      <c r="BM5" s="14" t="n">
        <v>3221.180109546746</v>
      </c>
      <c r="BN5" s="14" t="n">
        <v>64.43138042609716</v>
      </c>
      <c r="BO5" s="14" t="n">
        <v>83.22559094643593</v>
      </c>
      <c r="BP5" s="14" t="n">
        <v>23.55981553488371</v>
      </c>
    </row>
    <row r="6">
      <c r="A6" s="14" t="inlineStr">
        <is>
          <t>egy.output</t>
        </is>
      </c>
      <c r="B6" s="14" t="inlineStr">
        <is>
          <t>egy</t>
        </is>
      </c>
      <c r="C6" s="14" t="n">
        <v>2014</v>
      </c>
      <c r="D6" s="14" t="inlineStr">
        <is>
          <t>Output</t>
        </is>
      </c>
      <c r="E6" s="14" t="n">
        <v>11731.59750451262</v>
      </c>
      <c r="F6" s="14" t="n">
        <v>4450.848063861323</v>
      </c>
      <c r="G6" s="14" t="n">
        <v>13553.6943835796</v>
      </c>
      <c r="H6" s="14" t="n">
        <v>3432.767086019377</v>
      </c>
      <c r="I6" s="14" t="n">
        <v>3000.657441240309</v>
      </c>
      <c r="J6" s="14" t="n">
        <v>11936.22459086004</v>
      </c>
      <c r="K6" s="14" t="n">
        <v>30021.98538449879</v>
      </c>
      <c r="L6" s="14" t="n">
        <v>3509.220653306335</v>
      </c>
      <c r="M6" s="14" t="n">
        <v>37477.11171222982</v>
      </c>
      <c r="N6" s="14" t="n">
        <v>0.4235241060614073</v>
      </c>
      <c r="O6" s="14" t="n">
        <v>1726.865729864775</v>
      </c>
      <c r="P6" s="14" t="n">
        <v>16149.00123051553</v>
      </c>
      <c r="Q6" s="14" t="n">
        <v>14646.15309162843</v>
      </c>
      <c r="R6" s="14" t="n">
        <v>1941.111950252229</v>
      </c>
      <c r="S6" s="14" t="n">
        <v>7750.855228088893</v>
      </c>
      <c r="T6" s="14" t="n">
        <v>11898.18649468091</v>
      </c>
      <c r="U6" s="14" t="n">
        <v>7808.339315225325</v>
      </c>
      <c r="V6" s="14" t="n">
        <v>7.747437637158308</v>
      </c>
      <c r="W6" s="14" t="n">
        <v>5459.564148495775</v>
      </c>
      <c r="X6" s="14" t="n">
        <v>6060.817917495634</v>
      </c>
      <c r="Y6" s="14" t="n">
        <v>26941.52303821112</v>
      </c>
      <c r="Z6" s="14" t="n">
        <v>3711.77950561605</v>
      </c>
      <c r="AA6" s="14" t="n">
        <v>6363.307576731397</v>
      </c>
      <c r="AB6" s="14" t="n">
        <v>1573.416289769909</v>
      </c>
      <c r="AC6" s="14" t="n">
        <v>6480.766651830325</v>
      </c>
      <c r="AD6" s="14" t="n">
        <v>9527.334651585328</v>
      </c>
      <c r="AE6" s="14" t="n">
        <v>7734.140368607316</v>
      </c>
      <c r="AF6" s="14" t="n">
        <v>6751.659111303008</v>
      </c>
      <c r="AG6" s="14" t="n">
        <v>4904.681357886921</v>
      </c>
      <c r="AH6" s="14" t="n">
        <v>14403.83429574703</v>
      </c>
      <c r="AI6" s="14" t="n">
        <v>1584.849228776976</v>
      </c>
      <c r="AJ6" s="14" t="n">
        <v>11886.37413264266</v>
      </c>
      <c r="AK6" s="14" t="n">
        <v>475.408938745268</v>
      </c>
      <c r="AL6" s="14" t="n">
        <v>29488.73670946141</v>
      </c>
      <c r="AM6" s="14" t="n">
        <v>12675.70435870827</v>
      </c>
      <c r="AN6" s="14" t="n">
        <v>20621.57565962072</v>
      </c>
      <c r="AO6" s="14" t="n">
        <v>773.0423568914541</v>
      </c>
      <c r="AP6" s="14" t="n">
        <v>2126.219532549589</v>
      </c>
      <c r="AQ6" s="14" t="n">
        <v>1678.755393158988</v>
      </c>
      <c r="AR6" s="14" t="n">
        <v>3878.772080737207</v>
      </c>
      <c r="AS6" s="14" t="n">
        <v>18185.06011943011</v>
      </c>
      <c r="AT6" s="14" t="n">
        <v>1867.430473777675</v>
      </c>
      <c r="AU6" s="14" t="n">
        <v>25946.79869315485</v>
      </c>
      <c r="AV6" s="14" t="n">
        <v>1421.892284284418</v>
      </c>
      <c r="AW6" s="14" t="n">
        <v>16463.94367757423</v>
      </c>
      <c r="AX6" s="14" t="n">
        <v>5281.819892362677</v>
      </c>
      <c r="AY6" s="14" t="n">
        <v>7408.036236661777</v>
      </c>
      <c r="AZ6" s="14" t="n">
        <v>4632.693785947044</v>
      </c>
      <c r="BA6" s="14" t="n">
        <v>3806.835862464427</v>
      </c>
      <c r="BB6" s="14" t="n">
        <v>2167.797333364785</v>
      </c>
      <c r="BC6" s="14" t="n">
        <v>15412.83834625354</v>
      </c>
      <c r="BD6" s="14" t="n">
        <v>3796.606494496361</v>
      </c>
      <c r="BE6" s="14" t="n">
        <v>4943.6899578445</v>
      </c>
      <c r="BF6" s="14" t="n">
        <v>2364.384660771633</v>
      </c>
      <c r="BG6" s="14" t="n">
        <v>29477.48230326433</v>
      </c>
      <c r="BH6" s="14" t="n">
        <v>31388.29450041565</v>
      </c>
      <c r="BI6" s="14" t="n">
        <v>23161.2981578019</v>
      </c>
      <c r="BJ6" s="14" t="n">
        <v>485.6053263537383</v>
      </c>
      <c r="BK6" s="14" t="n">
        <v>26445.58768600955</v>
      </c>
      <c r="BL6" s="14" t="n">
        <v>4901.810776689314</v>
      </c>
      <c r="BM6" s="14" t="n">
        <v>6144.489634891222</v>
      </c>
      <c r="BN6" s="14" t="n">
        <v>45.71348916774752</v>
      </c>
      <c r="BO6" s="14" t="n">
        <v>2251.441521316645</v>
      </c>
      <c r="BP6" s="14" t="n">
        <v>4214.953913789655</v>
      </c>
    </row>
    <row r="7">
      <c r="A7" s="14" t="inlineStr">
        <is>
          <t>egy.totd</t>
        </is>
      </c>
      <c r="B7" s="14" t="inlineStr">
        <is>
          <t>egy</t>
        </is>
      </c>
      <c r="C7" s="14" t="n">
        <v>2014</v>
      </c>
      <c r="D7" s="14" t="inlineStr">
        <is>
          <t>TOTD</t>
        </is>
      </c>
      <c r="E7" s="14" t="n">
        <v>10499.3468152939</v>
      </c>
      <c r="F7" s="14" t="n">
        <v>1832.975955786213</v>
      </c>
      <c r="G7" s="14" t="n">
        <v>11831.71721342358</v>
      </c>
      <c r="H7" s="14" t="n">
        <v>1756.094369109927</v>
      </c>
      <c r="I7" s="14" t="n">
        <v>1536.340659227349</v>
      </c>
      <c r="J7" s="14" t="n">
        <v>4534.109553245324</v>
      </c>
      <c r="K7" s="14" t="n">
        <v>24110.79716040559</v>
      </c>
      <c r="L7" s="14" t="n">
        <v>2739.611542807153</v>
      </c>
      <c r="M7" s="14" t="n">
        <v>31339.64886699122</v>
      </c>
      <c r="N7" s="14" t="n">
        <v>7.574595494789753e-06</v>
      </c>
      <c r="O7" s="14" t="n">
        <v>1376.817844659346</v>
      </c>
      <c r="P7" s="14" t="n">
        <v>14612.49004652573</v>
      </c>
      <c r="Q7" s="14" t="n">
        <v>12144.34000744335</v>
      </c>
      <c r="R7" s="14" t="n">
        <v>74.82593985885269</v>
      </c>
      <c r="S7" s="14" t="n">
        <v>3272.899786464166</v>
      </c>
      <c r="T7" s="14" t="n">
        <v>5180.8417418319</v>
      </c>
      <c r="U7" s="14" t="n">
        <v>2428.683241018448</v>
      </c>
      <c r="V7" s="14" t="n">
        <v>8.381352958223735</v>
      </c>
      <c r="W7" s="14" t="n">
        <v>4286.666118657413</v>
      </c>
      <c r="X7" s="14" t="n">
        <v>2460.653708163486</v>
      </c>
      <c r="Y7" s="14" t="n">
        <v>25178.05050870212</v>
      </c>
      <c r="Z7" s="14" t="n">
        <v>568.0622644572347</v>
      </c>
      <c r="AA7" s="14" t="n">
        <v>5505.911010612201</v>
      </c>
      <c r="AB7" s="14" t="n">
        <v>162.9664634251413</v>
      </c>
      <c r="AC7" s="14" t="n">
        <v>4882.667829014697</v>
      </c>
      <c r="AD7" s="14" t="n">
        <v>7383.830771686966</v>
      </c>
      <c r="AE7" s="14" t="n">
        <v>6357.559621780138</v>
      </c>
      <c r="AF7" s="14" t="n">
        <v>861.5361520367867</v>
      </c>
      <c r="AG7" s="14" t="n">
        <v>158.743086669259</v>
      </c>
      <c r="AH7" s="14" t="n">
        <v>4422.138588131643</v>
      </c>
      <c r="AI7" s="14" t="n">
        <v>1551.606415432982</v>
      </c>
      <c r="AJ7" s="14" t="n">
        <v>1356.934839060141</v>
      </c>
      <c r="AK7" s="14" t="n">
        <v>39.52351068190036</v>
      </c>
      <c r="AL7" s="14" t="n">
        <v>24084.78225790382</v>
      </c>
      <c r="AM7" s="14" t="n">
        <v>8105.678052211092</v>
      </c>
      <c r="AN7" s="14" t="n">
        <v>26.69169040551443</v>
      </c>
      <c r="AO7" s="14" t="n">
        <v>222.5191502055778</v>
      </c>
      <c r="AP7" s="14" t="n">
        <v>490.2801825828657</v>
      </c>
      <c r="AQ7" s="14" t="n">
        <v>1280.194002511943</v>
      </c>
      <c r="AR7" s="14" t="n">
        <v>1412.404081741528</v>
      </c>
      <c r="AS7" s="14" t="n">
        <v>17354.53836988219</v>
      </c>
      <c r="AT7" s="14" t="n">
        <v>1123.413755797229</v>
      </c>
      <c r="AU7" s="14" t="n">
        <v>13811.75698164255</v>
      </c>
      <c r="AV7" s="14" t="n">
        <v>233.8995200368117</v>
      </c>
      <c r="AW7" s="14" t="n">
        <v>5423.044174165972</v>
      </c>
      <c r="AX7" s="14" t="n">
        <v>4966.505785261394</v>
      </c>
      <c r="AY7" s="14" t="n">
        <v>1459.570485057898</v>
      </c>
      <c r="AZ7" s="14" t="n">
        <v>1681.654910641402</v>
      </c>
      <c r="BA7" s="14" t="n">
        <v>1867.689113504892</v>
      </c>
      <c r="BB7" s="14" t="n">
        <v>1565.284816973023</v>
      </c>
      <c r="BC7" s="14" t="n">
        <v>14716.00751829925</v>
      </c>
      <c r="BD7" s="14" t="n">
        <v>1519.964695120747</v>
      </c>
      <c r="BE7" s="14" t="n">
        <v>2805.655893235654</v>
      </c>
      <c r="BF7" s="14" t="n">
        <v>1525.11631406766</v>
      </c>
      <c r="BG7" s="14" t="n">
        <v>9075.329662523602</v>
      </c>
      <c r="BH7" s="14" t="n">
        <v>19885.50599594596</v>
      </c>
      <c r="BI7" s="14" t="n">
        <v>11558.83734757137</v>
      </c>
      <c r="BJ7" s="14" t="n">
        <v>57.14124484371122</v>
      </c>
      <c r="BK7" s="14" t="n">
        <v>20780.17968296375</v>
      </c>
      <c r="BL7" s="14" t="n">
        <v>2734.158243531433</v>
      </c>
      <c r="BM7" s="14" t="n">
        <v>3734.596382828399</v>
      </c>
      <c r="BN7" s="14" t="n">
        <v>17.58789183708108</v>
      </c>
      <c r="BO7" s="14" t="n">
        <v>812.7110733416852</v>
      </c>
      <c r="BP7" s="14" t="n">
        <v>1453.446260603179</v>
      </c>
    </row>
    <row r="8">
      <c r="A8" s="14" t="inlineStr">
        <is>
          <t>egy.coa.leontiefs</t>
        </is>
      </c>
      <c r="B8" s="14" t="inlineStr">
        <is>
          <t>egy</t>
        </is>
      </c>
      <c r="C8" s="14" t="n">
        <v>2014</v>
      </c>
      <c r="D8" s="14" t="inlineStr">
        <is>
          <t>coa</t>
        </is>
      </c>
      <c r="E8" s="14" t="n">
        <v>0.0007932720368445502</v>
      </c>
      <c r="F8" s="14" t="n">
        <v>0.004014047983231313</v>
      </c>
      <c r="G8" s="14" t="n">
        <v>0.001764082914968031</v>
      </c>
      <c r="H8" s="14" t="n">
        <v>0.002493331028800153</v>
      </c>
      <c r="I8" s="14" t="n">
        <v>0.001180730005200027</v>
      </c>
      <c r="J8" s="14" t="n">
        <v>0.00622593084856362</v>
      </c>
      <c r="K8" s="14" t="n">
        <v>0.0009093556177549455</v>
      </c>
      <c r="L8" s="14" t="n">
        <v>0.0003603875927844597</v>
      </c>
      <c r="M8" s="14" t="n">
        <v>0.005400099660390272</v>
      </c>
      <c r="N8" s="14" t="n">
        <v>1.221704767903891</v>
      </c>
      <c r="O8" s="14" t="n">
        <v>0.0009083924933240608</v>
      </c>
      <c r="P8" s="14" t="n">
        <v>0.0003734400595298228</v>
      </c>
      <c r="Q8" s="14" t="n">
        <v>0.001239528188710211</v>
      </c>
      <c r="R8" s="14" t="n">
        <v>0.007362598760547893</v>
      </c>
      <c r="S8" s="14" t="n">
        <v>0.004272155434393759</v>
      </c>
      <c r="T8" s="14" t="n">
        <v>0.005160536657854505</v>
      </c>
      <c r="U8" s="14" t="n">
        <v>0.007972729872595105</v>
      </c>
      <c r="V8" s="14" t="n">
        <v>0.002045284146061682</v>
      </c>
      <c r="W8" s="14" t="n">
        <v>0.0007073414521238319</v>
      </c>
      <c r="X8" s="14" t="n">
        <v>0.0009469181085721215</v>
      </c>
      <c r="Y8" s="14" t="n">
        <v>0.002318666211585415</v>
      </c>
      <c r="Z8" s="14" t="n">
        <v>0.009287054033973617</v>
      </c>
      <c r="AA8" s="14" t="n">
        <v>0.0004680561435590915</v>
      </c>
      <c r="AB8" s="14" t="n">
        <v>0.003010736113463423</v>
      </c>
      <c r="AC8" s="14" t="n">
        <v>0.003482475832850292</v>
      </c>
      <c r="AD8" s="14" t="n">
        <v>0.0007644032875026509</v>
      </c>
      <c r="AE8" s="14" t="n">
        <v>0.005838137649144891</v>
      </c>
      <c r="AF8" s="14" t="n">
        <v>0.01085376372782099</v>
      </c>
      <c r="AG8" s="14" t="n">
        <v>0.002268702811063842</v>
      </c>
      <c r="AH8" s="14" t="n">
        <v>0.002589122729820465</v>
      </c>
      <c r="AI8" s="14" t="n">
        <v>0.001019523393930502</v>
      </c>
      <c r="AJ8" s="14" t="n">
        <v>0.001140433441815526</v>
      </c>
      <c r="AK8" s="14" t="n">
        <v>0.00035768220088317</v>
      </c>
      <c r="AL8" s="14" t="n">
        <v>0.002379063597163166</v>
      </c>
      <c r="AM8" s="14" t="n">
        <v>0.0004139119039684352</v>
      </c>
      <c r="AN8" s="14" t="n">
        <v>0.0004693429636474657</v>
      </c>
      <c r="AO8" s="14" t="n">
        <v>0.008393636000836171</v>
      </c>
      <c r="AP8" s="14" t="n">
        <v>0.01000789187068566</v>
      </c>
      <c r="AQ8" s="14" t="n">
        <v>0.0002141766798351871</v>
      </c>
      <c r="AR8" s="14" t="n">
        <v>0.0007179413029673238</v>
      </c>
      <c r="AS8" s="14" t="n">
        <v>0.002051254066179596</v>
      </c>
      <c r="AT8" s="14" t="n">
        <v>0.005603506578840878</v>
      </c>
      <c r="AU8" s="14" t="n">
        <v>0.003150070645873479</v>
      </c>
      <c r="AV8" s="14" t="n">
        <v>0.003759970407957678</v>
      </c>
      <c r="AW8" s="14" t="n">
        <v>0.005029950115727693</v>
      </c>
      <c r="AX8" s="14" t="n">
        <v>0.001325918870467849</v>
      </c>
      <c r="AY8" s="14" t="n">
        <v>0.0007557348997883251</v>
      </c>
      <c r="AZ8" s="14" t="n">
        <v>0.002389302546372586</v>
      </c>
      <c r="BA8" s="14" t="n">
        <v>0.003162720106172179</v>
      </c>
      <c r="BB8" s="14" t="n">
        <v>0.0009892239833332063</v>
      </c>
      <c r="BC8" s="14" t="n">
        <v>0.00116599493868962</v>
      </c>
      <c r="BD8" s="14" t="n">
        <v>0.005931492611437498</v>
      </c>
      <c r="BE8" s="14" t="n">
        <v>0.0003858852054470025</v>
      </c>
      <c r="BF8" s="14" t="n">
        <v>0.002296608366371334</v>
      </c>
      <c r="BG8" s="14" t="n">
        <v>0.001983847287640625</v>
      </c>
      <c r="BH8" s="14" t="n">
        <v>0.0007584897280640796</v>
      </c>
      <c r="BI8" s="14" t="n">
        <v>0.0007186098412551462</v>
      </c>
      <c r="BJ8" s="14" t="n">
        <v>0.000729015052926805</v>
      </c>
      <c r="BK8" s="14" t="n">
        <v>0.001947706589574188</v>
      </c>
      <c r="BL8" s="14" t="n">
        <v>0.002564594434182654</v>
      </c>
      <c r="BM8" s="14" t="n">
        <v>0.001174537739301165</v>
      </c>
      <c r="BN8" s="14" t="n">
        <v>0.003390206499307677</v>
      </c>
      <c r="BO8" s="14" t="n">
        <v>0.004308584170448449</v>
      </c>
      <c r="BP8" s="14" t="n">
        <v>0.004484284181757048</v>
      </c>
    </row>
    <row r="9">
      <c r="A9" s="14" t="inlineStr">
        <is>
          <t>egy.ely.leontiefs</t>
        </is>
      </c>
      <c r="B9" s="14" t="inlineStr">
        <is>
          <t>egy</t>
        </is>
      </c>
      <c r="C9" s="14" t="n">
        <v>2014</v>
      </c>
      <c r="D9" s="14" t="inlineStr">
        <is>
          <t>ely</t>
        </is>
      </c>
      <c r="E9" s="14" t="n">
        <v>0.005520018691914606</v>
      </c>
      <c r="F9" s="14" t="n">
        <v>0.002678859182272062</v>
      </c>
      <c r="G9" s="14" t="n">
        <v>0.001937491786022612</v>
      </c>
      <c r="H9" s="14" t="n">
        <v>0.003643360770927831</v>
      </c>
      <c r="I9" s="14" t="n">
        <v>0.002360640406036865</v>
      </c>
      <c r="J9" s="14" t="n">
        <v>0.01247330359167915</v>
      </c>
      <c r="K9" s="14" t="n">
        <v>0.001485328143046926</v>
      </c>
      <c r="L9" s="14" t="n">
        <v>0.001666095000874417</v>
      </c>
      <c r="M9" s="14" t="n">
        <v>0.005127415328281894</v>
      </c>
      <c r="N9" s="14" t="n">
        <v>0.005876205277924147</v>
      </c>
      <c r="O9" s="14" t="n">
        <v>0.002063985889613223</v>
      </c>
      <c r="P9" s="14" t="n">
        <v>0.0004652060722258985</v>
      </c>
      <c r="Q9" s="14" t="n">
        <v>0.0070290364743753</v>
      </c>
      <c r="R9" s="14" t="n">
        <v>0.008537453068996307</v>
      </c>
      <c r="S9" s="14" t="n">
        <v>0.01135431974376769</v>
      </c>
      <c r="T9" s="14" t="n">
        <v>1.085213755355183</v>
      </c>
      <c r="U9" s="14" t="n">
        <v>0.008000716990509825</v>
      </c>
      <c r="V9" s="14" t="n">
        <v>0.003384610802894231</v>
      </c>
      <c r="W9" s="14" t="n">
        <v>0.005914031047579466</v>
      </c>
      <c r="X9" s="14" t="n">
        <v>0.002023296374269457</v>
      </c>
      <c r="Y9" s="14" t="n">
        <v>0.004947841619094185</v>
      </c>
      <c r="Z9" s="14" t="n">
        <v>0.0251654697631737</v>
      </c>
      <c r="AA9" s="14" t="n">
        <v>0.00164292263979477</v>
      </c>
      <c r="AB9" s="14" t="n">
        <v>0.003304737361025436</v>
      </c>
      <c r="AC9" s="14" t="n">
        <v>0.004620429896179158</v>
      </c>
      <c r="AD9" s="14" t="n">
        <v>0.001801130581671756</v>
      </c>
      <c r="AE9" s="14" t="n">
        <v>0.006811986397971329</v>
      </c>
      <c r="AF9" s="14" t="n">
        <v>0.01493028423328967</v>
      </c>
      <c r="AG9" s="14" t="n">
        <v>0.0005254411921306882</v>
      </c>
      <c r="AH9" s="14" t="n">
        <v>0.005534182854360348</v>
      </c>
      <c r="AI9" s="14" t="n">
        <v>0.002068200412853668</v>
      </c>
      <c r="AJ9" s="14" t="n">
        <v>0.002281955625609666</v>
      </c>
      <c r="AK9" s="14" t="n">
        <v>0.0007776547665357035</v>
      </c>
      <c r="AL9" s="14" t="n">
        <v>0.003737949422292654</v>
      </c>
      <c r="AM9" s="14" t="n">
        <v>0.001583732629534392</v>
      </c>
      <c r="AN9" s="14" t="n">
        <v>0.0005353636276016808</v>
      </c>
      <c r="AO9" s="14" t="n">
        <v>0.009166818331810019</v>
      </c>
      <c r="AP9" s="14" t="n">
        <v>0.02040135701233424</v>
      </c>
      <c r="AQ9" s="14" t="n">
        <v>0.000895034939161173</v>
      </c>
      <c r="AR9" s="14" t="n">
        <v>0.001435826014808955</v>
      </c>
      <c r="AS9" s="14" t="n">
        <v>0.004590429969260288</v>
      </c>
      <c r="AT9" s="14" t="n">
        <v>0.006935930991794171</v>
      </c>
      <c r="AU9" s="14" t="n">
        <v>0.002960965826971415</v>
      </c>
      <c r="AV9" s="14" t="n">
        <v>0.01703175089265238</v>
      </c>
      <c r="AW9" s="14" t="n">
        <v>0.0007149293096317928</v>
      </c>
      <c r="AX9" s="14" t="n">
        <v>0.002387987964763566</v>
      </c>
      <c r="AY9" s="14" t="n">
        <v>0.001638365450421407</v>
      </c>
      <c r="AZ9" s="14" t="n">
        <v>0.00475203040106796</v>
      </c>
      <c r="BA9" s="14" t="n">
        <v>0.009535688145158828</v>
      </c>
      <c r="BB9" s="14" t="n">
        <v>0.001991742215561618</v>
      </c>
      <c r="BC9" s="14" t="n">
        <v>0.005502361416259203</v>
      </c>
      <c r="BD9" s="14" t="n">
        <v>0.007195988295205656</v>
      </c>
      <c r="BE9" s="14" t="n">
        <v>0.004755307743396277</v>
      </c>
      <c r="BF9" s="14" t="n">
        <v>0.003232489671184564</v>
      </c>
      <c r="BG9" s="14" t="n">
        <v>0.003642654557875244</v>
      </c>
      <c r="BH9" s="14" t="n">
        <v>0.004469598289766043</v>
      </c>
      <c r="BI9" s="14" t="n">
        <v>0.001409668268809815</v>
      </c>
      <c r="BJ9" s="14" t="n">
        <v>0.00139304700084053</v>
      </c>
      <c r="BK9" s="14" t="n">
        <v>0.002877293963858221</v>
      </c>
      <c r="BL9" s="14" t="n">
        <v>0.003893001611288141</v>
      </c>
      <c r="BM9" s="14" t="n">
        <v>0.00267690114290758</v>
      </c>
      <c r="BN9" s="14" t="n">
        <v>0.003960453705867513</v>
      </c>
      <c r="BO9" s="14" t="n">
        <v>0.003302613753947921</v>
      </c>
      <c r="BP9" s="14" t="n">
        <v>0.01480074054369559</v>
      </c>
    </row>
    <row r="10">
      <c r="A10" s="14" t="inlineStr">
        <is>
          <t>egy.nga.leontiefs</t>
        </is>
      </c>
      <c r="B10" s="14" t="inlineStr">
        <is>
          <t>egy</t>
        </is>
      </c>
      <c r="C10" s="14" t="n">
        <v>2014</v>
      </c>
      <c r="D10" s="14" t="inlineStr">
        <is>
          <t>nga</t>
        </is>
      </c>
      <c r="E10" s="14" t="n">
        <v>0.00300319953356509</v>
      </c>
      <c r="F10" s="14" t="n">
        <v>0.009806602255644845</v>
      </c>
      <c r="G10" s="14" t="n">
        <v>0.002661158650014329</v>
      </c>
      <c r="H10" s="14" t="n">
        <v>0.02345698537221505</v>
      </c>
      <c r="I10" s="14" t="n">
        <v>0.004038128253680304</v>
      </c>
      <c r="J10" s="14" t="n">
        <v>0.03611693535811858</v>
      </c>
      <c r="K10" s="14" t="n">
        <v>0.001609467676019006</v>
      </c>
      <c r="L10" s="14" t="n">
        <v>0.001523946503288381</v>
      </c>
      <c r="M10" s="14" t="n">
        <v>0.006803223968230043</v>
      </c>
      <c r="N10" s="14" t="n">
        <v>0.006651394346450679</v>
      </c>
      <c r="O10" s="14" t="n">
        <v>0.002861989144365641</v>
      </c>
      <c r="P10" s="14" t="n">
        <v>0.0005861827056803293</v>
      </c>
      <c r="Q10" s="14" t="n">
        <v>0.004355621339302054</v>
      </c>
      <c r="R10" s="14" t="n">
        <v>0.008915331917523325</v>
      </c>
      <c r="S10" s="14" t="n">
        <v>0.008497285380566613</v>
      </c>
      <c r="T10" s="14" t="n">
        <v>0.3868294839594115</v>
      </c>
      <c r="U10" s="14" t="n">
        <v>0.01240369768773512</v>
      </c>
      <c r="V10" s="14" t="n">
        <v>0.003432624139145986</v>
      </c>
      <c r="W10" s="14" t="n">
        <v>0.003572041565678938</v>
      </c>
      <c r="X10" s="14" t="n">
        <v>0.003777072828283193</v>
      </c>
      <c r="Y10" s="14" t="n">
        <v>0.005276990515635111</v>
      </c>
      <c r="Z10" s="14" t="n">
        <v>0.02613518911819837</v>
      </c>
      <c r="AA10" s="14" t="n">
        <v>0.00115700220550698</v>
      </c>
      <c r="AB10" s="14" t="n">
        <v>0.004578161277443244</v>
      </c>
      <c r="AC10" s="14" t="n">
        <v>0.006222249360772318</v>
      </c>
      <c r="AD10" s="14" t="n">
        <v>0.002206318963770309</v>
      </c>
      <c r="AE10" s="14" t="n">
        <v>0.007170388951839869</v>
      </c>
      <c r="AF10" s="14" t="n">
        <v>0.01642639974850709</v>
      </c>
      <c r="AG10" s="14" t="n">
        <v>1.232024021076289</v>
      </c>
      <c r="AH10" s="14" t="n">
        <v>0.007619395482237337</v>
      </c>
      <c r="AI10" s="14" t="n">
        <v>0.003262378719299398</v>
      </c>
      <c r="AJ10" s="14" t="n">
        <v>0.002158484443785301</v>
      </c>
      <c r="AK10" s="14" t="n">
        <v>0.001111894889614408</v>
      </c>
      <c r="AL10" s="14" t="n">
        <v>0.006318170765659509</v>
      </c>
      <c r="AM10" s="14" t="n">
        <v>0.0009880583512844497</v>
      </c>
      <c r="AN10" s="14" t="n">
        <v>0.007788937948182323</v>
      </c>
      <c r="AO10" s="14" t="n">
        <v>0.008756755479741703</v>
      </c>
      <c r="AP10" s="14" t="n">
        <v>0.0241715848696557</v>
      </c>
      <c r="AQ10" s="14" t="n">
        <v>0.0007948672467575286</v>
      </c>
      <c r="AR10" s="14" t="n">
        <v>0.002270523719152158</v>
      </c>
      <c r="AS10" s="14" t="n">
        <v>0.00412913054258891</v>
      </c>
      <c r="AT10" s="14" t="n">
        <v>0.007072923652734158</v>
      </c>
      <c r="AU10" s="14" t="n">
        <v>0.008986017736904592</v>
      </c>
      <c r="AV10" s="14" t="n">
        <v>0.01470505881485692</v>
      </c>
      <c r="AW10" s="14" t="n">
        <v>0.01224543611727908</v>
      </c>
      <c r="AX10" s="14" t="n">
        <v>0.003425531302358419</v>
      </c>
      <c r="AY10" s="14" t="n">
        <v>0.002562351723541328</v>
      </c>
      <c r="AZ10" s="14" t="n">
        <v>0.007475478945001611</v>
      </c>
      <c r="BA10" s="14" t="n">
        <v>0.0124264802490617</v>
      </c>
      <c r="BB10" s="14" t="n">
        <v>0.003056527095007441</v>
      </c>
      <c r="BC10" s="14" t="n">
        <v>0.00414180045109426</v>
      </c>
      <c r="BD10" s="14" t="n">
        <v>0.02924587480827309</v>
      </c>
      <c r="BE10" s="14" t="n">
        <v>0.002027650707302227</v>
      </c>
      <c r="BF10" s="14" t="n">
        <v>0.005292397942146121</v>
      </c>
      <c r="BG10" s="14" t="n">
        <v>0.004711998876724882</v>
      </c>
      <c r="BH10" s="14" t="n">
        <v>0.002210819992777744</v>
      </c>
      <c r="BI10" s="14" t="n">
        <v>0.002473214309174888</v>
      </c>
      <c r="BJ10" s="14" t="n">
        <v>0.002574416558549061</v>
      </c>
      <c r="BK10" s="14" t="n">
        <v>0.004410958640446287</v>
      </c>
      <c r="BL10" s="14" t="n">
        <v>0.004122839767603365</v>
      </c>
      <c r="BM10" s="14" t="n">
        <v>0.00421309134871356</v>
      </c>
      <c r="BN10" s="14" t="n">
        <v>0.005300109074103133</v>
      </c>
      <c r="BO10" s="14" t="n">
        <v>0.01178790360519727</v>
      </c>
      <c r="BP10" s="14" t="n">
        <v>0.009437166983572068</v>
      </c>
    </row>
    <row r="11">
      <c r="A11" s="14" t="inlineStr">
        <is>
          <t>egy.oil.leontiefs</t>
        </is>
      </c>
      <c r="B11" s="14" t="inlineStr">
        <is>
          <t>egy</t>
        </is>
      </c>
      <c r="C11" s="14" t="n">
        <v>2014</v>
      </c>
      <c r="D11" s="14" t="inlineStr">
        <is>
          <t>oil</t>
        </is>
      </c>
      <c r="E11" s="14" t="n">
        <v>0.01253536127353448</v>
      </c>
      <c r="F11" s="14" t="n">
        <v>0.2241375593113094</v>
      </c>
      <c r="G11" s="14" t="n">
        <v>0.01228612014530786</v>
      </c>
      <c r="H11" s="14" t="n">
        <v>0.02892549047393277</v>
      </c>
      <c r="I11" s="14" t="n">
        <v>0.03777073613821842</v>
      </c>
      <c r="J11" s="14" t="n">
        <v>0.1449576776297411</v>
      </c>
      <c r="K11" s="14" t="n">
        <v>0.008208035347478904</v>
      </c>
      <c r="L11" s="14" t="n">
        <v>0.006533789029161813</v>
      </c>
      <c r="M11" s="14" t="n">
        <v>0.03902782677559927</v>
      </c>
      <c r="N11" s="14" t="n">
        <v>0.03981141120622161</v>
      </c>
      <c r="O11" s="14" t="n">
        <v>0.03209364194373416</v>
      </c>
      <c r="P11" s="14" t="n">
        <v>0.002579941804734409</v>
      </c>
      <c r="Q11" s="14" t="n">
        <v>0.01739050584887349</v>
      </c>
      <c r="R11" s="14" t="n">
        <v>0.03768442217772565</v>
      </c>
      <c r="S11" s="14" t="n">
        <v>0.03226306550129946</v>
      </c>
      <c r="T11" s="14" t="n">
        <v>0.4697263478044987</v>
      </c>
      <c r="U11" s="14" t="n">
        <v>0.05073666941559625</v>
      </c>
      <c r="V11" s="14" t="n">
        <v>0.0455893446728537</v>
      </c>
      <c r="W11" s="14" t="n">
        <v>0.02302115491184719</v>
      </c>
      <c r="X11" s="14" t="n">
        <v>0.03185620735341159</v>
      </c>
      <c r="Y11" s="14" t="n">
        <v>0.02145027382018821</v>
      </c>
      <c r="Z11" s="14" t="n">
        <v>0.09506029391980098</v>
      </c>
      <c r="AA11" s="14" t="n">
        <v>0.00971936365233164</v>
      </c>
      <c r="AB11" s="14" t="n">
        <v>0.02552229482808099</v>
      </c>
      <c r="AC11" s="14" t="n">
        <v>0.03557321974048464</v>
      </c>
      <c r="AD11" s="14" t="n">
        <v>0.01319080927930153</v>
      </c>
      <c r="AE11" s="14" t="n">
        <v>0.03592403604823336</v>
      </c>
      <c r="AF11" s="14" t="n">
        <v>0.07188841487163057</v>
      </c>
      <c r="AG11" s="14" t="n">
        <v>0.04375206478436634</v>
      </c>
      <c r="AH11" s="14" t="n">
        <v>0.04175595886995796</v>
      </c>
      <c r="AI11" s="14" t="n">
        <v>0.03275027750405199</v>
      </c>
      <c r="AJ11" s="14" t="n">
        <v>0.0155502469756397</v>
      </c>
      <c r="AK11" s="14" t="n">
        <v>0.01124949135115254</v>
      </c>
      <c r="AL11" s="14" t="n">
        <v>0.03582271150651736</v>
      </c>
      <c r="AM11" s="14" t="n">
        <v>0.006934588734689487</v>
      </c>
      <c r="AN11" s="14" t="n">
        <v>1.102477728158827</v>
      </c>
      <c r="AO11" s="14" t="n">
        <v>0.0372335399768437</v>
      </c>
      <c r="AP11" s="14" t="n">
        <v>0.09494098535536633</v>
      </c>
      <c r="AQ11" s="14" t="n">
        <v>0.004591569664284946</v>
      </c>
      <c r="AR11" s="14" t="n">
        <v>0.02489668625055259</v>
      </c>
      <c r="AS11" s="14" t="n">
        <v>0.02357798206541314</v>
      </c>
      <c r="AT11" s="14" t="n">
        <v>0.03076985672971019</v>
      </c>
      <c r="AU11" s="14" t="n">
        <v>0.2033292388677006</v>
      </c>
      <c r="AV11" s="14" t="n">
        <v>0.1783892528023512</v>
      </c>
      <c r="AW11" s="14" t="n">
        <v>0.9819337784942042</v>
      </c>
      <c r="AX11" s="14" t="n">
        <v>0.02857662439232007</v>
      </c>
      <c r="AY11" s="14" t="n">
        <v>0.02628988380334255</v>
      </c>
      <c r="AZ11" s="14" t="n">
        <v>0.08631115412307891</v>
      </c>
      <c r="BA11" s="14" t="n">
        <v>0.05316250386498823</v>
      </c>
      <c r="BB11" s="14" t="n">
        <v>0.03098305371923751</v>
      </c>
      <c r="BC11" s="14" t="n">
        <v>0.01935321814877318</v>
      </c>
      <c r="BD11" s="14" t="n">
        <v>0.04035963525177671</v>
      </c>
      <c r="BE11" s="14" t="n">
        <v>0.007336737263668148</v>
      </c>
      <c r="BF11" s="14" t="n">
        <v>0.04202710187504799</v>
      </c>
      <c r="BG11" s="14" t="n">
        <v>0.03021705928073309</v>
      </c>
      <c r="BH11" s="14" t="n">
        <v>0.01624795386054505</v>
      </c>
      <c r="BI11" s="14" t="n">
        <v>0.02206215447469511</v>
      </c>
      <c r="BJ11" s="14" t="n">
        <v>0.02306598792593542</v>
      </c>
      <c r="BK11" s="14" t="n">
        <v>0.02202053302590182</v>
      </c>
      <c r="BL11" s="14" t="n">
        <v>0.02022031653228279</v>
      </c>
      <c r="BM11" s="14" t="n">
        <v>0.04105974382150649</v>
      </c>
      <c r="BN11" s="14" t="n">
        <v>0.05539964607004089</v>
      </c>
      <c r="BO11" s="14" t="n">
        <v>0.2176832030661968</v>
      </c>
      <c r="BP11" s="14" t="n">
        <v>0.04130535537551656</v>
      </c>
    </row>
    <row r="12">
      <c r="A12" s="14" t="inlineStr">
        <is>
          <t>egy.p_c.leontiefs</t>
        </is>
      </c>
      <c r="B12" s="14" t="inlineStr">
        <is>
          <t>egy</t>
        </is>
      </c>
      <c r="C12" s="14" t="n">
        <v>2014</v>
      </c>
      <c r="D12" s="14" t="inlineStr">
        <is>
          <t>p_c</t>
        </is>
      </c>
      <c r="E12" s="14" t="n">
        <v>0.01850609882233853</v>
      </c>
      <c r="F12" s="14" t="n">
        <v>0.3134919523108992</v>
      </c>
      <c r="G12" s="14" t="n">
        <v>0.0176337403947785</v>
      </c>
      <c r="H12" s="14" t="n">
        <v>0.04222068613688184</v>
      </c>
      <c r="I12" s="14" t="n">
        <v>0.05177171256827875</v>
      </c>
      <c r="J12" s="14" t="n">
        <v>0.2341692069508882</v>
      </c>
      <c r="K12" s="14" t="n">
        <v>0.01309351016532765</v>
      </c>
      <c r="L12" s="14" t="n">
        <v>0.009823744755703008</v>
      </c>
      <c r="M12" s="14" t="n">
        <v>0.0545910453526716</v>
      </c>
      <c r="N12" s="14" t="n">
        <v>0.06278632389651764</v>
      </c>
      <c r="O12" s="14" t="n">
        <v>0.04320174529653431</v>
      </c>
      <c r="P12" s="14" t="n">
        <v>0.004189850380665717</v>
      </c>
      <c r="Q12" s="14" t="n">
        <v>0.02323260243966768</v>
      </c>
      <c r="R12" s="14" t="n">
        <v>0.06317292532100038</v>
      </c>
      <c r="S12" s="14" t="n">
        <v>0.04747698367303459</v>
      </c>
      <c r="T12" s="14" t="n">
        <v>0.6099523958777096</v>
      </c>
      <c r="U12" s="14" t="n">
        <v>0.08590311592582146</v>
      </c>
      <c r="V12" s="14" t="n">
        <v>0.06180575773634522</v>
      </c>
      <c r="W12" s="14" t="n">
        <v>0.02969723860474099</v>
      </c>
      <c r="X12" s="14" t="n">
        <v>0.04406217666246619</v>
      </c>
      <c r="Y12" s="14" t="n">
        <v>0.03497413320894444</v>
      </c>
      <c r="Z12" s="14" t="n">
        <v>0.1480798368719154</v>
      </c>
      <c r="AA12" s="14" t="n">
        <v>0.01488094070682291</v>
      </c>
      <c r="AB12" s="14" t="n">
        <v>0.03836484353348819</v>
      </c>
      <c r="AC12" s="14" t="n">
        <v>0.05589003798696947</v>
      </c>
      <c r="AD12" s="14" t="n">
        <v>0.01978064525201743</v>
      </c>
      <c r="AE12" s="14" t="n">
        <v>0.04995397199005624</v>
      </c>
      <c r="AF12" s="14" t="n">
        <v>0.1076763912288226</v>
      </c>
      <c r="AG12" s="14" t="n">
        <v>0.05045222221639231</v>
      </c>
      <c r="AH12" s="14" t="n">
        <v>0.06404126427819773</v>
      </c>
      <c r="AI12" s="14" t="n">
        <v>0.04460545278495227</v>
      </c>
      <c r="AJ12" s="14" t="n">
        <v>0.02084160754789371</v>
      </c>
      <c r="AK12" s="14" t="n">
        <v>0.01681439163518086</v>
      </c>
      <c r="AL12" s="14" t="n">
        <v>0.0547360097187051</v>
      </c>
      <c r="AM12" s="14" t="n">
        <v>0.009829200297200968</v>
      </c>
      <c r="AN12" s="14" t="n">
        <v>0.01232842202713587</v>
      </c>
      <c r="AO12" s="14" t="n">
        <v>0.06559993346607396</v>
      </c>
      <c r="AP12" s="14" t="n">
        <v>0.1685770645489173</v>
      </c>
      <c r="AQ12" s="14" t="n">
        <v>0.006630560308960755</v>
      </c>
      <c r="AR12" s="14" t="n">
        <v>0.03385408609566383</v>
      </c>
      <c r="AS12" s="14" t="n">
        <v>0.03236000052437592</v>
      </c>
      <c r="AT12" s="14" t="n">
        <v>0.04980391775634117</v>
      </c>
      <c r="AU12" s="14" t="n">
        <v>0.2375518170063994</v>
      </c>
      <c r="AV12" s="14" t="n">
        <v>0.2285987837410075</v>
      </c>
      <c r="AW12" s="14" t="n">
        <v>1.085053101049811</v>
      </c>
      <c r="AX12" s="14" t="n">
        <v>0.04519626676747916</v>
      </c>
      <c r="AY12" s="14" t="n">
        <v>0.03721000931724705</v>
      </c>
      <c r="AZ12" s="14" t="n">
        <v>0.1176729970963193</v>
      </c>
      <c r="BA12" s="14" t="n">
        <v>0.08269810854352598</v>
      </c>
      <c r="BB12" s="14" t="n">
        <v>0.04292260909639881</v>
      </c>
      <c r="BC12" s="14" t="n">
        <v>0.0266548624758976</v>
      </c>
      <c r="BD12" s="14" t="n">
        <v>0.06982739629810975</v>
      </c>
      <c r="BE12" s="14" t="n">
        <v>0.0114767208151841</v>
      </c>
      <c r="BF12" s="14" t="n">
        <v>0.06083222815214525</v>
      </c>
      <c r="BG12" s="14" t="n">
        <v>0.04272692246020257</v>
      </c>
      <c r="BH12" s="14" t="n">
        <v>0.02585419881708326</v>
      </c>
      <c r="BI12" s="14" t="n">
        <v>0.03564042227343216</v>
      </c>
      <c r="BJ12" s="14" t="n">
        <v>0.03289881285995049</v>
      </c>
      <c r="BK12" s="14" t="n">
        <v>0.03062489925767693</v>
      </c>
      <c r="BL12" s="14" t="n">
        <v>0.02791959012460138</v>
      </c>
      <c r="BM12" s="14" t="n">
        <v>0.06045604289337139</v>
      </c>
      <c r="BN12" s="14" t="n">
        <v>0.08798171537508559</v>
      </c>
      <c r="BO12" s="14" t="n">
        <v>0.2832598104057132</v>
      </c>
      <c r="BP12" s="14" t="n">
        <v>0.05862753185891434</v>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tabColor rgb="00FFC000"/>
    <outlinePr summaryBelow="1" summaryRight="1"/>
    <pageSetUpPr/>
  </sheetPr>
  <dimension ref="A1:K54"/>
  <sheetViews>
    <sheetView workbookViewId="0">
      <pane ySplit="32" topLeftCell="A33"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2" t="inlineStr">
        <is>
          <t>Direct price changes by fuel (%, given -- see Distribution_Inputs)</t>
        </is>
      </c>
    </row>
    <row r="2">
      <c r="A2" s="13" t="inlineStr">
        <is>
          <t>code</t>
        </is>
      </c>
      <c r="B2" s="13" t="inlineStr">
        <is>
          <t>fuel</t>
        </is>
      </c>
      <c r="C2" s="13" t="inlineStr">
        <is>
          <t>pct_change</t>
        </is>
      </c>
    </row>
    <row r="3">
      <c r="A3" s="14" t="inlineStr">
        <is>
          <t>coa</t>
        </is>
      </c>
      <c r="B3" s="14" t="inlineStr">
        <is>
          <t>Coal</t>
        </is>
      </c>
      <c r="C3" s="14" t="n">
        <v>37.81202596689215</v>
      </c>
    </row>
    <row r="4">
      <c r="A4" s="14" t="inlineStr">
        <is>
          <t>ely</t>
        </is>
      </c>
      <c r="B4" s="14" t="inlineStr">
        <is>
          <t>Electricity</t>
        </is>
      </c>
      <c r="C4" s="14" t="n">
        <v>25.45352571358159</v>
      </c>
    </row>
    <row r="5">
      <c r="A5" s="14" t="inlineStr">
        <is>
          <t>nga</t>
        </is>
      </c>
      <c r="B5" s="14" t="inlineStr">
        <is>
          <t>Natural Gas</t>
        </is>
      </c>
      <c r="C5" s="14" t="n">
        <v>59.43929712377744</v>
      </c>
    </row>
    <row r="6">
      <c r="A6" s="14" t="inlineStr">
        <is>
          <t>oil</t>
        </is>
      </c>
      <c r="B6" s="14" t="inlineStr">
        <is>
          <t>Non-Road Oil</t>
        </is>
      </c>
      <c r="C6" s="14" t="n">
        <v>103.9578829680615</v>
      </c>
    </row>
    <row r="7">
      <c r="A7" s="14" t="inlineStr">
        <is>
          <t>gso</t>
        </is>
      </c>
      <c r="B7" s="14" t="inlineStr">
        <is>
          <t>Gasoline</t>
        </is>
      </c>
      <c r="C7" s="14" t="n">
        <v>19.17074428556633</v>
      </c>
    </row>
    <row r="8">
      <c r="A8" s="14" t="inlineStr">
        <is>
          <t>die</t>
        </is>
      </c>
      <c r="B8" s="14" t="inlineStr">
        <is>
          <t>Diesel</t>
        </is>
      </c>
      <c r="C8" s="14" t="n">
        <v>28.06792754866025</v>
      </c>
    </row>
    <row r="9">
      <c r="A9" s="14" t="inlineStr">
        <is>
          <t>ker</t>
        </is>
      </c>
      <c r="B9" s="14" t="inlineStr">
        <is>
          <t>Kerosene</t>
        </is>
      </c>
      <c r="C9" s="14" t="n">
        <v>30.10178078204742</v>
      </c>
    </row>
    <row r="10">
      <c r="A10" s="14" t="inlineStr">
        <is>
          <t>lpg</t>
        </is>
      </c>
      <c r="B10" s="14" t="inlineStr">
        <is>
          <t>LPG</t>
        </is>
      </c>
      <c r="C10" s="14" t="n">
        <v>58.67220010621488</v>
      </c>
    </row>
    <row r="13">
      <c r="A13" s="2" t="inlineStr">
        <is>
          <t>Indirect (HH-demand-weighted) price changes by CPAT category (%, given)</t>
        </is>
      </c>
    </row>
    <row r="14">
      <c r="A14" s="13" t="inlineStr">
        <is>
          <t>code</t>
        </is>
      </c>
      <c r="B14" s="13" t="inlineStr">
        <is>
          <t>category</t>
        </is>
      </c>
      <c r="C14" s="13" t="inlineStr">
        <is>
          <t>pct_change</t>
        </is>
      </c>
    </row>
    <row r="15">
      <c r="A15" s="14" t="inlineStr">
        <is>
          <t>food</t>
        </is>
      </c>
      <c r="B15" s="14" t="inlineStr">
        <is>
          <t>Food</t>
        </is>
      </c>
      <c r="C15" s="14" t="n">
        <v>0.3275885161468621</v>
      </c>
    </row>
    <row r="16">
      <c r="A16" s="14" t="inlineStr">
        <is>
          <t>edu</t>
        </is>
      </c>
      <c r="B16" s="14" t="inlineStr">
        <is>
          <t>Education</t>
        </is>
      </c>
      <c r="C16" s="14" t="n">
        <v>0.3293440561892309</v>
      </c>
    </row>
    <row r="17">
      <c r="A17" s="14" t="inlineStr">
        <is>
          <t>hea</t>
        </is>
      </c>
      <c r="B17" s="14" t="inlineStr">
        <is>
          <t>Health Services</t>
        </is>
      </c>
      <c r="C17" s="14" t="n">
        <v>0.3834166707284754</v>
      </c>
    </row>
    <row r="18">
      <c r="A18" s="14" t="inlineStr">
        <is>
          <t>clo</t>
        </is>
      </c>
      <c r="B18" s="14" t="inlineStr">
        <is>
          <t>Clothing</t>
        </is>
      </c>
      <c r="C18" s="14" t="n">
        <v>0.3389889321094753</v>
      </c>
    </row>
    <row r="19">
      <c r="A19" s="14" t="inlineStr">
        <is>
          <t>hou</t>
        </is>
      </c>
      <c r="B19" s="14" t="inlineStr">
        <is>
          <t>Housing</t>
        </is>
      </c>
      <c r="C19" s="14" t="n">
        <v>0.2846840548401913</v>
      </c>
    </row>
    <row r="20">
      <c r="A20" s="14" t="inlineStr">
        <is>
          <t>app</t>
        </is>
      </c>
      <c r="B20" s="14" t="inlineStr">
        <is>
          <t>Appliances</t>
        </is>
      </c>
      <c r="C20" s="14" t="n">
        <v>0.8155820275413014</v>
      </c>
    </row>
    <row r="21">
      <c r="A21" s="14" t="inlineStr">
        <is>
          <t>che</t>
        </is>
      </c>
      <c r="B21" s="14" t="inlineStr">
        <is>
          <t>Chemicals</t>
        </is>
      </c>
      <c r="C21" s="14" t="n">
        <v>2.048546373170317</v>
      </c>
    </row>
    <row r="22">
      <c r="A22" s="14" t="inlineStr">
        <is>
          <t>tpu</t>
        </is>
      </c>
      <c r="B22" s="14" t="inlineStr">
        <is>
          <t>Public Transportation</t>
        </is>
      </c>
      <c r="C22" s="14" t="n">
        <v>1.292222813050284</v>
      </c>
    </row>
    <row r="23">
      <c r="A23" s="14" t="inlineStr">
        <is>
          <t>teq</t>
        </is>
      </c>
      <c r="B23" s="14" t="inlineStr">
        <is>
          <t>Transportation Equipment</t>
        </is>
      </c>
      <c r="C23" s="14" t="n">
        <v>0.3052594839488489</v>
      </c>
    </row>
    <row r="24">
      <c r="A24" s="14" t="inlineStr">
        <is>
          <t>pap</t>
        </is>
      </c>
      <c r="B24" s="14" t="inlineStr">
        <is>
          <t>Paper</t>
        </is>
      </c>
      <c r="C24" s="14" t="n">
        <v>0.599196141109014</v>
      </c>
    </row>
    <row r="25">
      <c r="A25" s="14" t="inlineStr">
        <is>
          <t>com</t>
        </is>
      </c>
      <c r="B25" s="14" t="inlineStr">
        <is>
          <t>Communications</t>
        </is>
      </c>
      <c r="C25" s="14" t="n">
        <v>0.1284830643537952</v>
      </c>
    </row>
    <row r="26">
      <c r="A26" s="14" t="inlineStr">
        <is>
          <t>pha</t>
        </is>
      </c>
      <c r="B26" s="14" t="inlineStr">
        <is>
          <t>Pharmaceuticals</t>
        </is>
      </c>
      <c r="C26" s="14" t="n">
        <v>0.9757649231756055</v>
      </c>
    </row>
    <row r="27">
      <c r="A27" s="14" t="inlineStr">
        <is>
          <t>ret</t>
        </is>
      </c>
      <c r="B27" s="14" t="inlineStr">
        <is>
          <t>Recreation/Tourism</t>
        </is>
      </c>
      <c r="C27" s="14" t="n">
        <v>0.2827266639257853</v>
      </c>
    </row>
    <row r="28">
      <c r="A28" s="14" t="inlineStr">
        <is>
          <t>oth</t>
        </is>
      </c>
      <c r="B28" s="14" t="inlineStr">
        <is>
          <t>Other</t>
        </is>
      </c>
      <c r="C28" s="14" t="n">
        <v>0.1420935857897549</v>
      </c>
    </row>
    <row r="31">
      <c r="A31" s="2" t="inlineStr">
        <is>
          <t>Price-elasticity adjustment factors (C.II), by decile -- multiplies the price change above before it is applied to budget share in DIRECT_EFFECT/INDIRECT_EFFECT</t>
        </is>
      </c>
    </row>
    <row r="32">
      <c r="A32" s="13" t="inlineStr">
        <is>
          <t>code</t>
        </is>
      </c>
      <c r="B32" s="13" t="inlineStr">
        <is>
          <t>D1</t>
        </is>
      </c>
      <c r="C32" s="13" t="inlineStr">
        <is>
          <t>D2</t>
        </is>
      </c>
      <c r="D32" s="13" t="inlineStr">
        <is>
          <t>D3</t>
        </is>
      </c>
      <c r="E32" s="13" t="inlineStr">
        <is>
          <t>D4</t>
        </is>
      </c>
      <c r="F32" s="13" t="inlineStr">
        <is>
          <t>D5</t>
        </is>
      </c>
      <c r="G32" s="13" t="inlineStr">
        <is>
          <t>D6</t>
        </is>
      </c>
      <c r="H32" s="13" t="inlineStr">
        <is>
          <t>D7</t>
        </is>
      </c>
      <c r="I32" s="13" t="inlineStr">
        <is>
          <t>D8</t>
        </is>
      </c>
      <c r="J32" s="13" t="inlineStr">
        <is>
          <t>D9</t>
        </is>
      </c>
      <c r="K32" s="13" t="inlineStr">
        <is>
          <t>D10</t>
        </is>
      </c>
    </row>
    <row r="33">
      <c r="A33" s="14" t="inlineStr">
        <is>
          <t>coa</t>
        </is>
      </c>
      <c r="B33" s="14" t="n">
        <v>0.7761173498120266</v>
      </c>
      <c r="C33" s="14" t="n">
        <v>0.7761173498120266</v>
      </c>
      <c r="D33" s="14" t="n">
        <v>0.7761173498120266</v>
      </c>
      <c r="E33" s="14" t="n">
        <v>0.7776763698944182</v>
      </c>
      <c r="F33" s="14" t="n">
        <v>0.7776763698944182</v>
      </c>
      <c r="G33" s="14" t="n">
        <v>0.7776763698944182</v>
      </c>
      <c r="H33" s="14" t="n">
        <v>0.7776763698944182</v>
      </c>
      <c r="I33" s="14" t="n">
        <v>0.7775821672600556</v>
      </c>
      <c r="J33" s="14" t="n">
        <v>0.7775821672600556</v>
      </c>
      <c r="K33" s="14" t="n">
        <v>0.7775821672600556</v>
      </c>
    </row>
    <row r="34">
      <c r="A34" s="14" t="inlineStr">
        <is>
          <t>ely</t>
        </is>
      </c>
      <c r="B34" s="14" t="n">
        <v>0.8359363870814297</v>
      </c>
      <c r="C34" s="14" t="n">
        <v>0.8359363870814297</v>
      </c>
      <c r="D34" s="14" t="n">
        <v>0.8359363870814297</v>
      </c>
      <c r="E34" s="14" t="n">
        <v>0.8371233020506227</v>
      </c>
      <c r="F34" s="14" t="n">
        <v>0.8371233020506227</v>
      </c>
      <c r="G34" s="14" t="n">
        <v>0.8371233020506227</v>
      </c>
      <c r="H34" s="14" t="n">
        <v>0.8371233020506227</v>
      </c>
      <c r="I34" s="14" t="n">
        <v>0.8370516033915932</v>
      </c>
      <c r="J34" s="14" t="n">
        <v>0.8370516033915932</v>
      </c>
      <c r="K34" s="14" t="n">
        <v>0.8370516033915932</v>
      </c>
    </row>
    <row r="35">
      <c r="A35" s="14" t="inlineStr">
        <is>
          <t>nga</t>
        </is>
      </c>
      <c r="B35" s="14" t="n">
        <v>0.6916678773433154</v>
      </c>
      <c r="C35" s="14" t="n">
        <v>0.6916678773433154</v>
      </c>
      <c r="D35" s="14" t="n">
        <v>0.6916678773433154</v>
      </c>
      <c r="E35" s="14" t="n">
        <v>0.6936896793879349</v>
      </c>
      <c r="F35" s="14" t="n">
        <v>0.6936896793879349</v>
      </c>
      <c r="G35" s="14" t="n">
        <v>0.6936896793879349</v>
      </c>
      <c r="H35" s="14" t="n">
        <v>0.6936896793879349</v>
      </c>
      <c r="I35" s="14" t="n">
        <v>0.6935674611577586</v>
      </c>
      <c r="J35" s="14" t="n">
        <v>0.6935674611577586</v>
      </c>
      <c r="K35" s="14" t="n">
        <v>0.6935674611577586</v>
      </c>
    </row>
    <row r="36">
      <c r="A36" s="14" t="inlineStr">
        <is>
          <t>oil</t>
        </is>
      </c>
      <c r="B36" s="14" t="n">
        <v>0.569355450078167</v>
      </c>
      <c r="C36" s="14" t="n">
        <v>0.569355450078167</v>
      </c>
      <c r="D36" s="14" t="n">
        <v>0.569355450078167</v>
      </c>
      <c r="E36" s="14" t="n">
        <v>0.5719002124958935</v>
      </c>
      <c r="F36" s="14" t="n">
        <v>0.5719002124958935</v>
      </c>
      <c r="G36" s="14" t="n">
        <v>0.5719002124958935</v>
      </c>
      <c r="H36" s="14" t="n">
        <v>0.5719002124958935</v>
      </c>
      <c r="I36" s="14" t="n">
        <v>0.5717462699114007</v>
      </c>
      <c r="J36" s="14" t="n">
        <v>0.5717462699114007</v>
      </c>
      <c r="K36" s="14" t="n">
        <v>0.5717462699114007</v>
      </c>
    </row>
    <row r="37">
      <c r="A37" s="14" t="inlineStr">
        <is>
          <t>gso</t>
        </is>
      </c>
      <c r="B37" s="14" t="n">
        <v>0.8534303316439776</v>
      </c>
      <c r="C37" s="14" t="n">
        <v>0.8534303316439776</v>
      </c>
      <c r="D37" s="14" t="n">
        <v>0.8534303316439776</v>
      </c>
      <c r="E37" s="14" t="n">
        <v>0.8599913804407927</v>
      </c>
      <c r="F37" s="14" t="n">
        <v>0.8599913804407927</v>
      </c>
      <c r="G37" s="14" t="n">
        <v>0.8599913804407927</v>
      </c>
      <c r="H37" s="14" t="n">
        <v>0.8599913804407927</v>
      </c>
      <c r="I37" s="14" t="n">
        <v>0.8596415330346459</v>
      </c>
      <c r="J37" s="14" t="n">
        <v>0.8596415330346459</v>
      </c>
      <c r="K37" s="14" t="n">
        <v>0.8596415330346459</v>
      </c>
    </row>
    <row r="38">
      <c r="A38" s="14" t="inlineStr">
        <is>
          <t>die</t>
        </is>
      </c>
      <c r="B38" s="14" t="n">
        <v>0.7996681116304551</v>
      </c>
      <c r="C38" s="14" t="n">
        <v>0.7996681116304551</v>
      </c>
      <c r="D38" s="14" t="n">
        <v>0.7996681116304551</v>
      </c>
      <c r="E38" s="14" t="n">
        <v>0.8083534017161581</v>
      </c>
      <c r="F38" s="14" t="n">
        <v>0.8083534017161581</v>
      </c>
      <c r="G38" s="14" t="n">
        <v>0.8083534017161581</v>
      </c>
      <c r="H38" s="14" t="n">
        <v>0.8083534017161581</v>
      </c>
      <c r="I38" s="14" t="n">
        <v>0.8078895970298954</v>
      </c>
      <c r="J38" s="14" t="n">
        <v>0.8078895970298954</v>
      </c>
      <c r="K38" s="14" t="n">
        <v>0.8078895970298954</v>
      </c>
    </row>
    <row r="39">
      <c r="A39" s="14" t="inlineStr">
        <is>
          <t>ker</t>
        </is>
      </c>
      <c r="B39" s="14" t="n">
        <v>0.8122446850482508</v>
      </c>
      <c r="C39" s="14" t="n">
        <v>0.8122446850482508</v>
      </c>
      <c r="D39" s="14" t="n">
        <v>0.8122446850482508</v>
      </c>
      <c r="E39" s="14" t="n">
        <v>0.8135831424267408</v>
      </c>
      <c r="F39" s="14" t="n">
        <v>0.8135831424267408</v>
      </c>
      <c r="G39" s="14" t="n">
        <v>0.8135831424267408</v>
      </c>
      <c r="H39" s="14" t="n">
        <v>0.8135831424267408</v>
      </c>
      <c r="I39" s="14" t="n">
        <v>0.813502280812556</v>
      </c>
      <c r="J39" s="14" t="n">
        <v>0.813502280812556</v>
      </c>
      <c r="K39" s="14" t="n">
        <v>0.813502280812556</v>
      </c>
    </row>
    <row r="40">
      <c r="A40" s="14" t="inlineStr">
        <is>
          <t>lpg</t>
        </is>
      </c>
      <c r="B40" s="14" t="n">
        <v>0.6943090424369001</v>
      </c>
      <c r="C40" s="14" t="n">
        <v>0.6943090424369001</v>
      </c>
      <c r="D40" s="14" t="n">
        <v>0.6943090424369001</v>
      </c>
      <c r="E40" s="14" t="n">
        <v>0.6963175523345251</v>
      </c>
      <c r="F40" s="14" t="n">
        <v>0.6963175523345251</v>
      </c>
      <c r="G40" s="14" t="n">
        <v>0.6963175523345251</v>
      </c>
      <c r="H40" s="14" t="n">
        <v>0.6963175523345251</v>
      </c>
      <c r="I40" s="14" t="n">
        <v>0.6961961393370146</v>
      </c>
      <c r="J40" s="14" t="n">
        <v>0.6961961393370146</v>
      </c>
      <c r="K40" s="14" t="n">
        <v>0.6961961393370146</v>
      </c>
    </row>
    <row r="41">
      <c r="A41" s="14" t="inlineStr">
        <is>
          <t>app</t>
        </is>
      </c>
      <c r="B41" s="14" t="n">
        <v>0.9937288837251963</v>
      </c>
      <c r="C41" s="14" t="n">
        <v>0.9937288837251963</v>
      </c>
      <c r="D41" s="14" t="n">
        <v>0.9937288837251963</v>
      </c>
      <c r="E41" s="14" t="n">
        <v>0.993756935643723</v>
      </c>
      <c r="F41" s="14" t="n">
        <v>0.993756935643723</v>
      </c>
      <c r="G41" s="14" t="n">
        <v>0.993756935643723</v>
      </c>
      <c r="H41" s="14" t="n">
        <v>0.993756935643723</v>
      </c>
      <c r="I41" s="14" t="n">
        <v>0.9937548889166355</v>
      </c>
      <c r="J41" s="14" t="n">
        <v>0.9937548889166355</v>
      </c>
      <c r="K41" s="14" t="n">
        <v>0.9937548889166355</v>
      </c>
    </row>
    <row r="42">
      <c r="A42" s="14" t="inlineStr">
        <is>
          <t>che</t>
        </is>
      </c>
      <c r="B42" s="14" t="n">
        <v>0.9698862557970422</v>
      </c>
      <c r="C42" s="14" t="n">
        <v>0.9698862557970422</v>
      </c>
      <c r="D42" s="14" t="n">
        <v>0.9698862557970422</v>
      </c>
      <c r="E42" s="14" t="n">
        <v>0.979389386714718</v>
      </c>
      <c r="F42" s="14" t="n">
        <v>0.979389386714718</v>
      </c>
      <c r="G42" s="14" t="n">
        <v>0.979389386714718</v>
      </c>
      <c r="H42" s="14" t="n">
        <v>0.979389386714718</v>
      </c>
      <c r="I42" s="14" t="n">
        <v>0.9791996098982944</v>
      </c>
      <c r="J42" s="14" t="n">
        <v>0.9791996098982944</v>
      </c>
      <c r="K42" s="14" t="n">
        <v>0.9791996098982944</v>
      </c>
    </row>
    <row r="43">
      <c r="A43" s="14" t="inlineStr">
        <is>
          <t>clo</t>
        </is>
      </c>
      <c r="B43" s="14" t="n">
        <v>0.9975985982226189</v>
      </c>
      <c r="C43" s="14" t="n">
        <v>0.9975985982226189</v>
      </c>
      <c r="D43" s="14" t="n">
        <v>0.9975985982226189</v>
      </c>
      <c r="E43" s="14" t="n">
        <v>0.9976035091811464</v>
      </c>
      <c r="F43" s="14" t="n">
        <v>0.9976035091811464</v>
      </c>
      <c r="G43" s="14" t="n">
        <v>0.9976035091811464</v>
      </c>
      <c r="H43" s="14" t="n">
        <v>0.9976035091811464</v>
      </c>
      <c r="I43" s="14" t="n">
        <v>0.9976033711387121</v>
      </c>
      <c r="J43" s="14" t="n">
        <v>0.9976033711387121</v>
      </c>
      <c r="K43" s="14" t="n">
        <v>0.9976033711387121</v>
      </c>
    </row>
    <row r="44">
      <c r="A44" s="14" t="inlineStr">
        <is>
          <t>com</t>
        </is>
      </c>
      <c r="B44" s="14" t="n">
        <v>0.9988403603520662</v>
      </c>
      <c r="C44" s="14" t="n">
        <v>0.9988403603520662</v>
      </c>
      <c r="D44" s="14" t="n">
        <v>0.9988403603520662</v>
      </c>
      <c r="E44" s="14" t="n">
        <v>0.99889636431468</v>
      </c>
      <c r="F44" s="14" t="n">
        <v>0.99889636431468</v>
      </c>
      <c r="G44" s="14" t="n">
        <v>0.99889636431468</v>
      </c>
      <c r="H44" s="14" t="n">
        <v>0.99889636431468</v>
      </c>
      <c r="I44" s="14" t="n">
        <v>0.9988933888001464</v>
      </c>
      <c r="J44" s="14" t="n">
        <v>0.9988933888001464</v>
      </c>
      <c r="K44" s="14" t="n">
        <v>0.9988933888001464</v>
      </c>
    </row>
    <row r="45">
      <c r="A45" s="14" t="inlineStr">
        <is>
          <t>edu</t>
        </is>
      </c>
      <c r="B45" s="14" t="n">
        <v>0.9977503486073167</v>
      </c>
      <c r="C45" s="14" t="n">
        <v>0.9977503486073167</v>
      </c>
      <c r="D45" s="14" t="n">
        <v>0.9977503486073167</v>
      </c>
      <c r="E45" s="14" t="n">
        <v>0.9977731993890718</v>
      </c>
      <c r="F45" s="14" t="n">
        <v>0.9977731993890718</v>
      </c>
      <c r="G45" s="14" t="n">
        <v>0.9977731993890718</v>
      </c>
      <c r="H45" s="14" t="n">
        <v>0.9977731993890718</v>
      </c>
      <c r="I45" s="14" t="n">
        <v>0.9977708997779114</v>
      </c>
      <c r="J45" s="14" t="n">
        <v>0.9977708997779114</v>
      </c>
      <c r="K45" s="14" t="n">
        <v>0.9977708997779114</v>
      </c>
    </row>
    <row r="46">
      <c r="A46" s="14" t="inlineStr">
        <is>
          <t>food</t>
        </is>
      </c>
      <c r="B46" s="14" t="n">
        <v>0.9979231180002437</v>
      </c>
      <c r="C46" s="14" t="n">
        <v>0.9979231180002437</v>
      </c>
      <c r="D46" s="14" t="n">
        <v>0.9979231180002437</v>
      </c>
      <c r="E46" s="14" t="n">
        <v>0.9982517956472549</v>
      </c>
      <c r="F46" s="14" t="n">
        <v>0.9982517956472549</v>
      </c>
      <c r="G46" s="14" t="n">
        <v>0.9982517956472549</v>
      </c>
      <c r="H46" s="14" t="n">
        <v>0.9982517956472549</v>
      </c>
      <c r="I46" s="14" t="n">
        <v>0.9982050229602273</v>
      </c>
      <c r="J46" s="14" t="n">
        <v>0.9982050229602273</v>
      </c>
      <c r="K46" s="14" t="n">
        <v>0.9982050229602273</v>
      </c>
    </row>
    <row r="47">
      <c r="A47" s="14" t="inlineStr">
        <is>
          <t>hea</t>
        </is>
      </c>
      <c r="B47" s="14" t="n">
        <v>0.9944681593340224</v>
      </c>
      <c r="C47" s="14" t="n">
        <v>0.9944681593340224</v>
      </c>
      <c r="D47" s="14" t="n">
        <v>0.9944681593340224</v>
      </c>
      <c r="E47" s="14" t="n">
        <v>0.9960928008063157</v>
      </c>
      <c r="F47" s="14" t="n">
        <v>0.9960928008063157</v>
      </c>
      <c r="G47" s="14" t="n">
        <v>0.9960928008063157</v>
      </c>
      <c r="H47" s="14" t="n">
        <v>0.9960928008063157</v>
      </c>
      <c r="I47" s="14" t="n">
        <v>0.9960572687060411</v>
      </c>
      <c r="J47" s="14" t="n">
        <v>0.9960572687060411</v>
      </c>
      <c r="K47" s="14" t="n">
        <v>0.9960572687060411</v>
      </c>
    </row>
    <row r="48">
      <c r="A48" s="14" t="inlineStr">
        <is>
          <t>hou</t>
        </is>
      </c>
      <c r="B48" s="14" t="n">
        <v>0.9977559823985083</v>
      </c>
      <c r="C48" s="14" t="n">
        <v>0.9977559823985083</v>
      </c>
      <c r="D48" s="14" t="n">
        <v>0.9977559823985083</v>
      </c>
      <c r="E48" s="14" t="n">
        <v>0.9977737298396505</v>
      </c>
      <c r="F48" s="14" t="n">
        <v>0.9977737298396505</v>
      </c>
      <c r="G48" s="14" t="n">
        <v>0.9977737298396505</v>
      </c>
      <c r="H48" s="14" t="n">
        <v>0.9977737298396505</v>
      </c>
      <c r="I48" s="14" t="n">
        <v>0.9977726584650781</v>
      </c>
      <c r="J48" s="14" t="n">
        <v>0.9977726584650781</v>
      </c>
      <c r="K48" s="14" t="n">
        <v>0.9977726584650781</v>
      </c>
    </row>
    <row r="49">
      <c r="A49" s="14" t="inlineStr">
        <is>
          <t>oth</t>
        </is>
      </c>
      <c r="B49" s="14" t="n">
        <v>0.9978612808280618</v>
      </c>
      <c r="C49" s="14" t="n">
        <v>0.9978612808280618</v>
      </c>
      <c r="D49" s="14" t="n">
        <v>0.9978612808280618</v>
      </c>
      <c r="E49" s="14" t="n">
        <v>0.9985427975020265</v>
      </c>
      <c r="F49" s="14" t="n">
        <v>0.9985427975020265</v>
      </c>
      <c r="G49" s="14" t="n">
        <v>0.9985427975020265</v>
      </c>
      <c r="H49" s="14" t="n">
        <v>0.9985427975020265</v>
      </c>
      <c r="I49" s="14" t="n">
        <v>0.9985292479562122</v>
      </c>
      <c r="J49" s="14" t="n">
        <v>0.9985292479562122</v>
      </c>
      <c r="K49" s="14" t="n">
        <v>0.9985292479562122</v>
      </c>
    </row>
    <row r="50">
      <c r="A50" s="14" t="inlineStr">
        <is>
          <t>pap</t>
        </is>
      </c>
      <c r="B50" s="14" t="n">
        <v>0.9910325487587084</v>
      </c>
      <c r="C50" s="14" t="n">
        <v>0.9910325487587084</v>
      </c>
      <c r="D50" s="14" t="n">
        <v>0.9910325487587084</v>
      </c>
      <c r="E50" s="14" t="n">
        <v>0.993883402124719</v>
      </c>
      <c r="F50" s="14" t="n">
        <v>0.993883402124719</v>
      </c>
      <c r="G50" s="14" t="n">
        <v>0.993883402124719</v>
      </c>
      <c r="H50" s="14" t="n">
        <v>0.993883402124719</v>
      </c>
      <c r="I50" s="14" t="n">
        <v>0.9938266621622381</v>
      </c>
      <c r="J50" s="14" t="n">
        <v>0.9938266621622381</v>
      </c>
      <c r="K50" s="14" t="n">
        <v>0.9938266621622381</v>
      </c>
    </row>
    <row r="51">
      <c r="A51" s="14" t="inlineStr">
        <is>
          <t>pha</t>
        </is>
      </c>
      <c r="B51" s="14" t="n">
        <v>0.9860229365028776</v>
      </c>
      <c r="C51" s="14" t="n">
        <v>0.9860229365028776</v>
      </c>
      <c r="D51" s="14" t="n">
        <v>0.9860229365028776</v>
      </c>
      <c r="E51" s="14" t="n">
        <v>0.9901154872277699</v>
      </c>
      <c r="F51" s="14" t="n">
        <v>0.9901154872277699</v>
      </c>
      <c r="G51" s="14" t="n">
        <v>0.9901154872277699</v>
      </c>
      <c r="H51" s="14" t="n">
        <v>0.9901154872277699</v>
      </c>
      <c r="I51" s="14" t="n">
        <v>0.9900258702688807</v>
      </c>
      <c r="J51" s="14" t="n">
        <v>0.9900258702688807</v>
      </c>
      <c r="K51" s="14" t="n">
        <v>0.9900258702688807</v>
      </c>
    </row>
    <row r="52">
      <c r="A52" s="14" t="inlineStr">
        <is>
          <t>ret</t>
        </is>
      </c>
      <c r="B52" s="14" t="n">
        <v>0.9933168046722477</v>
      </c>
      <c r="C52" s="14" t="n">
        <v>0.9933168046722477</v>
      </c>
      <c r="D52" s="14" t="n">
        <v>0.9933168046722477</v>
      </c>
      <c r="E52" s="14" t="n">
        <v>0.9967669385402582</v>
      </c>
      <c r="F52" s="14" t="n">
        <v>0.9967669385402582</v>
      </c>
      <c r="G52" s="14" t="n">
        <v>0.9967669385402582</v>
      </c>
      <c r="H52" s="14" t="n">
        <v>0.9967669385402582</v>
      </c>
      <c r="I52" s="14" t="n">
        <v>0.9967209063644207</v>
      </c>
      <c r="J52" s="14" t="n">
        <v>0.9967209063644207</v>
      </c>
      <c r="K52" s="14" t="n">
        <v>0.9967209063644207</v>
      </c>
    </row>
    <row r="53">
      <c r="A53" s="14" t="inlineStr">
        <is>
          <t>teq</t>
        </is>
      </c>
      <c r="B53" s="14" t="n">
        <v>0.9972494652266258</v>
      </c>
      <c r="C53" s="14" t="n">
        <v>0.9972494652266258</v>
      </c>
      <c r="D53" s="14" t="n">
        <v>0.9972494652266258</v>
      </c>
      <c r="E53" s="14" t="n">
        <v>0.9973821995740821</v>
      </c>
      <c r="F53" s="14" t="n">
        <v>0.9973821995740821</v>
      </c>
      <c r="G53" s="14" t="n">
        <v>0.9973821995740821</v>
      </c>
      <c r="H53" s="14" t="n">
        <v>0.9973821995740821</v>
      </c>
      <c r="I53" s="14" t="n">
        <v>0.9973751470841528</v>
      </c>
      <c r="J53" s="14" t="n">
        <v>0.9973751470841528</v>
      </c>
      <c r="K53" s="14" t="n">
        <v>0.9973751470841528</v>
      </c>
    </row>
    <row r="54">
      <c r="A54" s="14" t="inlineStr">
        <is>
          <t>tpu</t>
        </is>
      </c>
      <c r="B54" s="14" t="n">
        <v>0.9884644769585267</v>
      </c>
      <c r="C54" s="14" t="n">
        <v>0.9884644769585267</v>
      </c>
      <c r="D54" s="14" t="n">
        <v>0.9884644769585267</v>
      </c>
      <c r="E54" s="14" t="n">
        <v>0.9890188124006249</v>
      </c>
      <c r="F54" s="14" t="n">
        <v>0.9890188124006249</v>
      </c>
      <c r="G54" s="14" t="n">
        <v>0.9890188124006249</v>
      </c>
      <c r="H54" s="14" t="n">
        <v>0.9890188124006249</v>
      </c>
      <c r="I54" s="14" t="n">
        <v>0.9889893532848796</v>
      </c>
      <c r="J54" s="14" t="n">
        <v>0.9889893532848796</v>
      </c>
      <c r="K54" s="14" t="n">
        <v>0.9889893532848796</v>
      </c>
    </row>
  </sheetData>
  <pageMargins left="0.75" right="0.75" top="1" bottom="1" header="0.5" footer="0.5"/>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11.xml><?xml version="1.0" encoding="utf-8"?>
<worksheet xmlns="http://schemas.openxmlformats.org/spreadsheetml/2006/main">
  <sheetPr>
    <outlinePr summaryBelow="1" summaryRight="1"/>
    <pageSetUpPr/>
  </sheetPr>
  <dimension ref="A1:S554"/>
  <sheetViews>
    <sheetView workbookViewId="0">
      <pane ySplit="348" topLeftCell="A349"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s>
  <sheetData>
    <row r="1">
      <c r="A1" s="2" t="inlineStr">
        <is>
          <t>GTAP -&gt; CPAT sector crosswalk</t>
        </is>
      </c>
    </row>
    <row r="2">
      <c r="A2" s="13" t="inlineStr">
        <is>
          <t>GTAP_sectors</t>
        </is>
      </c>
      <c r="B2" s="13" t="inlineStr">
        <is>
          <t>GTAP_sector_codes</t>
        </is>
      </c>
      <c r="C2" s="13" t="inlineStr">
        <is>
          <t>GTAP_sector_number</t>
        </is>
      </c>
      <c r="D2" s="13" t="inlineStr">
        <is>
          <t>CTAP_10_sectors</t>
        </is>
      </c>
      <c r="E2" s="13" t="inlineStr">
        <is>
          <t>GTAP_10_codes</t>
        </is>
      </c>
      <c r="F2" s="13" t="inlineStr">
        <is>
          <t>GTAP_10_sector_numbers</t>
        </is>
      </c>
      <c r="G2" s="13" t="inlineStr">
        <is>
          <t>CPAT_Description</t>
        </is>
      </c>
      <c r="H2" s="13" t="inlineStr">
        <is>
          <t>WIOT_sectors</t>
        </is>
      </c>
      <c r="I2" s="13" t="inlineStr">
        <is>
          <t>WIOT_codes</t>
        </is>
      </c>
      <c r="J2" s="13" t="inlineStr">
        <is>
          <t>EORA_sectors</t>
        </is>
      </c>
      <c r="K2" s="13" t="inlineStr">
        <is>
          <t>IEA_flows</t>
        </is>
      </c>
      <c r="L2" s="13" t="inlineStr">
        <is>
          <t>IEA_codes</t>
        </is>
      </c>
      <c r="M2" s="13" t="inlineStr">
        <is>
          <t>CPC_ISIC_code</t>
        </is>
      </c>
      <c r="N2" s="13" t="inlineStr">
        <is>
          <t>#</t>
        </is>
      </c>
      <c r="O2" s="13" t="inlineStr">
        <is>
          <t>CPAT_subsectors</t>
        </is>
      </c>
      <c r="P2" s="13" t="inlineStr">
        <is>
          <t>CPAT_sectors</t>
        </is>
      </c>
      <c r="Q2" s="13" t="inlineStr">
        <is>
          <t>CPAT_sector_code</t>
        </is>
      </c>
      <c r="R2" s="13" t="inlineStr">
        <is>
          <t>CPAT_consumption_items</t>
        </is>
      </c>
      <c r="S2" s="13" t="inlineStr">
        <is>
          <t>CPAT_consumption_items_3_letter</t>
        </is>
      </c>
    </row>
    <row r="3">
      <c r="A3" s="14" t="inlineStr">
        <is>
          <t>Raw animal materials used in textiles</t>
        </is>
      </c>
      <c r="B3" s="14" t="inlineStr">
        <is>
          <t>wol</t>
        </is>
      </c>
      <c r="C3" s="14" t="n">
        <v>12</v>
      </c>
      <c r="D3" s="14" t="inlineStr">
        <is>
          <t>Wool: wool, silk, and other raw animal materials used in textile</t>
        </is>
      </c>
      <c r="E3" s="14" t="inlineStr">
        <is>
          <t>wol</t>
        </is>
      </c>
      <c r="F3" s="14" t="n">
        <v>12</v>
      </c>
      <c r="G3" s="14" t="inlineStr">
        <is>
          <t>Wool</t>
        </is>
      </c>
      <c r="H3" s="14" t="inlineStr">
        <is>
          <t>Crop and animal production, hunting and related service activities</t>
        </is>
      </c>
      <c r="I3" s="14" t="inlineStr">
        <is>
          <t>A01</t>
        </is>
      </c>
      <c r="J3" s="14" t="inlineStr">
        <is>
          <t>Agriculture</t>
        </is>
      </c>
      <c r="K3" s="14" t="inlineStr">
        <is>
          <t>Agriculture/forestry</t>
        </is>
      </c>
      <c r="L3" s="14" t="inlineStr">
        <is>
          <t>AGRICULT</t>
        </is>
      </c>
      <c r="M3" s="14" t="n">
        <v>22</v>
      </c>
      <c r="N3" s="14" t="n">
        <v>1</v>
      </c>
      <c r="O3" s="14" t="inlineStr">
        <is>
          <t>Food &amp; forestry</t>
        </is>
      </c>
      <c r="P3" s="14" t="inlineStr">
        <is>
          <t>Industry</t>
        </is>
      </c>
      <c r="Q3" s="14" t="inlineStr">
        <is>
          <t>foo</t>
        </is>
      </c>
      <c r="R3" s="14" t="inlineStr">
        <is>
          <t>NA</t>
        </is>
      </c>
      <c r="S3" s="14" t="inlineStr">
        <is>
          <t>NA</t>
        </is>
      </c>
    </row>
    <row r="4">
      <c r="A4" s="14" t="inlineStr">
        <is>
          <t>Rice</t>
        </is>
      </c>
      <c r="B4" s="14" t="inlineStr">
        <is>
          <t>pdr</t>
        </is>
      </c>
      <c r="C4" s="14" t="n">
        <v>1</v>
      </c>
      <c r="D4" s="14" t="inlineStr">
        <is>
          <t>Rice: seed, paddy (not husked)</t>
        </is>
      </c>
      <c r="E4" s="14" t="inlineStr">
        <is>
          <t>pdr</t>
        </is>
      </c>
      <c r="F4" s="14" t="n">
        <v>1</v>
      </c>
      <c r="G4" s="14" t="inlineStr">
        <is>
          <t>Rice</t>
        </is>
      </c>
      <c r="H4" s="14" t="inlineStr">
        <is>
          <t>Crop and animal production, hunting and related service activities</t>
        </is>
      </c>
      <c r="I4" s="14" t="inlineStr">
        <is>
          <t>A01</t>
        </is>
      </c>
      <c r="J4" s="14" t="inlineStr">
        <is>
          <t>Agriculture</t>
        </is>
      </c>
      <c r="K4" s="14" t="inlineStr">
        <is>
          <t>Agriculture/forestry</t>
        </is>
      </c>
      <c r="L4" s="14" t="inlineStr">
        <is>
          <t>AGRICULT</t>
        </is>
      </c>
      <c r="M4" s="14" t="n">
        <v>113</v>
      </c>
      <c r="N4" s="14" t="n">
        <v>1</v>
      </c>
      <c r="O4" s="14" t="inlineStr">
        <is>
          <t>Food &amp; forestry</t>
        </is>
      </c>
      <c r="P4" s="14" t="inlineStr">
        <is>
          <t>Industry</t>
        </is>
      </c>
      <c r="Q4" s="14" t="inlineStr">
        <is>
          <t>foo</t>
        </is>
      </c>
      <c r="R4" s="14" t="inlineStr">
        <is>
          <t>food</t>
        </is>
      </c>
      <c r="S4" s="14" t="inlineStr">
        <is>
          <t>food</t>
        </is>
      </c>
    </row>
    <row r="5">
      <c r="A5" s="14" t="inlineStr">
        <is>
          <t>Wheat</t>
        </is>
      </c>
      <c r="B5" s="14" t="inlineStr">
        <is>
          <t>wht</t>
        </is>
      </c>
      <c r="C5" s="14" t="n">
        <v>2</v>
      </c>
      <c r="D5" s="14" t="inlineStr">
        <is>
          <t>Wheat: seed, other</t>
        </is>
      </c>
      <c r="E5" s="14" t="inlineStr">
        <is>
          <t>wht</t>
        </is>
      </c>
      <c r="F5" s="14" t="n">
        <v>2</v>
      </c>
      <c r="G5" s="14" t="inlineStr">
        <is>
          <t>Wheat</t>
        </is>
      </c>
      <c r="H5" s="14" t="inlineStr">
        <is>
          <t>Crop and animal production, hunting and related service activities</t>
        </is>
      </c>
      <c r="I5" s="14" t="inlineStr">
        <is>
          <t>A01</t>
        </is>
      </c>
      <c r="J5" s="14" t="inlineStr">
        <is>
          <t>Agriculture</t>
        </is>
      </c>
      <c r="K5" s="14" t="inlineStr">
        <is>
          <t>Agriculture/forestry</t>
        </is>
      </c>
      <c r="L5" s="14" t="inlineStr">
        <is>
          <t>AGRICULT</t>
        </is>
      </c>
      <c r="M5" s="14" t="n">
        <v>111</v>
      </c>
      <c r="N5" s="14" t="n">
        <v>1</v>
      </c>
      <c r="O5" s="14" t="inlineStr">
        <is>
          <t>Food &amp; forestry</t>
        </is>
      </c>
      <c r="P5" s="14" t="inlineStr">
        <is>
          <t>Industry</t>
        </is>
      </c>
      <c r="Q5" s="14" t="inlineStr">
        <is>
          <t>foo</t>
        </is>
      </c>
      <c r="R5" s="14" t="inlineStr">
        <is>
          <t>food</t>
        </is>
      </c>
      <c r="S5" s="14" t="inlineStr">
        <is>
          <t>food</t>
        </is>
      </c>
    </row>
    <row r="6">
      <c r="A6" s="14" t="inlineStr">
        <is>
          <t>Maize (corn)</t>
        </is>
      </c>
      <c r="B6" s="14" t="inlineStr">
        <is>
          <t>gro</t>
        </is>
      </c>
      <c r="C6" s="14" t="n">
        <v>3</v>
      </c>
      <c r="D6" s="14" t="inlineStr">
        <is>
          <t>Other Grains: maize (corn), sorghum, barley, rye, oats, millets, other cereals</t>
        </is>
      </c>
      <c r="E6" s="14" t="inlineStr">
        <is>
          <t>gro</t>
        </is>
      </c>
      <c r="F6" s="14" t="n">
        <v>3</v>
      </c>
      <c r="G6" s="14" t="inlineStr">
        <is>
          <t>Other grains</t>
        </is>
      </c>
      <c r="H6" s="14" t="inlineStr">
        <is>
          <t>Crop and animal production, hunting and related service activities</t>
        </is>
      </c>
      <c r="I6" s="14" t="inlineStr">
        <is>
          <t>A01</t>
        </is>
      </c>
      <c r="J6" s="14" t="inlineStr">
        <is>
          <t>Agriculture</t>
        </is>
      </c>
      <c r="K6" s="14" t="inlineStr">
        <is>
          <t>Agriculture/forestry</t>
        </is>
      </c>
      <c r="L6" s="14" t="inlineStr">
        <is>
          <t>AGRICULT</t>
        </is>
      </c>
      <c r="M6" s="14" t="n">
        <v>119</v>
      </c>
      <c r="N6" s="14" t="n">
        <v>1</v>
      </c>
      <c r="O6" s="14" t="inlineStr">
        <is>
          <t>Food &amp; forestry</t>
        </is>
      </c>
      <c r="P6" s="14" t="inlineStr">
        <is>
          <t>Industry</t>
        </is>
      </c>
      <c r="Q6" s="14" t="inlineStr">
        <is>
          <t>foo</t>
        </is>
      </c>
      <c r="R6" s="14" t="inlineStr">
        <is>
          <t>food</t>
        </is>
      </c>
      <c r="S6" s="14" t="inlineStr">
        <is>
          <t>food</t>
        </is>
      </c>
    </row>
    <row r="7">
      <c r="A7" s="14" t="inlineStr">
        <is>
          <t>Sorghum</t>
        </is>
      </c>
      <c r="B7" s="14" t="inlineStr">
        <is>
          <t>gro</t>
        </is>
      </c>
      <c r="C7" s="14" t="n">
        <v>3</v>
      </c>
      <c r="D7" s="14" t="inlineStr">
        <is>
          <t>Other Grains: maize (corn), sorghum, barley, rye, oats, millets, other cereals</t>
        </is>
      </c>
      <c r="E7" s="14" t="inlineStr">
        <is>
          <t>gro</t>
        </is>
      </c>
      <c r="F7" s="14" t="n">
        <v>3</v>
      </c>
      <c r="G7" s="14" t="inlineStr">
        <is>
          <t>Other grains</t>
        </is>
      </c>
      <c r="H7" s="14" t="inlineStr">
        <is>
          <t>Crop and animal production, hunting and related service activities</t>
        </is>
      </c>
      <c r="I7" s="14" t="inlineStr">
        <is>
          <t>A01</t>
        </is>
      </c>
      <c r="J7" s="14" t="inlineStr">
        <is>
          <t>Agriculture</t>
        </is>
      </c>
      <c r="K7" s="14" t="inlineStr">
        <is>
          <t>Agriculture/forestry</t>
        </is>
      </c>
      <c r="L7" s="14" t="inlineStr">
        <is>
          <t>AGRICULT</t>
        </is>
      </c>
      <c r="M7" s="14" t="n">
        <v>119</v>
      </c>
      <c r="N7" s="14" t="n">
        <v>1</v>
      </c>
      <c r="O7" s="14" t="inlineStr">
        <is>
          <t>Food &amp; forestry</t>
        </is>
      </c>
      <c r="P7" s="14" t="inlineStr">
        <is>
          <t>Industry</t>
        </is>
      </c>
      <c r="Q7" s="14" t="inlineStr">
        <is>
          <t>foo</t>
        </is>
      </c>
      <c r="R7" s="14" t="inlineStr">
        <is>
          <t>food</t>
        </is>
      </c>
      <c r="S7" s="14" t="inlineStr">
        <is>
          <t>food</t>
        </is>
      </c>
    </row>
    <row r="8">
      <c r="A8" s="14" t="inlineStr">
        <is>
          <t>Millets</t>
        </is>
      </c>
      <c r="B8" s="14" t="inlineStr">
        <is>
          <t>gro</t>
        </is>
      </c>
      <c r="C8" s="14" t="n">
        <v>3</v>
      </c>
      <c r="D8" s="14" t="inlineStr">
        <is>
          <t>Other Grains: maize (corn), sorghum, barley, rye, oats, millets, other cereals</t>
        </is>
      </c>
      <c r="E8" s="14" t="inlineStr">
        <is>
          <t>gro</t>
        </is>
      </c>
      <c r="F8" s="14" t="n">
        <v>3</v>
      </c>
      <c r="G8" s="14" t="inlineStr">
        <is>
          <t>Other grains</t>
        </is>
      </c>
      <c r="H8" s="14" t="inlineStr">
        <is>
          <t>Crop and animal production, hunting and related service activities</t>
        </is>
      </c>
      <c r="I8" s="14" t="inlineStr">
        <is>
          <t>A01</t>
        </is>
      </c>
      <c r="J8" s="14" t="inlineStr">
        <is>
          <t>Agriculture</t>
        </is>
      </c>
      <c r="K8" s="14" t="inlineStr">
        <is>
          <t>Agriculture/forestry</t>
        </is>
      </c>
      <c r="L8" s="14" t="inlineStr">
        <is>
          <t>AGRICULT</t>
        </is>
      </c>
      <c r="M8" s="14" t="n">
        <v>119</v>
      </c>
      <c r="N8" s="14" t="n">
        <v>1</v>
      </c>
      <c r="O8" s="14" t="inlineStr">
        <is>
          <t>Food &amp; forestry</t>
        </is>
      </c>
      <c r="P8" s="14" t="inlineStr">
        <is>
          <t>Industry</t>
        </is>
      </c>
      <c r="Q8" s="14" t="inlineStr">
        <is>
          <t>foo</t>
        </is>
      </c>
      <c r="R8" s="14" t="inlineStr">
        <is>
          <t>food</t>
        </is>
      </c>
      <c r="S8" s="14" t="inlineStr">
        <is>
          <t>food</t>
        </is>
      </c>
    </row>
    <row r="9">
      <c r="A9" s="14" t="inlineStr">
        <is>
          <t>Barley</t>
        </is>
      </c>
      <c r="B9" s="14" t="inlineStr">
        <is>
          <t>gro</t>
        </is>
      </c>
      <c r="C9" s="14" t="n">
        <v>3</v>
      </c>
      <c r="D9" s="14" t="inlineStr">
        <is>
          <t>Other Grains: maize (corn), sorghum, barley, rye, oats, millets, other cereals</t>
        </is>
      </c>
      <c r="E9" s="14" t="inlineStr">
        <is>
          <t>gro</t>
        </is>
      </c>
      <c r="F9" s="14" t="n">
        <v>3</v>
      </c>
      <c r="G9" s="14" t="inlineStr">
        <is>
          <t>Other grains</t>
        </is>
      </c>
      <c r="H9" s="14" t="inlineStr">
        <is>
          <t>Crop and animal production, hunting and related service activities</t>
        </is>
      </c>
      <c r="I9" s="14" t="inlineStr">
        <is>
          <t>A01</t>
        </is>
      </c>
      <c r="J9" s="14" t="inlineStr">
        <is>
          <t>Agriculture</t>
        </is>
      </c>
      <c r="K9" s="14" t="inlineStr">
        <is>
          <t>Agriculture/forestry</t>
        </is>
      </c>
      <c r="L9" s="14" t="inlineStr">
        <is>
          <t>AGRICULT</t>
        </is>
      </c>
      <c r="M9" s="14" t="n">
        <v>119</v>
      </c>
      <c r="N9" s="14" t="n">
        <v>1</v>
      </c>
      <c r="O9" s="14" t="inlineStr">
        <is>
          <t>Food &amp; forestry</t>
        </is>
      </c>
      <c r="P9" s="14" t="inlineStr">
        <is>
          <t>Industry</t>
        </is>
      </c>
      <c r="Q9" s="14" t="inlineStr">
        <is>
          <t>foo</t>
        </is>
      </c>
      <c r="R9" s="14" t="inlineStr">
        <is>
          <t>food</t>
        </is>
      </c>
      <c r="S9" s="14" t="inlineStr">
        <is>
          <t>food</t>
        </is>
      </c>
    </row>
    <row r="10">
      <c r="A10" s="14" t="inlineStr">
        <is>
          <t>Oats</t>
        </is>
      </c>
      <c r="B10" s="14" t="inlineStr">
        <is>
          <t>gro</t>
        </is>
      </c>
      <c r="C10" s="14" t="n">
        <v>3</v>
      </c>
      <c r="D10" s="14" t="inlineStr">
        <is>
          <t>Other Grains: maize (corn), sorghum, barley, rye, oats, millets, other cereals</t>
        </is>
      </c>
      <c r="E10" s="14" t="inlineStr">
        <is>
          <t>gro</t>
        </is>
      </c>
      <c r="F10" s="14" t="n">
        <v>3</v>
      </c>
      <c r="G10" s="14" t="inlineStr">
        <is>
          <t>Other grains</t>
        </is>
      </c>
      <c r="H10" s="14" t="inlineStr">
        <is>
          <t>Crop and animal production, hunting and related service activities</t>
        </is>
      </c>
      <c r="I10" s="14" t="inlineStr">
        <is>
          <t>A01</t>
        </is>
      </c>
      <c r="J10" s="14" t="inlineStr">
        <is>
          <t>Agriculture</t>
        </is>
      </c>
      <c r="K10" s="14" t="inlineStr">
        <is>
          <t>Agriculture/forestry</t>
        </is>
      </c>
      <c r="L10" s="14" t="inlineStr">
        <is>
          <t>AGRICULT</t>
        </is>
      </c>
      <c r="M10" s="14" t="n">
        <v>119</v>
      </c>
      <c r="N10" s="14" t="n">
        <v>1</v>
      </c>
      <c r="O10" s="14" t="inlineStr">
        <is>
          <t>Food &amp; forestry</t>
        </is>
      </c>
      <c r="P10" s="14" t="inlineStr">
        <is>
          <t>Industry</t>
        </is>
      </c>
      <c r="Q10" s="14" t="inlineStr">
        <is>
          <t>foo</t>
        </is>
      </c>
      <c r="R10" s="14" t="inlineStr">
        <is>
          <t>food</t>
        </is>
      </c>
      <c r="S10" s="14" t="inlineStr">
        <is>
          <t>food</t>
        </is>
      </c>
    </row>
    <row r="11">
      <c r="A11" s="14" t="inlineStr">
        <is>
          <t>Rye</t>
        </is>
      </c>
      <c r="B11" s="14" t="inlineStr">
        <is>
          <t>gro</t>
        </is>
      </c>
      <c r="C11" s="14" t="n">
        <v>3</v>
      </c>
      <c r="D11" s="14" t="inlineStr">
        <is>
          <t>Other Grains: maize (corn), sorghum, barley, rye, oats, millets, other cereals</t>
        </is>
      </c>
      <c r="E11" s="14" t="inlineStr">
        <is>
          <t>gro</t>
        </is>
      </c>
      <c r="F11" s="14" t="n">
        <v>3</v>
      </c>
      <c r="G11" s="14" t="inlineStr">
        <is>
          <t>Other grains</t>
        </is>
      </c>
      <c r="H11" s="14" t="inlineStr">
        <is>
          <t>Crop and animal production, hunting and related service activities</t>
        </is>
      </c>
      <c r="I11" s="14" t="inlineStr">
        <is>
          <t>A01</t>
        </is>
      </c>
      <c r="J11" s="14" t="inlineStr">
        <is>
          <t>Agriculture</t>
        </is>
      </c>
      <c r="K11" s="14" t="inlineStr">
        <is>
          <t>Agriculture/forestry</t>
        </is>
      </c>
      <c r="L11" s="14" t="inlineStr">
        <is>
          <t>AGRICULT</t>
        </is>
      </c>
      <c r="M11" s="14" t="n">
        <v>119</v>
      </c>
      <c r="N11" s="14" t="n">
        <v>1</v>
      </c>
      <c r="O11" s="14" t="inlineStr">
        <is>
          <t>Food &amp; forestry</t>
        </is>
      </c>
      <c r="P11" s="14" t="inlineStr">
        <is>
          <t>Industry</t>
        </is>
      </c>
      <c r="Q11" s="14" t="inlineStr">
        <is>
          <t>foo</t>
        </is>
      </c>
      <c r="R11" s="14" t="inlineStr">
        <is>
          <t>food</t>
        </is>
      </c>
      <c r="S11" s="14" t="inlineStr">
        <is>
          <t>food</t>
        </is>
      </c>
    </row>
    <row r="12">
      <c r="A12" s="14" t="inlineStr">
        <is>
          <t>Other cereals</t>
        </is>
      </c>
      <c r="B12" s="14" t="inlineStr">
        <is>
          <t>gro</t>
        </is>
      </c>
      <c r="C12" s="14" t="n">
        <v>3</v>
      </c>
      <c r="D12" s="14" t="inlineStr">
        <is>
          <t>Other Grains: maize (corn), sorghum, barley, rye, oats, millets, other cereals</t>
        </is>
      </c>
      <c r="E12" s="14" t="inlineStr">
        <is>
          <t>gro</t>
        </is>
      </c>
      <c r="F12" s="14" t="n">
        <v>3</v>
      </c>
      <c r="G12" s="14" t="inlineStr">
        <is>
          <t>Other grains</t>
        </is>
      </c>
      <c r="H12" s="14" t="inlineStr">
        <is>
          <t>Crop and animal production, hunting and related service activities</t>
        </is>
      </c>
      <c r="I12" s="14" t="inlineStr">
        <is>
          <t>A01</t>
        </is>
      </c>
      <c r="J12" s="14" t="inlineStr">
        <is>
          <t>Agriculture</t>
        </is>
      </c>
      <c r="K12" s="14" t="inlineStr">
        <is>
          <t>Agriculture/forestry</t>
        </is>
      </c>
      <c r="L12" s="14" t="inlineStr">
        <is>
          <t>AGRICULT</t>
        </is>
      </c>
      <c r="M12" s="14" t="n">
        <v>119</v>
      </c>
      <c r="N12" s="14" t="n">
        <v>1</v>
      </c>
      <c r="O12" s="14" t="inlineStr">
        <is>
          <t>Food &amp; forestry</t>
        </is>
      </c>
      <c r="P12" s="14" t="inlineStr">
        <is>
          <t>Industry</t>
        </is>
      </c>
      <c r="Q12" s="14" t="inlineStr">
        <is>
          <t>foo</t>
        </is>
      </c>
      <c r="R12" s="14" t="inlineStr">
        <is>
          <t>food</t>
        </is>
      </c>
      <c r="S12" s="14" t="inlineStr">
        <is>
          <t>food</t>
        </is>
      </c>
    </row>
    <row r="13">
      <c r="A13" s="14" t="inlineStr">
        <is>
          <t>Pulses (dried leguminous vegetables)</t>
        </is>
      </c>
      <c r="B13" s="14" t="inlineStr">
        <is>
          <t>v_f</t>
        </is>
      </c>
      <c r="C13" s="14" t="n">
        <v>4</v>
      </c>
      <c r="D13" s="14" t="inlineStr">
        <is>
          <t>Veg &amp; Fruit: vegetables, fruit and nuts, edible roots and tubers, pulses</t>
        </is>
      </c>
      <c r="E13" s="14" t="inlineStr">
        <is>
          <t>v_f</t>
        </is>
      </c>
      <c r="F13" s="14" t="n">
        <v>4</v>
      </c>
      <c r="G13" s="14" t="inlineStr">
        <is>
          <t>Veg &amp; fruit</t>
        </is>
      </c>
      <c r="H13" s="14" t="inlineStr">
        <is>
          <t>Crop and animal production, hunting and related service activities</t>
        </is>
      </c>
      <c r="I13" s="14" t="inlineStr">
        <is>
          <t>A01</t>
        </is>
      </c>
      <c r="J13" s="14" t="inlineStr">
        <is>
          <t>Agriculture</t>
        </is>
      </c>
      <c r="K13" s="14" t="inlineStr">
        <is>
          <t>Agriculture/forestry</t>
        </is>
      </c>
      <c r="L13" s="14" t="inlineStr">
        <is>
          <t>AGRICULT</t>
        </is>
      </c>
      <c r="M13" s="14" t="n">
        <v>17</v>
      </c>
      <c r="N13" s="14" t="n">
        <v>1</v>
      </c>
      <c r="O13" s="14" t="inlineStr">
        <is>
          <t>Food &amp; forestry</t>
        </is>
      </c>
      <c r="P13" s="14" t="inlineStr">
        <is>
          <t>Industry</t>
        </is>
      </c>
      <c r="Q13" s="14" t="inlineStr">
        <is>
          <t>foo</t>
        </is>
      </c>
      <c r="R13" s="14" t="inlineStr">
        <is>
          <t>food</t>
        </is>
      </c>
      <c r="S13" s="14" t="inlineStr">
        <is>
          <t>food</t>
        </is>
      </c>
    </row>
    <row r="14">
      <c r="A14" s="14" t="inlineStr">
        <is>
          <t>Edible roots and tubers with high starch or inulin content</t>
        </is>
      </c>
      <c r="B14" s="14" t="inlineStr">
        <is>
          <t>v_f</t>
        </is>
      </c>
      <c r="C14" s="14" t="n">
        <v>4</v>
      </c>
      <c r="D14" s="14" t="inlineStr">
        <is>
          <t>Veg &amp; Fruit: vegetables, fruit and nuts, edible roots and tubers, pulses</t>
        </is>
      </c>
      <c r="E14" s="14" t="inlineStr">
        <is>
          <t>v_f</t>
        </is>
      </c>
      <c r="F14" s="14" t="n">
        <v>4</v>
      </c>
      <c r="G14" s="14" t="inlineStr">
        <is>
          <t>Veg &amp; fruit</t>
        </is>
      </c>
      <c r="H14" s="14" t="inlineStr">
        <is>
          <t>Crop and animal production, hunting and related service activities</t>
        </is>
      </c>
      <c r="I14" s="14" t="inlineStr">
        <is>
          <t>A01</t>
        </is>
      </c>
      <c r="J14" s="14" t="inlineStr">
        <is>
          <t>Agriculture</t>
        </is>
      </c>
      <c r="K14" s="14" t="inlineStr">
        <is>
          <t>Agriculture/forestry</t>
        </is>
      </c>
      <c r="L14" s="14" t="inlineStr">
        <is>
          <t>AGRICULT</t>
        </is>
      </c>
      <c r="M14" s="14" t="n">
        <v>17</v>
      </c>
      <c r="N14" s="14" t="n">
        <v>1</v>
      </c>
      <c r="O14" s="14" t="inlineStr">
        <is>
          <t>Food &amp; forestry</t>
        </is>
      </c>
      <c r="P14" s="14" t="inlineStr">
        <is>
          <t>Industry</t>
        </is>
      </c>
      <c r="Q14" s="14" t="inlineStr">
        <is>
          <t>foo</t>
        </is>
      </c>
      <c r="R14" s="14" t="inlineStr">
        <is>
          <t>food</t>
        </is>
      </c>
      <c r="S14" s="14" t="inlineStr">
        <is>
          <t>food</t>
        </is>
      </c>
    </row>
    <row r="15">
      <c r="A15" s="14" t="inlineStr">
        <is>
          <t>Vegetables</t>
        </is>
      </c>
      <c r="B15" s="14" t="inlineStr">
        <is>
          <t>v_f</t>
        </is>
      </c>
      <c r="C15" s="14" t="n">
        <v>4</v>
      </c>
      <c r="D15" s="14" t="inlineStr">
        <is>
          <t>Veg &amp; Fruit: vegetables, fruit and nuts, edible roots and tubers, pulses</t>
        </is>
      </c>
      <c r="E15" s="14" t="inlineStr">
        <is>
          <t>v_f</t>
        </is>
      </c>
      <c r="F15" s="14" t="n">
        <v>4</v>
      </c>
      <c r="G15" s="14" t="inlineStr">
        <is>
          <t>Veg &amp; fruit</t>
        </is>
      </c>
      <c r="H15" s="14" t="inlineStr">
        <is>
          <t>Crop and animal production, hunting and related service activities</t>
        </is>
      </c>
      <c r="I15" s="14" t="inlineStr">
        <is>
          <t>A01</t>
        </is>
      </c>
      <c r="J15" s="14" t="inlineStr">
        <is>
          <t>Agriculture</t>
        </is>
      </c>
      <c r="K15" s="14" t="inlineStr">
        <is>
          <t>Agriculture/forestry</t>
        </is>
      </c>
      <c r="L15" s="14" t="inlineStr">
        <is>
          <t>AGRICULT</t>
        </is>
      </c>
      <c r="M15" s="14" t="n">
        <v>17</v>
      </c>
      <c r="N15" s="14" t="n">
        <v>1</v>
      </c>
      <c r="O15" s="14" t="inlineStr">
        <is>
          <t>Food &amp; forestry</t>
        </is>
      </c>
      <c r="P15" s="14" t="inlineStr">
        <is>
          <t>Industry</t>
        </is>
      </c>
      <c r="Q15" s="14" t="inlineStr">
        <is>
          <t>foo</t>
        </is>
      </c>
      <c r="R15" s="14" t="inlineStr">
        <is>
          <t>food</t>
        </is>
      </c>
      <c r="S15" s="14" t="inlineStr">
        <is>
          <t>food</t>
        </is>
      </c>
    </row>
    <row r="16">
      <c r="A16" s="14" t="inlineStr">
        <is>
          <t>Fruit and nuts</t>
        </is>
      </c>
      <c r="B16" s="14" t="inlineStr">
        <is>
          <t>v_f</t>
        </is>
      </c>
      <c r="C16" s="14" t="n">
        <v>4</v>
      </c>
      <c r="D16" s="14" t="inlineStr">
        <is>
          <t>Veg &amp; Fruit: vegetables, fruit and nuts, edible roots and tubers, pulses</t>
        </is>
      </c>
      <c r="E16" s="14" t="inlineStr">
        <is>
          <t>v_f</t>
        </is>
      </c>
      <c r="F16" s="14" t="n">
        <v>4</v>
      </c>
      <c r="G16" s="14" t="inlineStr">
        <is>
          <t>Veg &amp; fruit</t>
        </is>
      </c>
      <c r="H16" s="14" t="inlineStr">
        <is>
          <t>Crop and animal production, hunting and related service activities</t>
        </is>
      </c>
      <c r="I16" s="14" t="inlineStr">
        <is>
          <t>A01</t>
        </is>
      </c>
      <c r="J16" s="14" t="inlineStr">
        <is>
          <t>Agriculture</t>
        </is>
      </c>
      <c r="K16" s="14" t="inlineStr">
        <is>
          <t>Agriculture/forestry</t>
        </is>
      </c>
      <c r="L16" s="14" t="inlineStr">
        <is>
          <t>AGRICULT</t>
        </is>
      </c>
      <c r="M16" s="14" t="n">
        <v>17</v>
      </c>
      <c r="N16" s="14" t="n">
        <v>1</v>
      </c>
      <c r="O16" s="14" t="inlineStr">
        <is>
          <t>Food &amp; forestry</t>
        </is>
      </c>
      <c r="P16" s="14" t="inlineStr">
        <is>
          <t>Industry</t>
        </is>
      </c>
      <c r="Q16" s="14" t="inlineStr">
        <is>
          <t>foo</t>
        </is>
      </c>
      <c r="R16" s="14" t="inlineStr">
        <is>
          <t>food</t>
        </is>
      </c>
      <c r="S16" s="14" t="inlineStr">
        <is>
          <t>food</t>
        </is>
      </c>
    </row>
    <row r="17">
      <c r="A17" s="14" t="inlineStr">
        <is>
          <t>Oil seeds and oleaginous fruit</t>
        </is>
      </c>
      <c r="B17" s="14" t="inlineStr">
        <is>
          <t>osd</t>
        </is>
      </c>
      <c r="C17" s="14" t="n">
        <v>5</v>
      </c>
      <c r="D17" s="14" t="inlineStr">
        <is>
          <t>Oil Seeds: oil seeds and oleaginous fruit</t>
        </is>
      </c>
      <c r="E17" s="14" t="inlineStr">
        <is>
          <t>osd</t>
        </is>
      </c>
      <c r="F17" s="14" t="n">
        <v>5</v>
      </c>
      <c r="G17" s="14" t="inlineStr">
        <is>
          <t>Oil Seeds</t>
        </is>
      </c>
      <c r="H17" s="14" t="inlineStr">
        <is>
          <t>Crop and animal production, hunting and related service activities</t>
        </is>
      </c>
      <c r="I17" s="14" t="inlineStr">
        <is>
          <t>A01</t>
        </is>
      </c>
      <c r="J17" s="14" t="inlineStr">
        <is>
          <t>Agriculture</t>
        </is>
      </c>
      <c r="K17" s="14" t="inlineStr">
        <is>
          <t>Agriculture/forestry</t>
        </is>
      </c>
      <c r="L17" s="14" t="inlineStr">
        <is>
          <t>AGRICULT</t>
        </is>
      </c>
      <c r="M17" s="14" t="n">
        <v>14</v>
      </c>
      <c r="N17" s="14" t="n">
        <v>1</v>
      </c>
      <c r="O17" s="14" t="inlineStr">
        <is>
          <t>Food &amp; forestry</t>
        </is>
      </c>
      <c r="P17" s="14" t="inlineStr">
        <is>
          <t>Industry</t>
        </is>
      </c>
      <c r="Q17" s="14" t="inlineStr">
        <is>
          <t>foo</t>
        </is>
      </c>
      <c r="R17" s="14" t="inlineStr">
        <is>
          <t>food</t>
        </is>
      </c>
      <c r="S17" s="14" t="inlineStr">
        <is>
          <t>food</t>
        </is>
      </c>
    </row>
    <row r="18">
      <c r="A18" s="14" t="inlineStr">
        <is>
          <t>Sugar crops</t>
        </is>
      </c>
      <c r="B18" s="14" t="inlineStr">
        <is>
          <t>c_b</t>
        </is>
      </c>
      <c r="C18" s="14" t="n">
        <v>6</v>
      </c>
      <c r="D18" s="14" t="inlineStr">
        <is>
          <t>Cane &amp; Beet: sugar crops</t>
        </is>
      </c>
      <c r="E18" s="14" t="inlineStr">
        <is>
          <t>c_b</t>
        </is>
      </c>
      <c r="F18" s="14" t="n">
        <v>6</v>
      </c>
      <c r="G18" s="14" t="inlineStr">
        <is>
          <t>Cane &amp; Beet</t>
        </is>
      </c>
      <c r="H18" s="14" t="inlineStr">
        <is>
          <t>Crop and animal production, hunting and related service activities</t>
        </is>
      </c>
      <c r="I18" s="14" t="inlineStr">
        <is>
          <t>A01</t>
        </is>
      </c>
      <c r="J18" s="14" t="inlineStr">
        <is>
          <t>Agriculture</t>
        </is>
      </c>
      <c r="K18" s="14" t="inlineStr">
        <is>
          <t>Agriculture/forestry</t>
        </is>
      </c>
      <c r="L18" s="14" t="inlineStr">
        <is>
          <t>AGRICULT</t>
        </is>
      </c>
      <c r="M18" s="14" t="n">
        <v>18</v>
      </c>
      <c r="N18" s="14" t="n">
        <v>1</v>
      </c>
      <c r="O18" s="14" t="inlineStr">
        <is>
          <t>Food &amp; forestry</t>
        </is>
      </c>
      <c r="P18" s="14" t="inlineStr">
        <is>
          <t>Industry</t>
        </is>
      </c>
      <c r="Q18" s="14" t="inlineStr">
        <is>
          <t>foo</t>
        </is>
      </c>
      <c r="R18" s="14" t="inlineStr">
        <is>
          <t>food</t>
        </is>
      </c>
      <c r="S18" s="14" t="inlineStr">
        <is>
          <t>food</t>
        </is>
      </c>
    </row>
    <row r="19">
      <c r="A19" s="14" t="inlineStr">
        <is>
          <t>Fibre crops</t>
        </is>
      </c>
      <c r="B19" s="14" t="inlineStr">
        <is>
          <t>pfb</t>
        </is>
      </c>
      <c r="C19" s="14" t="n">
        <v>7</v>
      </c>
      <c r="D19" s="14" t="inlineStr">
        <is>
          <t>Fibres crops</t>
        </is>
      </c>
      <c r="E19" s="14" t="inlineStr">
        <is>
          <t>pfb</t>
        </is>
      </c>
      <c r="F19" s="14" t="n">
        <v>7</v>
      </c>
      <c r="G19" s="14" t="inlineStr">
        <is>
          <t>Fibres crops</t>
        </is>
      </c>
      <c r="H19" s="14" t="inlineStr">
        <is>
          <t>Crop and animal production, hunting and related service activities</t>
        </is>
      </c>
      <c r="I19" s="14" t="inlineStr">
        <is>
          <t>A01</t>
        </is>
      </c>
      <c r="J19" s="14" t="inlineStr">
        <is>
          <t>Agriculture</t>
        </is>
      </c>
      <c r="K19" s="14" t="inlineStr">
        <is>
          <t>Agriculture/forestry</t>
        </is>
      </c>
      <c r="L19" s="14" t="inlineStr">
        <is>
          <t>AGRICULT</t>
        </is>
      </c>
      <c r="M19" s="14" t="n">
        <v>192</v>
      </c>
      <c r="N19" s="14" t="n">
        <v>1</v>
      </c>
      <c r="O19" s="14" t="inlineStr">
        <is>
          <t>Food &amp; forestry</t>
        </is>
      </c>
      <c r="P19" s="14" t="inlineStr">
        <is>
          <t>Industry</t>
        </is>
      </c>
      <c r="Q19" s="14" t="inlineStr">
        <is>
          <t>foo</t>
        </is>
      </c>
      <c r="R19" s="14" t="inlineStr">
        <is>
          <t>food</t>
        </is>
      </c>
      <c r="S19" s="14" t="inlineStr">
        <is>
          <t>food</t>
        </is>
      </c>
    </row>
    <row r="20">
      <c r="A20" s="14" t="inlineStr">
        <is>
          <t>Other raw vegetable materials nec</t>
        </is>
      </c>
      <c r="B20" s="14" t="inlineStr">
        <is>
          <t>ocr</t>
        </is>
      </c>
      <c r="C20" s="14" t="n">
        <v>8</v>
      </c>
      <c r="D20" s="14"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0" s="14" t="inlineStr">
        <is>
          <t>ocr</t>
        </is>
      </c>
      <c r="F20" s="14" t="n">
        <v>8</v>
      </c>
      <c r="G20" s="14" t="inlineStr">
        <is>
          <t>Other Crops</t>
        </is>
      </c>
      <c r="H20" s="14" t="inlineStr">
        <is>
          <t>Crop and animal production, hunting and related service activities</t>
        </is>
      </c>
      <c r="I20" s="14" t="inlineStr">
        <is>
          <t>A01</t>
        </is>
      </c>
      <c r="J20" s="14" t="inlineStr">
        <is>
          <t>Agriculture</t>
        </is>
      </c>
      <c r="K20" s="14" t="inlineStr">
        <is>
          <t>Agriculture/forestry</t>
        </is>
      </c>
      <c r="L20" s="14" t="inlineStr">
        <is>
          <t>AGRICULT</t>
        </is>
      </c>
      <c r="M20" s="14" t="n">
        <v>199</v>
      </c>
      <c r="N20" s="14" t="n">
        <v>1</v>
      </c>
      <c r="O20" s="14" t="inlineStr">
        <is>
          <t>Food &amp; forestry</t>
        </is>
      </c>
      <c r="P20" s="14" t="inlineStr">
        <is>
          <t>Industry</t>
        </is>
      </c>
      <c r="Q20" s="14" t="inlineStr">
        <is>
          <t>foo</t>
        </is>
      </c>
      <c r="R20" s="14" t="inlineStr">
        <is>
          <t>food</t>
        </is>
      </c>
      <c r="S20" s="14" t="inlineStr">
        <is>
          <t>food</t>
        </is>
      </c>
    </row>
    <row r="21">
      <c r="A21" s="14" t="inlineStr">
        <is>
          <t>Beet seeds (excluding sugar beet seeds) and seeds of forage plants</t>
        </is>
      </c>
      <c r="B21" s="14" t="inlineStr">
        <is>
          <t>ocr</t>
        </is>
      </c>
      <c r="C21" s="14" t="n">
        <v>8</v>
      </c>
      <c r="D21" s="14"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1" s="14" t="inlineStr">
        <is>
          <t>ocr</t>
        </is>
      </c>
      <c r="F21" s="14" t="n">
        <v>8</v>
      </c>
      <c r="G21" s="14" t="inlineStr">
        <is>
          <t>Other Crops</t>
        </is>
      </c>
      <c r="H21" s="14" t="inlineStr">
        <is>
          <t>Crop and animal production, hunting and related service activities</t>
        </is>
      </c>
      <c r="I21" s="14" t="inlineStr">
        <is>
          <t>A01</t>
        </is>
      </c>
      <c r="J21" s="14" t="inlineStr">
        <is>
          <t>Agriculture</t>
        </is>
      </c>
      <c r="K21" s="14" t="inlineStr">
        <is>
          <t>Agriculture/forestry</t>
        </is>
      </c>
      <c r="L21" s="14" t="inlineStr">
        <is>
          <t>AGRICULT</t>
        </is>
      </c>
      <c r="M21" s="14" t="n">
        <v>199</v>
      </c>
      <c r="N21" s="14" t="n">
        <v>1</v>
      </c>
      <c r="O21" s="14" t="inlineStr">
        <is>
          <t>Food &amp; forestry</t>
        </is>
      </c>
      <c r="P21" s="14" t="inlineStr">
        <is>
          <t>Industry</t>
        </is>
      </c>
      <c r="Q21" s="14" t="inlineStr">
        <is>
          <t>foo</t>
        </is>
      </c>
      <c r="R21" s="14" t="inlineStr">
        <is>
          <t>food</t>
        </is>
      </c>
      <c r="S21" s="14" t="inlineStr">
        <is>
          <t>food</t>
        </is>
      </c>
    </row>
    <row r="22">
      <c r="A22" s="14" t="inlineStr">
        <is>
          <t>Unmanufactured tobacco</t>
        </is>
      </c>
      <c r="B22" s="14" t="inlineStr">
        <is>
          <t>ocr</t>
        </is>
      </c>
      <c r="C22" s="14" t="n">
        <v>8</v>
      </c>
      <c r="D22" s="14"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2" s="14" t="inlineStr">
        <is>
          <t>ocr</t>
        </is>
      </c>
      <c r="F22" s="14" t="n">
        <v>8</v>
      </c>
      <c r="G22" s="14" t="inlineStr">
        <is>
          <t>Other Crops</t>
        </is>
      </c>
      <c r="H22" s="14" t="inlineStr">
        <is>
          <t>Crop and animal production, hunting and related service activities</t>
        </is>
      </c>
      <c r="I22" s="14" t="inlineStr">
        <is>
          <t>A01</t>
        </is>
      </c>
      <c r="J22" s="14" t="inlineStr">
        <is>
          <t>Agriculture</t>
        </is>
      </c>
      <c r="K22" s="14" t="inlineStr">
        <is>
          <t>Agriculture/forestry</t>
        </is>
      </c>
      <c r="L22" s="14" t="inlineStr">
        <is>
          <t>AGRICULT</t>
        </is>
      </c>
      <c r="M22" s="14" t="n">
        <v>199</v>
      </c>
      <c r="N22" s="14" t="n">
        <v>1</v>
      </c>
      <c r="O22" s="14" t="inlineStr">
        <is>
          <t>Food &amp; forestry</t>
        </is>
      </c>
      <c r="P22" s="14" t="inlineStr">
        <is>
          <t>Industry</t>
        </is>
      </c>
      <c r="Q22" s="14" t="inlineStr">
        <is>
          <t>foo</t>
        </is>
      </c>
      <c r="R22" s="14" t="inlineStr">
        <is>
          <t>food</t>
        </is>
      </c>
      <c r="S22" s="14" t="inlineStr">
        <is>
          <t>food</t>
        </is>
      </c>
    </row>
    <row r="23">
      <c r="A23" s="14" t="inlineStr">
        <is>
          <t>Forage products</t>
        </is>
      </c>
      <c r="B23" s="14" t="inlineStr">
        <is>
          <t>ocr</t>
        </is>
      </c>
      <c r="C23" s="14" t="n">
        <v>8</v>
      </c>
      <c r="D23" s="14"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3" s="14" t="inlineStr">
        <is>
          <t>ocr</t>
        </is>
      </c>
      <c r="F23" s="14" t="n">
        <v>8</v>
      </c>
      <c r="G23" s="14" t="inlineStr">
        <is>
          <t>Other Crops</t>
        </is>
      </c>
      <c r="H23" s="14" t="inlineStr">
        <is>
          <t>Crop and animal production, hunting and related service activities</t>
        </is>
      </c>
      <c r="I23" s="14" t="inlineStr">
        <is>
          <t>A01</t>
        </is>
      </c>
      <c r="J23" s="14" t="inlineStr">
        <is>
          <t>Agriculture</t>
        </is>
      </c>
      <c r="K23" s="14" t="inlineStr">
        <is>
          <t>Agriculture/forestry</t>
        </is>
      </c>
      <c r="L23" s="14" t="inlineStr">
        <is>
          <t>AGRICULT</t>
        </is>
      </c>
      <c r="M23" s="14" t="n">
        <v>199</v>
      </c>
      <c r="N23" s="14" t="n">
        <v>1</v>
      </c>
      <c r="O23" s="14" t="inlineStr">
        <is>
          <t>Food &amp; forestry</t>
        </is>
      </c>
      <c r="P23" s="14" t="inlineStr">
        <is>
          <t>Industry</t>
        </is>
      </c>
      <c r="Q23" s="14" t="inlineStr">
        <is>
          <t>foo</t>
        </is>
      </c>
      <c r="R23" s="14" t="inlineStr">
        <is>
          <t>food</t>
        </is>
      </c>
      <c r="S23" s="14" t="inlineStr">
        <is>
          <t>food</t>
        </is>
      </c>
    </row>
    <row r="24">
      <c r="A24" s="14" t="inlineStr">
        <is>
          <t>Natural rubber in primary forms or in plates, sheets or strip</t>
        </is>
      </c>
      <c r="B24" s="14" t="inlineStr">
        <is>
          <t>ocr</t>
        </is>
      </c>
      <c r="C24" s="14" t="n">
        <v>8</v>
      </c>
      <c r="D24" s="14"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4" s="14" t="inlineStr">
        <is>
          <t>ocr</t>
        </is>
      </c>
      <c r="F24" s="14" t="n">
        <v>8</v>
      </c>
      <c r="G24" s="14" t="inlineStr">
        <is>
          <t>Other Crops</t>
        </is>
      </c>
      <c r="H24" s="14" t="inlineStr">
        <is>
          <t>Crop and animal production, hunting and related service activities</t>
        </is>
      </c>
      <c r="I24" s="14" t="inlineStr">
        <is>
          <t>A01</t>
        </is>
      </c>
      <c r="J24" s="14" t="inlineStr">
        <is>
          <t>Agriculture</t>
        </is>
      </c>
      <c r="K24" s="14" t="inlineStr">
        <is>
          <t>Agriculture/forestry</t>
        </is>
      </c>
      <c r="L24" s="14" t="inlineStr">
        <is>
          <t>AGRICULT</t>
        </is>
      </c>
      <c r="M24" s="14" t="n">
        <v>199</v>
      </c>
      <c r="N24" s="14" t="n">
        <v>1</v>
      </c>
      <c r="O24" s="14" t="inlineStr">
        <is>
          <t>Food &amp; forestry</t>
        </is>
      </c>
      <c r="P24" s="14" t="inlineStr">
        <is>
          <t>Industry</t>
        </is>
      </c>
      <c r="Q24" s="14" t="inlineStr">
        <is>
          <t>foo</t>
        </is>
      </c>
      <c r="R24" s="14" t="inlineStr">
        <is>
          <t>food</t>
        </is>
      </c>
      <c r="S24" s="14" t="inlineStr">
        <is>
          <t>food</t>
        </is>
      </c>
    </row>
    <row r="25">
      <c r="A25" s="14" t="inlineStr">
        <is>
          <t>Plants and parts of plants used primarily in perfumery, in pharmacy, or for insecticidal, fungicidal or similar purposes</t>
        </is>
      </c>
      <c r="B25" s="14" t="inlineStr">
        <is>
          <t>ocr</t>
        </is>
      </c>
      <c r="C25" s="14" t="n">
        <v>8</v>
      </c>
      <c r="D25" s="14"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5" s="14" t="inlineStr">
        <is>
          <t>ocr</t>
        </is>
      </c>
      <c r="F25" s="14" t="n">
        <v>8</v>
      </c>
      <c r="G25" s="14" t="inlineStr">
        <is>
          <t>Other Crops</t>
        </is>
      </c>
      <c r="H25" s="14" t="inlineStr">
        <is>
          <t>Crop and animal production, hunting and related service activities</t>
        </is>
      </c>
      <c r="I25" s="14" t="inlineStr">
        <is>
          <t>A01</t>
        </is>
      </c>
      <c r="J25" s="14" t="inlineStr">
        <is>
          <t>Agriculture</t>
        </is>
      </c>
      <c r="K25" s="14" t="inlineStr">
        <is>
          <t>Agriculture/forestry</t>
        </is>
      </c>
      <c r="L25" s="14" t="inlineStr">
        <is>
          <t>AGRICULT</t>
        </is>
      </c>
      <c r="M25" s="14" t="n">
        <v>199</v>
      </c>
      <c r="N25" s="14" t="n">
        <v>1</v>
      </c>
      <c r="O25" s="14" t="inlineStr">
        <is>
          <t>Food &amp; forestry</t>
        </is>
      </c>
      <c r="P25" s="14" t="inlineStr">
        <is>
          <t>Industry</t>
        </is>
      </c>
      <c r="Q25" s="14" t="inlineStr">
        <is>
          <t>foo</t>
        </is>
      </c>
      <c r="R25" s="14" t="inlineStr">
        <is>
          <t>food</t>
        </is>
      </c>
      <c r="S25" s="14" t="inlineStr">
        <is>
          <t>food</t>
        </is>
      </c>
    </row>
    <row r="26">
      <c r="A26" s="14" t="inlineStr">
        <is>
          <t>Living plants; cut flowers and flower buds; flower seeds</t>
        </is>
      </c>
      <c r="B26" s="14" t="inlineStr">
        <is>
          <t>ocr</t>
        </is>
      </c>
      <c r="C26" s="14" t="n">
        <v>8</v>
      </c>
      <c r="D26" s="14"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6" s="14" t="inlineStr">
        <is>
          <t>ocr</t>
        </is>
      </c>
      <c r="F26" s="14" t="n">
        <v>8</v>
      </c>
      <c r="G26" s="14" t="inlineStr">
        <is>
          <t>Other Crops</t>
        </is>
      </c>
      <c r="H26" s="14" t="inlineStr">
        <is>
          <t>Crop and animal production, hunting and related service activities</t>
        </is>
      </c>
      <c r="I26" s="14" t="inlineStr">
        <is>
          <t>A01</t>
        </is>
      </c>
      <c r="J26" s="14" t="inlineStr">
        <is>
          <t>Agriculture</t>
        </is>
      </c>
      <c r="K26" s="14" t="inlineStr">
        <is>
          <t>Agriculture/forestry</t>
        </is>
      </c>
      <c r="L26" s="14" t="inlineStr">
        <is>
          <t>AGRICULT</t>
        </is>
      </c>
      <c r="M26" s="14" t="n">
        <v>199</v>
      </c>
      <c r="N26" s="14" t="n">
        <v>1</v>
      </c>
      <c r="O26" s="14" t="inlineStr">
        <is>
          <t>Food &amp; forestry</t>
        </is>
      </c>
      <c r="P26" s="14" t="inlineStr">
        <is>
          <t>Industry</t>
        </is>
      </c>
      <c r="Q26" s="14" t="inlineStr">
        <is>
          <t>foo</t>
        </is>
      </c>
      <c r="R26" s="14" t="inlineStr">
        <is>
          <t>food</t>
        </is>
      </c>
      <c r="S26" s="14" t="inlineStr">
        <is>
          <t>food</t>
        </is>
      </c>
    </row>
    <row r="27">
      <c r="A27" s="14" t="inlineStr">
        <is>
          <t>Stimulant, spice and aromatic crops</t>
        </is>
      </c>
      <c r="B27" s="14" t="inlineStr">
        <is>
          <t>ocr</t>
        </is>
      </c>
      <c r="C27" s="14" t="n">
        <v>8</v>
      </c>
      <c r="D27" s="14"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7" s="14" t="inlineStr">
        <is>
          <t>ocr</t>
        </is>
      </c>
      <c r="F27" s="14" t="n">
        <v>8</v>
      </c>
      <c r="G27" s="14" t="inlineStr">
        <is>
          <t>Other Crops</t>
        </is>
      </c>
      <c r="H27" s="14" t="inlineStr">
        <is>
          <t>Crop and animal production, hunting and related service activities</t>
        </is>
      </c>
      <c r="I27" s="14" t="inlineStr">
        <is>
          <t>A01</t>
        </is>
      </c>
      <c r="J27" s="14" t="inlineStr">
        <is>
          <t>Agriculture</t>
        </is>
      </c>
      <c r="K27" s="14" t="inlineStr">
        <is>
          <t>Agriculture/forestry</t>
        </is>
      </c>
      <c r="L27" s="14" t="inlineStr">
        <is>
          <t>AGRICULT</t>
        </is>
      </c>
      <c r="M27" s="14" t="n">
        <v>199</v>
      </c>
      <c r="N27" s="14" t="n">
        <v>1</v>
      </c>
      <c r="O27" s="14" t="inlineStr">
        <is>
          <t>Food &amp; forestry</t>
        </is>
      </c>
      <c r="P27" s="14" t="inlineStr">
        <is>
          <t>Industry</t>
        </is>
      </c>
      <c r="Q27" s="14" t="inlineStr">
        <is>
          <t>foo</t>
        </is>
      </c>
      <c r="R27" s="14" t="inlineStr">
        <is>
          <t>food</t>
        </is>
      </c>
      <c r="S27" s="14" t="inlineStr">
        <is>
          <t>food</t>
        </is>
      </c>
    </row>
    <row r="28">
      <c r="A28" s="14" t="inlineStr">
        <is>
          <t>Horses and other equines</t>
        </is>
      </c>
      <c r="B28" s="14" t="inlineStr">
        <is>
          <t>ctl</t>
        </is>
      </c>
      <c r="C28" s="14" t="n">
        <v>9</v>
      </c>
      <c r="D28" s="14" t="inlineStr">
        <is>
          <t>Cattle: bovine animals, live, other ruminants, horses and other equines, bovine semen</t>
        </is>
      </c>
      <c r="E28" s="14" t="inlineStr">
        <is>
          <t>ctl</t>
        </is>
      </c>
      <c r="F28" s="14" t="n">
        <v>9</v>
      </c>
      <c r="G28" s="14" t="inlineStr">
        <is>
          <t>Cattle</t>
        </is>
      </c>
      <c r="H28" s="14" t="inlineStr">
        <is>
          <t>Crop and animal production, hunting and related service activities</t>
        </is>
      </c>
      <c r="I28" s="14" t="inlineStr">
        <is>
          <t>A01</t>
        </is>
      </c>
      <c r="J28" s="14" t="inlineStr">
        <is>
          <t>Agriculture</t>
        </is>
      </c>
      <c r="K28" s="14" t="inlineStr">
        <is>
          <t>Agriculture/forestry</t>
        </is>
      </c>
      <c r="L28" s="14" t="inlineStr">
        <is>
          <t>AGRICULT</t>
        </is>
      </c>
      <c r="M28" s="14" t="n">
        <v>2411</v>
      </c>
      <c r="N28" s="14" t="n">
        <v>1</v>
      </c>
      <c r="O28" s="14" t="inlineStr">
        <is>
          <t>Food &amp; forestry</t>
        </is>
      </c>
      <c r="P28" s="14" t="inlineStr">
        <is>
          <t>Industry</t>
        </is>
      </c>
      <c r="Q28" s="14" t="inlineStr">
        <is>
          <t>foo</t>
        </is>
      </c>
      <c r="R28" s="14" t="inlineStr">
        <is>
          <t>food</t>
        </is>
      </c>
      <c r="S28" s="14" t="inlineStr">
        <is>
          <t>food</t>
        </is>
      </c>
    </row>
    <row r="29">
      <c r="A29" s="14" t="inlineStr">
        <is>
          <t>Bovine animals, live</t>
        </is>
      </c>
      <c r="B29" s="14" t="inlineStr">
        <is>
          <t>ctl</t>
        </is>
      </c>
      <c r="C29" s="14" t="n">
        <v>9</v>
      </c>
      <c r="D29" s="14" t="inlineStr">
        <is>
          <t>Cattle: bovine animals, live, other ruminants, horses and other equines, bovine semen</t>
        </is>
      </c>
      <c r="E29" s="14" t="inlineStr">
        <is>
          <t>ctl</t>
        </is>
      </c>
      <c r="F29" s="14" t="n">
        <v>9</v>
      </c>
      <c r="G29" s="14" t="inlineStr">
        <is>
          <t>Cattle</t>
        </is>
      </c>
      <c r="H29" s="14" t="inlineStr">
        <is>
          <t>Crop and animal production, hunting and related service activities</t>
        </is>
      </c>
      <c r="I29" s="14" t="inlineStr">
        <is>
          <t>A01</t>
        </is>
      </c>
      <c r="J29" s="14" t="inlineStr">
        <is>
          <t>Agriculture</t>
        </is>
      </c>
      <c r="K29" s="14" t="inlineStr">
        <is>
          <t>Agriculture/forestry</t>
        </is>
      </c>
      <c r="L29" s="14" t="inlineStr">
        <is>
          <t>AGRICULT</t>
        </is>
      </c>
      <c r="M29" s="14" t="n">
        <v>2411</v>
      </c>
      <c r="N29" s="14" t="n">
        <v>1</v>
      </c>
      <c r="O29" s="14" t="inlineStr">
        <is>
          <t>Food &amp; forestry</t>
        </is>
      </c>
      <c r="P29" s="14" t="inlineStr">
        <is>
          <t>Industry</t>
        </is>
      </c>
      <c r="Q29" s="14" t="inlineStr">
        <is>
          <t>foo</t>
        </is>
      </c>
      <c r="R29" s="14" t="inlineStr">
        <is>
          <t>food</t>
        </is>
      </c>
      <c r="S29" s="14" t="inlineStr">
        <is>
          <t>food</t>
        </is>
      </c>
    </row>
    <row r="30">
      <c r="A30" s="14" t="inlineStr">
        <is>
          <t>Bovine semen</t>
        </is>
      </c>
      <c r="B30" s="14" t="inlineStr">
        <is>
          <t>ctl</t>
        </is>
      </c>
      <c r="C30" s="14" t="n">
        <v>9</v>
      </c>
      <c r="D30" s="14" t="inlineStr">
        <is>
          <t>Cattle: bovine animals, live, other ruminants, horses and other equines, bovine semen</t>
        </is>
      </c>
      <c r="E30" s="14" t="inlineStr">
        <is>
          <t>ctl</t>
        </is>
      </c>
      <c r="F30" s="14" t="n">
        <v>9</v>
      </c>
      <c r="G30" s="14" t="inlineStr">
        <is>
          <t>Cattle</t>
        </is>
      </c>
      <c r="H30" s="14" t="inlineStr">
        <is>
          <t>Crop and animal production, hunting and related service activities</t>
        </is>
      </c>
      <c r="I30" s="14" t="inlineStr">
        <is>
          <t>A01</t>
        </is>
      </c>
      <c r="J30" s="14" t="inlineStr">
        <is>
          <t>Agriculture</t>
        </is>
      </c>
      <c r="K30" s="14" t="inlineStr">
        <is>
          <t>Agriculture/forestry</t>
        </is>
      </c>
      <c r="L30" s="14" t="inlineStr">
        <is>
          <t>AGRICULT</t>
        </is>
      </c>
      <c r="M30" s="14" t="n">
        <v>2411</v>
      </c>
      <c r="N30" s="14" t="n">
        <v>1</v>
      </c>
      <c r="O30" s="14" t="inlineStr">
        <is>
          <t>Food &amp; forestry</t>
        </is>
      </c>
      <c r="P30" s="14" t="inlineStr">
        <is>
          <t>Industry</t>
        </is>
      </c>
      <c r="Q30" s="14" t="inlineStr">
        <is>
          <t>foo</t>
        </is>
      </c>
      <c r="R30" s="14" t="inlineStr">
        <is>
          <t>food</t>
        </is>
      </c>
      <c r="S30" s="14" t="inlineStr">
        <is>
          <t>food</t>
        </is>
      </c>
    </row>
    <row r="31">
      <c r="A31" s="14" t="inlineStr">
        <is>
          <t>Other ruminants</t>
        </is>
      </c>
      <c r="B31" s="14" t="inlineStr">
        <is>
          <t>ctl</t>
        </is>
      </c>
      <c r="C31" s="14" t="n">
        <v>9</v>
      </c>
      <c r="D31" s="14" t="inlineStr">
        <is>
          <t>Cattle: bovine animals, live, other ruminants, horses and other equines, bovine semen</t>
        </is>
      </c>
      <c r="E31" s="14" t="inlineStr">
        <is>
          <t>ctl</t>
        </is>
      </c>
      <c r="F31" s="14" t="n">
        <v>9</v>
      </c>
      <c r="G31" s="14" t="inlineStr">
        <is>
          <t>Cattle</t>
        </is>
      </c>
      <c r="H31" s="14" t="inlineStr">
        <is>
          <t>Crop and animal production, hunting and related service activities</t>
        </is>
      </c>
      <c r="I31" s="14" t="inlineStr">
        <is>
          <t>A01</t>
        </is>
      </c>
      <c r="J31" s="14" t="inlineStr">
        <is>
          <t>Agriculture</t>
        </is>
      </c>
      <c r="K31" s="14" t="inlineStr">
        <is>
          <t>Agriculture/forestry</t>
        </is>
      </c>
      <c r="L31" s="14" t="inlineStr">
        <is>
          <t>AGRICULT</t>
        </is>
      </c>
      <c r="M31" s="14" t="n">
        <v>2411</v>
      </c>
      <c r="N31" s="14" t="n">
        <v>1</v>
      </c>
      <c r="O31" s="14" t="inlineStr">
        <is>
          <t>Food &amp; forestry</t>
        </is>
      </c>
      <c r="P31" s="14" t="inlineStr">
        <is>
          <t>Industry</t>
        </is>
      </c>
      <c r="Q31" s="14" t="inlineStr">
        <is>
          <t>foo</t>
        </is>
      </c>
      <c r="R31" s="14" t="inlineStr">
        <is>
          <t>food</t>
        </is>
      </c>
      <c r="S31" s="14" t="inlineStr">
        <is>
          <t>food</t>
        </is>
      </c>
    </row>
    <row r="32">
      <c r="A32" s="14" t="inlineStr">
        <is>
          <t>Natural honey</t>
        </is>
      </c>
      <c r="B32" s="14" t="inlineStr">
        <is>
          <t>oap</t>
        </is>
      </c>
      <c r="C32" s="14" t="n">
        <v>10</v>
      </c>
      <c r="D32"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2" s="14" t="inlineStr">
        <is>
          <t>oap</t>
        </is>
      </c>
      <c r="F32" s="14" t="n">
        <v>10</v>
      </c>
      <c r="G32" s="14" t="inlineStr">
        <is>
          <t>Other Animal Products</t>
        </is>
      </c>
      <c r="H32" s="14" t="inlineStr">
        <is>
          <t>Crop and animal production, hunting and related service activities</t>
        </is>
      </c>
      <c r="I32" s="14" t="inlineStr">
        <is>
          <t>A01</t>
        </is>
      </c>
      <c r="J32" s="14" t="inlineStr">
        <is>
          <t>Agriculture</t>
        </is>
      </c>
      <c r="K32" s="14" t="inlineStr">
        <is>
          <t>Agriculture/forestry</t>
        </is>
      </c>
      <c r="L32" s="14" t="inlineStr">
        <is>
          <t>AGRICULT</t>
        </is>
      </c>
      <c r="M32" s="14" t="n">
        <v>2419</v>
      </c>
      <c r="N32" s="14" t="n">
        <v>1</v>
      </c>
      <c r="O32" s="14" t="inlineStr">
        <is>
          <t>Food &amp; forestry</t>
        </is>
      </c>
      <c r="P32" s="14" t="inlineStr">
        <is>
          <t>Industry</t>
        </is>
      </c>
      <c r="Q32" s="14" t="inlineStr">
        <is>
          <t>foo</t>
        </is>
      </c>
      <c r="R32" s="14" t="inlineStr">
        <is>
          <t>food</t>
        </is>
      </c>
      <c r="S32" s="14" t="inlineStr">
        <is>
          <t>food</t>
        </is>
      </c>
    </row>
    <row r="33">
      <c r="A33" s="14" t="inlineStr">
        <is>
          <t>Swine / pigs</t>
        </is>
      </c>
      <c r="B33" s="14" t="inlineStr">
        <is>
          <t>oap</t>
        </is>
      </c>
      <c r="C33" s="14" t="n">
        <v>10</v>
      </c>
      <c r="D33"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3" s="14" t="inlineStr">
        <is>
          <t>oap</t>
        </is>
      </c>
      <c r="F33" s="14" t="n">
        <v>10</v>
      </c>
      <c r="G33" s="14" t="inlineStr">
        <is>
          <t>Other Animal Products</t>
        </is>
      </c>
      <c r="H33" s="14" t="inlineStr">
        <is>
          <t>Crop and animal production, hunting and related service activities</t>
        </is>
      </c>
      <c r="I33" s="14" t="inlineStr">
        <is>
          <t>A01</t>
        </is>
      </c>
      <c r="J33" s="14" t="inlineStr">
        <is>
          <t>Agriculture</t>
        </is>
      </c>
      <c r="K33" s="14" t="inlineStr">
        <is>
          <t>Agriculture/forestry</t>
        </is>
      </c>
      <c r="L33" s="14" t="inlineStr">
        <is>
          <t>AGRICULT</t>
        </is>
      </c>
      <c r="M33" s="14" t="n">
        <v>2419</v>
      </c>
      <c r="N33" s="14" t="n">
        <v>1</v>
      </c>
      <c r="O33" s="14" t="inlineStr">
        <is>
          <t>Food &amp; forestry</t>
        </is>
      </c>
      <c r="P33" s="14" t="inlineStr">
        <is>
          <t>Industry</t>
        </is>
      </c>
      <c r="Q33" s="14" t="inlineStr">
        <is>
          <t>foo</t>
        </is>
      </c>
      <c r="R33" s="14" t="inlineStr">
        <is>
          <t>food</t>
        </is>
      </c>
      <c r="S33" s="14" t="inlineStr">
        <is>
          <t>food</t>
        </is>
      </c>
    </row>
    <row r="34">
      <c r="A34" s="14" t="inlineStr">
        <is>
          <t>Snails, fresh, chilled, frozen, dried, salted or in brine, except sea snails</t>
        </is>
      </c>
      <c r="B34" s="14" t="inlineStr">
        <is>
          <t>oap</t>
        </is>
      </c>
      <c r="C34" s="14" t="n">
        <v>10</v>
      </c>
      <c r="D34"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4" s="14" t="inlineStr">
        <is>
          <t>oap</t>
        </is>
      </c>
      <c r="F34" s="14" t="n">
        <v>10</v>
      </c>
      <c r="G34" s="14" t="inlineStr">
        <is>
          <t>Other Animal Products</t>
        </is>
      </c>
      <c r="H34" s="14" t="inlineStr">
        <is>
          <t>Crop and animal production, hunting and related service activities</t>
        </is>
      </c>
      <c r="I34" s="14" t="inlineStr">
        <is>
          <t>A01</t>
        </is>
      </c>
      <c r="J34" s="14" t="inlineStr">
        <is>
          <t>Agriculture</t>
        </is>
      </c>
      <c r="K34" s="14" t="inlineStr">
        <is>
          <t>Agriculture/forestry</t>
        </is>
      </c>
      <c r="L34" s="14" t="inlineStr">
        <is>
          <t>AGRICULT</t>
        </is>
      </c>
      <c r="M34" s="14" t="n">
        <v>2419</v>
      </c>
      <c r="N34" s="14" t="n">
        <v>1</v>
      </c>
      <c r="O34" s="14" t="inlineStr">
        <is>
          <t>Food &amp; forestry</t>
        </is>
      </c>
      <c r="P34" s="14" t="inlineStr">
        <is>
          <t>Industry</t>
        </is>
      </c>
      <c r="Q34" s="14" t="inlineStr">
        <is>
          <t>foo</t>
        </is>
      </c>
      <c r="R34" s="14" t="inlineStr">
        <is>
          <t>food</t>
        </is>
      </c>
      <c r="S34" s="14" t="inlineStr">
        <is>
          <t>food</t>
        </is>
      </c>
    </row>
    <row r="35">
      <c r="A35" s="14" t="inlineStr">
        <is>
          <t>Eggs of hens or other birds in shell, fresh</t>
        </is>
      </c>
      <c r="B35" s="14" t="inlineStr">
        <is>
          <t>oap</t>
        </is>
      </c>
      <c r="C35" s="14" t="n">
        <v>10</v>
      </c>
      <c r="D35"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5" s="14" t="inlineStr">
        <is>
          <t>oap</t>
        </is>
      </c>
      <c r="F35" s="14" t="n">
        <v>10</v>
      </c>
      <c r="G35" s="14" t="inlineStr">
        <is>
          <t>Other Animal Products</t>
        </is>
      </c>
      <c r="H35" s="14" t="inlineStr">
        <is>
          <t>Crop and animal production, hunting and related service activities</t>
        </is>
      </c>
      <c r="I35" s="14" t="inlineStr">
        <is>
          <t>A01</t>
        </is>
      </c>
      <c r="J35" s="14" t="inlineStr">
        <is>
          <t>Agriculture</t>
        </is>
      </c>
      <c r="K35" s="14" t="inlineStr">
        <is>
          <t>Agriculture/forestry</t>
        </is>
      </c>
      <c r="L35" s="14" t="inlineStr">
        <is>
          <t>AGRICULT</t>
        </is>
      </c>
      <c r="M35" s="14" t="n">
        <v>2419</v>
      </c>
      <c r="N35" s="14" t="n">
        <v>1</v>
      </c>
      <c r="O35" s="14" t="inlineStr">
        <is>
          <t>Food &amp; forestry</t>
        </is>
      </c>
      <c r="P35" s="14" t="inlineStr">
        <is>
          <t>Industry</t>
        </is>
      </c>
      <c r="Q35" s="14" t="inlineStr">
        <is>
          <t>foo</t>
        </is>
      </c>
      <c r="R35" s="14" t="inlineStr">
        <is>
          <t>food</t>
        </is>
      </c>
      <c r="S35" s="14" t="inlineStr">
        <is>
          <t>food</t>
        </is>
      </c>
    </row>
    <row r="36">
      <c r="A36" s="14" t="inlineStr">
        <is>
          <t>Poultry</t>
        </is>
      </c>
      <c r="B36" s="14" t="inlineStr">
        <is>
          <t>oap</t>
        </is>
      </c>
      <c r="C36" s="14" t="n">
        <v>10</v>
      </c>
      <c r="D36"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6" s="14" t="inlineStr">
        <is>
          <t>oap</t>
        </is>
      </c>
      <c r="F36" s="14" t="n">
        <v>10</v>
      </c>
      <c r="G36" s="14" t="inlineStr">
        <is>
          <t>Other Animal Products</t>
        </is>
      </c>
      <c r="H36" s="14" t="inlineStr">
        <is>
          <t>Crop and animal production, hunting and related service activities</t>
        </is>
      </c>
      <c r="I36" s="14" t="inlineStr">
        <is>
          <t>A01</t>
        </is>
      </c>
      <c r="J36" s="14" t="inlineStr">
        <is>
          <t>Agriculture</t>
        </is>
      </c>
      <c r="K36" s="14" t="inlineStr">
        <is>
          <t>Agriculture/forestry</t>
        </is>
      </c>
      <c r="L36" s="14" t="inlineStr">
        <is>
          <t>AGRICULT</t>
        </is>
      </c>
      <c r="M36" s="14" t="n">
        <v>2419</v>
      </c>
      <c r="N36" s="14" t="n">
        <v>1</v>
      </c>
      <c r="O36" s="14" t="inlineStr">
        <is>
          <t>Food &amp; forestry</t>
        </is>
      </c>
      <c r="P36" s="14" t="inlineStr">
        <is>
          <t>Industry</t>
        </is>
      </c>
      <c r="Q36" s="14" t="inlineStr">
        <is>
          <t>foo</t>
        </is>
      </c>
      <c r="R36" s="14" t="inlineStr">
        <is>
          <t>food</t>
        </is>
      </c>
      <c r="S36" s="14" t="inlineStr">
        <is>
          <t>food</t>
        </is>
      </c>
    </row>
    <row r="37">
      <c r="A37" s="14" t="inlineStr">
        <is>
          <t>Other live animals</t>
        </is>
      </c>
      <c r="B37" s="14" t="inlineStr">
        <is>
          <t>oap</t>
        </is>
      </c>
      <c r="C37" s="14" t="n">
        <v>10</v>
      </c>
      <c r="D37"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7" s="14" t="inlineStr">
        <is>
          <t>oap</t>
        </is>
      </c>
      <c r="F37" s="14" t="n">
        <v>10</v>
      </c>
      <c r="G37" s="14" t="inlineStr">
        <is>
          <t>Other Animal Products</t>
        </is>
      </c>
      <c r="H37" s="14" t="inlineStr">
        <is>
          <t>Crop and animal production, hunting and related service activities</t>
        </is>
      </c>
      <c r="I37" s="14" t="inlineStr">
        <is>
          <t>A01</t>
        </is>
      </c>
      <c r="J37" s="14" t="inlineStr">
        <is>
          <t>Agriculture</t>
        </is>
      </c>
      <c r="K37" s="14" t="inlineStr">
        <is>
          <t>Agriculture/forestry</t>
        </is>
      </c>
      <c r="L37" s="14" t="inlineStr">
        <is>
          <t>AGRICULT</t>
        </is>
      </c>
      <c r="M37" s="14" t="n">
        <v>2419</v>
      </c>
      <c r="N37" s="14" t="n">
        <v>1</v>
      </c>
      <c r="O37" s="14" t="inlineStr">
        <is>
          <t>Food &amp; forestry</t>
        </is>
      </c>
      <c r="P37" s="14" t="inlineStr">
        <is>
          <t>Industry</t>
        </is>
      </c>
      <c r="Q37" s="14" t="inlineStr">
        <is>
          <t>foo</t>
        </is>
      </c>
      <c r="R37" s="14" t="inlineStr">
        <is>
          <t>food</t>
        </is>
      </c>
      <c r="S37" s="14" t="inlineStr">
        <is>
          <t>food</t>
        </is>
      </c>
    </row>
    <row r="38">
      <c r="A38" s="14" t="inlineStr">
        <is>
          <t>Hides, skins and furskins, raw</t>
        </is>
      </c>
      <c r="B38" s="14" t="inlineStr">
        <is>
          <t>oap</t>
        </is>
      </c>
      <c r="C38" s="14" t="n">
        <v>10</v>
      </c>
      <c r="D38"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8" s="14" t="inlineStr">
        <is>
          <t>oap</t>
        </is>
      </c>
      <c r="F38" s="14" t="n">
        <v>10</v>
      </c>
      <c r="G38" s="14" t="inlineStr">
        <is>
          <t>Other Animal Products</t>
        </is>
      </c>
      <c r="H38" s="14" t="inlineStr">
        <is>
          <t>Crop and animal production, hunting and related service activities</t>
        </is>
      </c>
      <c r="I38" s="14" t="inlineStr">
        <is>
          <t>A01</t>
        </is>
      </c>
      <c r="J38" s="14" t="inlineStr">
        <is>
          <t>Agriculture</t>
        </is>
      </c>
      <c r="K38" s="14" t="inlineStr">
        <is>
          <t>Agriculture/forestry</t>
        </is>
      </c>
      <c r="L38" s="14" t="inlineStr">
        <is>
          <t>AGRICULT</t>
        </is>
      </c>
      <c r="M38" s="14" t="n">
        <v>2419</v>
      </c>
      <c r="N38" s="14" t="n">
        <v>1</v>
      </c>
      <c r="O38" s="14" t="inlineStr">
        <is>
          <t>Food &amp; forestry</t>
        </is>
      </c>
      <c r="P38" s="14" t="inlineStr">
        <is>
          <t>Industry</t>
        </is>
      </c>
      <c r="Q38" s="14" t="inlineStr">
        <is>
          <t>foo</t>
        </is>
      </c>
      <c r="R38" s="14" t="inlineStr">
        <is>
          <t>food</t>
        </is>
      </c>
      <c r="S38" s="14" t="inlineStr">
        <is>
          <t>food</t>
        </is>
      </c>
    </row>
    <row r="39">
      <c r="A39" s="14" t="inlineStr">
        <is>
          <t>Edible products of animal origin n.e.c.</t>
        </is>
      </c>
      <c r="B39" s="14" t="inlineStr">
        <is>
          <t>oap</t>
        </is>
      </c>
      <c r="C39" s="14" t="n">
        <v>10</v>
      </c>
      <c r="D39"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9" s="14" t="inlineStr">
        <is>
          <t>oap</t>
        </is>
      </c>
      <c r="F39" s="14" t="n">
        <v>10</v>
      </c>
      <c r="G39" s="14" t="inlineStr">
        <is>
          <t>Other Animal Products</t>
        </is>
      </c>
      <c r="H39" s="14" t="inlineStr">
        <is>
          <t>Crop and animal production, hunting and related service activities</t>
        </is>
      </c>
      <c r="I39" s="14" t="inlineStr">
        <is>
          <t>A01</t>
        </is>
      </c>
      <c r="J39" s="14" t="inlineStr">
        <is>
          <t>Agriculture</t>
        </is>
      </c>
      <c r="K39" s="14" t="inlineStr">
        <is>
          <t>Agriculture/forestry</t>
        </is>
      </c>
      <c r="L39" s="14" t="inlineStr">
        <is>
          <t>AGRICULT</t>
        </is>
      </c>
      <c r="M39" s="14" t="n">
        <v>2419</v>
      </c>
      <c r="N39" s="14" t="n">
        <v>1</v>
      </c>
      <c r="O39" s="14" t="inlineStr">
        <is>
          <t>Food &amp; forestry</t>
        </is>
      </c>
      <c r="P39" s="14" t="inlineStr">
        <is>
          <t>Industry</t>
        </is>
      </c>
      <c r="Q39" s="14" t="inlineStr">
        <is>
          <t>foo</t>
        </is>
      </c>
      <c r="R39" s="14" t="inlineStr">
        <is>
          <t>food</t>
        </is>
      </c>
      <c r="S39" s="14" t="inlineStr">
        <is>
          <t>food</t>
        </is>
      </c>
    </row>
    <row r="40">
      <c r="A40" s="14" t="inlineStr">
        <is>
          <t>Semen, n.e.c</t>
        </is>
      </c>
      <c r="B40" s="14" t="inlineStr">
        <is>
          <t>oap</t>
        </is>
      </c>
      <c r="C40" s="14" t="n">
        <v>10</v>
      </c>
      <c r="D40"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40" s="14" t="inlineStr">
        <is>
          <t>oap</t>
        </is>
      </c>
      <c r="F40" s="14" t="n">
        <v>10</v>
      </c>
      <c r="G40" s="14" t="inlineStr">
        <is>
          <t>Other Animal Products</t>
        </is>
      </c>
      <c r="H40" s="14" t="inlineStr">
        <is>
          <t>Crop and animal production, hunting and related service activities</t>
        </is>
      </c>
      <c r="I40" s="14" t="inlineStr">
        <is>
          <t>A01</t>
        </is>
      </c>
      <c r="J40" s="14" t="inlineStr">
        <is>
          <t>Agriculture</t>
        </is>
      </c>
      <c r="K40" s="14" t="inlineStr">
        <is>
          <t>Agriculture/forestry</t>
        </is>
      </c>
      <c r="L40" s="14" t="inlineStr">
        <is>
          <t>AGRICULT</t>
        </is>
      </c>
      <c r="M40" s="14" t="n">
        <v>2419</v>
      </c>
      <c r="N40" s="14" t="n">
        <v>1</v>
      </c>
      <c r="O40" s="14" t="inlineStr">
        <is>
          <t>Food &amp; forestry</t>
        </is>
      </c>
      <c r="P40" s="14" t="inlineStr">
        <is>
          <t>Industry</t>
        </is>
      </c>
      <c r="Q40" s="14" t="inlineStr">
        <is>
          <t>foo</t>
        </is>
      </c>
      <c r="R40" s="14" t="inlineStr">
        <is>
          <t>food</t>
        </is>
      </c>
      <c r="S40" s="14" t="inlineStr">
        <is>
          <t>food</t>
        </is>
      </c>
    </row>
    <row r="41">
      <c r="A41" s="14" t="inlineStr">
        <is>
          <t>Insect waxes and spermaceti, whether or not refined or coloured</t>
        </is>
      </c>
      <c r="B41" s="14" t="inlineStr">
        <is>
          <t>oap</t>
        </is>
      </c>
      <c r="C41" s="14" t="n">
        <v>10</v>
      </c>
      <c r="D41"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41" s="14" t="inlineStr">
        <is>
          <t>oap</t>
        </is>
      </c>
      <c r="F41" s="14" t="n">
        <v>10</v>
      </c>
      <c r="G41" s="14" t="inlineStr">
        <is>
          <t>Other Animal Products</t>
        </is>
      </c>
      <c r="H41" s="14" t="inlineStr">
        <is>
          <t>Crop and animal production, hunting and related service activities</t>
        </is>
      </c>
      <c r="I41" s="14" t="inlineStr">
        <is>
          <t>A01</t>
        </is>
      </c>
      <c r="J41" s="14" t="inlineStr">
        <is>
          <t>Agriculture</t>
        </is>
      </c>
      <c r="K41" s="14" t="inlineStr">
        <is>
          <t>Agriculture/forestry</t>
        </is>
      </c>
      <c r="L41" s="14" t="inlineStr">
        <is>
          <t>AGRICULT</t>
        </is>
      </c>
      <c r="M41" s="14" t="n">
        <v>2419</v>
      </c>
      <c r="N41" s="14" t="n">
        <v>1</v>
      </c>
      <c r="O41" s="14" t="inlineStr">
        <is>
          <t>Food &amp; forestry</t>
        </is>
      </c>
      <c r="P41" s="14" t="inlineStr">
        <is>
          <t>Industry</t>
        </is>
      </c>
      <c r="Q41" s="14" t="inlineStr">
        <is>
          <t>foo</t>
        </is>
      </c>
      <c r="R41" s="14" t="inlineStr">
        <is>
          <t>food</t>
        </is>
      </c>
      <c r="S41" s="14" t="inlineStr">
        <is>
          <t>food</t>
        </is>
      </c>
    </row>
    <row r="42">
      <c r="A42" s="14" t="inlineStr">
        <is>
          <t>Raw milk</t>
        </is>
      </c>
      <c r="B42" s="14" t="inlineStr">
        <is>
          <t>rmk</t>
        </is>
      </c>
      <c r="C42" s="14" t="n">
        <v>11</v>
      </c>
      <c r="D42" s="14" t="inlineStr">
        <is>
          <t>Raw milk</t>
        </is>
      </c>
      <c r="E42" s="14" t="inlineStr">
        <is>
          <t>rmk</t>
        </is>
      </c>
      <c r="F42" s="14" t="n">
        <v>11</v>
      </c>
      <c r="G42" s="14" t="inlineStr">
        <is>
          <t>Raw milk</t>
        </is>
      </c>
      <c r="H42" s="14" t="inlineStr">
        <is>
          <t>Crop and animal production, hunting and related service activities</t>
        </is>
      </c>
      <c r="I42" s="14" t="inlineStr">
        <is>
          <t>A01</t>
        </is>
      </c>
      <c r="J42" s="14" t="inlineStr">
        <is>
          <t>Agriculture</t>
        </is>
      </c>
      <c r="K42" s="14" t="inlineStr">
        <is>
          <t>Agriculture/forestry</t>
        </is>
      </c>
      <c r="L42" s="14" t="inlineStr">
        <is>
          <t>AGRICULT</t>
        </is>
      </c>
      <c r="M42" s="14" t="n">
        <v>22</v>
      </c>
      <c r="N42" s="14" t="n">
        <v>1</v>
      </c>
      <c r="O42" s="14" t="inlineStr">
        <is>
          <t>Food &amp; forestry</t>
        </is>
      </c>
      <c r="P42" s="14" t="inlineStr">
        <is>
          <t>Industry</t>
        </is>
      </c>
      <c r="Q42" s="14" t="inlineStr">
        <is>
          <t>foo</t>
        </is>
      </c>
      <c r="R42" s="14" t="inlineStr">
        <is>
          <t>food</t>
        </is>
      </c>
      <c r="S42" s="14" t="inlineStr">
        <is>
          <t>food</t>
        </is>
      </c>
    </row>
    <row r="43">
      <c r="A43" s="14" t="inlineStr">
        <is>
          <t>Forestry and logging products</t>
        </is>
      </c>
      <c r="B43" s="14" t="inlineStr">
        <is>
          <t>frs</t>
        </is>
      </c>
      <c r="C43" s="14" t="n">
        <v>13</v>
      </c>
      <c r="D43" s="14" t="inlineStr">
        <is>
          <t>Forestry: forestry, logging and related service activities</t>
        </is>
      </c>
      <c r="E43" s="14" t="inlineStr">
        <is>
          <t>frs</t>
        </is>
      </c>
      <c r="F43" s="14" t="n">
        <v>13</v>
      </c>
      <c r="G43" s="14" t="inlineStr">
        <is>
          <t>Forestry</t>
        </is>
      </c>
      <c r="H43" s="14" t="inlineStr">
        <is>
          <t>Forestry and logging</t>
        </is>
      </c>
      <c r="I43" s="14" t="inlineStr">
        <is>
          <t>A02</t>
        </is>
      </c>
      <c r="J43" s="14" t="inlineStr">
        <is>
          <t>Wood and Paper</t>
        </is>
      </c>
      <c r="K43" s="14" t="inlineStr">
        <is>
          <t>Agriculture/forestry</t>
        </is>
      </c>
      <c r="L43" s="14" t="inlineStr">
        <is>
          <t>AGRICULT</t>
        </is>
      </c>
      <c r="M43" s="14" t="n">
        <v>22</v>
      </c>
      <c r="N43" s="14" t="n">
        <v>1</v>
      </c>
      <c r="O43" s="14" t="inlineStr">
        <is>
          <t>Food &amp; forestry</t>
        </is>
      </c>
      <c r="P43" s="14" t="inlineStr">
        <is>
          <t>Industry</t>
        </is>
      </c>
      <c r="Q43" s="14" t="inlineStr">
        <is>
          <t>foo</t>
        </is>
      </c>
      <c r="R43" s="14" t="inlineStr">
        <is>
          <t>NA</t>
        </is>
      </c>
      <c r="S43" s="14" t="inlineStr">
        <is>
          <t>NA</t>
        </is>
      </c>
    </row>
    <row r="44">
      <c r="A44" s="14" t="inlineStr">
        <is>
          <t>Manufacture of chemicals and chemical products</t>
        </is>
      </c>
      <c r="B44" s="14" t="inlineStr">
        <is>
          <t>chm</t>
        </is>
      </c>
      <c r="C44" s="14" t="n">
        <v>33</v>
      </c>
      <c r="D44" s="14" t="inlineStr">
        <is>
          <t>Manufacture of chemicals and chemical products</t>
        </is>
      </c>
      <c r="E44" s="14" t="inlineStr">
        <is>
          <t>chm</t>
        </is>
      </c>
      <c r="F44" s="14" t="n">
        <v>33</v>
      </c>
      <c r="G44" s="14" t="inlineStr">
        <is>
          <t>Chemicals</t>
        </is>
      </c>
      <c r="H44" s="14" t="inlineStr">
        <is>
          <t xml:space="preserve">Manufacture of chemicals and chemical products </t>
        </is>
      </c>
      <c r="I44" s="14" t="inlineStr">
        <is>
          <t>C20</t>
        </is>
      </c>
      <c r="J44" s="14" t="inlineStr">
        <is>
          <t>Petroleum, Chemical and Non-Metallic Mineral Products</t>
        </is>
      </c>
      <c r="K44" s="14" t="inlineStr">
        <is>
          <t>Chemical and petrochemical</t>
        </is>
      </c>
      <c r="L44" s="14" t="inlineStr">
        <is>
          <t>CHEMICAL</t>
        </is>
      </c>
      <c r="M44" s="14" t="n">
        <v>20</v>
      </c>
      <c r="N44" s="14" t="n">
        <v>20</v>
      </c>
      <c r="O44" s="14" t="inlineStr">
        <is>
          <t>Mining &amp; Chemicals</t>
        </is>
      </c>
      <c r="P44" s="14" t="inlineStr">
        <is>
          <t>Industry</t>
        </is>
      </c>
      <c r="Q44" s="14" t="inlineStr">
        <is>
          <t>mch</t>
        </is>
      </c>
      <c r="R44" s="14" t="inlineStr">
        <is>
          <t>chemicals</t>
        </is>
      </c>
      <c r="S44" s="14" t="inlineStr">
        <is>
          <t>che</t>
        </is>
      </c>
    </row>
    <row r="45">
      <c r="A45" s="14" t="inlineStr">
        <is>
          <t>Manufacture of pharmaceuticals, medicinal chemical and botanical products</t>
        </is>
      </c>
      <c r="B45" s="14" t="inlineStr">
        <is>
          <t>bph</t>
        </is>
      </c>
      <c r="C45" s="14" t="n">
        <v>34</v>
      </c>
      <c r="D45" s="14" t="inlineStr">
        <is>
          <t>Manufacture of pharmaceuticals, medicinal chemical and botanical products</t>
        </is>
      </c>
      <c r="E45" s="14" t="inlineStr">
        <is>
          <t>bph</t>
        </is>
      </c>
      <c r="F45" s="14" t="n">
        <v>34</v>
      </c>
      <c r="G45" s="14" t="inlineStr">
        <is>
          <t>Pharmaceuticals</t>
        </is>
      </c>
      <c r="H45" s="14" t="inlineStr">
        <is>
          <t>Manufacture of basic pharmaceutical products and pharmaceutical preparations</t>
        </is>
      </c>
      <c r="I45" s="14" t="inlineStr">
        <is>
          <t>C21</t>
        </is>
      </c>
      <c r="J45" s="14" t="inlineStr">
        <is>
          <t>Petroleum, Chemical and Non-Metallic Mineral Products</t>
        </is>
      </c>
      <c r="K45" s="14" t="inlineStr">
        <is>
          <t>Chemical and petrochemical</t>
        </is>
      </c>
      <c r="L45" s="14" t="inlineStr">
        <is>
          <t>CHEMICAL</t>
        </is>
      </c>
      <c r="M45" s="14" t="n">
        <v>21</v>
      </c>
      <c r="N45" s="14" t="n">
        <v>21</v>
      </c>
      <c r="O45" s="14" t="inlineStr">
        <is>
          <t>Mining &amp; Chemicals</t>
        </is>
      </c>
      <c r="P45" s="14" t="inlineStr">
        <is>
          <t>Industry</t>
        </is>
      </c>
      <c r="Q45" s="14" t="inlineStr">
        <is>
          <t>mch</t>
        </is>
      </c>
      <c r="R45" s="14" t="inlineStr">
        <is>
          <t>pharma</t>
        </is>
      </c>
      <c r="S45" s="14" t="inlineStr">
        <is>
          <t>pha</t>
        </is>
      </c>
    </row>
    <row r="46">
      <c r="A46" s="14" t="inlineStr">
        <is>
          <t>Information service activities</t>
        </is>
      </c>
      <c r="B46" s="14" t="inlineStr">
        <is>
          <t>cmn</t>
        </is>
      </c>
      <c r="C46" s="14" t="n">
        <v>56</v>
      </c>
      <c r="D46" s="14" t="inlineStr">
        <is>
          <t>Information and communication</t>
        </is>
      </c>
      <c r="E46" s="14" t="inlineStr">
        <is>
          <t>cmn</t>
        </is>
      </c>
      <c r="F46" s="14" t="n">
        <v>56</v>
      </c>
      <c r="G46" s="14" t="inlineStr">
        <is>
          <t>Telecomms</t>
        </is>
      </c>
      <c r="H46" s="14" t="inlineStr">
        <is>
          <t>Computer programming, consultancy and related activities; information service activities</t>
        </is>
      </c>
      <c r="I46" s="14" t="inlineStr">
        <is>
          <t>J62_J63</t>
        </is>
      </c>
      <c r="J46" s="14" t="inlineStr">
        <is>
          <t>Post and Telecommunications</t>
        </is>
      </c>
      <c r="K46" s="14" t="inlineStr">
        <is>
          <t>Commercial and public services</t>
        </is>
      </c>
      <c r="L46" s="14" t="inlineStr">
        <is>
          <t>COMMPUB</t>
        </is>
      </c>
      <c r="M46" s="14" t="n">
        <v>63</v>
      </c>
      <c r="N46" s="14" t="n">
        <v>63</v>
      </c>
      <c r="O46" s="14" t="inlineStr">
        <is>
          <t>Services (public &amp; private)</t>
        </is>
      </c>
      <c r="P46" s="14" t="inlineStr">
        <is>
          <t>Industry</t>
        </is>
      </c>
      <c r="Q46" s="14" t="inlineStr">
        <is>
          <t>srv</t>
        </is>
      </c>
      <c r="R46" s="14" t="inlineStr">
        <is>
          <t>communications</t>
        </is>
      </c>
      <c r="S46" s="14" t="inlineStr">
        <is>
          <t>com</t>
        </is>
      </c>
    </row>
    <row r="47">
      <c r="A47" s="14" t="inlineStr">
        <is>
          <t>Computer programming, consultancy and related activities</t>
        </is>
      </c>
      <c r="B47" s="14" t="inlineStr">
        <is>
          <t>cmn</t>
        </is>
      </c>
      <c r="C47" s="14" t="n">
        <v>56</v>
      </c>
      <c r="D47" s="14" t="inlineStr">
        <is>
          <t>Information and communication</t>
        </is>
      </c>
      <c r="E47" s="14" t="inlineStr">
        <is>
          <t>cmn</t>
        </is>
      </c>
      <c r="F47" s="14" t="n">
        <v>56</v>
      </c>
      <c r="G47" s="14" t="inlineStr">
        <is>
          <t>Telecomms</t>
        </is>
      </c>
      <c r="H47" s="14" t="inlineStr">
        <is>
          <t>Computer programming, consultancy and related activities; information service activities</t>
        </is>
      </c>
      <c r="I47" s="14" t="inlineStr">
        <is>
          <t>J62_J63</t>
        </is>
      </c>
      <c r="J47" s="14" t="inlineStr">
        <is>
          <t>Post and Telecommunications</t>
        </is>
      </c>
      <c r="K47" s="14" t="inlineStr">
        <is>
          <t>Commercial and public services</t>
        </is>
      </c>
      <c r="L47" s="14" t="inlineStr">
        <is>
          <t>COMMPUB</t>
        </is>
      </c>
      <c r="M47" s="14" t="n">
        <v>63</v>
      </c>
      <c r="N47" s="14" t="n">
        <v>63</v>
      </c>
      <c r="O47" s="14" t="inlineStr">
        <is>
          <t>Services (public &amp; private)</t>
        </is>
      </c>
      <c r="P47" s="14" t="inlineStr">
        <is>
          <t>Industry</t>
        </is>
      </c>
      <c r="Q47" s="14" t="inlineStr">
        <is>
          <t>srv</t>
        </is>
      </c>
      <c r="R47" s="14" t="inlineStr">
        <is>
          <t>communications</t>
        </is>
      </c>
      <c r="S47" s="14" t="inlineStr">
        <is>
          <t>com</t>
        </is>
      </c>
    </row>
    <row r="48">
      <c r="A48" s="14" t="inlineStr">
        <is>
          <t>Programming and broadcasting activities</t>
        </is>
      </c>
      <c r="B48" s="14" t="inlineStr">
        <is>
          <t>cmn</t>
        </is>
      </c>
      <c r="C48" s="14" t="n">
        <v>56</v>
      </c>
      <c r="D48" s="14" t="inlineStr">
        <is>
          <t>Information and communication</t>
        </is>
      </c>
      <c r="E48" s="14" t="inlineStr">
        <is>
          <t>cmn</t>
        </is>
      </c>
      <c r="F48" s="14" t="n">
        <v>56</v>
      </c>
      <c r="G48" s="14" t="inlineStr">
        <is>
          <t>Telecomms</t>
        </is>
      </c>
      <c r="H48" s="14" t="inlineStr">
        <is>
          <t>Computer programming, consultancy and related activities; information service activities</t>
        </is>
      </c>
      <c r="I48" s="14" t="inlineStr">
        <is>
          <t>J62_J63</t>
        </is>
      </c>
      <c r="J48" s="14" t="inlineStr">
        <is>
          <t>Post and Telecommunications</t>
        </is>
      </c>
      <c r="K48" s="14" t="inlineStr">
        <is>
          <t>Commercial and public services</t>
        </is>
      </c>
      <c r="L48" s="14" t="inlineStr">
        <is>
          <t>COMMPUB</t>
        </is>
      </c>
      <c r="M48" s="14" t="n">
        <v>63</v>
      </c>
      <c r="N48" s="14" t="n">
        <v>63</v>
      </c>
      <c r="O48" s="14" t="inlineStr">
        <is>
          <t>Services (public &amp; private)</t>
        </is>
      </c>
      <c r="P48" s="14" t="inlineStr">
        <is>
          <t>Industry</t>
        </is>
      </c>
      <c r="Q48" s="14" t="inlineStr">
        <is>
          <t>srv</t>
        </is>
      </c>
      <c r="R48" s="14" t="inlineStr">
        <is>
          <t>communications</t>
        </is>
      </c>
      <c r="S48" s="14" t="inlineStr">
        <is>
          <t>com</t>
        </is>
      </c>
    </row>
    <row r="49">
      <c r="A49" s="14" t="inlineStr">
        <is>
          <t>Motion picture, video and television programme production, sound recording and music publishing activities</t>
        </is>
      </c>
      <c r="B49" s="14" t="inlineStr">
        <is>
          <t>cmn</t>
        </is>
      </c>
      <c r="C49" s="14" t="n">
        <v>56</v>
      </c>
      <c r="D49" s="14" t="inlineStr">
        <is>
          <t>Information and communication</t>
        </is>
      </c>
      <c r="E49" s="14" t="inlineStr">
        <is>
          <t>cmn</t>
        </is>
      </c>
      <c r="F49" s="14" t="n">
        <v>56</v>
      </c>
      <c r="G49" s="14" t="inlineStr">
        <is>
          <t>Telecomms</t>
        </is>
      </c>
      <c r="H49" s="14" t="inlineStr">
        <is>
          <t>Motion picture, video and television programme production, sound recording and music publishing activities; programming and broadcasting activities</t>
        </is>
      </c>
      <c r="I49" s="14" t="inlineStr">
        <is>
          <t>J59_J60</t>
        </is>
      </c>
      <c r="J49" s="14" t="inlineStr">
        <is>
          <t>Post and Telecommunications</t>
        </is>
      </c>
      <c r="K49" s="14" t="inlineStr">
        <is>
          <t>Commercial and public services</t>
        </is>
      </c>
      <c r="L49" s="14" t="inlineStr">
        <is>
          <t>COMMPUB</t>
        </is>
      </c>
      <c r="M49" s="14" t="n">
        <v>63</v>
      </c>
      <c r="N49" s="14" t="n">
        <v>63</v>
      </c>
      <c r="O49" s="14" t="inlineStr">
        <is>
          <t>Services (public &amp; private)</t>
        </is>
      </c>
      <c r="P49" s="14" t="inlineStr">
        <is>
          <t>Industry</t>
        </is>
      </c>
      <c r="Q49" s="14" t="inlineStr">
        <is>
          <t>srv</t>
        </is>
      </c>
      <c r="R49" s="14" t="inlineStr">
        <is>
          <t>communications</t>
        </is>
      </c>
      <c r="S49" s="14" t="inlineStr">
        <is>
          <t>com</t>
        </is>
      </c>
    </row>
    <row r="50">
      <c r="A50" s="14" t="inlineStr">
        <is>
          <t>Telecommunications</t>
        </is>
      </c>
      <c r="B50" s="14" t="inlineStr">
        <is>
          <t>cmn</t>
        </is>
      </c>
      <c r="C50" s="14" t="n">
        <v>56</v>
      </c>
      <c r="D50" s="14" t="inlineStr">
        <is>
          <t>Information and communication</t>
        </is>
      </c>
      <c r="E50" s="14" t="inlineStr">
        <is>
          <t>cmn</t>
        </is>
      </c>
      <c r="F50" s="14" t="n">
        <v>56</v>
      </c>
      <c r="G50" s="14" t="inlineStr">
        <is>
          <t>Telecomms</t>
        </is>
      </c>
      <c r="H50" s="14" t="inlineStr">
        <is>
          <t>Telecommunications</t>
        </is>
      </c>
      <c r="I50" s="14" t="inlineStr">
        <is>
          <t>J61</t>
        </is>
      </c>
      <c r="J50" s="14" t="inlineStr">
        <is>
          <t>Post and Telecommunications</t>
        </is>
      </c>
      <c r="K50" s="14" t="inlineStr">
        <is>
          <t>Commercial and public services</t>
        </is>
      </c>
      <c r="L50" s="14" t="inlineStr">
        <is>
          <t>COMMPUB</t>
        </is>
      </c>
      <c r="M50" s="14" t="n">
        <v>63</v>
      </c>
      <c r="N50" s="14" t="n">
        <v>63</v>
      </c>
      <c r="O50" s="14" t="inlineStr">
        <is>
          <t>Services (public &amp; private)</t>
        </is>
      </c>
      <c r="P50" s="14" t="inlineStr">
        <is>
          <t>Industry</t>
        </is>
      </c>
      <c r="Q50" s="14" t="inlineStr">
        <is>
          <t>srv</t>
        </is>
      </c>
      <c r="R50" s="14" t="inlineStr">
        <is>
          <t>communications</t>
        </is>
      </c>
      <c r="S50" s="14" t="inlineStr">
        <is>
          <t>com</t>
        </is>
      </c>
    </row>
    <row r="51">
      <c r="A51" s="14" t="inlineStr">
        <is>
          <t>Postal and courier activities</t>
        </is>
      </c>
      <c r="B51" s="14" t="inlineStr">
        <is>
          <t>cmn</t>
        </is>
      </c>
      <c r="C51" s="14" t="n">
        <v>56</v>
      </c>
      <c r="D51" s="14" t="inlineStr">
        <is>
          <t>Information and communication</t>
        </is>
      </c>
      <c r="E51" s="14" t="inlineStr">
        <is>
          <t>cmn</t>
        </is>
      </c>
      <c r="F51" s="14" t="n">
        <v>56</v>
      </c>
      <c r="G51" s="14" t="inlineStr">
        <is>
          <t>Telecomms</t>
        </is>
      </c>
      <c r="H51" s="14" t="inlineStr">
        <is>
          <t>Postal and courier activities</t>
        </is>
      </c>
      <c r="I51" s="14" t="inlineStr">
        <is>
          <t>H53</t>
        </is>
      </c>
      <c r="J51" s="14" t="inlineStr">
        <is>
          <t>Post and Telecommunications</t>
        </is>
      </c>
      <c r="K51" s="14" t="inlineStr">
        <is>
          <t>Commercial and public services</t>
        </is>
      </c>
      <c r="L51" s="14" t="inlineStr">
        <is>
          <t>COMMPUB</t>
        </is>
      </c>
      <c r="M51" s="14" t="n">
        <v>63</v>
      </c>
      <c r="N51" s="14" t="n">
        <v>63</v>
      </c>
      <c r="O51" s="14" t="inlineStr">
        <is>
          <t>Services (public &amp; private)</t>
        </is>
      </c>
      <c r="P51" s="14" t="inlineStr">
        <is>
          <t>Industry</t>
        </is>
      </c>
      <c r="Q51" s="14" t="inlineStr">
        <is>
          <t>srv</t>
        </is>
      </c>
      <c r="R51" s="14" t="inlineStr">
        <is>
          <t>communications</t>
        </is>
      </c>
      <c r="S51" s="14" t="inlineStr">
        <is>
          <t>com</t>
        </is>
      </c>
    </row>
    <row r="52">
      <c r="A52" s="14" t="inlineStr">
        <is>
          <t>Publishing activities</t>
        </is>
      </c>
      <c r="B52" s="14" t="inlineStr">
        <is>
          <t>cmn</t>
        </is>
      </c>
      <c r="C52" s="14" t="n">
        <v>56</v>
      </c>
      <c r="D52" s="14" t="inlineStr">
        <is>
          <t>Information and communication</t>
        </is>
      </c>
      <c r="E52" s="14" t="inlineStr">
        <is>
          <t>cmn</t>
        </is>
      </c>
      <c r="F52" s="14" t="n">
        <v>56</v>
      </c>
      <c r="G52" s="14" t="inlineStr">
        <is>
          <t>Telecomms</t>
        </is>
      </c>
      <c r="H52" s="14" t="inlineStr">
        <is>
          <t>Publishing activities</t>
        </is>
      </c>
      <c r="I52" s="14" t="inlineStr">
        <is>
          <t>J58</t>
        </is>
      </c>
      <c r="J52" s="14" t="inlineStr">
        <is>
          <t>Post and Telecommunications</t>
        </is>
      </c>
      <c r="K52" s="14" t="inlineStr">
        <is>
          <t>Commercial and public services</t>
        </is>
      </c>
      <c r="L52" s="14" t="inlineStr">
        <is>
          <t>COMMPUB</t>
        </is>
      </c>
      <c r="M52" s="14" t="n">
        <v>63</v>
      </c>
      <c r="N52" s="14" t="n">
        <v>63</v>
      </c>
      <c r="O52" s="14" t="inlineStr">
        <is>
          <t>Services (public &amp; private)</t>
        </is>
      </c>
      <c r="P52" s="14" t="inlineStr">
        <is>
          <t>Industry</t>
        </is>
      </c>
      <c r="Q52" s="14" t="inlineStr">
        <is>
          <t>srv</t>
        </is>
      </c>
      <c r="R52" s="14" t="inlineStr">
        <is>
          <t>communications</t>
        </is>
      </c>
      <c r="S52" s="14" t="inlineStr">
        <is>
          <t>com</t>
        </is>
      </c>
    </row>
    <row r="53">
      <c r="A53" s="14" t="inlineStr">
        <is>
          <t>Repair and installation of machinery and equipment</t>
        </is>
      </c>
      <c r="B53" s="14" t="inlineStr">
        <is>
          <t>omf</t>
        </is>
      </c>
      <c r="C53" s="14" t="n">
        <v>45</v>
      </c>
      <c r="D53" s="14" t="inlineStr">
        <is>
          <t>Other Manufacturing: includes furniture</t>
        </is>
      </c>
      <c r="E53" s="14" t="inlineStr">
        <is>
          <t>omf</t>
        </is>
      </c>
      <c r="F53" s="14" t="n">
        <v>45</v>
      </c>
      <c r="G53" s="14" t="inlineStr">
        <is>
          <t>Other Manufacturing</t>
        </is>
      </c>
      <c r="H53" s="14" t="inlineStr">
        <is>
          <t>Repair and installation of machinery and equipment</t>
        </is>
      </c>
      <c r="I53" s="14" t="inlineStr">
        <is>
          <t>C33</t>
        </is>
      </c>
      <c r="J53" s="14" t="inlineStr">
        <is>
          <t>Maintenance and Repair</t>
        </is>
      </c>
      <c r="K53" s="14" t="inlineStr">
        <is>
          <t>Commercial and public services</t>
        </is>
      </c>
      <c r="L53" s="14" t="inlineStr">
        <is>
          <t>COMMPUB</t>
        </is>
      </c>
      <c r="M53" s="14" t="n">
        <v>33</v>
      </c>
      <c r="N53" s="14" t="n">
        <v>33</v>
      </c>
      <c r="O53" s="14" t="inlineStr">
        <is>
          <t>Services (public &amp; private)</t>
        </is>
      </c>
      <c r="P53" s="14" t="inlineStr">
        <is>
          <t>Industry</t>
        </is>
      </c>
      <c r="Q53" s="14" t="inlineStr">
        <is>
          <t>srv</t>
        </is>
      </c>
      <c r="R53" s="14" t="inlineStr">
        <is>
          <t>housing</t>
        </is>
      </c>
      <c r="S53" s="14" t="inlineStr">
        <is>
          <t>hou</t>
        </is>
      </c>
    </row>
    <row r="54">
      <c r="A54" s="14" t="inlineStr">
        <is>
          <t>Real estate activities</t>
        </is>
      </c>
      <c r="B54" s="14" t="inlineStr">
        <is>
          <t>rsa</t>
        </is>
      </c>
      <c r="C54" s="14" t="n">
        <v>59</v>
      </c>
      <c r="D54" s="14" t="inlineStr">
        <is>
          <t>Real estate activities</t>
        </is>
      </c>
      <c r="E54" s="14" t="inlineStr">
        <is>
          <t>rsa</t>
        </is>
      </c>
      <c r="F54" s="14" t="n">
        <v>59</v>
      </c>
      <c r="G54" s="14" t="inlineStr">
        <is>
          <t>Real estate activities</t>
        </is>
      </c>
      <c r="H54" s="14" t="inlineStr">
        <is>
          <t>Real estate activities</t>
        </is>
      </c>
      <c r="I54" s="14" t="inlineStr">
        <is>
          <t>L68</t>
        </is>
      </c>
      <c r="J54" s="14" t="inlineStr">
        <is>
          <t>Finacial Intermediation and Business Activities</t>
        </is>
      </c>
      <c r="K54" s="14" t="inlineStr">
        <is>
          <t>Commercial and public services</t>
        </is>
      </c>
      <c r="L54" s="14" t="inlineStr">
        <is>
          <t>COMMPUB</t>
        </is>
      </c>
      <c r="M54" s="14" t="n">
        <v>662</v>
      </c>
      <c r="N54" s="14" t="n">
        <v>662</v>
      </c>
      <c r="O54" s="14" t="inlineStr">
        <is>
          <t>Services (public &amp; private)</t>
        </is>
      </c>
      <c r="P54" s="14" t="inlineStr">
        <is>
          <t>Industry</t>
        </is>
      </c>
      <c r="Q54" s="14" t="inlineStr">
        <is>
          <t>srv</t>
        </is>
      </c>
      <c r="R54" s="14" t="inlineStr">
        <is>
          <t>other</t>
        </is>
      </c>
      <c r="S54" s="14" t="inlineStr">
        <is>
          <t>oth</t>
        </is>
      </c>
    </row>
    <row r="55">
      <c r="A55" s="14" t="inlineStr">
        <is>
          <t>Warehousing and support activities for transportation</t>
        </is>
      </c>
      <c r="B55" s="14" t="inlineStr">
        <is>
          <t>whs</t>
        </is>
      </c>
      <c r="C55" s="14" t="n">
        <v>55</v>
      </c>
      <c r="D55" s="14" t="inlineStr">
        <is>
          <t>Warehousing and support activities</t>
        </is>
      </c>
      <c r="E55" s="14" t="inlineStr">
        <is>
          <t>whs</t>
        </is>
      </c>
      <c r="F55" s="14" t="n">
        <v>55</v>
      </c>
      <c r="G55" s="14" t="inlineStr">
        <is>
          <t>Warehousing</t>
        </is>
      </c>
      <c r="H55" s="14" t="inlineStr">
        <is>
          <t>Warehousing and support activities for transportation</t>
        </is>
      </c>
      <c r="I55" s="14" t="inlineStr">
        <is>
          <t>H52</t>
        </is>
      </c>
      <c r="J55" s="14" t="inlineStr">
        <is>
          <t>Finacial Intermediation and Business Activities</t>
        </is>
      </c>
      <c r="K55" s="14" t="inlineStr">
        <is>
          <t>Commercial and public services</t>
        </is>
      </c>
      <c r="L55" s="14" t="inlineStr">
        <is>
          <t>COMMPUB</t>
        </is>
      </c>
      <c r="M55" s="14" t="n">
        <v>52</v>
      </c>
      <c r="N55" s="14" t="n">
        <v>52</v>
      </c>
      <c r="O55" s="14" t="inlineStr">
        <is>
          <t>Services (public &amp; private)</t>
        </is>
      </c>
      <c r="P55" s="14" t="inlineStr">
        <is>
          <t>Industry</t>
        </is>
      </c>
      <c r="Q55" s="14" t="inlineStr">
        <is>
          <t>srv</t>
        </is>
      </c>
      <c r="R55" s="14" t="inlineStr">
        <is>
          <t>transp_pub</t>
        </is>
      </c>
      <c r="S55" s="14" t="inlineStr">
        <is>
          <t>tpu</t>
        </is>
      </c>
    </row>
    <row r="56">
      <c r="A56" s="14" t="inlineStr">
        <is>
          <t>Fund management activities</t>
        </is>
      </c>
      <c r="B56" s="14" t="inlineStr">
        <is>
          <t>ofi</t>
        </is>
      </c>
      <c r="C56" s="14" t="n">
        <v>57</v>
      </c>
      <c r="D56" s="14" t="inlineStr">
        <is>
          <t>Other Financial Intermediation: includes auxiliary activities but not insurance and pension funding</t>
        </is>
      </c>
      <c r="E56" s="14" t="inlineStr">
        <is>
          <t>ofi</t>
        </is>
      </c>
      <c r="F56" s="14" t="n">
        <v>57</v>
      </c>
      <c r="G56" s="14" t="inlineStr">
        <is>
          <t>Other financial intermediation</t>
        </is>
      </c>
      <c r="H56" s="14" t="inlineStr">
        <is>
          <t>Insurance, reinsurance and pension funding, except compulsory social security</t>
        </is>
      </c>
      <c r="I56" s="14" t="inlineStr">
        <is>
          <t>K65</t>
        </is>
      </c>
      <c r="J56" s="14" t="inlineStr">
        <is>
          <t>Finacial Intermediation and Business Activities</t>
        </is>
      </c>
      <c r="K56" s="14" t="inlineStr">
        <is>
          <t>Commercial and public services</t>
        </is>
      </c>
      <c r="L56" s="14" t="inlineStr">
        <is>
          <t>COMMPUB</t>
        </is>
      </c>
      <c r="M56" s="14" t="n">
        <v>663</v>
      </c>
      <c r="N56" s="14" t="n">
        <v>663</v>
      </c>
      <c r="O56" s="14" t="inlineStr">
        <is>
          <t>Services (public &amp; private)</t>
        </is>
      </c>
      <c r="P56" s="14" t="inlineStr">
        <is>
          <t>Industry</t>
        </is>
      </c>
      <c r="Q56" s="14" t="inlineStr">
        <is>
          <t>srv</t>
        </is>
      </c>
      <c r="R56" s="14" t="inlineStr">
        <is>
          <t>other</t>
        </is>
      </c>
      <c r="S56" s="14" t="inlineStr">
        <is>
          <t>oth</t>
        </is>
      </c>
    </row>
    <row r="57">
      <c r="A57" s="14" t="inlineStr">
        <is>
          <t>Financial service activities, except insurance and pension funding</t>
        </is>
      </c>
      <c r="B57" s="14" t="inlineStr">
        <is>
          <t>ofi</t>
        </is>
      </c>
      <c r="C57" s="14" t="n">
        <v>57</v>
      </c>
      <c r="D57" s="14" t="inlineStr">
        <is>
          <t>Other Financial Intermediation: includes auxiliary activities but not insurance and pension funding</t>
        </is>
      </c>
      <c r="E57" s="14" t="inlineStr">
        <is>
          <t>ofi</t>
        </is>
      </c>
      <c r="F57" s="14" t="n">
        <v>57</v>
      </c>
      <c r="G57" s="14" t="inlineStr">
        <is>
          <t>Other financial intermediation</t>
        </is>
      </c>
      <c r="H57" s="14" t="inlineStr">
        <is>
          <t>Financial service activities, except insurance and pension funding</t>
        </is>
      </c>
      <c r="I57" s="14" t="inlineStr">
        <is>
          <t>K64</t>
        </is>
      </c>
      <c r="J57" s="14" t="inlineStr">
        <is>
          <t>Finacial Intermediation and Business Activities</t>
        </is>
      </c>
      <c r="K57" s="14" t="inlineStr">
        <is>
          <t>Commercial and public services</t>
        </is>
      </c>
      <c r="L57" s="14" t="inlineStr">
        <is>
          <t>COMMPUB</t>
        </is>
      </c>
      <c r="M57" s="14" t="n">
        <v>663</v>
      </c>
      <c r="N57" s="14" t="n">
        <v>663</v>
      </c>
      <c r="O57" s="14" t="inlineStr">
        <is>
          <t>Services (public &amp; private)</t>
        </is>
      </c>
      <c r="P57" s="14" t="inlineStr">
        <is>
          <t>Industry</t>
        </is>
      </c>
      <c r="Q57" s="14" t="inlineStr">
        <is>
          <t>srv</t>
        </is>
      </c>
      <c r="R57" s="14" t="inlineStr">
        <is>
          <t>other</t>
        </is>
      </c>
      <c r="S57" s="14" t="inlineStr">
        <is>
          <t>oth</t>
        </is>
      </c>
    </row>
    <row r="58">
      <c r="A58" s="14" t="inlineStr">
        <is>
          <t>Activities auxiliary to financial service activities, except insurance and pension funding</t>
        </is>
      </c>
      <c r="B58" s="14" t="inlineStr">
        <is>
          <t>ofi</t>
        </is>
      </c>
      <c r="C58" s="14" t="n">
        <v>57</v>
      </c>
      <c r="D58" s="14" t="inlineStr">
        <is>
          <t>Other Financial Intermediation: includes auxiliary activities but not insurance and pension funding</t>
        </is>
      </c>
      <c r="E58" s="14" t="inlineStr">
        <is>
          <t>ofi</t>
        </is>
      </c>
      <c r="F58" s="14" t="n">
        <v>57</v>
      </c>
      <c r="G58" s="14" t="inlineStr">
        <is>
          <t>Other financial intermediation</t>
        </is>
      </c>
      <c r="H58" s="14" t="inlineStr">
        <is>
          <t>Activities auxiliary to financial services and insurance activities</t>
        </is>
      </c>
      <c r="I58" s="14" t="inlineStr">
        <is>
          <t>K66</t>
        </is>
      </c>
      <c r="J58" s="14" t="inlineStr">
        <is>
          <t>Finacial Intermediation and Business Activities</t>
        </is>
      </c>
      <c r="K58" s="14" t="inlineStr">
        <is>
          <t>Commercial and public services</t>
        </is>
      </c>
      <c r="L58" s="14" t="inlineStr">
        <is>
          <t>COMMPUB</t>
        </is>
      </c>
      <c r="M58" s="14" t="n">
        <v>663</v>
      </c>
      <c r="N58" s="14" t="n">
        <v>663</v>
      </c>
      <c r="O58" s="14" t="inlineStr">
        <is>
          <t>Services (public &amp; private)</t>
        </is>
      </c>
      <c r="P58" s="14" t="inlineStr">
        <is>
          <t>Industry</t>
        </is>
      </c>
      <c r="Q58" s="14" t="inlineStr">
        <is>
          <t>srv</t>
        </is>
      </c>
      <c r="R58" s="14" t="inlineStr">
        <is>
          <t>other</t>
        </is>
      </c>
      <c r="S58" s="14" t="inlineStr">
        <is>
          <t>oth</t>
        </is>
      </c>
    </row>
    <row r="59">
      <c r="A59" s="14" t="inlineStr">
        <is>
          <t>Insurance, reinsurance and pension funding, except compulsory social security</t>
        </is>
      </c>
      <c r="B59" s="14" t="inlineStr">
        <is>
          <t>ins</t>
        </is>
      </c>
      <c r="C59" s="14" t="n">
        <v>58</v>
      </c>
      <c r="D59" s="14" t="inlineStr">
        <is>
          <t>Insurance (formerly isr): includes pension funding, except compulsory social security</t>
        </is>
      </c>
      <c r="E59" s="14" t="inlineStr">
        <is>
          <t>ins</t>
        </is>
      </c>
      <c r="F59" s="14" t="n">
        <v>58</v>
      </c>
      <c r="G59" s="14" t="inlineStr">
        <is>
          <t>Insurance</t>
        </is>
      </c>
      <c r="H59" s="14" t="inlineStr">
        <is>
          <t>Insurance, reinsurance and pension funding, except compulsory social security</t>
        </is>
      </c>
      <c r="I59" s="14" t="inlineStr">
        <is>
          <t>K65</t>
        </is>
      </c>
      <c r="J59" s="14" t="inlineStr">
        <is>
          <t>Finacial Intermediation and Business Activities</t>
        </is>
      </c>
      <c r="K59" s="14" t="inlineStr">
        <is>
          <t>Commercial and public services</t>
        </is>
      </c>
      <c r="L59" s="14" t="inlineStr">
        <is>
          <t>COMMPUB</t>
        </is>
      </c>
      <c r="M59" s="14" t="n">
        <v>662</v>
      </c>
      <c r="N59" s="14" t="n">
        <v>662</v>
      </c>
      <c r="O59" s="14" t="inlineStr">
        <is>
          <t>Services (public &amp; private)</t>
        </is>
      </c>
      <c r="P59" s="14" t="inlineStr">
        <is>
          <t>Industry</t>
        </is>
      </c>
      <c r="Q59" s="14" t="inlineStr">
        <is>
          <t>srv</t>
        </is>
      </c>
      <c r="R59" s="14" t="inlineStr">
        <is>
          <t>other</t>
        </is>
      </c>
      <c r="S59" s="14" t="inlineStr">
        <is>
          <t>oth</t>
        </is>
      </c>
    </row>
    <row r="60">
      <c r="A60" s="14" t="inlineStr">
        <is>
          <t>Activities auxiliary to insurance and pension funding</t>
        </is>
      </c>
      <c r="B60" s="14" t="inlineStr">
        <is>
          <t>ins</t>
        </is>
      </c>
      <c r="C60" s="14" t="n">
        <v>58</v>
      </c>
      <c r="D60" s="14" t="inlineStr">
        <is>
          <t>Insurance (formerly isr): includes pension funding, except compulsory social security</t>
        </is>
      </c>
      <c r="E60" s="14" t="inlineStr">
        <is>
          <t>ins</t>
        </is>
      </c>
      <c r="F60" s="14" t="n">
        <v>58</v>
      </c>
      <c r="G60" s="14" t="inlineStr">
        <is>
          <t>Insurance</t>
        </is>
      </c>
      <c r="H60" s="14" t="inlineStr">
        <is>
          <t>Activities auxiliary to financial services and insurance activities</t>
        </is>
      </c>
      <c r="I60" s="14" t="inlineStr">
        <is>
          <t>K66</t>
        </is>
      </c>
      <c r="J60" s="14" t="inlineStr">
        <is>
          <t>Finacial Intermediation and Business Activities</t>
        </is>
      </c>
      <c r="K60" s="14" t="inlineStr">
        <is>
          <t>Commercial and public services</t>
        </is>
      </c>
      <c r="L60" s="14" t="inlineStr">
        <is>
          <t>COMMPUB</t>
        </is>
      </c>
      <c r="M60" s="14" t="n">
        <v>662</v>
      </c>
      <c r="N60" s="14" t="n">
        <v>662</v>
      </c>
      <c r="O60" s="14" t="inlineStr">
        <is>
          <t>Services (public &amp; private)</t>
        </is>
      </c>
      <c r="P60" s="14" t="inlineStr">
        <is>
          <t>Industry</t>
        </is>
      </c>
      <c r="Q60" s="14" t="inlineStr">
        <is>
          <t>srv</t>
        </is>
      </c>
      <c r="R60" s="14" t="inlineStr">
        <is>
          <t>other</t>
        </is>
      </c>
      <c r="S60" s="14" t="inlineStr">
        <is>
          <t>oth</t>
        </is>
      </c>
    </row>
    <row r="61">
      <c r="A61" s="14" t="inlineStr">
        <is>
          <t>Professional, scientific and technical activities and Administrative and support service activities</t>
        </is>
      </c>
      <c r="B61" s="14" t="inlineStr">
        <is>
          <t>obs</t>
        </is>
      </c>
      <c r="C61" s="14" t="n">
        <v>60</v>
      </c>
      <c r="D61" s="14" t="inlineStr">
        <is>
          <t>Other Business Services nec</t>
        </is>
      </c>
      <c r="E61" s="14" t="inlineStr">
        <is>
          <t>obs</t>
        </is>
      </c>
      <c r="F61" s="14" t="n">
        <v>60</v>
      </c>
      <c r="G61" s="14" t="inlineStr">
        <is>
          <t>Other Business Services</t>
        </is>
      </c>
      <c r="H61" s="14" t="inlineStr">
        <is>
          <t>Other professional, scientific and technical activities; veterinary activities</t>
        </is>
      </c>
      <c r="I61" s="14" t="inlineStr">
        <is>
          <t>M74_M75</t>
        </is>
      </c>
      <c r="J61" s="14" t="inlineStr">
        <is>
          <t>Finacial Intermediation and Business Activities</t>
        </is>
      </c>
      <c r="K61" s="14" t="inlineStr">
        <is>
          <t>Commercial and public services</t>
        </is>
      </c>
      <c r="L61" s="14" t="inlineStr">
        <is>
          <t>COMMPUB</t>
        </is>
      </c>
      <c r="M61" s="14" t="inlineStr">
        <is>
          <t>M, N</t>
        </is>
      </c>
      <c r="N61" s="14" t="inlineStr">
        <is>
          <t>0M, N</t>
        </is>
      </c>
      <c r="O61" s="14" t="inlineStr">
        <is>
          <t>Services (public &amp; private)</t>
        </is>
      </c>
      <c r="P61" s="14" t="inlineStr">
        <is>
          <t>Industry</t>
        </is>
      </c>
      <c r="Q61" s="14" t="inlineStr">
        <is>
          <t>srv</t>
        </is>
      </c>
      <c r="R61" s="14" t="inlineStr">
        <is>
          <t>other</t>
        </is>
      </c>
      <c r="S61" s="14" t="inlineStr">
        <is>
          <t>oth</t>
        </is>
      </c>
    </row>
    <row r="62">
      <c r="A62" s="14" t="inlineStr">
        <is>
          <t>Public administration and defence; compulsory social security</t>
        </is>
      </c>
      <c r="B62" s="14" t="inlineStr">
        <is>
          <t>osg</t>
        </is>
      </c>
      <c r="C62" s="14" t="n">
        <v>62</v>
      </c>
      <c r="D62" s="14" t="inlineStr">
        <is>
          <t>Other Services (Government): public administration and defense; compulsory social security, activities of membership organizations n.e.c., extra-territorial organizations and bodies</t>
        </is>
      </c>
      <c r="E62" s="14" t="inlineStr">
        <is>
          <t>osg</t>
        </is>
      </c>
      <c r="F62" s="14" t="n">
        <v>62</v>
      </c>
      <c r="G62" s="14" t="inlineStr">
        <is>
          <t>Government services</t>
        </is>
      </c>
      <c r="H62" s="14" t="inlineStr">
        <is>
          <t>Public administration and defence; compulsory social security</t>
        </is>
      </c>
      <c r="I62" s="14" t="inlineStr">
        <is>
          <t>O84</t>
        </is>
      </c>
      <c r="J62" s="14" t="inlineStr">
        <is>
          <t>Public Administration</t>
        </is>
      </c>
      <c r="K62" s="14" t="inlineStr">
        <is>
          <t>Commercial and public services</t>
        </is>
      </c>
      <c r="L62" s="14" t="inlineStr">
        <is>
          <t>COMMPUB</t>
        </is>
      </c>
      <c r="M62" s="14" t="n">
        <v>99</v>
      </c>
      <c r="N62" s="14" t="n">
        <v>99</v>
      </c>
      <c r="O62" s="14" t="inlineStr">
        <is>
          <t>Services (public &amp; private)</t>
        </is>
      </c>
      <c r="P62" s="14" t="inlineStr">
        <is>
          <t>Industry</t>
        </is>
      </c>
      <c r="Q62" s="14" t="inlineStr">
        <is>
          <t>srv</t>
        </is>
      </c>
      <c r="R62" s="14" t="inlineStr">
        <is>
          <t>other</t>
        </is>
      </c>
      <c r="S62" s="14" t="inlineStr">
        <is>
          <t>oth</t>
        </is>
      </c>
    </row>
    <row r="63">
      <c r="A63" s="14" t="inlineStr">
        <is>
          <t>Food and beverage service activities</t>
        </is>
      </c>
      <c r="B63" s="14" t="inlineStr">
        <is>
          <t>afs</t>
        </is>
      </c>
      <c r="C63" s="14" t="n">
        <v>51</v>
      </c>
      <c r="D63" s="14" t="inlineStr">
        <is>
          <t>Accommodation, Food and service activities</t>
        </is>
      </c>
      <c r="E63" s="14" t="inlineStr">
        <is>
          <t>afs</t>
        </is>
      </c>
      <c r="F63" s="14" t="n">
        <v>51</v>
      </c>
      <c r="G63" s="14" t="inlineStr">
        <is>
          <t>Hotels</t>
        </is>
      </c>
      <c r="H63" s="14" t="inlineStr">
        <is>
          <t>Accommodation and food service activities</t>
        </is>
      </c>
      <c r="I63" s="14" t="inlineStr">
        <is>
          <t>I</t>
        </is>
      </c>
      <c r="J63" s="14" t="inlineStr">
        <is>
          <t>Hotels and Restraurants</t>
        </is>
      </c>
      <c r="K63" s="14" t="inlineStr">
        <is>
          <t>Commercial and public services</t>
        </is>
      </c>
      <c r="L63" s="14" t="inlineStr">
        <is>
          <t>COMMPUB</t>
        </is>
      </c>
      <c r="M63" s="14" t="n">
        <v>56</v>
      </c>
      <c r="N63" s="14" t="n">
        <v>56</v>
      </c>
      <c r="O63" s="14" t="inlineStr">
        <is>
          <t>Services (public &amp; private)</t>
        </is>
      </c>
      <c r="P63" s="14" t="inlineStr">
        <is>
          <t>Industry</t>
        </is>
      </c>
      <c r="Q63" s="14" t="inlineStr">
        <is>
          <t>srv</t>
        </is>
      </c>
      <c r="R63" s="14" t="inlineStr">
        <is>
          <t>rectourism</t>
        </is>
      </c>
      <c r="S63" s="14" t="inlineStr">
        <is>
          <t>ret</t>
        </is>
      </c>
    </row>
    <row r="64">
      <c r="A64" s="14" t="inlineStr">
        <is>
          <t>Accommodation</t>
        </is>
      </c>
      <c r="B64" s="14" t="inlineStr">
        <is>
          <t>afs</t>
        </is>
      </c>
      <c r="C64" s="14" t="n">
        <v>51</v>
      </c>
      <c r="D64" s="14" t="inlineStr">
        <is>
          <t>Accommodation, Food and service activities</t>
        </is>
      </c>
      <c r="E64" s="14" t="inlineStr">
        <is>
          <t>afs</t>
        </is>
      </c>
      <c r="F64" s="14" t="n">
        <v>51</v>
      </c>
      <c r="G64" s="14" t="inlineStr">
        <is>
          <t>Hotels</t>
        </is>
      </c>
      <c r="H64" s="14" t="inlineStr">
        <is>
          <t>Accommodation and food service activities</t>
        </is>
      </c>
      <c r="I64" s="14" t="inlineStr">
        <is>
          <t>I</t>
        </is>
      </c>
      <c r="J64" s="14" t="inlineStr">
        <is>
          <t>Hotels and Restraurants</t>
        </is>
      </c>
      <c r="K64" s="14" t="inlineStr">
        <is>
          <t>Commercial and public services</t>
        </is>
      </c>
      <c r="L64" s="14" t="inlineStr">
        <is>
          <t>COMMPUB</t>
        </is>
      </c>
      <c r="M64" s="14" t="n">
        <v>56</v>
      </c>
      <c r="N64" s="14" t="n">
        <v>56</v>
      </c>
      <c r="O64" s="14" t="inlineStr">
        <is>
          <t>Services (public &amp; private)</t>
        </is>
      </c>
      <c r="P64" s="14" t="inlineStr">
        <is>
          <t>Industry</t>
        </is>
      </c>
      <c r="Q64" s="14" t="inlineStr">
        <is>
          <t>srv</t>
        </is>
      </c>
      <c r="R64" s="14" t="inlineStr">
        <is>
          <t>rectourism</t>
        </is>
      </c>
      <c r="S64" s="14" t="inlineStr">
        <is>
          <t>ret</t>
        </is>
      </c>
    </row>
    <row r="65">
      <c r="A65" s="14" t="inlineStr">
        <is>
          <t>Wholesale trade, except of motor vehicles and motorcycles</t>
        </is>
      </c>
      <c r="B65" s="14" t="inlineStr">
        <is>
          <t>trd</t>
        </is>
      </c>
      <c r="C65" s="14" t="n">
        <v>50</v>
      </c>
      <c r="D65" s="14" t="inlineStr">
        <is>
          <t>Wholesale and retail trade; repair of motor vehicles and motorcycles</t>
        </is>
      </c>
      <c r="E65" s="14" t="inlineStr">
        <is>
          <t>trd</t>
        </is>
      </c>
      <c r="F65" s="14" t="n">
        <v>50</v>
      </c>
      <c r="G65" s="14" t="inlineStr">
        <is>
          <t>Vehicles repair</t>
        </is>
      </c>
      <c r="H65" s="14" t="inlineStr">
        <is>
          <t>Wholesale trade, except of motor vehicles and motorcycles</t>
        </is>
      </c>
      <c r="I65" s="14" t="inlineStr">
        <is>
          <t>G46</t>
        </is>
      </c>
      <c r="J65" s="14" t="inlineStr">
        <is>
          <t>Wholesale Trade</t>
        </is>
      </c>
      <c r="K65" s="14" t="inlineStr">
        <is>
          <t>Commercial and public services</t>
        </is>
      </c>
      <c r="L65" s="14" t="inlineStr">
        <is>
          <t>COMMPUB</t>
        </is>
      </c>
      <c r="M65" s="14" t="n">
        <v>47</v>
      </c>
      <c r="N65" s="14" t="n">
        <v>47</v>
      </c>
      <c r="O65" s="14" t="inlineStr">
        <is>
          <t>Services (public &amp; private)</t>
        </is>
      </c>
      <c r="P65" s="14" t="inlineStr">
        <is>
          <t>Industry</t>
        </is>
      </c>
      <c r="Q65" s="14" t="inlineStr">
        <is>
          <t>srv</t>
        </is>
      </c>
      <c r="R65" s="14" t="inlineStr">
        <is>
          <t>transp_eqt</t>
        </is>
      </c>
      <c r="S65" s="14" t="inlineStr">
        <is>
          <t>teq</t>
        </is>
      </c>
    </row>
    <row r="66">
      <c r="A66" s="14" t="inlineStr">
        <is>
          <t>Retail trade, except of motor vehicles and motorcycles</t>
        </is>
      </c>
      <c r="B66" s="14" t="inlineStr">
        <is>
          <t>trd</t>
        </is>
      </c>
      <c r="C66" s="14" t="n">
        <v>50</v>
      </c>
      <c r="D66" s="14" t="inlineStr">
        <is>
          <t>Wholesale and retail trade; repair of motor vehicles and motorcycles</t>
        </is>
      </c>
      <c r="E66" s="14" t="inlineStr">
        <is>
          <t>trd</t>
        </is>
      </c>
      <c r="F66" s="14" t="n">
        <v>50</v>
      </c>
      <c r="G66" s="14" t="inlineStr">
        <is>
          <t>Vehicles repair</t>
        </is>
      </c>
      <c r="H66" s="14" t="inlineStr">
        <is>
          <t>Retail trade, except of motor vehicles and motorcycles</t>
        </is>
      </c>
      <c r="I66" s="14" t="inlineStr">
        <is>
          <t>G47</t>
        </is>
      </c>
      <c r="J66" s="14" t="inlineStr">
        <is>
          <t>Retail Trade</t>
        </is>
      </c>
      <c r="K66" s="14" t="inlineStr">
        <is>
          <t>Commercial and public services</t>
        </is>
      </c>
      <c r="L66" s="14" t="inlineStr">
        <is>
          <t>COMMPUB</t>
        </is>
      </c>
      <c r="M66" s="14" t="n">
        <v>47</v>
      </c>
      <c r="N66" s="14" t="n">
        <v>47</v>
      </c>
      <c r="O66" s="14" t="inlineStr">
        <is>
          <t>Services (public &amp; private)</t>
        </is>
      </c>
      <c r="P66" s="14" t="inlineStr">
        <is>
          <t>Industry</t>
        </is>
      </c>
      <c r="Q66" s="14" t="inlineStr">
        <is>
          <t>srv</t>
        </is>
      </c>
      <c r="R66" s="14" t="inlineStr">
        <is>
          <t>transp_eqt</t>
        </is>
      </c>
      <c r="S66" s="14" t="inlineStr">
        <is>
          <t>teq</t>
        </is>
      </c>
    </row>
    <row r="67">
      <c r="A67" s="14" t="inlineStr">
        <is>
          <t>Wholesale and retail trade and repair of motor vehicles and motorcycles</t>
        </is>
      </c>
      <c r="B67" s="14" t="inlineStr">
        <is>
          <t>trd</t>
        </is>
      </c>
      <c r="C67" s="14" t="n">
        <v>50</v>
      </c>
      <c r="D67" s="14" t="inlineStr">
        <is>
          <t>Wholesale and retail trade; repair of motor vehicles and motorcycles</t>
        </is>
      </c>
      <c r="E67" s="14" t="inlineStr">
        <is>
          <t>trd</t>
        </is>
      </c>
      <c r="F67" s="14" t="n">
        <v>50</v>
      </c>
      <c r="G67" s="14" t="inlineStr">
        <is>
          <t>Vehicles repair</t>
        </is>
      </c>
      <c r="H67" s="14" t="inlineStr">
        <is>
          <t>Wholesale and retail trade and repair of motor vehicles and motorcycles</t>
        </is>
      </c>
      <c r="I67" s="14" t="inlineStr">
        <is>
          <t>G45</t>
        </is>
      </c>
      <c r="J67" s="14" t="inlineStr">
        <is>
          <t>Wholesale Trade</t>
        </is>
      </c>
      <c r="K67" s="14" t="inlineStr">
        <is>
          <t>Commercial and public services</t>
        </is>
      </c>
      <c r="L67" s="14" t="inlineStr">
        <is>
          <t>COMMPUB</t>
        </is>
      </c>
      <c r="M67" s="14" t="n">
        <v>47</v>
      </c>
      <c r="N67" s="14" t="n">
        <v>47</v>
      </c>
      <c r="O67" s="14" t="inlineStr">
        <is>
          <t>Services (public &amp; private)</t>
        </is>
      </c>
      <c r="P67" s="14" t="inlineStr">
        <is>
          <t>Industry</t>
        </is>
      </c>
      <c r="Q67" s="14" t="inlineStr">
        <is>
          <t>srv</t>
        </is>
      </c>
      <c r="R67" s="14" t="inlineStr">
        <is>
          <t>transp_eqt</t>
        </is>
      </c>
      <c r="S67" s="14" t="inlineStr">
        <is>
          <t>teq</t>
        </is>
      </c>
    </row>
    <row r="68">
      <c r="A68" s="14" t="inlineStr">
        <is>
          <t>Specialized construction activities</t>
        </is>
      </c>
      <c r="B68" s="14" t="inlineStr">
        <is>
          <t>cns</t>
        </is>
      </c>
      <c r="C68" s="14" t="n">
        <v>49</v>
      </c>
      <c r="D68" s="14" t="inlineStr">
        <is>
          <t>Construction: building houses factories offices and roads</t>
        </is>
      </c>
      <c r="E68" s="14" t="inlineStr">
        <is>
          <t>cns</t>
        </is>
      </c>
      <c r="F68" s="14" t="n">
        <v>49</v>
      </c>
      <c r="G68" s="14" t="inlineStr">
        <is>
          <t>Construction</t>
        </is>
      </c>
      <c r="H68" s="14" t="inlineStr">
        <is>
          <t>Construction</t>
        </is>
      </c>
      <c r="I68" s="14" t="inlineStr">
        <is>
          <t>F</t>
        </is>
      </c>
      <c r="J68" s="14" t="inlineStr">
        <is>
          <t>Construction</t>
        </is>
      </c>
      <c r="K68" s="14" t="inlineStr">
        <is>
          <t>Construction</t>
        </is>
      </c>
      <c r="L68" s="14" t="inlineStr">
        <is>
          <t>CONSTRUC</t>
        </is>
      </c>
      <c r="M68" s="14" t="n">
        <v>43</v>
      </c>
      <c r="N68" s="14" t="n">
        <v>43</v>
      </c>
      <c r="O68" s="14" t="inlineStr">
        <is>
          <t>Construction</t>
        </is>
      </c>
      <c r="P68" s="14" t="inlineStr">
        <is>
          <t>Industry</t>
        </is>
      </c>
      <c r="Q68" s="14" t="inlineStr">
        <is>
          <t>cst</t>
        </is>
      </c>
      <c r="R68" s="14" t="inlineStr">
        <is>
          <t>housing</t>
        </is>
      </c>
      <c r="S68" s="14" t="inlineStr">
        <is>
          <t>hou</t>
        </is>
      </c>
    </row>
    <row r="69">
      <c r="A69" s="14" t="inlineStr">
        <is>
          <t>Construction of buildings</t>
        </is>
      </c>
      <c r="B69" s="14" t="inlineStr">
        <is>
          <t>cns</t>
        </is>
      </c>
      <c r="C69" s="14" t="n">
        <v>49</v>
      </c>
      <c r="D69" s="14" t="inlineStr">
        <is>
          <t>Construction: building houses factories offices and roads</t>
        </is>
      </c>
      <c r="E69" s="14" t="inlineStr">
        <is>
          <t>cns</t>
        </is>
      </c>
      <c r="F69" s="14" t="n">
        <v>49</v>
      </c>
      <c r="G69" s="14" t="inlineStr">
        <is>
          <t>Construction</t>
        </is>
      </c>
      <c r="H69" s="14" t="inlineStr">
        <is>
          <t>Construction</t>
        </is>
      </c>
      <c r="I69" s="14" t="inlineStr">
        <is>
          <t>F</t>
        </is>
      </c>
      <c r="J69" s="14" t="inlineStr">
        <is>
          <t>Construction</t>
        </is>
      </c>
      <c r="K69" s="14" t="inlineStr">
        <is>
          <t>Construction</t>
        </is>
      </c>
      <c r="L69" s="14" t="inlineStr">
        <is>
          <t>CONSTRUC</t>
        </is>
      </c>
      <c r="M69" s="14" t="n">
        <v>43</v>
      </c>
      <c r="N69" s="14" t="n">
        <v>43</v>
      </c>
      <c r="O69" s="14" t="inlineStr">
        <is>
          <t>Construction</t>
        </is>
      </c>
      <c r="P69" s="14" t="inlineStr">
        <is>
          <t>Industry</t>
        </is>
      </c>
      <c r="Q69" s="14" t="inlineStr">
        <is>
          <t>cst</t>
        </is>
      </c>
      <c r="R69" s="14" t="inlineStr">
        <is>
          <t>housing</t>
        </is>
      </c>
      <c r="S69" s="14" t="inlineStr">
        <is>
          <t>hou</t>
        </is>
      </c>
    </row>
    <row r="70">
      <c r="A70" s="14" t="inlineStr">
        <is>
          <t>Civil engineering</t>
        </is>
      </c>
      <c r="B70" s="14" t="inlineStr">
        <is>
          <t>cns</t>
        </is>
      </c>
      <c r="C70" s="14" t="n">
        <v>49</v>
      </c>
      <c r="D70" s="14" t="inlineStr">
        <is>
          <t>Construction: building houses factories offices and roads</t>
        </is>
      </c>
      <c r="E70" s="14" t="inlineStr">
        <is>
          <t>cns</t>
        </is>
      </c>
      <c r="F70" s="14" t="n">
        <v>49</v>
      </c>
      <c r="G70" s="14" t="inlineStr">
        <is>
          <t>Construction</t>
        </is>
      </c>
      <c r="H70" s="14" t="inlineStr">
        <is>
          <t>Architectural and engineering activities; technical testing and analysis</t>
        </is>
      </c>
      <c r="I70" s="14" t="inlineStr">
        <is>
          <t>M71</t>
        </is>
      </c>
      <c r="J70" s="14" t="inlineStr">
        <is>
          <t>Construction</t>
        </is>
      </c>
      <c r="K70" s="14" t="inlineStr">
        <is>
          <t>Construction</t>
        </is>
      </c>
      <c r="L70" s="14" t="inlineStr">
        <is>
          <t>CONSTRUC</t>
        </is>
      </c>
      <c r="M70" s="14" t="n">
        <v>43</v>
      </c>
      <c r="N70" s="14" t="n">
        <v>43</v>
      </c>
      <c r="O70" s="14" t="inlineStr">
        <is>
          <t>Construction</t>
        </is>
      </c>
      <c r="P70" s="14" t="inlineStr">
        <is>
          <t>Industry</t>
        </is>
      </c>
      <c r="Q70" s="14" t="inlineStr">
        <is>
          <t>cst</t>
        </is>
      </c>
      <c r="R70" s="14" t="inlineStr">
        <is>
          <t>housing</t>
        </is>
      </c>
      <c r="S70" s="14" t="inlineStr">
        <is>
          <t>hou</t>
        </is>
      </c>
    </row>
    <row r="71">
      <c r="A71" s="14" t="inlineStr">
        <is>
          <t>Fishing and aquaculture</t>
        </is>
      </c>
      <c r="B71" s="14" t="inlineStr">
        <is>
          <t>fsh</t>
        </is>
      </c>
      <c r="C71" s="14" t="n">
        <v>14</v>
      </c>
      <c r="D71" s="14" t="inlineStr">
        <is>
          <t>Fishing: hunting, trapping and game propagation including related service activities, fishing, fish farms; service activities incidental to fishing</t>
        </is>
      </c>
      <c r="E71" s="14" t="inlineStr">
        <is>
          <t>fsh</t>
        </is>
      </c>
      <c r="F71" s="14" t="n">
        <v>14</v>
      </c>
      <c r="G71" s="14" t="inlineStr">
        <is>
          <t>Fishing</t>
        </is>
      </c>
      <c r="H71" s="14" t="inlineStr">
        <is>
          <t>Fishing and aquaculture</t>
        </is>
      </c>
      <c r="I71" s="14" t="inlineStr">
        <is>
          <t>A03</t>
        </is>
      </c>
      <c r="J71" s="14" t="inlineStr">
        <is>
          <t>Fishing</t>
        </is>
      </c>
      <c r="K71" s="14" t="inlineStr">
        <is>
          <t>Fishing</t>
        </is>
      </c>
      <c r="L71" s="14" t="inlineStr">
        <is>
          <t>FISHING</t>
        </is>
      </c>
      <c r="M71" s="14" t="n">
        <v>17</v>
      </c>
      <c r="N71" s="14" t="n">
        <v>3</v>
      </c>
      <c r="O71" s="14" t="inlineStr">
        <is>
          <t>Food &amp; forestry</t>
        </is>
      </c>
      <c r="P71" s="14" t="inlineStr">
        <is>
          <t>Industry</t>
        </is>
      </c>
      <c r="Q71" s="14" t="inlineStr">
        <is>
          <t>foo</t>
        </is>
      </c>
      <c r="R71" s="14" t="inlineStr">
        <is>
          <t>food</t>
        </is>
      </c>
      <c r="S71" s="14" t="inlineStr">
        <is>
          <t>food</t>
        </is>
      </c>
    </row>
    <row r="72">
      <c r="A72" s="14" t="inlineStr">
        <is>
          <t>Hunting, trapping and related service activities</t>
        </is>
      </c>
      <c r="B72" s="14" t="inlineStr">
        <is>
          <t>fsh</t>
        </is>
      </c>
      <c r="C72" s="14" t="n">
        <v>14</v>
      </c>
      <c r="D72" s="14" t="inlineStr">
        <is>
          <t>Fishing: hunting, trapping and game propagation including related service activities, fishing, fish farms; service activities incidental to fishing</t>
        </is>
      </c>
      <c r="E72" s="14" t="inlineStr">
        <is>
          <t>fsh</t>
        </is>
      </c>
      <c r="F72" s="14" t="n">
        <v>14</v>
      </c>
      <c r="G72" s="14" t="inlineStr">
        <is>
          <t>Fishing</t>
        </is>
      </c>
      <c r="H72" s="14" t="inlineStr">
        <is>
          <t>Fishing and aquaculture</t>
        </is>
      </c>
      <c r="I72" s="14" t="inlineStr">
        <is>
          <t>A03</t>
        </is>
      </c>
      <c r="J72" s="14" t="inlineStr">
        <is>
          <t>Fishing</t>
        </is>
      </c>
      <c r="K72" s="14" t="inlineStr">
        <is>
          <t>Fishing</t>
        </is>
      </c>
      <c r="L72" s="14" t="inlineStr">
        <is>
          <t>FISHING</t>
        </is>
      </c>
      <c r="M72" s="14" t="n">
        <v>17</v>
      </c>
      <c r="N72" s="14" t="n">
        <v>3</v>
      </c>
      <c r="O72" s="14" t="inlineStr">
        <is>
          <t>Food &amp; forestry</t>
        </is>
      </c>
      <c r="P72" s="14" t="inlineStr">
        <is>
          <t>Industry</t>
        </is>
      </c>
      <c r="Q72" s="14" t="inlineStr">
        <is>
          <t>foo</t>
        </is>
      </c>
      <c r="R72" s="14" t="inlineStr">
        <is>
          <t>food</t>
        </is>
      </c>
      <c r="S72" s="14" t="inlineStr">
        <is>
          <t>food</t>
        </is>
      </c>
    </row>
    <row r="73">
      <c r="A73" s="14" t="inlineStr">
        <is>
          <t>Tobacco products</t>
        </is>
      </c>
      <c r="B73" s="14" t="inlineStr">
        <is>
          <t>b_t</t>
        </is>
      </c>
      <c r="C73" s="14" t="n">
        <v>26</v>
      </c>
      <c r="D73" s="14" t="inlineStr">
        <is>
          <t>Beverages and Tobacco products</t>
        </is>
      </c>
      <c r="E73" s="14" t="inlineStr">
        <is>
          <t>b_t</t>
        </is>
      </c>
      <c r="F73" s="14" t="n">
        <v>26</v>
      </c>
      <c r="G73" s="14" t="inlineStr">
        <is>
          <t>Beverages &amp; Tobacco</t>
        </is>
      </c>
      <c r="H73" s="14" t="inlineStr">
        <is>
          <t>Manufacture of food products, beverages and tobacco products</t>
        </is>
      </c>
      <c r="I73" s="14" t="inlineStr">
        <is>
          <t>C10-C12</t>
        </is>
      </c>
      <c r="J73" s="14" t="inlineStr">
        <is>
          <t>Food &amp; Beverages</t>
        </is>
      </c>
      <c r="K73" s="14" t="inlineStr">
        <is>
          <t>Food and tobacco</t>
        </is>
      </c>
      <c r="L73" s="14" t="inlineStr">
        <is>
          <t>FOODPRO</t>
        </is>
      </c>
      <c r="M73" s="14" t="n">
        <v>25</v>
      </c>
      <c r="N73" s="14" t="inlineStr">
        <is>
          <t>10, 11,12</t>
        </is>
      </c>
      <c r="O73" s="14" t="inlineStr">
        <is>
          <t>Food &amp; forestry</t>
        </is>
      </c>
      <c r="P73" s="14" t="inlineStr">
        <is>
          <t>Industry</t>
        </is>
      </c>
      <c r="Q73" s="14" t="inlineStr">
        <is>
          <t>foo</t>
        </is>
      </c>
      <c r="R73" s="14" t="inlineStr">
        <is>
          <t>food</t>
        </is>
      </c>
      <c r="S73" s="14" t="inlineStr">
        <is>
          <t>food</t>
        </is>
      </c>
    </row>
    <row r="74">
      <c r="A74" s="14" t="inlineStr">
        <is>
          <t>Beverages</t>
        </is>
      </c>
      <c r="B74" s="14" t="inlineStr">
        <is>
          <t>b_t</t>
        </is>
      </c>
      <c r="C74" s="14" t="n">
        <v>26</v>
      </c>
      <c r="D74" s="14" t="inlineStr">
        <is>
          <t>Beverages and Tobacco products</t>
        </is>
      </c>
      <c r="E74" s="14" t="inlineStr">
        <is>
          <t>b_t</t>
        </is>
      </c>
      <c r="F74" s="14" t="n">
        <v>26</v>
      </c>
      <c r="G74" s="14" t="inlineStr">
        <is>
          <t>Beverages &amp; Tobacco</t>
        </is>
      </c>
      <c r="H74" s="14" t="inlineStr">
        <is>
          <t>Manufacture of food products, beverages and tobacco products</t>
        </is>
      </c>
      <c r="I74" s="14" t="inlineStr">
        <is>
          <t>C10-C12</t>
        </is>
      </c>
      <c r="J74" s="14" t="inlineStr">
        <is>
          <t>Food &amp; Beverages</t>
        </is>
      </c>
      <c r="K74" s="14" t="inlineStr">
        <is>
          <t>Food and tobacco</t>
        </is>
      </c>
      <c r="L74" s="14" t="inlineStr">
        <is>
          <t>FOODPRO</t>
        </is>
      </c>
      <c r="M74" s="14" t="n">
        <v>25</v>
      </c>
      <c r="N74" s="14" t="inlineStr">
        <is>
          <t>10, 11,12</t>
        </is>
      </c>
      <c r="O74" s="14" t="inlineStr">
        <is>
          <t>Food &amp; forestry</t>
        </is>
      </c>
      <c r="P74" s="14" t="inlineStr">
        <is>
          <t>Industry</t>
        </is>
      </c>
      <c r="Q74" s="14" t="inlineStr">
        <is>
          <t>foo</t>
        </is>
      </c>
      <c r="R74" s="14" t="inlineStr">
        <is>
          <t>food</t>
        </is>
      </c>
      <c r="S74" s="14" t="inlineStr">
        <is>
          <t>food</t>
        </is>
      </c>
    </row>
    <row r="75">
      <c r="A75" s="14" t="inlineStr">
        <is>
          <t>Meat of mammals, frozen</t>
        </is>
      </c>
      <c r="B75" s="14" t="inlineStr">
        <is>
          <t>cmt</t>
        </is>
      </c>
      <c r="C75" s="14" t="n">
        <v>19</v>
      </c>
      <c r="D75"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75" s="14" t="inlineStr">
        <is>
          <t>cmt</t>
        </is>
      </c>
      <c r="F75" s="14" t="n">
        <v>19</v>
      </c>
      <c r="G75" s="14" t="inlineStr">
        <is>
          <t>Cattle Meat</t>
        </is>
      </c>
      <c r="H75" s="14" t="inlineStr">
        <is>
          <t>Manufacture of food products, beverages and tobacco products</t>
        </is>
      </c>
      <c r="I75" s="14" t="inlineStr">
        <is>
          <t>C10-C12</t>
        </is>
      </c>
      <c r="J75" s="14" t="inlineStr">
        <is>
          <t>Food &amp; Beverages</t>
        </is>
      </c>
      <c r="K75" s="14" t="inlineStr">
        <is>
          <t>Food and tobacco</t>
        </is>
      </c>
      <c r="L75" s="14" t="inlineStr">
        <is>
          <t>FOODPRO</t>
        </is>
      </c>
      <c r="M75" s="14" t="n">
        <v>21119</v>
      </c>
      <c r="N75" s="14" t="inlineStr">
        <is>
          <t>10, 11,12</t>
        </is>
      </c>
      <c r="O75" s="14" t="inlineStr">
        <is>
          <t>Food &amp; forestry</t>
        </is>
      </c>
      <c r="P75" s="14" t="inlineStr">
        <is>
          <t>Industry</t>
        </is>
      </c>
      <c r="Q75" s="14" t="inlineStr">
        <is>
          <t>foo</t>
        </is>
      </c>
      <c r="R75" s="14" t="inlineStr">
        <is>
          <t>food</t>
        </is>
      </c>
      <c r="S75" s="14" t="inlineStr">
        <is>
          <t>food</t>
        </is>
      </c>
    </row>
    <row r="76">
      <c r="A76" s="14" t="inlineStr">
        <is>
          <t>Meat of sheep, fresh or chilled</t>
        </is>
      </c>
      <c r="B76" s="14" t="inlineStr">
        <is>
          <t>cmt</t>
        </is>
      </c>
      <c r="C76" s="14" t="n">
        <v>19</v>
      </c>
      <c r="D76"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76" s="14" t="inlineStr">
        <is>
          <t>cmt</t>
        </is>
      </c>
      <c r="F76" s="14" t="n">
        <v>19</v>
      </c>
      <c r="G76" s="14" t="inlineStr">
        <is>
          <t>Cattle Meat</t>
        </is>
      </c>
      <c r="H76" s="14" t="inlineStr">
        <is>
          <t>Manufacture of food products, beverages and tobacco products</t>
        </is>
      </c>
      <c r="I76" s="14" t="inlineStr">
        <is>
          <t>C10-C12</t>
        </is>
      </c>
      <c r="J76" s="14" t="inlineStr">
        <is>
          <t>Food &amp; Beverages</t>
        </is>
      </c>
      <c r="K76" s="14" t="inlineStr">
        <is>
          <t>Food and tobacco</t>
        </is>
      </c>
      <c r="L76" s="14" t="inlineStr">
        <is>
          <t>FOODPRO</t>
        </is>
      </c>
      <c r="M76" s="14" t="n">
        <v>21119</v>
      </c>
      <c r="N76" s="14" t="inlineStr">
        <is>
          <t>10, 11,12</t>
        </is>
      </c>
      <c r="O76" s="14" t="inlineStr">
        <is>
          <t>Food &amp; forestry</t>
        </is>
      </c>
      <c r="P76" s="14" t="inlineStr">
        <is>
          <t>Industry</t>
        </is>
      </c>
      <c r="Q76" s="14" t="inlineStr">
        <is>
          <t>foo</t>
        </is>
      </c>
      <c r="R76" s="14" t="inlineStr">
        <is>
          <t>food</t>
        </is>
      </c>
      <c r="S76" s="14" t="inlineStr">
        <is>
          <t>food</t>
        </is>
      </c>
    </row>
    <row r="77">
      <c r="A77" s="14" t="inlineStr">
        <is>
          <t>Meat of cattle, fresh or chilled</t>
        </is>
      </c>
      <c r="B77" s="14" t="inlineStr">
        <is>
          <t>cmt</t>
        </is>
      </c>
      <c r="C77" s="14" t="n">
        <v>19</v>
      </c>
      <c r="D77"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77" s="14" t="inlineStr">
        <is>
          <t>cmt</t>
        </is>
      </c>
      <c r="F77" s="14" t="n">
        <v>19</v>
      </c>
      <c r="G77" s="14" t="inlineStr">
        <is>
          <t>Cattle Meat</t>
        </is>
      </c>
      <c r="H77" s="14" t="inlineStr">
        <is>
          <t>Manufacture of food products, beverages and tobacco products</t>
        </is>
      </c>
      <c r="I77" s="14" t="inlineStr">
        <is>
          <t>C10-C12</t>
        </is>
      </c>
      <c r="J77" s="14" t="inlineStr">
        <is>
          <t>Food &amp; Beverages</t>
        </is>
      </c>
      <c r="K77" s="14" t="inlineStr">
        <is>
          <t>Food and tobacco</t>
        </is>
      </c>
      <c r="L77" s="14" t="inlineStr">
        <is>
          <t>FOODPRO</t>
        </is>
      </c>
      <c r="M77" s="14" t="n">
        <v>21119</v>
      </c>
      <c r="N77" s="14" t="inlineStr">
        <is>
          <t>10, 11,12</t>
        </is>
      </c>
      <c r="O77" s="14" t="inlineStr">
        <is>
          <t>Food &amp; forestry</t>
        </is>
      </c>
      <c r="P77" s="14" t="inlineStr">
        <is>
          <t>Industry</t>
        </is>
      </c>
      <c r="Q77" s="14" t="inlineStr">
        <is>
          <t>foo</t>
        </is>
      </c>
      <c r="R77" s="14" t="inlineStr">
        <is>
          <t>food</t>
        </is>
      </c>
      <c r="S77" s="14" t="inlineStr">
        <is>
          <t>food</t>
        </is>
      </c>
    </row>
    <row r="78">
      <c r="A78" s="14" t="inlineStr">
        <is>
          <t>Other meat of mammals, fresh or chilled</t>
        </is>
      </c>
      <c r="B78" s="14" t="inlineStr">
        <is>
          <t>cmt</t>
        </is>
      </c>
      <c r="C78" s="14" t="n">
        <v>19</v>
      </c>
      <c r="D78"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78" s="14" t="inlineStr">
        <is>
          <t>cmt</t>
        </is>
      </c>
      <c r="F78" s="14" t="n">
        <v>19</v>
      </c>
      <c r="G78" s="14" t="inlineStr">
        <is>
          <t>Cattle Meat</t>
        </is>
      </c>
      <c r="H78" s="14" t="inlineStr">
        <is>
          <t>Manufacture of food products, beverages and tobacco products</t>
        </is>
      </c>
      <c r="I78" s="14" t="inlineStr">
        <is>
          <t>C10-C12</t>
        </is>
      </c>
      <c r="J78" s="14" t="inlineStr">
        <is>
          <t>Food &amp; Beverages</t>
        </is>
      </c>
      <c r="K78" s="14" t="inlineStr">
        <is>
          <t>Food and tobacco</t>
        </is>
      </c>
      <c r="L78" s="14" t="inlineStr">
        <is>
          <t>FOODPRO</t>
        </is>
      </c>
      <c r="M78" s="14" t="n">
        <v>21119</v>
      </c>
      <c r="N78" s="14" t="inlineStr">
        <is>
          <t>10, 11,12</t>
        </is>
      </c>
      <c r="O78" s="14" t="inlineStr">
        <is>
          <t>Food &amp; forestry</t>
        </is>
      </c>
      <c r="P78" s="14" t="inlineStr">
        <is>
          <t>Industry</t>
        </is>
      </c>
      <c r="Q78" s="14" t="inlineStr">
        <is>
          <t>foo</t>
        </is>
      </c>
      <c r="R78" s="14" t="inlineStr">
        <is>
          <t>food</t>
        </is>
      </c>
      <c r="S78" s="14" t="inlineStr">
        <is>
          <t>food</t>
        </is>
      </c>
    </row>
    <row r="79">
      <c r="A79" s="14" t="inlineStr">
        <is>
          <t>Meat of camels and camelids, fresh or chilled</t>
        </is>
      </c>
      <c r="B79" s="14" t="inlineStr">
        <is>
          <t>cmt</t>
        </is>
      </c>
      <c r="C79" s="14" t="n">
        <v>19</v>
      </c>
      <c r="D79"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79" s="14" t="inlineStr">
        <is>
          <t>cmt</t>
        </is>
      </c>
      <c r="F79" s="14" t="n">
        <v>19</v>
      </c>
      <c r="G79" s="14" t="inlineStr">
        <is>
          <t>Cattle Meat</t>
        </is>
      </c>
      <c r="H79" s="14" t="inlineStr">
        <is>
          <t>Manufacture of food products, beverages and tobacco products</t>
        </is>
      </c>
      <c r="I79" s="14" t="inlineStr">
        <is>
          <t>C10-C12</t>
        </is>
      </c>
      <c r="J79" s="14" t="inlineStr">
        <is>
          <t>Food &amp; Beverages</t>
        </is>
      </c>
      <c r="K79" s="14" t="inlineStr">
        <is>
          <t>Food and tobacco</t>
        </is>
      </c>
      <c r="L79" s="14" t="inlineStr">
        <is>
          <t>FOODPRO</t>
        </is>
      </c>
      <c r="M79" s="14" t="n">
        <v>21119</v>
      </c>
      <c r="N79" s="14" t="inlineStr">
        <is>
          <t>10, 11,12</t>
        </is>
      </c>
      <c r="O79" s="14" t="inlineStr">
        <is>
          <t>Food &amp; forestry</t>
        </is>
      </c>
      <c r="P79" s="14" t="inlineStr">
        <is>
          <t>Industry</t>
        </is>
      </c>
      <c r="Q79" s="14" t="inlineStr">
        <is>
          <t>foo</t>
        </is>
      </c>
      <c r="R79" s="14" t="inlineStr">
        <is>
          <t>food</t>
        </is>
      </c>
      <c r="S79" s="14" t="inlineStr">
        <is>
          <t>food</t>
        </is>
      </c>
    </row>
    <row r="80">
      <c r="A80" s="14" t="inlineStr">
        <is>
          <t>Meat of buffalo, fresh or chilled</t>
        </is>
      </c>
      <c r="B80" s="14" t="inlineStr">
        <is>
          <t>cmt</t>
        </is>
      </c>
      <c r="C80" s="14" t="n">
        <v>19</v>
      </c>
      <c r="D80"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80" s="14" t="inlineStr">
        <is>
          <t>cmt</t>
        </is>
      </c>
      <c r="F80" s="14" t="n">
        <v>19</v>
      </c>
      <c r="G80" s="14" t="inlineStr">
        <is>
          <t>Cattle Meat</t>
        </is>
      </c>
      <c r="H80" s="14" t="inlineStr">
        <is>
          <t>Manufacture of food products, beverages and tobacco products</t>
        </is>
      </c>
      <c r="I80" s="14" t="inlineStr">
        <is>
          <t>C10-C12</t>
        </is>
      </c>
      <c r="J80" s="14" t="inlineStr">
        <is>
          <t>Food &amp; Beverages</t>
        </is>
      </c>
      <c r="K80" s="14" t="inlineStr">
        <is>
          <t>Food and tobacco</t>
        </is>
      </c>
      <c r="L80" s="14" t="inlineStr">
        <is>
          <t>FOODPRO</t>
        </is>
      </c>
      <c r="M80" s="14" t="n">
        <v>21119</v>
      </c>
      <c r="N80" s="14" t="inlineStr">
        <is>
          <t>10, 11,12</t>
        </is>
      </c>
      <c r="O80" s="14" t="inlineStr">
        <is>
          <t>Food &amp; forestry</t>
        </is>
      </c>
      <c r="P80" s="14" t="inlineStr">
        <is>
          <t>Industry</t>
        </is>
      </c>
      <c r="Q80" s="14" t="inlineStr">
        <is>
          <t>foo</t>
        </is>
      </c>
      <c r="R80" s="14" t="inlineStr">
        <is>
          <t>food</t>
        </is>
      </c>
      <c r="S80" s="14" t="inlineStr">
        <is>
          <t>food</t>
        </is>
      </c>
    </row>
    <row r="81">
      <c r="A81" s="14" t="inlineStr">
        <is>
          <t>Edible offal of mammals, fresh, chilled or frozen</t>
        </is>
      </c>
      <c r="B81" s="14" t="inlineStr">
        <is>
          <t>cmt</t>
        </is>
      </c>
      <c r="C81" s="14" t="n">
        <v>19</v>
      </c>
      <c r="D81"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81" s="14" t="inlineStr">
        <is>
          <t>cmt</t>
        </is>
      </c>
      <c r="F81" s="14" t="n">
        <v>19</v>
      </c>
      <c r="G81" s="14" t="inlineStr">
        <is>
          <t>Cattle Meat</t>
        </is>
      </c>
      <c r="H81" s="14" t="inlineStr">
        <is>
          <t>Manufacture of food products, beverages and tobacco products</t>
        </is>
      </c>
      <c r="I81" s="14" t="inlineStr">
        <is>
          <t>C10-C12</t>
        </is>
      </c>
      <c r="J81" s="14" t="inlineStr">
        <is>
          <t>Food &amp; Beverages</t>
        </is>
      </c>
      <c r="K81" s="14" t="inlineStr">
        <is>
          <t>Food and tobacco</t>
        </is>
      </c>
      <c r="L81" s="14" t="inlineStr">
        <is>
          <t>FOODPRO</t>
        </is>
      </c>
      <c r="M81" s="14" t="n">
        <v>21119</v>
      </c>
      <c r="N81" s="14" t="inlineStr">
        <is>
          <t>10, 11,12</t>
        </is>
      </c>
      <c r="O81" s="14" t="inlineStr">
        <is>
          <t>Food &amp; forestry</t>
        </is>
      </c>
      <c r="P81" s="14" t="inlineStr">
        <is>
          <t>Industry</t>
        </is>
      </c>
      <c r="Q81" s="14" t="inlineStr">
        <is>
          <t>foo</t>
        </is>
      </c>
      <c r="R81" s="14" t="inlineStr">
        <is>
          <t>food</t>
        </is>
      </c>
      <c r="S81" s="14" t="inlineStr">
        <is>
          <t>food</t>
        </is>
      </c>
    </row>
    <row r="82">
      <c r="A82" s="14" t="inlineStr">
        <is>
          <t>Meat of horses and other equines, fresh or chilled</t>
        </is>
      </c>
      <c r="B82" s="14" t="inlineStr">
        <is>
          <t>cmt</t>
        </is>
      </c>
      <c r="C82" s="14" t="n">
        <v>19</v>
      </c>
      <c r="D82"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82" s="14" t="inlineStr">
        <is>
          <t>cmt</t>
        </is>
      </c>
      <c r="F82" s="14" t="n">
        <v>19</v>
      </c>
      <c r="G82" s="14" t="inlineStr">
        <is>
          <t>Cattle Meat</t>
        </is>
      </c>
      <c r="H82" s="14" t="inlineStr">
        <is>
          <t>Manufacture of food products, beverages and tobacco products</t>
        </is>
      </c>
      <c r="I82" s="14" t="inlineStr">
        <is>
          <t>C10-C12</t>
        </is>
      </c>
      <c r="J82" s="14" t="inlineStr">
        <is>
          <t>Food &amp; Beverages</t>
        </is>
      </c>
      <c r="K82" s="14" t="inlineStr">
        <is>
          <t>Food and tobacco</t>
        </is>
      </c>
      <c r="L82" s="14" t="inlineStr">
        <is>
          <t>FOODPRO</t>
        </is>
      </c>
      <c r="M82" s="14" t="n">
        <v>21119</v>
      </c>
      <c r="N82" s="14" t="inlineStr">
        <is>
          <t>10, 11,12</t>
        </is>
      </c>
      <c r="O82" s="14" t="inlineStr">
        <is>
          <t>Food &amp; forestry</t>
        </is>
      </c>
      <c r="P82" s="14" t="inlineStr">
        <is>
          <t>Industry</t>
        </is>
      </c>
      <c r="Q82" s="14" t="inlineStr">
        <is>
          <t>foo</t>
        </is>
      </c>
      <c r="R82" s="14" t="inlineStr">
        <is>
          <t>food</t>
        </is>
      </c>
      <c r="S82" s="14" t="inlineStr">
        <is>
          <t>food</t>
        </is>
      </c>
    </row>
    <row r="83">
      <c r="A83" s="14" t="inlineStr">
        <is>
          <t>Meat of goat, fresh or chilled</t>
        </is>
      </c>
      <c r="B83" s="14" t="inlineStr">
        <is>
          <t>cmt</t>
        </is>
      </c>
      <c r="C83" s="14" t="n">
        <v>19</v>
      </c>
      <c r="D83"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83" s="14" t="inlineStr">
        <is>
          <t>cmt</t>
        </is>
      </c>
      <c r="F83" s="14" t="n">
        <v>19</v>
      </c>
      <c r="G83" s="14" t="inlineStr">
        <is>
          <t>Cattle Meat</t>
        </is>
      </c>
      <c r="H83" s="14" t="inlineStr">
        <is>
          <t>Manufacture of food products, beverages and tobacco products</t>
        </is>
      </c>
      <c r="I83" s="14" t="inlineStr">
        <is>
          <t>C10-C12</t>
        </is>
      </c>
      <c r="J83" s="14" t="inlineStr">
        <is>
          <t>Food &amp; Beverages</t>
        </is>
      </c>
      <c r="K83" s="14" t="inlineStr">
        <is>
          <t>Food and tobacco</t>
        </is>
      </c>
      <c r="L83" s="14" t="inlineStr">
        <is>
          <t>FOODPRO</t>
        </is>
      </c>
      <c r="M83" s="14" t="n">
        <v>21119</v>
      </c>
      <c r="N83" s="14" t="inlineStr">
        <is>
          <t>10, 11,12</t>
        </is>
      </c>
      <c r="O83" s="14" t="inlineStr">
        <is>
          <t>Food &amp; forestry</t>
        </is>
      </c>
      <c r="P83" s="14" t="inlineStr">
        <is>
          <t>Industry</t>
        </is>
      </c>
      <c r="Q83" s="14" t="inlineStr">
        <is>
          <t>foo</t>
        </is>
      </c>
      <c r="R83" s="14" t="inlineStr">
        <is>
          <t>food</t>
        </is>
      </c>
      <c r="S83" s="14" t="inlineStr">
        <is>
          <t>food</t>
        </is>
      </c>
    </row>
    <row r="84">
      <c r="A84" s="14" t="inlineStr">
        <is>
          <t>Meat of pigs, fresh or chilled</t>
        </is>
      </c>
      <c r="B84" s="14" t="inlineStr">
        <is>
          <t>omt</t>
        </is>
      </c>
      <c r="C84" s="14" t="n">
        <v>20</v>
      </c>
      <c r="D84" s="14"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84" s="14" t="inlineStr">
        <is>
          <t>omt</t>
        </is>
      </c>
      <c r="F84" s="14" t="n">
        <v>20</v>
      </c>
      <c r="G84" s="14" t="inlineStr">
        <is>
          <t>Other Meat</t>
        </is>
      </c>
      <c r="H84" s="14" t="inlineStr">
        <is>
          <t>Manufacture of food products, beverages and tobacco products</t>
        </is>
      </c>
      <c r="I84" s="14" t="inlineStr">
        <is>
          <t>C10-C12</t>
        </is>
      </c>
      <c r="J84" s="14" t="inlineStr">
        <is>
          <t>Food &amp; Beverages</t>
        </is>
      </c>
      <c r="K84" s="14" t="inlineStr">
        <is>
          <t>Food and tobacco</t>
        </is>
      </c>
      <c r="L84" s="14" t="inlineStr">
        <is>
          <t>FOODPRO</t>
        </is>
      </c>
      <c r="M84" s="14" t="n">
        <v>21114</v>
      </c>
      <c r="N84" s="14" t="inlineStr">
        <is>
          <t>10, 11,12</t>
        </is>
      </c>
      <c r="O84" s="14" t="inlineStr">
        <is>
          <t>Food &amp; forestry</t>
        </is>
      </c>
      <c r="P84" s="14" t="inlineStr">
        <is>
          <t>Industry</t>
        </is>
      </c>
      <c r="Q84" s="14" t="inlineStr">
        <is>
          <t>foo</t>
        </is>
      </c>
      <c r="R84" s="14" t="inlineStr">
        <is>
          <t>food</t>
        </is>
      </c>
      <c r="S84" s="14" t="inlineStr">
        <is>
          <t>food</t>
        </is>
      </c>
    </row>
    <row r="85">
      <c r="A85" s="14" t="inlineStr">
        <is>
          <t>Other meat and edible offal, fresh, chilled or frozen</t>
        </is>
      </c>
      <c r="B85" s="14" t="inlineStr">
        <is>
          <t>omt</t>
        </is>
      </c>
      <c r="C85" s="14" t="n">
        <v>20</v>
      </c>
      <c r="D85" s="14"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85" s="14" t="inlineStr">
        <is>
          <t>omt</t>
        </is>
      </c>
      <c r="F85" s="14" t="n">
        <v>20</v>
      </c>
      <c r="G85" s="14" t="inlineStr">
        <is>
          <t>Other Meat</t>
        </is>
      </c>
      <c r="H85" s="14" t="inlineStr">
        <is>
          <t>Manufacture of food products, beverages and tobacco products</t>
        </is>
      </c>
      <c r="I85" s="14" t="inlineStr">
        <is>
          <t>C10-C12</t>
        </is>
      </c>
      <c r="J85" s="14" t="inlineStr">
        <is>
          <t>Food &amp; Beverages</t>
        </is>
      </c>
      <c r="K85" s="14" t="inlineStr">
        <is>
          <t>Food and tobacco</t>
        </is>
      </c>
      <c r="L85" s="14" t="inlineStr">
        <is>
          <t>FOODPRO</t>
        </is>
      </c>
      <c r="M85" s="14" t="n">
        <v>21114</v>
      </c>
      <c r="N85" s="14" t="inlineStr">
        <is>
          <t>10, 11,12</t>
        </is>
      </c>
      <c r="O85" s="14" t="inlineStr">
        <is>
          <t>Food &amp; forestry</t>
        </is>
      </c>
      <c r="P85" s="14" t="inlineStr">
        <is>
          <t>Industry</t>
        </is>
      </c>
      <c r="Q85" s="14" t="inlineStr">
        <is>
          <t>foo</t>
        </is>
      </c>
      <c r="R85" s="14" t="inlineStr">
        <is>
          <t>food</t>
        </is>
      </c>
      <c r="S85" s="14" t="inlineStr">
        <is>
          <t>food</t>
        </is>
      </c>
    </row>
    <row r="86">
      <c r="A86" s="14" t="inlineStr">
        <is>
          <t>Edible offal of poultry, fresh, chilled or frozen</t>
        </is>
      </c>
      <c r="B86" s="14" t="inlineStr">
        <is>
          <t>omt</t>
        </is>
      </c>
      <c r="C86" s="14" t="n">
        <v>20</v>
      </c>
      <c r="D86" s="14"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86" s="14" t="inlineStr">
        <is>
          <t>omt</t>
        </is>
      </c>
      <c r="F86" s="14" t="n">
        <v>20</v>
      </c>
      <c r="G86" s="14" t="inlineStr">
        <is>
          <t>Other Meat</t>
        </is>
      </c>
      <c r="H86" s="14" t="inlineStr">
        <is>
          <t>Manufacture of food products, beverages and tobacco products</t>
        </is>
      </c>
      <c r="I86" s="14" t="inlineStr">
        <is>
          <t>C10-C12</t>
        </is>
      </c>
      <c r="J86" s="14" t="inlineStr">
        <is>
          <t>Food &amp; Beverages</t>
        </is>
      </c>
      <c r="K86" s="14" t="inlineStr">
        <is>
          <t>Food and tobacco</t>
        </is>
      </c>
      <c r="L86" s="14" t="inlineStr">
        <is>
          <t>FOODPRO</t>
        </is>
      </c>
      <c r="M86" s="14" t="n">
        <v>21114</v>
      </c>
      <c r="N86" s="14" t="inlineStr">
        <is>
          <t>10, 11,12</t>
        </is>
      </c>
      <c r="O86" s="14" t="inlineStr">
        <is>
          <t>Food &amp; forestry</t>
        </is>
      </c>
      <c r="P86" s="14" t="inlineStr">
        <is>
          <t>Industry</t>
        </is>
      </c>
      <c r="Q86" s="14" t="inlineStr">
        <is>
          <t>foo</t>
        </is>
      </c>
      <c r="R86" s="14" t="inlineStr">
        <is>
          <t>food</t>
        </is>
      </c>
      <c r="S86" s="14" t="inlineStr">
        <is>
          <t>food</t>
        </is>
      </c>
    </row>
    <row r="87">
      <c r="A87" s="14" t="inlineStr">
        <is>
          <t>Preserves and preparations of meat, meat offal or blood</t>
        </is>
      </c>
      <c r="B87" s="14" t="inlineStr">
        <is>
          <t>omt</t>
        </is>
      </c>
      <c r="C87" s="14" t="n">
        <v>20</v>
      </c>
      <c r="D87" s="14"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87" s="14" t="inlineStr">
        <is>
          <t>omt</t>
        </is>
      </c>
      <c r="F87" s="14" t="n">
        <v>20</v>
      </c>
      <c r="G87" s="14" t="inlineStr">
        <is>
          <t>Other Meat</t>
        </is>
      </c>
      <c r="H87" s="14" t="inlineStr">
        <is>
          <t>Manufacture of food products, beverages and tobacco products</t>
        </is>
      </c>
      <c r="I87" s="14" t="inlineStr">
        <is>
          <t>C10-C12</t>
        </is>
      </c>
      <c r="J87" s="14" t="inlineStr">
        <is>
          <t>Food &amp; Beverages</t>
        </is>
      </c>
      <c r="K87" s="14" t="inlineStr">
        <is>
          <t>Food and tobacco</t>
        </is>
      </c>
      <c r="L87" s="14" t="inlineStr">
        <is>
          <t>FOODPRO</t>
        </is>
      </c>
      <c r="M87" s="14" t="n">
        <v>21114</v>
      </c>
      <c r="N87" s="14" t="inlineStr">
        <is>
          <t>10, 11,12</t>
        </is>
      </c>
      <c r="O87" s="14" t="inlineStr">
        <is>
          <t>Food &amp; forestry</t>
        </is>
      </c>
      <c r="P87" s="14" t="inlineStr">
        <is>
          <t>Industry</t>
        </is>
      </c>
      <c r="Q87" s="14" t="inlineStr">
        <is>
          <t>foo</t>
        </is>
      </c>
      <c r="R87" s="14" t="inlineStr">
        <is>
          <t>food</t>
        </is>
      </c>
      <c r="S87" s="14" t="inlineStr">
        <is>
          <t>food</t>
        </is>
      </c>
    </row>
    <row r="88">
      <c r="A88" s="14" t="inlineStr">
        <is>
          <t>Flours, meals and pellets of meat or meat offal, inedible; greaves</t>
        </is>
      </c>
      <c r="B88" s="14" t="inlineStr">
        <is>
          <t>omt</t>
        </is>
      </c>
      <c r="C88" s="14" t="n">
        <v>20</v>
      </c>
      <c r="D88" s="14"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88" s="14" t="inlineStr">
        <is>
          <t>omt</t>
        </is>
      </c>
      <c r="F88" s="14" t="n">
        <v>20</v>
      </c>
      <c r="G88" s="14" t="inlineStr">
        <is>
          <t>Other Meat</t>
        </is>
      </c>
      <c r="H88" s="14" t="inlineStr">
        <is>
          <t>Manufacture of food products, beverages and tobacco products</t>
        </is>
      </c>
      <c r="I88" s="14" t="inlineStr">
        <is>
          <t>C10-C12</t>
        </is>
      </c>
      <c r="J88" s="14" t="inlineStr">
        <is>
          <t>Food &amp; Beverages</t>
        </is>
      </c>
      <c r="K88" s="14" t="inlineStr">
        <is>
          <t>Food and tobacco</t>
        </is>
      </c>
      <c r="L88" s="14" t="inlineStr">
        <is>
          <t>FOODPRO</t>
        </is>
      </c>
      <c r="M88" s="14" t="n">
        <v>21114</v>
      </c>
      <c r="N88" s="14" t="inlineStr">
        <is>
          <t>10, 11,12</t>
        </is>
      </c>
      <c r="O88" s="14" t="inlineStr">
        <is>
          <t>Food &amp; forestry</t>
        </is>
      </c>
      <c r="P88" s="14" t="inlineStr">
        <is>
          <t>Industry</t>
        </is>
      </c>
      <c r="Q88" s="14" t="inlineStr">
        <is>
          <t>foo</t>
        </is>
      </c>
      <c r="R88" s="14" t="inlineStr">
        <is>
          <t>food</t>
        </is>
      </c>
      <c r="S88" s="14" t="inlineStr">
        <is>
          <t>food</t>
        </is>
      </c>
    </row>
    <row r="89">
      <c r="A89" s="14" t="inlineStr">
        <is>
          <t>Meat of poultry, frozen</t>
        </is>
      </c>
      <c r="B89" s="14" t="inlineStr">
        <is>
          <t>omt</t>
        </is>
      </c>
      <c r="C89" s="14" t="n">
        <v>20</v>
      </c>
      <c r="D89" s="14"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89" s="14" t="inlineStr">
        <is>
          <t>omt</t>
        </is>
      </c>
      <c r="F89" s="14" t="n">
        <v>20</v>
      </c>
      <c r="G89" s="14" t="inlineStr">
        <is>
          <t>Other Meat</t>
        </is>
      </c>
      <c r="H89" s="14" t="inlineStr">
        <is>
          <t>Manufacture of food products, beverages and tobacco products</t>
        </is>
      </c>
      <c r="I89" s="14" t="inlineStr">
        <is>
          <t>C10-C12</t>
        </is>
      </c>
      <c r="J89" s="14" t="inlineStr">
        <is>
          <t>Food &amp; Beverages</t>
        </is>
      </c>
      <c r="K89" s="14" t="inlineStr">
        <is>
          <t>Food and tobacco</t>
        </is>
      </c>
      <c r="L89" s="14" t="inlineStr">
        <is>
          <t>FOODPRO</t>
        </is>
      </c>
      <c r="M89" s="14" t="n">
        <v>21114</v>
      </c>
      <c r="N89" s="14" t="inlineStr">
        <is>
          <t>10, 11,12</t>
        </is>
      </c>
      <c r="O89" s="14" t="inlineStr">
        <is>
          <t>Food &amp; forestry</t>
        </is>
      </c>
      <c r="P89" s="14" t="inlineStr">
        <is>
          <t>Industry</t>
        </is>
      </c>
      <c r="Q89" s="14" t="inlineStr">
        <is>
          <t>foo</t>
        </is>
      </c>
      <c r="R89" s="14" t="inlineStr">
        <is>
          <t>food</t>
        </is>
      </c>
      <c r="S89" s="14" t="inlineStr">
        <is>
          <t>food</t>
        </is>
      </c>
    </row>
    <row r="90">
      <c r="A90" s="14" t="inlineStr">
        <is>
          <t>Meat of rabbits and hares, fresh or chilled</t>
        </is>
      </c>
      <c r="B90" s="14" t="inlineStr">
        <is>
          <t>omt</t>
        </is>
      </c>
      <c r="C90" s="14" t="n">
        <v>20</v>
      </c>
      <c r="D90" s="14"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90" s="14" t="inlineStr">
        <is>
          <t>omt</t>
        </is>
      </c>
      <c r="F90" s="14" t="n">
        <v>20</v>
      </c>
      <c r="G90" s="14" t="inlineStr">
        <is>
          <t>Other Meat</t>
        </is>
      </c>
      <c r="H90" s="14" t="inlineStr">
        <is>
          <t>Manufacture of food products, beverages and tobacco products</t>
        </is>
      </c>
      <c r="I90" s="14" t="inlineStr">
        <is>
          <t>C10-C12</t>
        </is>
      </c>
      <c r="J90" s="14" t="inlineStr">
        <is>
          <t>Food &amp; Beverages</t>
        </is>
      </c>
      <c r="K90" s="14" t="inlineStr">
        <is>
          <t>Food and tobacco</t>
        </is>
      </c>
      <c r="L90" s="14" t="inlineStr">
        <is>
          <t>FOODPRO</t>
        </is>
      </c>
      <c r="M90" s="14" t="n">
        <v>21114</v>
      </c>
      <c r="N90" s="14" t="inlineStr">
        <is>
          <t>10, 11,12</t>
        </is>
      </c>
      <c r="O90" s="14" t="inlineStr">
        <is>
          <t>Food &amp; forestry</t>
        </is>
      </c>
      <c r="P90" s="14" t="inlineStr">
        <is>
          <t>Industry</t>
        </is>
      </c>
      <c r="Q90" s="14" t="inlineStr">
        <is>
          <t>foo</t>
        </is>
      </c>
      <c r="R90" s="14" t="inlineStr">
        <is>
          <t>food</t>
        </is>
      </c>
      <c r="S90" s="14" t="inlineStr">
        <is>
          <t>food</t>
        </is>
      </c>
    </row>
    <row r="91">
      <c r="A91" s="14" t="inlineStr">
        <is>
          <t>Meat of poultry, fresh or chilled</t>
        </is>
      </c>
      <c r="B91" s="14" t="inlineStr">
        <is>
          <t>omt</t>
        </is>
      </c>
      <c r="C91" s="14" t="n">
        <v>20</v>
      </c>
      <c r="D91" s="14"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91" s="14" t="inlineStr">
        <is>
          <t>omt</t>
        </is>
      </c>
      <c r="F91" s="14" t="n">
        <v>20</v>
      </c>
      <c r="G91" s="14" t="inlineStr">
        <is>
          <t>Other Meat</t>
        </is>
      </c>
      <c r="H91" s="14" t="inlineStr">
        <is>
          <t>Manufacture of food products, beverages and tobacco products</t>
        </is>
      </c>
      <c r="I91" s="14" t="inlineStr">
        <is>
          <t>C10-C12</t>
        </is>
      </c>
      <c r="J91" s="14" t="inlineStr">
        <is>
          <t>Food &amp; Beverages</t>
        </is>
      </c>
      <c r="K91" s="14" t="inlineStr">
        <is>
          <t>Food and tobacco</t>
        </is>
      </c>
      <c r="L91" s="14" t="inlineStr">
        <is>
          <t>FOODPRO</t>
        </is>
      </c>
      <c r="M91" s="14" t="n">
        <v>21114</v>
      </c>
      <c r="N91" s="14" t="inlineStr">
        <is>
          <t>10, 11,12</t>
        </is>
      </c>
      <c r="O91" s="14" t="inlineStr">
        <is>
          <t>Food &amp; forestry</t>
        </is>
      </c>
      <c r="P91" s="14" t="inlineStr">
        <is>
          <t>Industry</t>
        </is>
      </c>
      <c r="Q91" s="14" t="inlineStr">
        <is>
          <t>foo</t>
        </is>
      </c>
      <c r="R91" s="14" t="inlineStr">
        <is>
          <t>food</t>
        </is>
      </c>
      <c r="S91" s="14" t="inlineStr">
        <is>
          <t>food</t>
        </is>
      </c>
    </row>
    <row r="92">
      <c r="A92" s="14" t="inlineStr">
        <is>
          <t>Margarine and similar preparations</t>
        </is>
      </c>
      <c r="B92" s="14" t="inlineStr">
        <is>
          <t>vol</t>
        </is>
      </c>
      <c r="C92" s="14" t="n">
        <v>21</v>
      </c>
      <c r="D92" s="14" t="inlineStr">
        <is>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is>
      </c>
      <c r="E92" s="14" t="inlineStr">
        <is>
          <t>vol</t>
        </is>
      </c>
      <c r="F92" s="14" t="n">
        <v>21</v>
      </c>
      <c r="G92" s="14" t="inlineStr">
        <is>
          <t>Vegetable Oils</t>
        </is>
      </c>
      <c r="H92" s="14" t="inlineStr">
        <is>
          <t>Manufacture of food products, beverages and tobacco products</t>
        </is>
      </c>
      <c r="I92" s="14" t="inlineStr">
        <is>
          <t>C10-C12</t>
        </is>
      </c>
      <c r="J92" s="14" t="inlineStr">
        <is>
          <t>Food &amp; Beverages</t>
        </is>
      </c>
      <c r="K92" s="14" t="inlineStr">
        <is>
          <t>Food and tobacco</t>
        </is>
      </c>
      <c r="L92" s="14" t="inlineStr">
        <is>
          <t>FOODPRO</t>
        </is>
      </c>
      <c r="M92" s="14" t="n">
        <v>219</v>
      </c>
      <c r="N92" s="14" t="inlineStr">
        <is>
          <t>10, 11,12</t>
        </is>
      </c>
      <c r="O92" s="14" t="inlineStr">
        <is>
          <t>Food &amp; forestry</t>
        </is>
      </c>
      <c r="P92" s="14" t="inlineStr">
        <is>
          <t>Industry</t>
        </is>
      </c>
      <c r="Q92" s="14" t="inlineStr">
        <is>
          <t>foo</t>
        </is>
      </c>
      <c r="R92" s="14" t="inlineStr">
        <is>
          <t>food</t>
        </is>
      </c>
      <c r="S92" s="14" t="inlineStr">
        <is>
          <t>food</t>
        </is>
      </c>
    </row>
    <row r="93">
      <c r="A93" s="14" t="inlineStr">
        <is>
          <t>Cotton linters</t>
        </is>
      </c>
      <c r="B93" s="14" t="inlineStr">
        <is>
          <t>vol</t>
        </is>
      </c>
      <c r="C93" s="14" t="n">
        <v>21</v>
      </c>
      <c r="D93" s="14" t="inlineStr">
        <is>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is>
      </c>
      <c r="E93" s="14" t="inlineStr">
        <is>
          <t>vol</t>
        </is>
      </c>
      <c r="F93" s="14" t="n">
        <v>21</v>
      </c>
      <c r="G93" s="14" t="inlineStr">
        <is>
          <t>Vegetable Oils</t>
        </is>
      </c>
      <c r="H93" s="14" t="inlineStr">
        <is>
          <t>Manufacture of food products, beverages and tobacco products</t>
        </is>
      </c>
      <c r="I93" s="14" t="inlineStr">
        <is>
          <t>C10-C12</t>
        </is>
      </c>
      <c r="J93" s="14" t="inlineStr">
        <is>
          <t>Food &amp; Beverages</t>
        </is>
      </c>
      <c r="K93" s="14" t="inlineStr">
        <is>
          <t>Food and tobacco</t>
        </is>
      </c>
      <c r="L93" s="14" t="inlineStr">
        <is>
          <t>FOODPRO</t>
        </is>
      </c>
      <c r="M93" s="14" t="n">
        <v>219</v>
      </c>
      <c r="N93" s="14" t="inlineStr">
        <is>
          <t>10, 11,12</t>
        </is>
      </c>
      <c r="O93" s="14" t="inlineStr">
        <is>
          <t>Food &amp; forestry</t>
        </is>
      </c>
      <c r="P93" s="14" t="inlineStr">
        <is>
          <t>Industry</t>
        </is>
      </c>
      <c r="Q93" s="14" t="inlineStr">
        <is>
          <t>foo</t>
        </is>
      </c>
      <c r="R93" s="14" t="inlineStr">
        <is>
          <t>food</t>
        </is>
      </c>
      <c r="S93" s="14" t="inlineStr">
        <is>
          <t>food</t>
        </is>
      </c>
    </row>
    <row r="94">
      <c r="A94" s="14" t="inlineStr">
        <is>
          <t>Vegetable oils</t>
        </is>
      </c>
      <c r="B94" s="14" t="inlineStr">
        <is>
          <t>vol</t>
        </is>
      </c>
      <c r="C94" s="14" t="n">
        <v>21</v>
      </c>
      <c r="D94" s="14" t="inlineStr">
        <is>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is>
      </c>
      <c r="E94" s="14" t="inlineStr">
        <is>
          <t>vol</t>
        </is>
      </c>
      <c r="F94" s="14" t="n">
        <v>21</v>
      </c>
      <c r="G94" s="14" t="inlineStr">
        <is>
          <t>Vegetable Oils</t>
        </is>
      </c>
      <c r="H94" s="14" t="inlineStr">
        <is>
          <t>Manufacture of food products, beverages and tobacco products</t>
        </is>
      </c>
      <c r="I94" s="14" t="inlineStr">
        <is>
          <t>C10-C12</t>
        </is>
      </c>
      <c r="J94" s="14" t="inlineStr">
        <is>
          <t>Food &amp; Beverages</t>
        </is>
      </c>
      <c r="K94" s="14" t="inlineStr">
        <is>
          <t>Food and tobacco</t>
        </is>
      </c>
      <c r="L94" s="14" t="inlineStr">
        <is>
          <t>FOODPRO</t>
        </is>
      </c>
      <c r="M94" s="14" t="n">
        <v>219</v>
      </c>
      <c r="N94" s="14" t="inlineStr">
        <is>
          <t>10, 11,12</t>
        </is>
      </c>
      <c r="O94" s="14" t="inlineStr">
        <is>
          <t>Food &amp; forestry</t>
        </is>
      </c>
      <c r="P94" s="14" t="inlineStr">
        <is>
          <t>Industry</t>
        </is>
      </c>
      <c r="Q94" s="14" t="inlineStr">
        <is>
          <t>foo</t>
        </is>
      </c>
      <c r="R94" s="14" t="inlineStr">
        <is>
          <t>food</t>
        </is>
      </c>
      <c r="S94" s="14" t="inlineStr">
        <is>
          <t>food</t>
        </is>
      </c>
    </row>
    <row r="95">
      <c r="A95" s="14" t="inlineStr">
        <is>
          <t>Animal fats</t>
        </is>
      </c>
      <c r="B95" s="14" t="inlineStr">
        <is>
          <t>vol</t>
        </is>
      </c>
      <c r="C95" s="14" t="n">
        <v>21</v>
      </c>
      <c r="D95" s="14" t="inlineStr">
        <is>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is>
      </c>
      <c r="E95" s="14" t="inlineStr">
        <is>
          <t>vol</t>
        </is>
      </c>
      <c r="F95" s="14" t="n">
        <v>21</v>
      </c>
      <c r="G95" s="14" t="inlineStr">
        <is>
          <t>Vegetable Oils</t>
        </is>
      </c>
      <c r="H95" s="14" t="inlineStr">
        <is>
          <t>Manufacture of food products, beverages and tobacco products</t>
        </is>
      </c>
      <c r="I95" s="14" t="inlineStr">
        <is>
          <t>C10-C12</t>
        </is>
      </c>
      <c r="J95" s="14" t="inlineStr">
        <is>
          <t>Food &amp; Beverages</t>
        </is>
      </c>
      <c r="K95" s="14" t="inlineStr">
        <is>
          <t>Food and tobacco</t>
        </is>
      </c>
      <c r="L95" s="14" t="inlineStr">
        <is>
          <t>FOODPRO</t>
        </is>
      </c>
      <c r="M95" s="14" t="n">
        <v>219</v>
      </c>
      <c r="N95" s="14" t="inlineStr">
        <is>
          <t>10, 11,12</t>
        </is>
      </c>
      <c r="O95" s="14" t="inlineStr">
        <is>
          <t>Food &amp; forestry</t>
        </is>
      </c>
      <c r="P95" s="14" t="inlineStr">
        <is>
          <t>Industry</t>
        </is>
      </c>
      <c r="Q95" s="14" t="inlineStr">
        <is>
          <t>foo</t>
        </is>
      </c>
      <c r="R95" s="14" t="inlineStr">
        <is>
          <t>food</t>
        </is>
      </c>
      <c r="S95" s="14" t="inlineStr">
        <is>
          <t>food</t>
        </is>
      </c>
    </row>
    <row r="96">
      <c r="A96" s="14" t="inlineStr">
        <is>
          <t>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t>
        </is>
      </c>
      <c r="B96" s="14" t="inlineStr">
        <is>
          <t>vol</t>
        </is>
      </c>
      <c r="C96" s="14" t="n">
        <v>21</v>
      </c>
      <c r="D96" s="14" t="inlineStr">
        <is>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is>
      </c>
      <c r="E96" s="14" t="inlineStr">
        <is>
          <t>vol</t>
        </is>
      </c>
      <c r="F96" s="14" t="n">
        <v>21</v>
      </c>
      <c r="G96" s="14" t="inlineStr">
        <is>
          <t>Vegetable Oils</t>
        </is>
      </c>
      <c r="H96" s="14" t="inlineStr">
        <is>
          <t>Manufacture of food products, beverages and tobacco products</t>
        </is>
      </c>
      <c r="I96" s="14" t="inlineStr">
        <is>
          <t>C10-C12</t>
        </is>
      </c>
      <c r="J96" s="14" t="inlineStr">
        <is>
          <t>Food &amp; Beverages</t>
        </is>
      </c>
      <c r="K96" s="14" t="inlineStr">
        <is>
          <t>Food and tobacco</t>
        </is>
      </c>
      <c r="L96" s="14" t="inlineStr">
        <is>
          <t>FOODPRO</t>
        </is>
      </c>
      <c r="M96" s="14" t="n">
        <v>219</v>
      </c>
      <c r="N96" s="14" t="inlineStr">
        <is>
          <t>10, 11,12</t>
        </is>
      </c>
      <c r="O96" s="14" t="inlineStr">
        <is>
          <t>Food &amp; forestry</t>
        </is>
      </c>
      <c r="P96" s="14" t="inlineStr">
        <is>
          <t>Industry</t>
        </is>
      </c>
      <c r="Q96" s="14" t="inlineStr">
        <is>
          <t>foo</t>
        </is>
      </c>
      <c r="R96" s="14" t="inlineStr">
        <is>
          <t>food</t>
        </is>
      </c>
      <c r="S96" s="14" t="inlineStr">
        <is>
          <t>food</t>
        </is>
      </c>
    </row>
    <row r="97">
      <c r="A97" s="14" t="inlineStr">
        <is>
          <t>Dairy products</t>
        </is>
      </c>
      <c r="B97" s="14" t="inlineStr">
        <is>
          <t>mil</t>
        </is>
      </c>
      <c r="C97" s="14" t="n">
        <v>22</v>
      </c>
      <c r="D97" s="14" t="inlineStr">
        <is>
          <t>Milk: dairy products</t>
        </is>
      </c>
      <c r="E97" s="14" t="inlineStr">
        <is>
          <t>mil</t>
        </is>
      </c>
      <c r="F97" s="14" t="n">
        <v>22</v>
      </c>
      <c r="G97" s="14" t="inlineStr">
        <is>
          <t>Dairy</t>
        </is>
      </c>
      <c r="H97" s="14" t="inlineStr">
        <is>
          <t>Manufacture of food products, beverages and tobacco products</t>
        </is>
      </c>
      <c r="I97" s="14" t="inlineStr">
        <is>
          <t>C10-C12</t>
        </is>
      </c>
      <c r="J97" s="14" t="inlineStr">
        <is>
          <t>Food &amp; Beverages</t>
        </is>
      </c>
      <c r="K97" s="14" t="inlineStr">
        <is>
          <t>Food and tobacco</t>
        </is>
      </c>
      <c r="L97" s="14" t="inlineStr">
        <is>
          <t>FOODPRO</t>
        </is>
      </c>
      <c r="M97" s="14" t="n">
        <v>22</v>
      </c>
      <c r="N97" s="14" t="inlineStr">
        <is>
          <t>10, 11,12</t>
        </is>
      </c>
      <c r="O97" s="14" t="inlineStr">
        <is>
          <t>Food &amp; forestry</t>
        </is>
      </c>
      <c r="P97" s="14" t="inlineStr">
        <is>
          <t>Industry</t>
        </is>
      </c>
      <c r="Q97" s="14" t="inlineStr">
        <is>
          <t>foo</t>
        </is>
      </c>
      <c r="R97" s="14" t="inlineStr">
        <is>
          <t>food</t>
        </is>
      </c>
      <c r="S97" s="14" t="inlineStr">
        <is>
          <t>food</t>
        </is>
      </c>
    </row>
    <row r="98">
      <c r="A98" s="14" t="inlineStr">
        <is>
          <t>Rice, semi- or wholly milled, or husked</t>
        </is>
      </c>
      <c r="B98" s="14" t="inlineStr">
        <is>
          <t>pcr</t>
        </is>
      </c>
      <c r="C98" s="14" t="n">
        <v>23</v>
      </c>
      <c r="D98" s="14" t="inlineStr">
        <is>
          <t>Processed Rice: semi- or wholly milled, or husked</t>
        </is>
      </c>
      <c r="E98" s="14" t="inlineStr">
        <is>
          <t>pcr</t>
        </is>
      </c>
      <c r="F98" s="14" t="n">
        <v>23</v>
      </c>
      <c r="G98" s="14" t="inlineStr">
        <is>
          <t>Processed Rice</t>
        </is>
      </c>
      <c r="H98" s="14" t="inlineStr">
        <is>
          <t>Manufacture of food products, beverages and tobacco products</t>
        </is>
      </c>
      <c r="I98" s="14" t="inlineStr">
        <is>
          <t>C10-C12</t>
        </is>
      </c>
      <c r="J98" s="14" t="inlineStr">
        <is>
          <t>Food &amp; Beverages</t>
        </is>
      </c>
      <c r="K98" s="14" t="inlineStr">
        <is>
          <t>Food and tobacco</t>
        </is>
      </c>
      <c r="L98" s="14" t="inlineStr">
        <is>
          <t>FOODPRO</t>
        </is>
      </c>
      <c r="M98" s="14" t="n">
        <v>2316</v>
      </c>
      <c r="N98" s="14" t="inlineStr">
        <is>
          <t>10, 11,12</t>
        </is>
      </c>
      <c r="O98" s="14" t="inlineStr">
        <is>
          <t>Food &amp; forestry</t>
        </is>
      </c>
      <c r="P98" s="14" t="inlineStr">
        <is>
          <t>Industry</t>
        </is>
      </c>
      <c r="Q98" s="14" t="inlineStr">
        <is>
          <t>foo</t>
        </is>
      </c>
      <c r="R98" s="14" t="inlineStr">
        <is>
          <t>food</t>
        </is>
      </c>
      <c r="S98" s="14" t="inlineStr">
        <is>
          <t>food</t>
        </is>
      </c>
    </row>
    <row r="99">
      <c r="A99" s="14" t="inlineStr">
        <is>
          <t>Sugar and molasses</t>
        </is>
      </c>
      <c r="B99" s="14" t="inlineStr">
        <is>
          <t>sgr</t>
        </is>
      </c>
      <c r="C99" s="14" t="n">
        <v>24</v>
      </c>
      <c r="D99" s="14" t="inlineStr">
        <is>
          <t>Sugar and molasses</t>
        </is>
      </c>
      <c r="E99" s="14" t="inlineStr">
        <is>
          <t>sgr</t>
        </is>
      </c>
      <c r="F99" s="14" t="n">
        <v>24</v>
      </c>
      <c r="G99" s="14" t="inlineStr">
        <is>
          <t>Sugar and molasses</t>
        </is>
      </c>
      <c r="H99" s="14" t="inlineStr">
        <is>
          <t>Manufacture of food products, beverages and tobacco products</t>
        </is>
      </c>
      <c r="I99" s="14" t="inlineStr">
        <is>
          <t>C10-C12</t>
        </is>
      </c>
      <c r="J99" s="14" t="inlineStr">
        <is>
          <t>Food &amp; Beverages</t>
        </is>
      </c>
      <c r="K99" s="14" t="inlineStr">
        <is>
          <t>Food and tobacco</t>
        </is>
      </c>
      <c r="L99" s="14" t="inlineStr">
        <is>
          <t>FOODPRO</t>
        </is>
      </c>
      <c r="M99" s="14" t="n">
        <v>235</v>
      </c>
      <c r="N99" s="14" t="inlineStr">
        <is>
          <t>10, 11,12</t>
        </is>
      </c>
      <c r="O99" s="14" t="inlineStr">
        <is>
          <t>Food &amp; forestry</t>
        </is>
      </c>
      <c r="P99" s="14" t="inlineStr">
        <is>
          <t>Industry</t>
        </is>
      </c>
      <c r="Q99" s="14" t="inlineStr">
        <is>
          <t>foo</t>
        </is>
      </c>
      <c r="R99" s="14" t="inlineStr">
        <is>
          <t>food</t>
        </is>
      </c>
      <c r="S99" s="14" t="inlineStr">
        <is>
          <t>food</t>
        </is>
      </c>
    </row>
    <row r="100">
      <c r="A100" s="14" t="inlineStr">
        <is>
          <t>Prepared and preserved vegetables, pulses and potatoes</t>
        </is>
      </c>
      <c r="B100" s="14" t="inlineStr">
        <is>
          <t>ofd</t>
        </is>
      </c>
      <c r="C100" s="14" t="n">
        <v>25</v>
      </c>
      <c r="D100"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0" s="14" t="inlineStr">
        <is>
          <t>ofd</t>
        </is>
      </c>
      <c r="F100" s="14" t="n">
        <v>25</v>
      </c>
      <c r="G100" s="14" t="inlineStr">
        <is>
          <t>Other Food</t>
        </is>
      </c>
      <c r="H100" s="14" t="inlineStr">
        <is>
          <t>Manufacture of food products, beverages and tobacco products</t>
        </is>
      </c>
      <c r="I100" s="14" t="inlineStr">
        <is>
          <t>C10-C12</t>
        </is>
      </c>
      <c r="J100" s="14" t="inlineStr">
        <is>
          <t>Food &amp; Beverages</t>
        </is>
      </c>
      <c r="K100" s="14" t="inlineStr">
        <is>
          <t>Food and tobacco</t>
        </is>
      </c>
      <c r="L100" s="14" t="inlineStr">
        <is>
          <t>FOODPRO</t>
        </is>
      </c>
      <c r="M100" s="14" t="n">
        <v>2318</v>
      </c>
      <c r="N100" s="14" t="inlineStr">
        <is>
          <t>10, 11,12</t>
        </is>
      </c>
      <c r="O100" s="14" t="inlineStr">
        <is>
          <t>Food &amp; forestry</t>
        </is>
      </c>
      <c r="P100" s="14" t="inlineStr">
        <is>
          <t>Industry</t>
        </is>
      </c>
      <c r="Q100" s="14" t="inlineStr">
        <is>
          <t>foo</t>
        </is>
      </c>
      <c r="R100" s="14" t="inlineStr">
        <is>
          <t>food</t>
        </is>
      </c>
      <c r="S100" s="14" t="inlineStr">
        <is>
          <t>food</t>
        </is>
      </c>
    </row>
    <row r="101">
      <c r="A101" s="14" t="inlineStr">
        <is>
          <t>Mixes and doughs for the preparation of bakers' wares</t>
        </is>
      </c>
      <c r="B101" s="14" t="inlineStr">
        <is>
          <t>ofd</t>
        </is>
      </c>
      <c r="C101" s="14" t="n">
        <v>25</v>
      </c>
      <c r="D101"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1" s="14" t="inlineStr">
        <is>
          <t>ofd</t>
        </is>
      </c>
      <c r="F101" s="14" t="n">
        <v>25</v>
      </c>
      <c r="G101" s="14" t="inlineStr">
        <is>
          <t>Other Food</t>
        </is>
      </c>
      <c r="H101" s="14" t="inlineStr">
        <is>
          <t>Manufacture of food products, beverages and tobacco products</t>
        </is>
      </c>
      <c r="I101" s="14" t="inlineStr">
        <is>
          <t>C10-C12</t>
        </is>
      </c>
      <c r="J101" s="14" t="inlineStr">
        <is>
          <t>Food &amp; Beverages</t>
        </is>
      </c>
      <c r="K101" s="14" t="inlineStr">
        <is>
          <t>Food and tobacco</t>
        </is>
      </c>
      <c r="L101" s="14" t="inlineStr">
        <is>
          <t>FOODPRO</t>
        </is>
      </c>
      <c r="M101" s="14" t="n">
        <v>2318</v>
      </c>
      <c r="N101" s="14" t="inlineStr">
        <is>
          <t>10, 11,12</t>
        </is>
      </c>
      <c r="O101" s="14" t="inlineStr">
        <is>
          <t>Food &amp; forestry</t>
        </is>
      </c>
      <c r="P101" s="14" t="inlineStr">
        <is>
          <t>Industry</t>
        </is>
      </c>
      <c r="Q101" s="14" t="inlineStr">
        <is>
          <t>foo</t>
        </is>
      </c>
      <c r="R101" s="14" t="inlineStr">
        <is>
          <t>food</t>
        </is>
      </c>
      <c r="S101" s="14" t="inlineStr">
        <is>
          <t>food</t>
        </is>
      </c>
    </row>
    <row r="102">
      <c r="A102" s="14" t="inlineStr">
        <is>
          <t>Starches and starch products; sugars and sugar syrups n.e.c.</t>
        </is>
      </c>
      <c r="B102" s="14" t="inlineStr">
        <is>
          <t>ofd</t>
        </is>
      </c>
      <c r="C102" s="14" t="n">
        <v>25</v>
      </c>
      <c r="D102"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2" s="14" t="inlineStr">
        <is>
          <t>ofd</t>
        </is>
      </c>
      <c r="F102" s="14" t="n">
        <v>25</v>
      </c>
      <c r="G102" s="14" t="inlineStr">
        <is>
          <t>Other Food</t>
        </is>
      </c>
      <c r="H102" s="14" t="inlineStr">
        <is>
          <t>Manufacture of food products, beverages and tobacco products</t>
        </is>
      </c>
      <c r="I102" s="14" t="inlineStr">
        <is>
          <t>C10-C12</t>
        </is>
      </c>
      <c r="J102" s="14" t="inlineStr">
        <is>
          <t>Food &amp; Beverages</t>
        </is>
      </c>
      <c r="K102" s="14" t="inlineStr">
        <is>
          <t>Food and tobacco</t>
        </is>
      </c>
      <c r="L102" s="14" t="inlineStr">
        <is>
          <t>FOODPRO</t>
        </is>
      </c>
      <c r="M102" s="14" t="n">
        <v>2318</v>
      </c>
      <c r="N102" s="14" t="inlineStr">
        <is>
          <t>10, 11,12</t>
        </is>
      </c>
      <c r="O102" s="14" t="inlineStr">
        <is>
          <t>Food &amp; forestry</t>
        </is>
      </c>
      <c r="P102" s="14" t="inlineStr">
        <is>
          <t>Industry</t>
        </is>
      </c>
      <c r="Q102" s="14" t="inlineStr">
        <is>
          <t>foo</t>
        </is>
      </c>
      <c r="R102" s="14" t="inlineStr">
        <is>
          <t>food</t>
        </is>
      </c>
      <c r="S102" s="14" t="inlineStr">
        <is>
          <t>food</t>
        </is>
      </c>
    </row>
    <row r="103">
      <c r="A103" s="14" t="inlineStr">
        <is>
          <t>Prepared and preserved fish, crustaceans, molluscs and other aquatic invertebrates</t>
        </is>
      </c>
      <c r="B103" s="14" t="inlineStr">
        <is>
          <t>ofd</t>
        </is>
      </c>
      <c r="C103" s="14" t="n">
        <v>25</v>
      </c>
      <c r="D103"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3" s="14" t="inlineStr">
        <is>
          <t>ofd</t>
        </is>
      </c>
      <c r="F103" s="14" t="n">
        <v>25</v>
      </c>
      <c r="G103" s="14" t="inlineStr">
        <is>
          <t>Other Food</t>
        </is>
      </c>
      <c r="H103" s="14" t="inlineStr">
        <is>
          <t>Manufacture of food products, beverages and tobacco products</t>
        </is>
      </c>
      <c r="I103" s="14" t="inlineStr">
        <is>
          <t>C10-C12</t>
        </is>
      </c>
      <c r="J103" s="14" t="inlineStr">
        <is>
          <t>Food &amp; Beverages</t>
        </is>
      </c>
      <c r="K103" s="14" t="inlineStr">
        <is>
          <t>Food and tobacco</t>
        </is>
      </c>
      <c r="L103" s="14" t="inlineStr">
        <is>
          <t>FOODPRO</t>
        </is>
      </c>
      <c r="M103" s="14" t="n">
        <v>2318</v>
      </c>
      <c r="N103" s="14" t="inlineStr">
        <is>
          <t>10, 11,12</t>
        </is>
      </c>
      <c r="O103" s="14" t="inlineStr">
        <is>
          <t>Food &amp; forestry</t>
        </is>
      </c>
      <c r="P103" s="14" t="inlineStr">
        <is>
          <t>Industry</t>
        </is>
      </c>
      <c r="Q103" s="14" t="inlineStr">
        <is>
          <t>foo</t>
        </is>
      </c>
      <c r="R103" s="14" t="inlineStr">
        <is>
          <t>food</t>
        </is>
      </c>
      <c r="S103" s="14" t="inlineStr">
        <is>
          <t>food</t>
        </is>
      </c>
    </row>
    <row r="104">
      <c r="A104" s="14" t="inlineStr">
        <is>
          <t>Wheat and meslin flour</t>
        </is>
      </c>
      <c r="B104" s="14" t="inlineStr">
        <is>
          <t>ofd</t>
        </is>
      </c>
      <c r="C104" s="14" t="n">
        <v>25</v>
      </c>
      <c r="D104"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4" s="14" t="inlineStr">
        <is>
          <t>ofd</t>
        </is>
      </c>
      <c r="F104" s="14" t="n">
        <v>25</v>
      </c>
      <c r="G104" s="14" t="inlineStr">
        <is>
          <t>Other Food</t>
        </is>
      </c>
      <c r="H104" s="14" t="inlineStr">
        <is>
          <t>Manufacture of food products, beverages and tobacco products</t>
        </is>
      </c>
      <c r="I104" s="14" t="inlineStr">
        <is>
          <t>C10-C12</t>
        </is>
      </c>
      <c r="J104" s="14" t="inlineStr">
        <is>
          <t>Food &amp; Beverages</t>
        </is>
      </c>
      <c r="K104" s="14" t="inlineStr">
        <is>
          <t>Food and tobacco</t>
        </is>
      </c>
      <c r="L104" s="14" t="inlineStr">
        <is>
          <t>FOODPRO</t>
        </is>
      </c>
      <c r="M104" s="14" t="n">
        <v>2318</v>
      </c>
      <c r="N104" s="14" t="inlineStr">
        <is>
          <t>10, 11,12</t>
        </is>
      </c>
      <c r="O104" s="14" t="inlineStr">
        <is>
          <t>Food &amp; forestry</t>
        </is>
      </c>
      <c r="P104" s="14" t="inlineStr">
        <is>
          <t>Industry</t>
        </is>
      </c>
      <c r="Q104" s="14" t="inlineStr">
        <is>
          <t>foo</t>
        </is>
      </c>
      <c r="R104" s="14" t="inlineStr">
        <is>
          <t>food</t>
        </is>
      </c>
      <c r="S104" s="14" t="inlineStr">
        <is>
          <t>food</t>
        </is>
      </c>
    </row>
    <row r="105">
      <c r="A105" s="14" t="inlineStr">
        <is>
          <t>Preparations used in animal feeding; lucerne (alfalfa) meal and pellets</t>
        </is>
      </c>
      <c r="B105" s="14" t="inlineStr">
        <is>
          <t>ofd</t>
        </is>
      </c>
      <c r="C105" s="14" t="n">
        <v>25</v>
      </c>
      <c r="D105"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5" s="14" t="inlineStr">
        <is>
          <t>ofd</t>
        </is>
      </c>
      <c r="F105" s="14" t="n">
        <v>25</v>
      </c>
      <c r="G105" s="14" t="inlineStr">
        <is>
          <t>Other Food</t>
        </is>
      </c>
      <c r="H105" s="14" t="inlineStr">
        <is>
          <t>Manufacture of food products, beverages and tobacco products</t>
        </is>
      </c>
      <c r="I105" s="14" t="inlineStr">
        <is>
          <t>C10-C12</t>
        </is>
      </c>
      <c r="J105" s="14" t="inlineStr">
        <is>
          <t>Food &amp; Beverages</t>
        </is>
      </c>
      <c r="K105" s="14" t="inlineStr">
        <is>
          <t>Food and tobacco</t>
        </is>
      </c>
      <c r="L105" s="14" t="inlineStr">
        <is>
          <t>FOODPRO</t>
        </is>
      </c>
      <c r="M105" s="14" t="n">
        <v>2318</v>
      </c>
      <c r="N105" s="14" t="inlineStr">
        <is>
          <t>10, 11,12</t>
        </is>
      </c>
      <c r="O105" s="14" t="inlineStr">
        <is>
          <t>Food &amp; forestry</t>
        </is>
      </c>
      <c r="P105" s="14" t="inlineStr">
        <is>
          <t>Industry</t>
        </is>
      </c>
      <c r="Q105" s="14" t="inlineStr">
        <is>
          <t>foo</t>
        </is>
      </c>
      <c r="R105" s="14" t="inlineStr">
        <is>
          <t>food</t>
        </is>
      </c>
      <c r="S105" s="14" t="inlineStr">
        <is>
          <t>food</t>
        </is>
      </c>
    </row>
    <row r="106">
      <c r="A106" s="14" t="inlineStr">
        <is>
          <t>Other cereal flours</t>
        </is>
      </c>
      <c r="B106" s="14" t="inlineStr">
        <is>
          <t>ofd</t>
        </is>
      </c>
      <c r="C106" s="14" t="n">
        <v>25</v>
      </c>
      <c r="D106"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6" s="14" t="inlineStr">
        <is>
          <t>ofd</t>
        </is>
      </c>
      <c r="F106" s="14" t="n">
        <v>25</v>
      </c>
      <c r="G106" s="14" t="inlineStr">
        <is>
          <t>Other Food</t>
        </is>
      </c>
      <c r="H106" s="14" t="inlineStr">
        <is>
          <t>Manufacture of food products, beverages and tobacco products</t>
        </is>
      </c>
      <c r="I106" s="14" t="inlineStr">
        <is>
          <t>C10-C12</t>
        </is>
      </c>
      <c r="J106" s="14" t="inlineStr">
        <is>
          <t>Food &amp; Beverages</t>
        </is>
      </c>
      <c r="K106" s="14" t="inlineStr">
        <is>
          <t>Food and tobacco</t>
        </is>
      </c>
      <c r="L106" s="14" t="inlineStr">
        <is>
          <t>FOODPRO</t>
        </is>
      </c>
      <c r="M106" s="14" t="n">
        <v>2318</v>
      </c>
      <c r="N106" s="14" t="inlineStr">
        <is>
          <t>10, 11,12</t>
        </is>
      </c>
      <c r="O106" s="14" t="inlineStr">
        <is>
          <t>Food &amp; forestry</t>
        </is>
      </c>
      <c r="P106" s="14" t="inlineStr">
        <is>
          <t>Industry</t>
        </is>
      </c>
      <c r="Q106" s="14" t="inlineStr">
        <is>
          <t>foo</t>
        </is>
      </c>
      <c r="R106" s="14" t="inlineStr">
        <is>
          <t>food</t>
        </is>
      </c>
      <c r="S106" s="14" t="inlineStr">
        <is>
          <t>food</t>
        </is>
      </c>
    </row>
    <row r="107">
      <c r="A107" s="14" t="inlineStr">
        <is>
          <t>Macaroni, noodles, couscous and similar farinaceous products</t>
        </is>
      </c>
      <c r="B107" s="14" t="inlineStr">
        <is>
          <t>ofd</t>
        </is>
      </c>
      <c r="C107" s="14" t="n">
        <v>25</v>
      </c>
      <c r="D107"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7" s="14" t="inlineStr">
        <is>
          <t>ofd</t>
        </is>
      </c>
      <c r="F107" s="14" t="n">
        <v>25</v>
      </c>
      <c r="G107" s="14" t="inlineStr">
        <is>
          <t>Other Food</t>
        </is>
      </c>
      <c r="H107" s="14" t="inlineStr">
        <is>
          <t>Manufacture of food products, beverages and tobacco products</t>
        </is>
      </c>
      <c r="I107" s="14" t="inlineStr">
        <is>
          <t>C10-C12</t>
        </is>
      </c>
      <c r="J107" s="14" t="inlineStr">
        <is>
          <t>Food &amp; Beverages</t>
        </is>
      </c>
      <c r="K107" s="14" t="inlineStr">
        <is>
          <t>Food and tobacco</t>
        </is>
      </c>
      <c r="L107" s="14" t="inlineStr">
        <is>
          <t>FOODPRO</t>
        </is>
      </c>
      <c r="M107" s="14" t="n">
        <v>2318</v>
      </c>
      <c r="N107" s="14" t="inlineStr">
        <is>
          <t>10, 11,12</t>
        </is>
      </c>
      <c r="O107" s="14" t="inlineStr">
        <is>
          <t>Food &amp; forestry</t>
        </is>
      </c>
      <c r="P107" s="14" t="inlineStr">
        <is>
          <t>Industry</t>
        </is>
      </c>
      <c r="Q107" s="14" t="inlineStr">
        <is>
          <t>foo</t>
        </is>
      </c>
      <c r="R107" s="14" t="inlineStr">
        <is>
          <t>food</t>
        </is>
      </c>
      <c r="S107" s="14" t="inlineStr">
        <is>
          <t>food</t>
        </is>
      </c>
    </row>
    <row r="108">
      <c r="A108" s="14" t="inlineStr">
        <is>
          <t>Other vegetable flours and meals</t>
        </is>
      </c>
      <c r="B108" s="14" t="inlineStr">
        <is>
          <t>ofd</t>
        </is>
      </c>
      <c r="C108" s="14" t="n">
        <v>25</v>
      </c>
      <c r="D108"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8" s="14" t="inlineStr">
        <is>
          <t>ofd</t>
        </is>
      </c>
      <c r="F108" s="14" t="n">
        <v>25</v>
      </c>
      <c r="G108" s="14" t="inlineStr">
        <is>
          <t>Other Food</t>
        </is>
      </c>
      <c r="H108" s="14" t="inlineStr">
        <is>
          <t>Manufacture of food products, beverages and tobacco products</t>
        </is>
      </c>
      <c r="I108" s="14" t="inlineStr">
        <is>
          <t>C10-C12</t>
        </is>
      </c>
      <c r="J108" s="14" t="inlineStr">
        <is>
          <t>Food &amp; Beverages</t>
        </is>
      </c>
      <c r="K108" s="14" t="inlineStr">
        <is>
          <t>Food and tobacco</t>
        </is>
      </c>
      <c r="L108" s="14" t="inlineStr">
        <is>
          <t>FOODPRO</t>
        </is>
      </c>
      <c r="M108" s="14" t="n">
        <v>2318</v>
      </c>
      <c r="N108" s="14" t="inlineStr">
        <is>
          <t>10, 11,12</t>
        </is>
      </c>
      <c r="O108" s="14" t="inlineStr">
        <is>
          <t>Food &amp; forestry</t>
        </is>
      </c>
      <c r="P108" s="14" t="inlineStr">
        <is>
          <t>Industry</t>
        </is>
      </c>
      <c r="Q108" s="14" t="inlineStr">
        <is>
          <t>foo</t>
        </is>
      </c>
      <c r="R108" s="14" t="inlineStr">
        <is>
          <t>food</t>
        </is>
      </c>
      <c r="S108" s="14" t="inlineStr">
        <is>
          <t>food</t>
        </is>
      </c>
    </row>
    <row r="109">
      <c r="A109" s="14" t="inlineStr">
        <is>
          <t>Prepared and preserved fruits and nuts</t>
        </is>
      </c>
      <c r="B109" s="14" t="inlineStr">
        <is>
          <t>ofd</t>
        </is>
      </c>
      <c r="C109" s="14" t="n">
        <v>25</v>
      </c>
      <c r="D109"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9" s="14" t="inlineStr">
        <is>
          <t>ofd</t>
        </is>
      </c>
      <c r="F109" s="14" t="n">
        <v>25</v>
      </c>
      <c r="G109" s="14" t="inlineStr">
        <is>
          <t>Other Food</t>
        </is>
      </c>
      <c r="H109" s="14" t="inlineStr">
        <is>
          <t>Manufacture of food products, beverages and tobacco products</t>
        </is>
      </c>
      <c r="I109" s="14" t="inlineStr">
        <is>
          <t>C10-C12</t>
        </is>
      </c>
      <c r="J109" s="14" t="inlineStr">
        <is>
          <t>Food &amp; Beverages</t>
        </is>
      </c>
      <c r="K109" s="14" t="inlineStr">
        <is>
          <t>Food and tobacco</t>
        </is>
      </c>
      <c r="L109" s="14" t="inlineStr">
        <is>
          <t>FOODPRO</t>
        </is>
      </c>
      <c r="M109" s="14" t="n">
        <v>2318</v>
      </c>
      <c r="N109" s="14" t="inlineStr">
        <is>
          <t>10, 11,12</t>
        </is>
      </c>
      <c r="O109" s="14" t="inlineStr">
        <is>
          <t>Food &amp; forestry</t>
        </is>
      </c>
      <c r="P109" s="14" t="inlineStr">
        <is>
          <t>Industry</t>
        </is>
      </c>
      <c r="Q109" s="14" t="inlineStr">
        <is>
          <t>foo</t>
        </is>
      </c>
      <c r="R109" s="14" t="inlineStr">
        <is>
          <t>food</t>
        </is>
      </c>
      <c r="S109" s="14" t="inlineStr">
        <is>
          <t>food</t>
        </is>
      </c>
    </row>
    <row r="110">
      <c r="A110" s="14" t="inlineStr">
        <is>
          <t>Groats, meal and pellets of wheat and other cereals</t>
        </is>
      </c>
      <c r="B110" s="14" t="inlineStr">
        <is>
          <t>ofd</t>
        </is>
      </c>
      <c r="C110" s="14" t="n">
        <v>25</v>
      </c>
      <c r="D110"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10" s="14" t="inlineStr">
        <is>
          <t>ofd</t>
        </is>
      </c>
      <c r="F110" s="14" t="n">
        <v>25</v>
      </c>
      <c r="G110" s="14" t="inlineStr">
        <is>
          <t>Other Food</t>
        </is>
      </c>
      <c r="H110" s="14" t="inlineStr">
        <is>
          <t>Manufacture of food products, beverages and tobacco products</t>
        </is>
      </c>
      <c r="I110" s="14" t="inlineStr">
        <is>
          <t>C10-C12</t>
        </is>
      </c>
      <c r="J110" s="14" t="inlineStr">
        <is>
          <t>Food &amp; Beverages</t>
        </is>
      </c>
      <c r="K110" s="14" t="inlineStr">
        <is>
          <t>Food and tobacco</t>
        </is>
      </c>
      <c r="L110" s="14" t="inlineStr">
        <is>
          <t>FOODPRO</t>
        </is>
      </c>
      <c r="M110" s="14" t="n">
        <v>2318</v>
      </c>
      <c r="N110" s="14" t="inlineStr">
        <is>
          <t>10, 11,12</t>
        </is>
      </c>
      <c r="O110" s="14" t="inlineStr">
        <is>
          <t>Food &amp; forestry</t>
        </is>
      </c>
      <c r="P110" s="14" t="inlineStr">
        <is>
          <t>Industry</t>
        </is>
      </c>
      <c r="Q110" s="14" t="inlineStr">
        <is>
          <t>foo</t>
        </is>
      </c>
      <c r="R110" s="14" t="inlineStr">
        <is>
          <t>food</t>
        </is>
      </c>
      <c r="S110" s="14" t="inlineStr">
        <is>
          <t>food</t>
        </is>
      </c>
    </row>
    <row r="111">
      <c r="A111" s="14" t="inlineStr">
        <is>
          <t>Cocoa, chocolate and sugar confectionery</t>
        </is>
      </c>
      <c r="B111" s="14" t="inlineStr">
        <is>
          <t>ofd</t>
        </is>
      </c>
      <c r="C111" s="14" t="n">
        <v>25</v>
      </c>
      <c r="D111"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11" s="14" t="inlineStr">
        <is>
          <t>ofd</t>
        </is>
      </c>
      <c r="F111" s="14" t="n">
        <v>25</v>
      </c>
      <c r="G111" s="14" t="inlineStr">
        <is>
          <t>Other Food</t>
        </is>
      </c>
      <c r="H111" s="14" t="inlineStr">
        <is>
          <t>Manufacture of food products, beverages and tobacco products</t>
        </is>
      </c>
      <c r="I111" s="14" t="inlineStr">
        <is>
          <t>C10-C12</t>
        </is>
      </c>
      <c r="J111" s="14" t="inlineStr">
        <is>
          <t>Food &amp; Beverages</t>
        </is>
      </c>
      <c r="K111" s="14" t="inlineStr">
        <is>
          <t>Food and tobacco</t>
        </is>
      </c>
      <c r="L111" s="14" t="inlineStr">
        <is>
          <t>FOODPRO</t>
        </is>
      </c>
      <c r="M111" s="14" t="n">
        <v>2318</v>
      </c>
      <c r="N111" s="14" t="inlineStr">
        <is>
          <t>10, 11,12</t>
        </is>
      </c>
      <c r="O111" s="14" t="inlineStr">
        <is>
          <t>Food &amp; forestry</t>
        </is>
      </c>
      <c r="P111" s="14" t="inlineStr">
        <is>
          <t>Industry</t>
        </is>
      </c>
      <c r="Q111" s="14" t="inlineStr">
        <is>
          <t>foo</t>
        </is>
      </c>
      <c r="R111" s="14" t="inlineStr">
        <is>
          <t>food</t>
        </is>
      </c>
      <c r="S111" s="14" t="inlineStr">
        <is>
          <t>food</t>
        </is>
      </c>
    </row>
    <row r="112">
      <c r="A112" s="14" t="inlineStr">
        <is>
          <t>Food products n.e.c.</t>
        </is>
      </c>
      <c r="B112" s="14" t="inlineStr">
        <is>
          <t>ofd</t>
        </is>
      </c>
      <c r="C112" s="14" t="n">
        <v>25</v>
      </c>
      <c r="D112"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12" s="14" t="inlineStr">
        <is>
          <t>ofd</t>
        </is>
      </c>
      <c r="F112" s="14" t="n">
        <v>25</v>
      </c>
      <c r="G112" s="14" t="inlineStr">
        <is>
          <t>Other Food</t>
        </is>
      </c>
      <c r="H112" s="14" t="inlineStr">
        <is>
          <t>Manufacture of food products, beverages and tobacco products</t>
        </is>
      </c>
      <c r="I112" s="14" t="inlineStr">
        <is>
          <t>C10-C12</t>
        </is>
      </c>
      <c r="J112" s="14" t="inlineStr">
        <is>
          <t>Food &amp; Beverages</t>
        </is>
      </c>
      <c r="K112" s="14" t="inlineStr">
        <is>
          <t>Food and tobacco</t>
        </is>
      </c>
      <c r="L112" s="14" t="inlineStr">
        <is>
          <t>FOODPRO</t>
        </is>
      </c>
      <c r="M112" s="14" t="n">
        <v>2318</v>
      </c>
      <c r="N112" s="14" t="inlineStr">
        <is>
          <t>10, 11,12</t>
        </is>
      </c>
      <c r="O112" s="14" t="inlineStr">
        <is>
          <t>Food &amp; forestry</t>
        </is>
      </c>
      <c r="P112" s="14" t="inlineStr">
        <is>
          <t>Industry</t>
        </is>
      </c>
      <c r="Q112" s="14" t="inlineStr">
        <is>
          <t>foo</t>
        </is>
      </c>
      <c r="R112" s="14" t="inlineStr">
        <is>
          <t>food</t>
        </is>
      </c>
      <c r="S112" s="14" t="inlineStr">
        <is>
          <t>food</t>
        </is>
      </c>
    </row>
    <row r="113">
      <c r="A113" s="14" t="inlineStr">
        <is>
          <t>Other cereal grain products (including corn flakes)</t>
        </is>
      </c>
      <c r="B113" s="14" t="inlineStr">
        <is>
          <t>ofd</t>
        </is>
      </c>
      <c r="C113" s="14" t="n">
        <v>25</v>
      </c>
      <c r="D113"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13" s="14" t="inlineStr">
        <is>
          <t>ofd</t>
        </is>
      </c>
      <c r="F113" s="14" t="n">
        <v>25</v>
      </c>
      <c r="G113" s="14" t="inlineStr">
        <is>
          <t>Other Food</t>
        </is>
      </c>
      <c r="H113" s="14" t="inlineStr">
        <is>
          <t>Manufacture of food products, beverages and tobacco products</t>
        </is>
      </c>
      <c r="I113" s="14" t="inlineStr">
        <is>
          <t>C10-C12</t>
        </is>
      </c>
      <c r="J113" s="14" t="inlineStr">
        <is>
          <t>Food &amp; Beverages</t>
        </is>
      </c>
      <c r="K113" s="14" t="inlineStr">
        <is>
          <t>Food and tobacco</t>
        </is>
      </c>
      <c r="L113" s="14" t="inlineStr">
        <is>
          <t>FOODPRO</t>
        </is>
      </c>
      <c r="M113" s="14" t="n">
        <v>2318</v>
      </c>
      <c r="N113" s="14" t="inlineStr">
        <is>
          <t>10, 11,12</t>
        </is>
      </c>
      <c r="O113" s="14" t="inlineStr">
        <is>
          <t>Food &amp; forestry</t>
        </is>
      </c>
      <c r="P113" s="14" t="inlineStr">
        <is>
          <t>Industry</t>
        </is>
      </c>
      <c r="Q113" s="14" t="inlineStr">
        <is>
          <t>foo</t>
        </is>
      </c>
      <c r="R113" s="14" t="inlineStr">
        <is>
          <t>food</t>
        </is>
      </c>
      <c r="S113" s="14" t="inlineStr">
        <is>
          <t>food</t>
        </is>
      </c>
    </row>
    <row r="114">
      <c r="A114" s="14" t="inlineStr">
        <is>
          <t>Bakery products</t>
        </is>
      </c>
      <c r="B114" s="14" t="inlineStr">
        <is>
          <t>ofd</t>
        </is>
      </c>
      <c r="C114" s="14" t="n">
        <v>25</v>
      </c>
      <c r="D114"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14" s="14" t="inlineStr">
        <is>
          <t>ofd</t>
        </is>
      </c>
      <c r="F114" s="14" t="n">
        <v>25</v>
      </c>
      <c r="G114" s="14" t="inlineStr">
        <is>
          <t>Other Food</t>
        </is>
      </c>
      <c r="H114" s="14" t="inlineStr">
        <is>
          <t>Manufacture of food products, beverages and tobacco products</t>
        </is>
      </c>
      <c r="I114" s="14" t="inlineStr">
        <is>
          <t>C10-C12</t>
        </is>
      </c>
      <c r="J114" s="14" t="inlineStr">
        <is>
          <t>Food &amp; Beverages</t>
        </is>
      </c>
      <c r="K114" s="14" t="inlineStr">
        <is>
          <t>Food and tobacco</t>
        </is>
      </c>
      <c r="L114" s="14" t="inlineStr">
        <is>
          <t>FOODPRO</t>
        </is>
      </c>
      <c r="M114" s="14" t="n">
        <v>2318</v>
      </c>
      <c r="N114" s="14" t="inlineStr">
        <is>
          <t>10, 11,12</t>
        </is>
      </c>
      <c r="O114" s="14" t="inlineStr">
        <is>
          <t>Food &amp; forestry</t>
        </is>
      </c>
      <c r="P114" s="14" t="inlineStr">
        <is>
          <t>Industry</t>
        </is>
      </c>
      <c r="Q114" s="14" t="inlineStr">
        <is>
          <t>foo</t>
        </is>
      </c>
      <c r="R114" s="14" t="inlineStr">
        <is>
          <t>food</t>
        </is>
      </c>
      <c r="S114" s="14" t="inlineStr">
        <is>
          <t>food</t>
        </is>
      </c>
    </row>
    <row r="115">
      <c r="A115" s="14" t="inlineStr">
        <is>
          <t>Manufacture of rubber and plastics products</t>
        </is>
      </c>
      <c r="B115" s="14" t="inlineStr">
        <is>
          <t>rpp</t>
        </is>
      </c>
      <c r="C115" s="14" t="n">
        <v>35</v>
      </c>
      <c r="D115" s="14" t="inlineStr">
        <is>
          <t>Manufacture of rubber and plastics products</t>
        </is>
      </c>
      <c r="E115" s="14" t="inlineStr">
        <is>
          <t>rpp</t>
        </is>
      </c>
      <c r="F115" s="14" t="n">
        <v>35</v>
      </c>
      <c r="G115" s="14" t="inlineStr">
        <is>
          <t>Rubber &amp; plastics</t>
        </is>
      </c>
      <c r="H115" s="14" t="inlineStr">
        <is>
          <t>Manufacture of rubber and plastic products</t>
        </is>
      </c>
      <c r="I115" s="14" t="inlineStr">
        <is>
          <t>C22</t>
        </is>
      </c>
      <c r="J115" s="14" t="inlineStr">
        <is>
          <t>Petroleum, Chemical and Non-Metallic Mineral Products</t>
        </is>
      </c>
      <c r="K115" s="14" t="inlineStr">
        <is>
          <t>Non-specified (industry)</t>
        </is>
      </c>
      <c r="L115" s="14" t="inlineStr">
        <is>
          <t>INONSPEC</t>
        </is>
      </c>
      <c r="M115" s="14" t="n">
        <v>22</v>
      </c>
      <c r="N115" s="14" t="n">
        <v>22</v>
      </c>
      <c r="O115" s="14" t="inlineStr">
        <is>
          <t>Other manufacturing</t>
        </is>
      </c>
      <c r="P115" s="14" t="inlineStr">
        <is>
          <t>Industry</t>
        </is>
      </c>
      <c r="Q115" s="14" t="inlineStr">
        <is>
          <t>omn</t>
        </is>
      </c>
      <c r="R115" s="14" t="inlineStr">
        <is>
          <t>chemicals</t>
        </is>
      </c>
      <c r="S115" s="14" t="inlineStr">
        <is>
          <t>che</t>
        </is>
      </c>
    </row>
    <row r="116">
      <c r="A116" s="14" t="inlineStr">
        <is>
          <t>Other manufacturing</t>
        </is>
      </c>
      <c r="B116" s="14" t="inlineStr">
        <is>
          <t>omf</t>
        </is>
      </c>
      <c r="C116" s="14" t="n">
        <v>45</v>
      </c>
      <c r="D116" s="14" t="inlineStr">
        <is>
          <t>Other Manufacturing: includes furniture</t>
        </is>
      </c>
      <c r="E116" s="14" t="inlineStr">
        <is>
          <t>omf</t>
        </is>
      </c>
      <c r="F116" s="14" t="n">
        <v>45</v>
      </c>
      <c r="G116" s="14" t="inlineStr">
        <is>
          <t>Other Manufacturing</t>
        </is>
      </c>
      <c r="H116" s="14" t="inlineStr">
        <is>
          <t>Manufacture of furniture; other manufacturing</t>
        </is>
      </c>
      <c r="I116" s="14" t="inlineStr">
        <is>
          <t>C31_C32</t>
        </is>
      </c>
      <c r="J116" s="14" t="inlineStr">
        <is>
          <t>Other Manufacturing</t>
        </is>
      </c>
      <c r="K116" s="14" t="inlineStr">
        <is>
          <t>Non-specified (industry)</t>
        </is>
      </c>
      <c r="L116" s="14" t="inlineStr">
        <is>
          <t>INONSPEC</t>
        </is>
      </c>
      <c r="M116" s="14" t="n">
        <v>33</v>
      </c>
      <c r="N116" s="14" t="n">
        <v>33</v>
      </c>
      <c r="O116" s="14" t="inlineStr">
        <is>
          <t>Other manufacturing</t>
        </is>
      </c>
      <c r="P116" s="14" t="inlineStr">
        <is>
          <t>Industry</t>
        </is>
      </c>
      <c r="Q116" s="14" t="inlineStr">
        <is>
          <t>omn</t>
        </is>
      </c>
      <c r="R116" s="14" t="inlineStr">
        <is>
          <t>housing</t>
        </is>
      </c>
      <c r="S116" s="14" t="inlineStr">
        <is>
          <t>hou</t>
        </is>
      </c>
    </row>
    <row r="117">
      <c r="A117" s="14" t="inlineStr">
        <is>
          <t>Manufacture of furniture</t>
        </is>
      </c>
      <c r="B117" s="14" t="inlineStr">
        <is>
          <t>omf</t>
        </is>
      </c>
      <c r="C117" s="14" t="n">
        <v>45</v>
      </c>
      <c r="D117" s="14" t="inlineStr">
        <is>
          <t>Other Manufacturing: includes furniture</t>
        </is>
      </c>
      <c r="E117" s="14" t="inlineStr">
        <is>
          <t>omf</t>
        </is>
      </c>
      <c r="F117" s="14" t="n">
        <v>45</v>
      </c>
      <c r="G117" s="14" t="inlineStr">
        <is>
          <t>Other Manufacturing</t>
        </is>
      </c>
      <c r="H117" s="14" t="inlineStr">
        <is>
          <t>Manufacture of furniture; other manufacturing</t>
        </is>
      </c>
      <c r="I117" s="14" t="inlineStr">
        <is>
          <t>C31_C32</t>
        </is>
      </c>
      <c r="J117" s="14" t="inlineStr">
        <is>
          <t>Other Manufacturing</t>
        </is>
      </c>
      <c r="K117" s="14" t="inlineStr">
        <is>
          <t>Non-specified (industry)</t>
        </is>
      </c>
      <c r="L117" s="14" t="inlineStr">
        <is>
          <t>INONSPEC</t>
        </is>
      </c>
      <c r="M117" s="14" t="n">
        <v>33</v>
      </c>
      <c r="N117" s="14" t="n">
        <v>33</v>
      </c>
      <c r="O117" s="14" t="inlineStr">
        <is>
          <t>Other manufacturing</t>
        </is>
      </c>
      <c r="P117" s="14" t="inlineStr">
        <is>
          <t>Industry</t>
        </is>
      </c>
      <c r="Q117" s="14" t="inlineStr">
        <is>
          <t>omn</t>
        </is>
      </c>
      <c r="R117" s="14" t="inlineStr">
        <is>
          <t>housing</t>
        </is>
      </c>
      <c r="S117" s="14" t="inlineStr">
        <is>
          <t>hou</t>
        </is>
      </c>
    </row>
    <row r="118">
      <c r="A118" s="14" t="inlineStr">
        <is>
          <t>Casting of iron and steel</t>
        </is>
      </c>
      <c r="B118" s="14" t="inlineStr">
        <is>
          <t>i_s</t>
        </is>
      </c>
      <c r="C118" s="14" t="n">
        <v>37</v>
      </c>
      <c r="D118" s="14" t="inlineStr">
        <is>
          <t>Iron &amp; Steel: basic production and casting</t>
        </is>
      </c>
      <c r="E118" s="14" t="inlineStr">
        <is>
          <t>i_s</t>
        </is>
      </c>
      <c r="F118" s="14" t="n">
        <v>37</v>
      </c>
      <c r="G118" s="14" t="inlineStr">
        <is>
          <t>Iron &amp; Steel</t>
        </is>
      </c>
      <c r="H118" s="14" t="inlineStr">
        <is>
          <t>Manufacture of basic metals</t>
        </is>
      </c>
      <c r="I118" s="14" t="inlineStr">
        <is>
          <t>C24</t>
        </is>
      </c>
      <c r="J118" s="14" t="inlineStr">
        <is>
          <t>Metal Products</t>
        </is>
      </c>
      <c r="K118" s="14" t="inlineStr">
        <is>
          <t>Iron and steel</t>
        </is>
      </c>
      <c r="L118" s="14" t="inlineStr">
        <is>
          <t>IRONSTL</t>
        </is>
      </c>
      <c r="M118" s="14" t="n">
        <v>22</v>
      </c>
      <c r="N118" s="14" t="n">
        <v>22</v>
      </c>
      <c r="O118" s="14" t="inlineStr">
        <is>
          <t>Iron and steel</t>
        </is>
      </c>
      <c r="P118" s="14" t="inlineStr">
        <is>
          <t>Industry</t>
        </is>
      </c>
      <c r="Q118" s="14" t="inlineStr">
        <is>
          <t>irn</t>
        </is>
      </c>
      <c r="R118" s="14" t="inlineStr">
        <is>
          <t>NA</t>
        </is>
      </c>
      <c r="S118" s="14" t="inlineStr">
        <is>
          <t>NA</t>
        </is>
      </c>
    </row>
    <row r="119">
      <c r="A119" s="14" t="inlineStr">
        <is>
          <t>Manufacture of basic iron and steel</t>
        </is>
      </c>
      <c r="B119" s="14" t="inlineStr">
        <is>
          <t>i_s</t>
        </is>
      </c>
      <c r="C119" s="14" t="n">
        <v>37</v>
      </c>
      <c r="D119" s="14" t="inlineStr">
        <is>
          <t>Iron &amp; Steel: basic production and casting</t>
        </is>
      </c>
      <c r="E119" s="14" t="inlineStr">
        <is>
          <t>i_s</t>
        </is>
      </c>
      <c r="F119" s="14" t="n">
        <v>37</v>
      </c>
      <c r="G119" s="14" t="inlineStr">
        <is>
          <t>Iron &amp; Steel</t>
        </is>
      </c>
      <c r="H119" s="14" t="inlineStr">
        <is>
          <t>Manufacture of basic metals</t>
        </is>
      </c>
      <c r="I119" s="14" t="inlineStr">
        <is>
          <t>C24</t>
        </is>
      </c>
      <c r="J119" s="14" t="inlineStr">
        <is>
          <t>Metal Products</t>
        </is>
      </c>
      <c r="K119" s="14" t="inlineStr">
        <is>
          <t>Iron and steel</t>
        </is>
      </c>
      <c r="L119" s="14" t="inlineStr">
        <is>
          <t>IRONSTL</t>
        </is>
      </c>
      <c r="M119" s="14" t="n">
        <v>22</v>
      </c>
      <c r="N119" s="14" t="n">
        <v>22</v>
      </c>
      <c r="O119" s="14" t="inlineStr">
        <is>
          <t>Iron and steel</t>
        </is>
      </c>
      <c r="P119" s="14" t="inlineStr">
        <is>
          <t>Industry</t>
        </is>
      </c>
      <c r="Q119" s="14" t="inlineStr">
        <is>
          <t>irn</t>
        </is>
      </c>
      <c r="R119" s="14" t="inlineStr">
        <is>
          <t>NA</t>
        </is>
      </c>
      <c r="S119" s="14" t="inlineStr">
        <is>
          <t>NA</t>
        </is>
      </c>
    </row>
    <row r="120">
      <c r="A120" s="14" t="inlineStr">
        <is>
          <t>Manufacture of computer, electronic and optical products</t>
        </is>
      </c>
      <c r="B120" s="14" t="inlineStr">
        <is>
          <t>ele</t>
        </is>
      </c>
      <c r="C120" s="14" t="n">
        <v>40</v>
      </c>
      <c r="D120" s="14" t="inlineStr">
        <is>
          <t>Manufacture of computer, electronic and optical products</t>
        </is>
      </c>
      <c r="E120" s="14" t="inlineStr">
        <is>
          <t>ele</t>
        </is>
      </c>
      <c r="F120" s="14" t="n">
        <v>40</v>
      </c>
      <c r="G120" s="14" t="inlineStr">
        <is>
          <t>Computer equipment</t>
        </is>
      </c>
      <c r="H120" s="14" t="inlineStr">
        <is>
          <t>Manufacture of computer, electronic and optical products</t>
        </is>
      </c>
      <c r="I120" s="14" t="inlineStr">
        <is>
          <t>C26</t>
        </is>
      </c>
      <c r="J120" s="14" t="inlineStr">
        <is>
          <t>Electrical and Machinery</t>
        </is>
      </c>
      <c r="K120" s="14" t="inlineStr">
        <is>
          <t>Machinery</t>
        </is>
      </c>
      <c r="L120" s="14" t="inlineStr">
        <is>
          <t>MACHINE</t>
        </is>
      </c>
      <c r="M120" s="14" t="n">
        <v>26</v>
      </c>
      <c r="N120" s="14" t="n">
        <v>26</v>
      </c>
      <c r="O120" s="14" t="inlineStr">
        <is>
          <t>Machinery</t>
        </is>
      </c>
      <c r="P120" s="14" t="inlineStr">
        <is>
          <t>Industry</t>
        </is>
      </c>
      <c r="Q120" s="14" t="inlineStr">
        <is>
          <t>mac</t>
        </is>
      </c>
      <c r="R120" s="14" t="inlineStr">
        <is>
          <t>appliances</t>
        </is>
      </c>
      <c r="S120" s="14" t="inlineStr">
        <is>
          <t>app</t>
        </is>
      </c>
    </row>
    <row r="121">
      <c r="A121" s="14" t="inlineStr">
        <is>
          <t>Manufacture of electrical equipment</t>
        </is>
      </c>
      <c r="B121" s="14" t="inlineStr">
        <is>
          <t>eeq</t>
        </is>
      </c>
      <c r="C121" s="14" t="n">
        <v>41</v>
      </c>
      <c r="D121" s="14" t="inlineStr">
        <is>
          <t>Manufacture of electrical equipment</t>
        </is>
      </c>
      <c r="E121" s="14" t="inlineStr">
        <is>
          <t>eeq</t>
        </is>
      </c>
      <c r="F121" s="14" t="n">
        <v>41</v>
      </c>
      <c r="G121" s="14" t="inlineStr">
        <is>
          <t>Electrical equipment</t>
        </is>
      </c>
      <c r="H121" s="14" t="inlineStr">
        <is>
          <t>Manufacture of electrical equipment</t>
        </is>
      </c>
      <c r="I121" s="14" t="inlineStr">
        <is>
          <t>C27</t>
        </is>
      </c>
      <c r="J121" s="14" t="inlineStr">
        <is>
          <t>Electrical and Machinery</t>
        </is>
      </c>
      <c r="K121" s="14" t="inlineStr">
        <is>
          <t>Machinery</t>
        </is>
      </c>
      <c r="L121" s="14" t="inlineStr">
        <is>
          <t>MACHINE</t>
        </is>
      </c>
      <c r="M121" s="14" t="n">
        <v>27</v>
      </c>
      <c r="N121" s="14" t="n">
        <v>27</v>
      </c>
      <c r="O121" s="14" t="inlineStr">
        <is>
          <t>Machinery</t>
        </is>
      </c>
      <c r="P121" s="14" t="inlineStr">
        <is>
          <t>Industry</t>
        </is>
      </c>
      <c r="Q121" s="14" t="inlineStr">
        <is>
          <t>mac</t>
        </is>
      </c>
      <c r="R121" s="14" t="inlineStr">
        <is>
          <t>appliances</t>
        </is>
      </c>
      <c r="S121" s="14" t="inlineStr">
        <is>
          <t>app</t>
        </is>
      </c>
    </row>
    <row r="122">
      <c r="A122" s="14" t="inlineStr">
        <is>
          <t>Manufacture of machinery and equipment n.e.c.</t>
        </is>
      </c>
      <c r="B122" s="14" t="inlineStr">
        <is>
          <t>ome</t>
        </is>
      </c>
      <c r="C122" s="14" t="n">
        <v>42</v>
      </c>
      <c r="D122" s="14" t="inlineStr">
        <is>
          <t>Manufacture of machinery and equipment n.e.c.</t>
        </is>
      </c>
      <c r="E122" s="14" t="inlineStr">
        <is>
          <t>ome</t>
        </is>
      </c>
      <c r="F122" s="14" t="n">
        <v>42</v>
      </c>
      <c r="G122" s="14" t="inlineStr">
        <is>
          <t>Machinery</t>
        </is>
      </c>
      <c r="H122" s="14" t="inlineStr">
        <is>
          <t>Manufacture of machinery and equipment n.e.c.</t>
        </is>
      </c>
      <c r="I122" s="14" t="inlineStr">
        <is>
          <t>C28</t>
        </is>
      </c>
      <c r="J122" s="14" t="inlineStr">
        <is>
          <t>Electrical and Machinery</t>
        </is>
      </c>
      <c r="K122" s="14" t="inlineStr">
        <is>
          <t>Machinery</t>
        </is>
      </c>
      <c r="L122" s="14" t="inlineStr">
        <is>
          <t>MACHINE</t>
        </is>
      </c>
      <c r="M122" s="14" t="n">
        <v>28</v>
      </c>
      <c r="N122" s="14" t="n">
        <v>28</v>
      </c>
      <c r="O122" s="14" t="inlineStr">
        <is>
          <t>Machinery</t>
        </is>
      </c>
      <c r="P122" s="14" t="inlineStr">
        <is>
          <t>Industry</t>
        </is>
      </c>
      <c r="Q122" s="14" t="inlineStr">
        <is>
          <t>mac</t>
        </is>
      </c>
      <c r="R122" s="14" t="inlineStr">
        <is>
          <t>appliances</t>
        </is>
      </c>
      <c r="S122" s="14" t="inlineStr">
        <is>
          <t>app</t>
        </is>
      </c>
    </row>
    <row r="123">
      <c r="A123" s="14" t="inlineStr">
        <is>
          <t>Manufacture of fabricated metal products, except machinery and equipment</t>
        </is>
      </c>
      <c r="B123" s="14" t="inlineStr">
        <is>
          <t>fmp</t>
        </is>
      </c>
      <c r="C123" s="14" t="n">
        <v>39</v>
      </c>
      <c r="D123" s="14" t="inlineStr">
        <is>
          <t>Manufacture of fabricated metal products, except machinery and equipment</t>
        </is>
      </c>
      <c r="E123" s="14" t="inlineStr">
        <is>
          <t>fmp</t>
        </is>
      </c>
      <c r="F123" s="14" t="n">
        <v>39</v>
      </c>
      <c r="G123" s="14" t="inlineStr">
        <is>
          <t>Fabricated metals</t>
        </is>
      </c>
      <c r="H123" s="14" t="inlineStr">
        <is>
          <t>Manufacture of fabricated metal products, except machinery and equipment</t>
        </is>
      </c>
      <c r="I123" s="14" t="inlineStr">
        <is>
          <t>C25</t>
        </is>
      </c>
      <c r="J123" s="14" t="inlineStr">
        <is>
          <t>Metal Products</t>
        </is>
      </c>
      <c r="K123" s="14" t="inlineStr">
        <is>
          <t>Machinery</t>
        </is>
      </c>
      <c r="L123" s="14" t="inlineStr">
        <is>
          <t>MACHINE</t>
        </is>
      </c>
      <c r="M123" s="14" t="n">
        <v>22</v>
      </c>
      <c r="N123" s="14" t="n">
        <v>22</v>
      </c>
      <c r="O123" s="14" t="inlineStr">
        <is>
          <t>Machinery</t>
        </is>
      </c>
      <c r="P123" s="14" t="inlineStr">
        <is>
          <t>Industry</t>
        </is>
      </c>
      <c r="Q123" s="14" t="inlineStr">
        <is>
          <t>mac</t>
        </is>
      </c>
      <c r="R123" s="14" t="inlineStr">
        <is>
          <t>NA</t>
        </is>
      </c>
      <c r="S123" s="14" t="inlineStr">
        <is>
          <t>NA</t>
        </is>
      </c>
    </row>
    <row r="124">
      <c r="A124" s="14" t="inlineStr">
        <is>
          <t>Mining of metal ores</t>
        </is>
      </c>
      <c r="B124" s="14" t="inlineStr">
        <is>
          <t>oxt</t>
        </is>
      </c>
      <c r="C124" s="14" t="n">
        <v>18</v>
      </c>
      <c r="D124" s="14" t="inlineStr">
        <is>
          <t>Other Mining Extraction (formerly omn): mining of metal ores; other mining and quarrying</t>
        </is>
      </c>
      <c r="E124" s="14" t="inlineStr">
        <is>
          <t>oxt</t>
        </is>
      </c>
      <c r="F124" s="14" t="n">
        <v>18</v>
      </c>
      <c r="G124" s="14" t="inlineStr">
        <is>
          <t>Other Mining</t>
        </is>
      </c>
      <c r="H124" s="14" t="inlineStr">
        <is>
          <t>Mining and quarrying</t>
        </is>
      </c>
      <c r="I124" s="14" t="inlineStr">
        <is>
          <t>B</t>
        </is>
      </c>
      <c r="J124" s="14" t="inlineStr">
        <is>
          <t>Mining and Quarrying</t>
        </is>
      </c>
      <c r="K124" s="14" t="inlineStr">
        <is>
          <t>Mining and quarrying</t>
        </is>
      </c>
      <c r="L124" s="14" t="inlineStr">
        <is>
          <t>MINING</t>
        </is>
      </c>
      <c r="M124" s="14" t="n">
        <v>17</v>
      </c>
      <c r="N124" s="14" t="n">
        <v>3</v>
      </c>
      <c r="O124" s="14" t="inlineStr">
        <is>
          <t>Mining &amp; Chemicals</t>
        </is>
      </c>
      <c r="P124" s="14" t="inlineStr">
        <is>
          <t>Industry</t>
        </is>
      </c>
      <c r="Q124" s="14" t="inlineStr">
        <is>
          <t>mch</t>
        </is>
      </c>
      <c r="R124" s="14" t="inlineStr">
        <is>
          <t>NA</t>
        </is>
      </c>
      <c r="S124" s="14" t="inlineStr">
        <is>
          <t>NA</t>
        </is>
      </c>
    </row>
    <row r="125">
      <c r="A125" s="14" t="inlineStr">
        <is>
          <t>Other mining and quarrying</t>
        </is>
      </c>
      <c r="B125" s="14" t="inlineStr">
        <is>
          <t>oxt</t>
        </is>
      </c>
      <c r="C125" s="14" t="n">
        <v>18</v>
      </c>
      <c r="D125" s="14" t="inlineStr">
        <is>
          <t>Other Mining Extraction (formerly omn): mining of metal ores; other mining and quarrying</t>
        </is>
      </c>
      <c r="E125" s="14" t="inlineStr">
        <is>
          <t>oxt</t>
        </is>
      </c>
      <c r="F125" s="14" t="n">
        <v>18</v>
      </c>
      <c r="G125" s="14" t="inlineStr">
        <is>
          <t>Other Mining</t>
        </is>
      </c>
      <c r="H125" s="14" t="inlineStr">
        <is>
          <t>Mining and quarrying</t>
        </is>
      </c>
      <c r="I125" s="14" t="inlineStr">
        <is>
          <t>B</t>
        </is>
      </c>
      <c r="J125" s="14" t="inlineStr">
        <is>
          <t>Mining and Quarrying</t>
        </is>
      </c>
      <c r="K125" s="14" t="inlineStr">
        <is>
          <t>Mining and quarrying</t>
        </is>
      </c>
      <c r="L125" s="14" t="inlineStr">
        <is>
          <t>MINING</t>
        </is>
      </c>
      <c r="M125" s="14" t="n">
        <v>17</v>
      </c>
      <c r="N125" s="14" t="n">
        <v>3</v>
      </c>
      <c r="O125" s="14" t="inlineStr">
        <is>
          <t>Mining &amp; Chemicals</t>
        </is>
      </c>
      <c r="P125" s="14" t="inlineStr">
        <is>
          <t>Industry</t>
        </is>
      </c>
      <c r="Q125" s="14" t="inlineStr">
        <is>
          <t>mch</t>
        </is>
      </c>
      <c r="R125" s="14" t="inlineStr">
        <is>
          <t>NA</t>
        </is>
      </c>
      <c r="S125" s="14" t="inlineStr">
        <is>
          <t>NA</t>
        </is>
      </c>
    </row>
    <row r="126">
      <c r="A126" s="14" t="inlineStr">
        <is>
          <t>Support activities for other mining and quarrying</t>
        </is>
      </c>
      <c r="B126" s="14" t="inlineStr">
        <is>
          <t>oxt</t>
        </is>
      </c>
      <c r="C126" s="14" t="n">
        <v>18</v>
      </c>
      <c r="D126" s="14" t="inlineStr">
        <is>
          <t>Other Mining Extraction (formerly omn): mining of metal ores; other mining and quarrying</t>
        </is>
      </c>
      <c r="E126" s="14" t="inlineStr">
        <is>
          <t>oxt</t>
        </is>
      </c>
      <c r="F126" s="14" t="n">
        <v>18</v>
      </c>
      <c r="G126" s="14" t="inlineStr">
        <is>
          <t>Other Mining</t>
        </is>
      </c>
      <c r="H126" s="14" t="inlineStr">
        <is>
          <t>Mining and quarrying</t>
        </is>
      </c>
      <c r="I126" s="14" t="inlineStr">
        <is>
          <t>B</t>
        </is>
      </c>
      <c r="J126" s="14" t="inlineStr">
        <is>
          <t>Mining and Quarrying</t>
        </is>
      </c>
      <c r="K126" s="14" t="inlineStr">
        <is>
          <t>Mining and quarrying</t>
        </is>
      </c>
      <c r="L126" s="14" t="inlineStr">
        <is>
          <t>MINING</t>
        </is>
      </c>
      <c r="M126" s="14" t="n">
        <v>17</v>
      </c>
      <c r="N126" s="14" t="n">
        <v>3</v>
      </c>
      <c r="O126" s="14" t="inlineStr">
        <is>
          <t>Mining &amp; Chemicals</t>
        </is>
      </c>
      <c r="P126" s="14" t="inlineStr">
        <is>
          <t>Industry</t>
        </is>
      </c>
      <c r="Q126" s="14" t="inlineStr">
        <is>
          <t>mch</t>
        </is>
      </c>
      <c r="R126" s="14" t="inlineStr">
        <is>
          <t>NA</t>
        </is>
      </c>
      <c r="S126" s="14" t="inlineStr">
        <is>
          <t>NA</t>
        </is>
      </c>
    </row>
    <row r="127">
      <c r="A127" s="14" t="inlineStr">
        <is>
          <t>Activities of extraterritorial organizations and bodies</t>
        </is>
      </c>
      <c r="B127" s="14" t="inlineStr">
        <is>
          <t>osg</t>
        </is>
      </c>
      <c r="C127" s="14" t="n">
        <v>62</v>
      </c>
      <c r="D127" s="14" t="inlineStr">
        <is>
          <t>Other Services (Government): public administration and defense; compulsory social security, activities of membership organizations n.e.c., extra-territorial organizations and bodies</t>
        </is>
      </c>
      <c r="E127" s="14" t="inlineStr">
        <is>
          <t>osg</t>
        </is>
      </c>
      <c r="F127" s="14" t="n">
        <v>62</v>
      </c>
      <c r="G127" s="14" t="inlineStr">
        <is>
          <t>Government services</t>
        </is>
      </c>
      <c r="H127" s="14" t="inlineStr">
        <is>
          <t>Activities of extraterritorial organizations and bodies</t>
        </is>
      </c>
      <c r="I127" s="14" t="inlineStr">
        <is>
          <t>U</t>
        </is>
      </c>
      <c r="J127" s="14" t="inlineStr">
        <is>
          <t>Others</t>
        </is>
      </c>
      <c r="K127" s="14" t="inlineStr">
        <is>
          <t>Mining and quarrying</t>
        </is>
      </c>
      <c r="L127" s="14" t="inlineStr">
        <is>
          <t>MINING</t>
        </is>
      </c>
      <c r="M127" s="14" t="n">
        <v>99</v>
      </c>
      <c r="N127" s="14" t="n">
        <v>99</v>
      </c>
      <c r="O127" s="14" t="inlineStr">
        <is>
          <t>Mining &amp; Chemicals</t>
        </is>
      </c>
      <c r="P127" s="14" t="inlineStr">
        <is>
          <t>Industry</t>
        </is>
      </c>
      <c r="Q127" s="14" t="inlineStr">
        <is>
          <t>mch</t>
        </is>
      </c>
      <c r="R127" s="14" t="inlineStr">
        <is>
          <t>other</t>
        </is>
      </c>
      <c r="S127" s="14" t="inlineStr">
        <is>
          <t>oth</t>
        </is>
      </c>
    </row>
    <row r="128">
      <c r="A128" s="14" t="inlineStr">
        <is>
          <t>Manufacture of basic precious and other non-ferrous metals</t>
        </is>
      </c>
      <c r="B128" s="14" t="inlineStr">
        <is>
          <t>nfm</t>
        </is>
      </c>
      <c r="C128" s="14" t="n">
        <v>38</v>
      </c>
      <c r="D128" s="14" t="inlineStr">
        <is>
          <t>Non-Ferrous Metals: production and casting of copper, aluminium, zinc, lead, gold, and silver</t>
        </is>
      </c>
      <c r="E128" s="14" t="inlineStr">
        <is>
          <t>nfm</t>
        </is>
      </c>
      <c r="F128" s="14" t="n">
        <v>38</v>
      </c>
      <c r="G128" s="14" t="inlineStr">
        <is>
          <t>Non-Ferrous Metals</t>
        </is>
      </c>
      <c r="H128" s="14" t="inlineStr">
        <is>
          <t>Manufacture of basic metals</t>
        </is>
      </c>
      <c r="I128" s="14" t="inlineStr">
        <is>
          <t>C24</t>
        </is>
      </c>
      <c r="J128" s="14" t="inlineStr">
        <is>
          <t>Metal Products</t>
        </is>
      </c>
      <c r="K128" s="14" t="inlineStr">
        <is>
          <t>Non-ferrous metals</t>
        </is>
      </c>
      <c r="L128" s="14" t="inlineStr">
        <is>
          <t>NONFERR</t>
        </is>
      </c>
      <c r="M128" s="14" t="n">
        <v>22</v>
      </c>
      <c r="N128" s="14" t="n">
        <v>22</v>
      </c>
      <c r="O128" s="14" t="inlineStr">
        <is>
          <t>Non-ferrous metals</t>
        </is>
      </c>
      <c r="P128" s="14" t="inlineStr">
        <is>
          <t>Industry</t>
        </is>
      </c>
      <c r="Q128" s="14" t="inlineStr">
        <is>
          <t>nfm</t>
        </is>
      </c>
      <c r="R128" s="14" t="inlineStr">
        <is>
          <t>NA</t>
        </is>
      </c>
      <c r="S128" s="14" t="inlineStr">
        <is>
          <t>NA</t>
        </is>
      </c>
    </row>
    <row r="129">
      <c r="A129" s="14" t="inlineStr">
        <is>
          <t>Casting of non-ferrous metals</t>
        </is>
      </c>
      <c r="B129" s="14" t="inlineStr">
        <is>
          <t>nfm</t>
        </is>
      </c>
      <c r="C129" s="14" t="n">
        <v>38</v>
      </c>
      <c r="D129" s="14" t="inlineStr">
        <is>
          <t>Non-Ferrous Metals: production and casting of copper, aluminium, zinc, lead, gold, and silver</t>
        </is>
      </c>
      <c r="E129" s="14" t="inlineStr">
        <is>
          <t>nfm</t>
        </is>
      </c>
      <c r="F129" s="14" t="n">
        <v>38</v>
      </c>
      <c r="G129" s="14" t="inlineStr">
        <is>
          <t>Non-Ferrous Metals</t>
        </is>
      </c>
      <c r="H129" s="14" t="inlineStr">
        <is>
          <t>Manufacture of basic metals</t>
        </is>
      </c>
      <c r="I129" s="14" t="inlineStr">
        <is>
          <t>C24</t>
        </is>
      </c>
      <c r="J129" s="14" t="inlineStr">
        <is>
          <t>Metal Products</t>
        </is>
      </c>
      <c r="K129" s="14" t="inlineStr">
        <is>
          <t>Non-ferrous metals</t>
        </is>
      </c>
      <c r="L129" s="14" t="inlineStr">
        <is>
          <t>NONFERR</t>
        </is>
      </c>
      <c r="M129" s="14" t="n">
        <v>22</v>
      </c>
      <c r="N129" s="14" t="n">
        <v>22</v>
      </c>
      <c r="O129" s="14" t="inlineStr">
        <is>
          <t>Non-ferrous metals</t>
        </is>
      </c>
      <c r="P129" s="14" t="inlineStr">
        <is>
          <t>Industry</t>
        </is>
      </c>
      <c r="Q129" s="14" t="inlineStr">
        <is>
          <t>nfm</t>
        </is>
      </c>
      <c r="R129" s="14" t="inlineStr">
        <is>
          <t>NA</t>
        </is>
      </c>
      <c r="S129" s="14" t="inlineStr">
        <is>
          <t>NA</t>
        </is>
      </c>
    </row>
    <row r="130">
      <c r="A130" s="14" t="inlineStr">
        <is>
          <t>Manufacture of other non-metallic mineral products</t>
        </is>
      </c>
      <c r="B130" s="14" t="inlineStr">
        <is>
          <t>nmm</t>
        </is>
      </c>
      <c r="C130" s="14" t="n">
        <v>36</v>
      </c>
      <c r="D130" s="14" t="inlineStr">
        <is>
          <t>Manufacture of other non-metallic mineral products</t>
        </is>
      </c>
      <c r="E130" s="14" t="inlineStr">
        <is>
          <t>nmm</t>
        </is>
      </c>
      <c r="F130" s="14" t="n">
        <v>36</v>
      </c>
      <c r="G130" s="14" t="inlineStr">
        <is>
          <t>Non-metallic minerals</t>
        </is>
      </c>
      <c r="H130" s="14" t="inlineStr">
        <is>
          <t>Manufacture of other non-metallic mineral products</t>
        </is>
      </c>
      <c r="I130" s="14" t="inlineStr">
        <is>
          <t>C23</t>
        </is>
      </c>
      <c r="J130" s="14" t="inlineStr">
        <is>
          <t>Metal Products</t>
        </is>
      </c>
      <c r="K130" s="14" t="inlineStr">
        <is>
          <t>Non-metallic minerals</t>
        </is>
      </c>
      <c r="L130" s="14" t="inlineStr">
        <is>
          <t>NONMET</t>
        </is>
      </c>
      <c r="M130" s="14" t="n">
        <v>22</v>
      </c>
      <c r="N130" s="14" t="n">
        <v>22</v>
      </c>
      <c r="O130" s="14" t="inlineStr">
        <is>
          <t>Cement</t>
        </is>
      </c>
      <c r="P130" s="14" t="inlineStr">
        <is>
          <t>Industry</t>
        </is>
      </c>
      <c r="Q130" s="14" t="inlineStr">
        <is>
          <t>cem</t>
        </is>
      </c>
      <c r="R130" s="14" t="inlineStr">
        <is>
          <t>NA</t>
        </is>
      </c>
      <c r="S130" s="14" t="inlineStr">
        <is>
          <t>NA</t>
        </is>
      </c>
    </row>
    <row r="131">
      <c r="A131" s="14" t="inlineStr">
        <is>
          <t>Printing and reproduction of record media</t>
        </is>
      </c>
      <c r="B131" s="14" t="inlineStr">
        <is>
          <t>ppp</t>
        </is>
      </c>
      <c r="C131" s="14" t="n">
        <v>31</v>
      </c>
      <c r="D131" s="14" t="inlineStr">
        <is>
          <t>Paper &amp; Paper Products: includes printing and reproduction of recorded media</t>
        </is>
      </c>
      <c r="E131" s="14" t="inlineStr">
        <is>
          <t>ppp</t>
        </is>
      </c>
      <c r="F131" s="14" t="n">
        <v>31</v>
      </c>
      <c r="G131" s="14" t="inlineStr">
        <is>
          <t>Paper</t>
        </is>
      </c>
      <c r="H131" s="14" t="inlineStr">
        <is>
          <t>Printing and reproduction of recorded media</t>
        </is>
      </c>
      <c r="I131" s="14" t="inlineStr">
        <is>
          <t>C18</t>
        </is>
      </c>
      <c r="J131" s="14" t="inlineStr">
        <is>
          <t>Education, Health and Other Services</t>
        </is>
      </c>
      <c r="K131" s="14" t="inlineStr">
        <is>
          <t>Paper, pulp and print</t>
        </is>
      </c>
      <c r="L131" s="14" t="inlineStr">
        <is>
          <t>PAPERPRO</t>
        </is>
      </c>
      <c r="M131" s="14" t="n">
        <v>18</v>
      </c>
      <c r="N131" s="14" t="inlineStr">
        <is>
          <t>17, 18, 58, 59</t>
        </is>
      </c>
      <c r="O131" s="14" t="inlineStr">
        <is>
          <t>Other manufacturing</t>
        </is>
      </c>
      <c r="P131" s="14" t="inlineStr">
        <is>
          <t>Industry</t>
        </is>
      </c>
      <c r="Q131" s="14" t="inlineStr">
        <is>
          <t>omn</t>
        </is>
      </c>
      <c r="R131" s="14" t="inlineStr">
        <is>
          <t>paper</t>
        </is>
      </c>
      <c r="S131" s="14" t="inlineStr">
        <is>
          <t>pap</t>
        </is>
      </c>
    </row>
    <row r="132">
      <c r="A132" s="14" t="inlineStr">
        <is>
          <t>Manufacture of paper and paper products</t>
        </is>
      </c>
      <c r="B132" s="14" t="inlineStr">
        <is>
          <t>ppp</t>
        </is>
      </c>
      <c r="C132" s="14" t="n">
        <v>31</v>
      </c>
      <c r="D132" s="14" t="inlineStr">
        <is>
          <t>Paper &amp; Paper Products: includes printing and reproduction of recorded media</t>
        </is>
      </c>
      <c r="E132" s="14" t="inlineStr">
        <is>
          <t>ppp</t>
        </is>
      </c>
      <c r="F132" s="14" t="n">
        <v>31</v>
      </c>
      <c r="G132" s="14" t="inlineStr">
        <is>
          <t>Paper</t>
        </is>
      </c>
      <c r="H132" s="14" t="inlineStr">
        <is>
          <t>Manufacture of paper and paper products</t>
        </is>
      </c>
      <c r="I132" s="14" t="inlineStr">
        <is>
          <t>C17</t>
        </is>
      </c>
      <c r="J132" s="14" t="inlineStr">
        <is>
          <t>Other Manufacturing</t>
        </is>
      </c>
      <c r="K132" s="14" t="inlineStr">
        <is>
          <t>Paper, pulp and print</t>
        </is>
      </c>
      <c r="L132" s="14" t="inlineStr">
        <is>
          <t>PAPERPRO</t>
        </is>
      </c>
      <c r="M132" s="14" t="n">
        <v>18</v>
      </c>
      <c r="N132" s="14" t="inlineStr">
        <is>
          <t>17, 18, 58, 59</t>
        </is>
      </c>
      <c r="O132" s="14" t="inlineStr">
        <is>
          <t>Other manufacturing</t>
        </is>
      </c>
      <c r="P132" s="14" t="inlineStr">
        <is>
          <t>Industry</t>
        </is>
      </c>
      <c r="Q132" s="14" t="inlineStr">
        <is>
          <t>omn</t>
        </is>
      </c>
      <c r="R132" s="14" t="inlineStr">
        <is>
          <t>paper</t>
        </is>
      </c>
      <c r="S132" s="14" t="inlineStr">
        <is>
          <t>pap</t>
        </is>
      </c>
    </row>
    <row r="133">
      <c r="A133" s="14" t="inlineStr">
        <is>
          <t>Sewerage</t>
        </is>
      </c>
      <c r="B133" s="14" t="inlineStr">
        <is>
          <t>wtr</t>
        </is>
      </c>
      <c r="C133" s="14" t="n">
        <v>48</v>
      </c>
      <c r="D133" s="14" t="inlineStr">
        <is>
          <t>Water supply; sewerage, waste management and remediation activities</t>
        </is>
      </c>
      <c r="E133" s="14" t="inlineStr">
        <is>
          <t>wtr</t>
        </is>
      </c>
      <c r="F133" s="14" t="n">
        <v>48</v>
      </c>
      <c r="G133" s="14" t="inlineStr">
        <is>
          <t>Water supply</t>
        </is>
      </c>
      <c r="H133" s="14" t="inlineStr">
        <is>
          <t xml:space="preserve">Sewerage; waste collection, treatment and disposal activities; materials recovery; remediation activities and other waste management services </t>
        </is>
      </c>
      <c r="I133" s="14" t="inlineStr">
        <is>
          <t>E37-E39</t>
        </is>
      </c>
      <c r="J133" s="14" t="inlineStr">
        <is>
          <t>Electricity, Gas and Water</t>
        </is>
      </c>
      <c r="K133" s="14" t="inlineStr">
        <is>
          <t>Commercial and public services</t>
        </is>
      </c>
      <c r="L133" s="14" t="inlineStr">
        <is>
          <t>COMMPUB</t>
        </is>
      </c>
      <c r="M133" s="14" t="n">
        <v>39</v>
      </c>
      <c r="N133" s="14" t="n">
        <v>36</v>
      </c>
      <c r="O133" s="14" t="inlineStr">
        <is>
          <t>Services (public &amp; private)</t>
        </is>
      </c>
      <c r="P133" s="14" t="inlineStr">
        <is>
          <t>Industry</t>
        </is>
      </c>
      <c r="Q133" s="14" t="inlineStr">
        <is>
          <t>srv</t>
        </is>
      </c>
      <c r="R133" s="14" t="inlineStr">
        <is>
          <t>housing</t>
        </is>
      </c>
      <c r="S133" s="14" t="inlineStr">
        <is>
          <t>hou</t>
        </is>
      </c>
    </row>
    <row r="134">
      <c r="A134" s="14" t="inlineStr">
        <is>
          <t>Collection, purification and distribution of water, water collection, treatment and supply</t>
        </is>
      </c>
      <c r="B134" s="14" t="inlineStr">
        <is>
          <t>wtr</t>
        </is>
      </c>
      <c r="C134" s="14" t="n">
        <v>48</v>
      </c>
      <c r="D134" s="14" t="inlineStr">
        <is>
          <t>Water supply; sewerage, waste management and remediation activities</t>
        </is>
      </c>
      <c r="E134" s="14" t="inlineStr">
        <is>
          <t>wtr</t>
        </is>
      </c>
      <c r="F134" s="14" t="n">
        <v>48</v>
      </c>
      <c r="G134" s="14" t="inlineStr">
        <is>
          <t>Water supply</t>
        </is>
      </c>
      <c r="H134" s="14" t="inlineStr">
        <is>
          <t xml:space="preserve">Sewerage; waste collection, treatment and disposal activities; materials recovery; remediation activities and other waste management services </t>
        </is>
      </c>
      <c r="I134" s="14" t="inlineStr">
        <is>
          <t>E37-E39</t>
        </is>
      </c>
      <c r="J134" s="14" t="inlineStr">
        <is>
          <t>Electricity, Gas and Water</t>
        </is>
      </c>
      <c r="K134" s="14" t="inlineStr">
        <is>
          <t>Commercial and public services</t>
        </is>
      </c>
      <c r="L134" s="14" t="inlineStr">
        <is>
          <t>COMMPUB</t>
        </is>
      </c>
      <c r="M134" s="14" t="n">
        <v>39</v>
      </c>
      <c r="N134" s="14" t="n">
        <v>36</v>
      </c>
      <c r="O134" s="14" t="inlineStr">
        <is>
          <t>Services (public &amp; private)</t>
        </is>
      </c>
      <c r="P134" s="14" t="inlineStr">
        <is>
          <t>Industry</t>
        </is>
      </c>
      <c r="Q134" s="14" t="inlineStr">
        <is>
          <t>srv</t>
        </is>
      </c>
      <c r="R134" s="14" t="inlineStr">
        <is>
          <t>housing</t>
        </is>
      </c>
      <c r="S134" s="14" t="inlineStr">
        <is>
          <t>hou</t>
        </is>
      </c>
    </row>
    <row r="135">
      <c r="A135" s="14" t="inlineStr">
        <is>
          <t>Waste collection, treatment and disposal activities; materials recovery</t>
        </is>
      </c>
      <c r="B135" s="14" t="inlineStr">
        <is>
          <t>wtr</t>
        </is>
      </c>
      <c r="C135" s="14" t="n">
        <v>48</v>
      </c>
      <c r="D135" s="14" t="inlineStr">
        <is>
          <t>Water supply; sewerage, waste management and remediation activities</t>
        </is>
      </c>
      <c r="E135" s="14" t="inlineStr">
        <is>
          <t>wtr</t>
        </is>
      </c>
      <c r="F135" s="14" t="n">
        <v>48</v>
      </c>
      <c r="G135" s="14" t="inlineStr">
        <is>
          <t>Water supply</t>
        </is>
      </c>
      <c r="H135" s="14" t="inlineStr">
        <is>
          <t>Water collection, treatment and supply</t>
        </is>
      </c>
      <c r="I135" s="14" t="inlineStr">
        <is>
          <t>E36</t>
        </is>
      </c>
      <c r="J135" s="14" t="inlineStr">
        <is>
          <t>Recycling</t>
        </is>
      </c>
      <c r="K135" s="14" t="inlineStr">
        <is>
          <t>Commercial and public services</t>
        </is>
      </c>
      <c r="L135" s="14" t="inlineStr">
        <is>
          <t>COMMPUB</t>
        </is>
      </c>
      <c r="M135" s="14" t="n">
        <v>39</v>
      </c>
      <c r="N135" s="14" t="n">
        <v>36</v>
      </c>
      <c r="O135" s="14" t="inlineStr">
        <is>
          <t>Services (public &amp; private)</t>
        </is>
      </c>
      <c r="P135" s="14" t="inlineStr">
        <is>
          <t>Industry</t>
        </is>
      </c>
      <c r="Q135" s="14" t="inlineStr">
        <is>
          <t>srv</t>
        </is>
      </c>
      <c r="R135" s="14" t="inlineStr">
        <is>
          <t>housing</t>
        </is>
      </c>
      <c r="S135" s="14" t="inlineStr">
        <is>
          <t>hou</t>
        </is>
      </c>
    </row>
    <row r="136">
      <c r="A136" s="14" t="inlineStr">
        <is>
          <t>Remediation activities and other waste management services</t>
        </is>
      </c>
      <c r="B136" s="14" t="inlineStr">
        <is>
          <t>wtr</t>
        </is>
      </c>
      <c r="C136" s="14" t="n">
        <v>48</v>
      </c>
      <c r="D136" s="14" t="inlineStr">
        <is>
          <t>Water supply; sewerage, waste management and remediation activities</t>
        </is>
      </c>
      <c r="E136" s="14" t="inlineStr">
        <is>
          <t>wtr</t>
        </is>
      </c>
      <c r="F136" s="14" t="n">
        <v>48</v>
      </c>
      <c r="G136" s="14" t="inlineStr">
        <is>
          <t>Water supply</t>
        </is>
      </c>
      <c r="H136" s="14" t="inlineStr">
        <is>
          <t xml:space="preserve">Sewerage; waste collection, treatment and disposal activities; materials recovery; remediation activities and other waste management services </t>
        </is>
      </c>
      <c r="I136" s="14" t="inlineStr">
        <is>
          <t>E37-E39</t>
        </is>
      </c>
      <c r="J136" s="14" t="inlineStr">
        <is>
          <t>Recycling</t>
        </is>
      </c>
      <c r="K136" s="14" t="inlineStr">
        <is>
          <t>Commercial and public services</t>
        </is>
      </c>
      <c r="L136" s="14" t="inlineStr">
        <is>
          <t>COMMPUB</t>
        </is>
      </c>
      <c r="M136" s="14" t="n">
        <v>39</v>
      </c>
      <c r="N136" s="14" t="n">
        <v>36</v>
      </c>
      <c r="O136" s="14" t="inlineStr">
        <is>
          <t>Services (public &amp; private)</t>
        </is>
      </c>
      <c r="P136" s="14" t="inlineStr">
        <is>
          <t>Industry</t>
        </is>
      </c>
      <c r="Q136" s="14" t="inlineStr">
        <is>
          <t>srv</t>
        </is>
      </c>
      <c r="R136" s="14" t="inlineStr">
        <is>
          <t>housing</t>
        </is>
      </c>
      <c r="S136" s="14" t="inlineStr">
        <is>
          <t>hou</t>
        </is>
      </c>
    </row>
    <row r="137">
      <c r="A137" s="14" t="inlineStr">
        <is>
          <t>Manufacture of gas; distribution of gaseous fuels through mains</t>
        </is>
      </c>
      <c r="B137" s="14" t="inlineStr">
        <is>
          <t>gdt</t>
        </is>
      </c>
      <c r="C137" s="14" t="n">
        <v>47</v>
      </c>
      <c r="D137" s="14" t="inlineStr">
        <is>
          <t>Gas manufacture, distribution</t>
        </is>
      </c>
      <c r="E137" s="14" t="inlineStr">
        <is>
          <t>gdt</t>
        </is>
      </c>
      <c r="F137" s="14" t="n">
        <v>47</v>
      </c>
      <c r="G137" s="14" t="inlineStr">
        <is>
          <t>Gas distribution</t>
        </is>
      </c>
      <c r="H137" s="14" t="inlineStr">
        <is>
          <t>Electricity, gas, steam and air conditioning supply</t>
        </is>
      </c>
      <c r="I137" s="14" t="inlineStr">
        <is>
          <t>D35</t>
        </is>
      </c>
      <c r="J137" s="14" t="inlineStr">
        <is>
          <t>Electricity, Gas and Water</t>
        </is>
      </c>
      <c r="K137" s="14" t="inlineStr">
        <is>
          <t>Energy industry own use</t>
        </is>
      </c>
      <c r="L137" s="14" t="inlineStr">
        <is>
          <t>TOTENGY</t>
        </is>
      </c>
      <c r="M137" s="14" t="n">
        <v>33</v>
      </c>
      <c r="N137" s="14" t="n">
        <v>33</v>
      </c>
      <c r="O137" s="14" t="inlineStr">
        <is>
          <t>Electricity production</t>
        </is>
      </c>
      <c r="P137" s="14" t="inlineStr">
        <is>
          <t>Power sector</t>
        </is>
      </c>
      <c r="Q137" s="14" t="inlineStr">
        <is>
          <t>pow</t>
        </is>
      </c>
      <c r="R137" s="14" t="inlineStr">
        <is>
          <t>nga</t>
        </is>
      </c>
      <c r="S137" s="14" t="inlineStr">
        <is>
          <t>nga</t>
        </is>
      </c>
    </row>
    <row r="138">
      <c r="A138" s="14" t="inlineStr">
        <is>
          <t>Natural gas</t>
        </is>
      </c>
      <c r="B138" s="14" t="inlineStr">
        <is>
          <t>nga</t>
        </is>
      </c>
      <c r="C138" s="14" t="n"/>
      <c r="D138" s="14" t="inlineStr">
        <is>
          <t>Natural gas</t>
        </is>
      </c>
      <c r="E138" s="14" t="inlineStr">
        <is>
          <t>nga</t>
        </is>
      </c>
      <c r="F138" s="14" t="n"/>
      <c r="G138" s="14" t="inlineStr">
        <is>
          <t>Natural gas</t>
        </is>
      </c>
      <c r="H138" s="14" t="inlineStr">
        <is>
          <t>Natural gas</t>
        </is>
      </c>
      <c r="I138" s="14" t="n"/>
      <c r="J138" s="14" t="n"/>
      <c r="K138" s="14" t="n"/>
      <c r="L138" s="14" t="n"/>
      <c r="M138" s="14" t="n"/>
      <c r="N138" s="14" t="n"/>
      <c r="O138" s="14" t="n"/>
      <c r="P138" s="14" t="n"/>
      <c r="Q138" s="14" t="inlineStr">
        <is>
          <t>pow</t>
        </is>
      </c>
      <c r="R138" s="14" t="inlineStr">
        <is>
          <t>nga</t>
        </is>
      </c>
      <c r="S138" s="14" t="inlineStr">
        <is>
          <t>nga</t>
        </is>
      </c>
    </row>
    <row r="139">
      <c r="A139" s="14" t="inlineStr">
        <is>
          <t>Arts, entertainment and recreation; Other service activities; Activities of households as employers; undifferentiated goods- and services-producing activities of households for own use</t>
        </is>
      </c>
      <c r="B139" s="14" t="inlineStr">
        <is>
          <t>ros</t>
        </is>
      </c>
      <c r="C139" s="14" t="n">
        <v>61</v>
      </c>
      <c r="D139" s="14" t="inlineStr">
        <is>
          <t>Recreation &amp; Other Services: recreational, cultural and sporting activities, other service activities; private households with employed persons (servants)</t>
        </is>
      </c>
      <c r="E139" s="14" t="inlineStr">
        <is>
          <t>ros</t>
        </is>
      </c>
      <c r="F139" s="14" t="n">
        <v>61</v>
      </c>
      <c r="G139" s="14" t="inlineStr">
        <is>
          <t>Recreation</t>
        </is>
      </c>
      <c r="H139" s="14" t="inlineStr">
        <is>
          <t>Activities of households as employers; undifferentiated goods- and services-producing activities of households for own use</t>
        </is>
      </c>
      <c r="I139" s="14" t="inlineStr">
        <is>
          <t>T</t>
        </is>
      </c>
      <c r="J139" s="14" t="inlineStr">
        <is>
          <t>Private Households</t>
        </is>
      </c>
      <c r="K139" s="14" t="inlineStr">
        <is>
          <t>Residential</t>
        </is>
      </c>
      <c r="L139" s="14" t="inlineStr">
        <is>
          <t>RESIDENT</t>
        </is>
      </c>
      <c r="M139" s="14" t="inlineStr">
        <is>
          <t>R, S, T</t>
        </is>
      </c>
      <c r="N139" s="14" t="inlineStr">
        <is>
          <t>0R, S, T</t>
        </is>
      </c>
      <c r="O139" s="14" t="inlineStr">
        <is>
          <t>Residential sector</t>
        </is>
      </c>
      <c r="P139" s="14" t="inlineStr">
        <is>
          <t>Residential sector</t>
        </is>
      </c>
      <c r="Q139" s="14" t="inlineStr">
        <is>
          <t>res</t>
        </is>
      </c>
      <c r="R139" s="14" t="inlineStr">
        <is>
          <t>rectourism</t>
        </is>
      </c>
      <c r="S139" s="14" t="inlineStr">
        <is>
          <t>ret</t>
        </is>
      </c>
    </row>
    <row r="140">
      <c r="A140" s="14" t="inlineStr">
        <is>
          <t>Manufacture of textiles</t>
        </is>
      </c>
      <c r="B140" s="14" t="inlineStr">
        <is>
          <t>tex</t>
        </is>
      </c>
      <c r="C140" s="14" t="n">
        <v>27</v>
      </c>
      <c r="D140" s="14" t="inlineStr">
        <is>
          <t>Manufacture of textiles</t>
        </is>
      </c>
      <c r="E140" s="14" t="inlineStr">
        <is>
          <t>tex</t>
        </is>
      </c>
      <c r="F140" s="14" t="n">
        <v>27</v>
      </c>
      <c r="G140" s="14" t="inlineStr">
        <is>
          <t>Textiles</t>
        </is>
      </c>
      <c r="H140" s="14" t="inlineStr">
        <is>
          <t>Manufacture of textiles, wearing apparel and leather products</t>
        </is>
      </c>
      <c r="I140" s="14" t="inlineStr">
        <is>
          <t>C13-C15</t>
        </is>
      </c>
      <c r="J140" s="14" t="inlineStr">
        <is>
          <t>Textiles and Wearing Apparel</t>
        </is>
      </c>
      <c r="K140" s="14" t="inlineStr">
        <is>
          <t>Textile and leather</t>
        </is>
      </c>
      <c r="L140" s="14" t="inlineStr">
        <is>
          <t>TEXTILES</t>
        </is>
      </c>
      <c r="M140" s="14" t="n">
        <v>13</v>
      </c>
      <c r="N140" s="14" t="n">
        <v>13</v>
      </c>
      <c r="O140" s="14" t="inlineStr">
        <is>
          <t>Other manufacturing</t>
        </is>
      </c>
      <c r="P140" s="14" t="inlineStr">
        <is>
          <t>Industry</t>
        </is>
      </c>
      <c r="Q140" s="14" t="inlineStr">
        <is>
          <t>omn</t>
        </is>
      </c>
      <c r="R140" s="14" t="inlineStr">
        <is>
          <t>clothing</t>
        </is>
      </c>
      <c r="S140" s="14" t="inlineStr">
        <is>
          <t>clo</t>
        </is>
      </c>
    </row>
    <row r="141">
      <c r="A141" s="14" t="inlineStr">
        <is>
          <t>Manufacture of wearing apparel</t>
        </is>
      </c>
      <c r="B141" s="14" t="inlineStr">
        <is>
          <t>wap</t>
        </is>
      </c>
      <c r="C141" s="14" t="n">
        <v>28</v>
      </c>
      <c r="D141" s="14" t="inlineStr">
        <is>
          <t>Manufacture of wearing apparel</t>
        </is>
      </c>
      <c r="E141" s="14" t="inlineStr">
        <is>
          <t>wap</t>
        </is>
      </c>
      <c r="F141" s="14" t="n">
        <v>28</v>
      </c>
      <c r="G141" s="14" t="inlineStr">
        <is>
          <t>Apparel</t>
        </is>
      </c>
      <c r="H141" s="14" t="inlineStr">
        <is>
          <t>Manufacture of textiles, wearing apparel and leather products</t>
        </is>
      </c>
      <c r="I141" s="14" t="inlineStr">
        <is>
          <t>C13-C15</t>
        </is>
      </c>
      <c r="J141" s="14" t="inlineStr">
        <is>
          <t>Textiles and Wearing Apparel</t>
        </is>
      </c>
      <c r="K141" s="14" t="inlineStr">
        <is>
          <t>Textile and leather</t>
        </is>
      </c>
      <c r="L141" s="14" t="inlineStr">
        <is>
          <t>TEXTILES</t>
        </is>
      </c>
      <c r="M141" s="14" t="n">
        <v>14</v>
      </c>
      <c r="N141" s="14" t="n">
        <v>14</v>
      </c>
      <c r="O141" s="14" t="inlineStr">
        <is>
          <t>Other manufacturing</t>
        </is>
      </c>
      <c r="P141" s="14" t="inlineStr">
        <is>
          <t>Industry</t>
        </is>
      </c>
      <c r="Q141" s="14" t="inlineStr">
        <is>
          <t>omn</t>
        </is>
      </c>
      <c r="R141" s="14" t="inlineStr">
        <is>
          <t>clothing</t>
        </is>
      </c>
      <c r="S141" s="14" t="inlineStr">
        <is>
          <t>clo</t>
        </is>
      </c>
    </row>
    <row r="142">
      <c r="A142" s="14" t="inlineStr">
        <is>
          <t>Manufacture of leather and related products</t>
        </is>
      </c>
      <c r="B142" s="14" t="inlineStr">
        <is>
          <t>lea</t>
        </is>
      </c>
      <c r="C142" s="14" t="n">
        <v>29</v>
      </c>
      <c r="D142" s="14" t="inlineStr">
        <is>
          <t>Manufacture of leather and related products</t>
        </is>
      </c>
      <c r="E142" s="14" t="inlineStr">
        <is>
          <t>lea</t>
        </is>
      </c>
      <c r="F142" s="14" t="n">
        <v>29</v>
      </c>
      <c r="G142" s="14" t="inlineStr">
        <is>
          <t>Leather</t>
        </is>
      </c>
      <c r="H142" s="14" t="inlineStr">
        <is>
          <t>Manufacture of textiles, wearing apparel and leather products</t>
        </is>
      </c>
      <c r="I142" s="14" t="inlineStr">
        <is>
          <t>C13-C15</t>
        </is>
      </c>
      <c r="J142" s="14" t="inlineStr">
        <is>
          <t>Textiles and Wearing Apparel</t>
        </is>
      </c>
      <c r="K142" s="14" t="inlineStr">
        <is>
          <t>Textile and leather</t>
        </is>
      </c>
      <c r="L142" s="14" t="inlineStr">
        <is>
          <t>TEXTILES</t>
        </is>
      </c>
      <c r="M142" s="14" t="n">
        <v>15</v>
      </c>
      <c r="N142" s="14" t="n">
        <v>15</v>
      </c>
      <c r="O142" s="14" t="inlineStr">
        <is>
          <t>Other manufacturing</t>
        </is>
      </c>
      <c r="P142" s="14" t="inlineStr">
        <is>
          <t>Industry</t>
        </is>
      </c>
      <c r="Q142" s="14" t="inlineStr">
        <is>
          <t>omn</t>
        </is>
      </c>
      <c r="R142" s="14" t="inlineStr">
        <is>
          <t>clothing</t>
        </is>
      </c>
      <c r="S142" s="14" t="inlineStr">
        <is>
          <t>clo</t>
        </is>
      </c>
    </row>
    <row r="143">
      <c r="A143" s="14" t="inlineStr">
        <is>
          <t>Land transport and transport via pipelines</t>
        </is>
      </c>
      <c r="B143" s="14" t="inlineStr">
        <is>
          <t>otp</t>
        </is>
      </c>
      <c r="C143" s="14" t="n">
        <v>52</v>
      </c>
      <c r="D143" s="14" t="inlineStr">
        <is>
          <t>Land transport and transport via pipelines</t>
        </is>
      </c>
      <c r="E143" s="14" t="inlineStr">
        <is>
          <t>otp</t>
        </is>
      </c>
      <c r="F143" s="14" t="n">
        <v>52</v>
      </c>
      <c r="G143" s="14" t="inlineStr">
        <is>
          <t>Land transport</t>
        </is>
      </c>
      <c r="H143" s="14" t="inlineStr">
        <is>
          <t>Land transport and transport via pipelines</t>
        </is>
      </c>
      <c r="I143" s="14" t="inlineStr">
        <is>
          <t>H49</t>
        </is>
      </c>
      <c r="J143" s="14" t="inlineStr">
        <is>
          <t>Transport</t>
        </is>
      </c>
      <c r="K143" s="14" t="inlineStr">
        <is>
          <t>Transport</t>
        </is>
      </c>
      <c r="L143" s="14" t="inlineStr">
        <is>
          <t>TOTTRANS</t>
        </is>
      </c>
      <c r="M143" s="14" t="n">
        <v>49</v>
      </c>
      <c r="N143" s="14" t="n">
        <v>49</v>
      </c>
      <c r="O143" s="14" t="inlineStr">
        <is>
          <t>Domestic navigation</t>
        </is>
      </c>
      <c r="P143" s="14" t="inlineStr">
        <is>
          <t>Transport</t>
        </is>
      </c>
      <c r="Q143" s="14" t="inlineStr">
        <is>
          <t>nav</t>
        </is>
      </c>
      <c r="R143" s="14" t="inlineStr">
        <is>
          <t>transp_pub</t>
        </is>
      </c>
      <c r="S143" s="14" t="inlineStr">
        <is>
          <t>tpu</t>
        </is>
      </c>
    </row>
    <row r="144">
      <c r="A144" s="14" t="inlineStr">
        <is>
          <t>Water transport</t>
        </is>
      </c>
      <c r="B144" s="14" t="inlineStr">
        <is>
          <t>wtp</t>
        </is>
      </c>
      <c r="C144" s="14" t="n">
        <v>53</v>
      </c>
      <c r="D144" s="14" t="inlineStr">
        <is>
          <t>Water transport</t>
        </is>
      </c>
      <c r="E144" s="14" t="inlineStr">
        <is>
          <t>wtp</t>
        </is>
      </c>
      <c r="F144" s="14" t="n">
        <v>53</v>
      </c>
      <c r="G144" s="14" t="inlineStr">
        <is>
          <t>Water transport</t>
        </is>
      </c>
      <c r="H144" s="14" t="inlineStr">
        <is>
          <t>Water transport</t>
        </is>
      </c>
      <c r="I144" s="14" t="inlineStr">
        <is>
          <t>H50</t>
        </is>
      </c>
      <c r="J144" s="14" t="inlineStr">
        <is>
          <t>Transport</t>
        </is>
      </c>
      <c r="K144" s="14" t="inlineStr">
        <is>
          <t>Transport</t>
        </is>
      </c>
      <c r="L144" s="14" t="inlineStr">
        <is>
          <t>TOTTRANS</t>
        </is>
      </c>
      <c r="M144" s="14" t="n">
        <v>50</v>
      </c>
      <c r="N144" s="14" t="n">
        <v>50</v>
      </c>
      <c r="O144" s="14" t="inlineStr">
        <is>
          <t>Domestic navigation</t>
        </is>
      </c>
      <c r="P144" s="14" t="inlineStr">
        <is>
          <t>Transport</t>
        </is>
      </c>
      <c r="Q144" s="14" t="inlineStr">
        <is>
          <t>nav</t>
        </is>
      </c>
      <c r="R144" s="14" t="inlineStr">
        <is>
          <t>transp_pub</t>
        </is>
      </c>
      <c r="S144" s="14" t="inlineStr">
        <is>
          <t>tpu</t>
        </is>
      </c>
    </row>
    <row r="145">
      <c r="A145" s="14" t="inlineStr">
        <is>
          <t>Air transport</t>
        </is>
      </c>
      <c r="B145" s="14" t="inlineStr">
        <is>
          <t>atp</t>
        </is>
      </c>
      <c r="C145" s="14" t="n">
        <v>54</v>
      </c>
      <c r="D145" s="14" t="inlineStr">
        <is>
          <t>Air transport</t>
        </is>
      </c>
      <c r="E145" s="14" t="inlineStr">
        <is>
          <t>atp</t>
        </is>
      </c>
      <c r="F145" s="14" t="n">
        <v>54</v>
      </c>
      <c r="G145" s="14" t="inlineStr">
        <is>
          <t>Air transport</t>
        </is>
      </c>
      <c r="H145" s="14" t="inlineStr">
        <is>
          <t>Air transport</t>
        </is>
      </c>
      <c r="I145" s="14" t="inlineStr">
        <is>
          <t>H51</t>
        </is>
      </c>
      <c r="J145" s="14" t="inlineStr">
        <is>
          <t>Transport</t>
        </is>
      </c>
      <c r="K145" s="14" t="inlineStr">
        <is>
          <t>Transport</t>
        </is>
      </c>
      <c r="L145" s="14" t="inlineStr">
        <is>
          <t>TOTTRANS</t>
        </is>
      </c>
      <c r="M145" s="14" t="n">
        <v>51</v>
      </c>
      <c r="N145" s="14" t="n">
        <v>51</v>
      </c>
      <c r="O145" s="14" t="inlineStr">
        <is>
          <t>Domestic aviation</t>
        </is>
      </c>
      <c r="P145" s="14" t="inlineStr">
        <is>
          <t>Transport</t>
        </is>
      </c>
      <c r="Q145" s="14" t="inlineStr">
        <is>
          <t>avi</t>
        </is>
      </c>
      <c r="R145" s="14" t="inlineStr">
        <is>
          <t>transp_pub</t>
        </is>
      </c>
      <c r="S145" s="14" t="inlineStr">
        <is>
          <t>tpu</t>
        </is>
      </c>
    </row>
    <row r="146">
      <c r="A146" s="14" t="inlineStr">
        <is>
          <t>Manufacture of motor vehicles, trailers and semi-trailers</t>
        </is>
      </c>
      <c r="B146" s="14" t="inlineStr">
        <is>
          <t>mvh</t>
        </is>
      </c>
      <c r="C146" s="14" t="n">
        <v>43</v>
      </c>
      <c r="D146" s="14" t="inlineStr">
        <is>
          <t>Manufacture of motor vehicles, trailers and semi-trailers</t>
        </is>
      </c>
      <c r="E146" s="14" t="inlineStr">
        <is>
          <t>mvh</t>
        </is>
      </c>
      <c r="F146" s="14" t="n">
        <v>43</v>
      </c>
      <c r="G146" s="14" t="inlineStr">
        <is>
          <t>Motor vehicles</t>
        </is>
      </c>
      <c r="H146" s="14" t="inlineStr">
        <is>
          <t>Manufacture of motor vehicles, trailers and semi-trailers</t>
        </is>
      </c>
      <c r="I146" s="14" t="inlineStr">
        <is>
          <t>C29</t>
        </is>
      </c>
      <c r="J146" s="14" t="inlineStr">
        <is>
          <t>Transport Equipment</t>
        </is>
      </c>
      <c r="K146" s="14" t="inlineStr">
        <is>
          <t>Transport equipment</t>
        </is>
      </c>
      <c r="L146" s="14" t="inlineStr">
        <is>
          <t>TRANSEQ</t>
        </is>
      </c>
      <c r="M146" s="14" t="n">
        <v>29</v>
      </c>
      <c r="N146" s="14" t="n">
        <v>29</v>
      </c>
      <c r="O146" s="14" t="inlineStr">
        <is>
          <t>Machinery</t>
        </is>
      </c>
      <c r="P146" s="14" t="inlineStr">
        <is>
          <t>Industry</t>
        </is>
      </c>
      <c r="Q146" s="14" t="inlineStr">
        <is>
          <t>mac</t>
        </is>
      </c>
      <c r="R146" s="14" t="inlineStr">
        <is>
          <t>transp_eqt</t>
        </is>
      </c>
      <c r="S146" s="14" t="inlineStr">
        <is>
          <t>teq</t>
        </is>
      </c>
    </row>
    <row r="147">
      <c r="A147" s="14" t="inlineStr">
        <is>
          <t>Manufacture of other transport equipment</t>
        </is>
      </c>
      <c r="B147" s="14" t="inlineStr">
        <is>
          <t>otn</t>
        </is>
      </c>
      <c r="C147" s="14" t="n">
        <v>44</v>
      </c>
      <c r="D147" s="14" t="inlineStr">
        <is>
          <t>Manufacture of other transport equipment</t>
        </is>
      </c>
      <c r="E147" s="14" t="inlineStr">
        <is>
          <t>otn</t>
        </is>
      </c>
      <c r="F147" s="14" t="n">
        <v>44</v>
      </c>
      <c r="G147" s="14" t="inlineStr">
        <is>
          <t>Other transport equipment</t>
        </is>
      </c>
      <c r="H147" s="14" t="inlineStr">
        <is>
          <t>Manufacture of other transport equipment</t>
        </is>
      </c>
      <c r="I147" s="14" t="inlineStr">
        <is>
          <t>C30</t>
        </is>
      </c>
      <c r="J147" s="14" t="inlineStr">
        <is>
          <t>Transport Equipment</t>
        </is>
      </c>
      <c r="K147" s="14" t="inlineStr">
        <is>
          <t>Transport equipment</t>
        </is>
      </c>
      <c r="L147" s="14" t="inlineStr">
        <is>
          <t>TRANSEQ</t>
        </is>
      </c>
      <c r="M147" s="14" t="n">
        <v>30</v>
      </c>
      <c r="N147" s="14" t="n">
        <v>30</v>
      </c>
      <c r="O147" s="14" t="inlineStr">
        <is>
          <t>Machinery</t>
        </is>
      </c>
      <c r="P147" s="14" t="inlineStr">
        <is>
          <t>Industry</t>
        </is>
      </c>
      <c r="Q147" s="14" t="inlineStr">
        <is>
          <t>mac</t>
        </is>
      </c>
      <c r="R147" s="14" t="inlineStr">
        <is>
          <t>transp_eqt</t>
        </is>
      </c>
      <c r="S147" s="14" t="inlineStr">
        <is>
          <t>teq</t>
        </is>
      </c>
    </row>
    <row r="148">
      <c r="A148" s="14" t="inlineStr">
        <is>
          <t>Manufacture of wood and of products of wood and cork, except furniture; manufacture of articles of straw and plaiting materials</t>
        </is>
      </c>
      <c r="B148" s="14" t="inlineStr">
        <is>
          <t>lum</t>
        </is>
      </c>
      <c r="C148" s="14" t="n">
        <v>30</v>
      </c>
      <c r="D148" s="14" t="inlineStr">
        <is>
          <t>Lumber: manufacture of wood and of products of wood and cork, except furniture; manufacture of articles of straw and plaiting materials</t>
        </is>
      </c>
      <c r="E148" s="14" t="inlineStr">
        <is>
          <t>lum</t>
        </is>
      </c>
      <c r="F148" s="14" t="n">
        <v>30</v>
      </c>
      <c r="G148" s="14" t="inlineStr">
        <is>
          <t>Lumber</t>
        </is>
      </c>
      <c r="H148" s="14" t="inlineStr">
        <is>
          <t>Manufacture of wood and of products of wood and cork, except furniture; manufacture of articles of straw and plaiting materials</t>
        </is>
      </c>
      <c r="I148" s="14" t="inlineStr">
        <is>
          <t>C16</t>
        </is>
      </c>
      <c r="J148" s="14" t="inlineStr">
        <is>
          <t>Other Manufacturing</t>
        </is>
      </c>
      <c r="K148" s="14" t="inlineStr">
        <is>
          <t>Wood and wood products</t>
        </is>
      </c>
      <c r="L148" s="14" t="inlineStr">
        <is>
          <t>WOODPRO</t>
        </is>
      </c>
      <c r="M148" s="14" t="n">
        <v>16</v>
      </c>
      <c r="N148" s="14" t="n">
        <v>16</v>
      </c>
      <c r="O148" s="14" t="inlineStr">
        <is>
          <t>Food &amp; forestry</t>
        </is>
      </c>
      <c r="P148" s="14" t="inlineStr">
        <is>
          <t>Industry</t>
        </is>
      </c>
      <c r="Q148" s="14" t="inlineStr">
        <is>
          <t>foo</t>
        </is>
      </c>
      <c r="R148" s="14" t="inlineStr">
        <is>
          <t>paper</t>
        </is>
      </c>
      <c r="S148" s="14" t="inlineStr">
        <is>
          <t>pap</t>
        </is>
      </c>
    </row>
    <row r="149">
      <c r="A149" s="14" t="inlineStr">
        <is>
          <t>Mining of coal and lignite</t>
        </is>
      </c>
      <c r="B149" s="14" t="inlineStr">
        <is>
          <t>coa</t>
        </is>
      </c>
      <c r="C149" s="14" t="n">
        <v>15</v>
      </c>
      <c r="D149" s="14" t="inlineStr">
        <is>
          <t>Coal: mining and agglomeration of hard coal, lignite and peat</t>
        </is>
      </c>
      <c r="E149" s="14" t="inlineStr">
        <is>
          <t>coa</t>
        </is>
      </c>
      <c r="F149" s="14" t="n">
        <v>15</v>
      </c>
      <c r="G149" s="14" t="inlineStr">
        <is>
          <t>Coal</t>
        </is>
      </c>
      <c r="H149" s="14" t="inlineStr">
        <is>
          <t xml:space="preserve">Manufacture of coke and refined petroleum products </t>
        </is>
      </c>
      <c r="I149" s="14" t="inlineStr">
        <is>
          <t>C19</t>
        </is>
      </c>
      <c r="J149" s="14" t="inlineStr">
        <is>
          <t>Petroleum, Chemical and Non-Metallic Mineral Products</t>
        </is>
      </c>
      <c r="K149" s="14" t="inlineStr">
        <is>
          <t>Energy industry own use</t>
        </is>
      </c>
      <c r="L149" s="14" t="inlineStr">
        <is>
          <t>TOTENGY</t>
        </is>
      </c>
      <c r="M149" s="14" t="n">
        <v>17</v>
      </c>
      <c r="N149" s="14" t="n">
        <v>3</v>
      </c>
      <c r="O149" s="14" t="inlineStr">
        <is>
          <t>Food &amp; forestry</t>
        </is>
      </c>
      <c r="P149" s="14" t="inlineStr">
        <is>
          <t>Industry</t>
        </is>
      </c>
      <c r="Q149" s="14" t="inlineStr">
        <is>
          <t>foo</t>
        </is>
      </c>
      <c r="R149" s="14" t="inlineStr">
        <is>
          <t>coa</t>
        </is>
      </c>
      <c r="S149" s="14" t="inlineStr">
        <is>
          <t>coa</t>
        </is>
      </c>
    </row>
    <row r="150">
      <c r="A150" s="14" t="inlineStr">
        <is>
          <t>Education</t>
        </is>
      </c>
      <c r="B150" s="14" t="inlineStr">
        <is>
          <t>edu</t>
        </is>
      </c>
      <c r="C150" s="14" t="n">
        <v>63</v>
      </c>
      <c r="D150" s="14" t="inlineStr">
        <is>
          <t>Education</t>
        </is>
      </c>
      <c r="E150" s="14" t="inlineStr">
        <is>
          <t>edu</t>
        </is>
      </c>
      <c r="F150" s="14" t="n">
        <v>63</v>
      </c>
      <c r="G150" s="14" t="inlineStr">
        <is>
          <t>Education</t>
        </is>
      </c>
      <c r="H150" s="14" t="inlineStr">
        <is>
          <t>Education</t>
        </is>
      </c>
      <c r="I150" s="14" t="inlineStr">
        <is>
          <t>P85</t>
        </is>
      </c>
      <c r="J150" s="14" t="inlineStr">
        <is>
          <t>Education, Health and Other Services</t>
        </is>
      </c>
      <c r="K150" s="14" t="inlineStr">
        <is>
          <t>Commercial and public services</t>
        </is>
      </c>
      <c r="L150" s="14" t="inlineStr">
        <is>
          <t>COMMPUB</t>
        </is>
      </c>
      <c r="M150" s="14" t="n">
        <v>85</v>
      </c>
      <c r="N150" s="14" t="n">
        <v>85</v>
      </c>
      <c r="O150" s="14" t="inlineStr">
        <is>
          <t>Services (public &amp; private)</t>
        </is>
      </c>
      <c r="P150" s="14" t="inlineStr">
        <is>
          <t>Industry</t>
        </is>
      </c>
      <c r="Q150" s="14" t="inlineStr">
        <is>
          <t>srv</t>
        </is>
      </c>
      <c r="R150" s="14" t="inlineStr">
        <is>
          <t>education</t>
        </is>
      </c>
      <c r="S150" s="14" t="inlineStr">
        <is>
          <t>edu</t>
        </is>
      </c>
    </row>
    <row r="151">
      <c r="A151" s="14" t="inlineStr">
        <is>
          <t>Production, collection and distribution of electricity</t>
        </is>
      </c>
      <c r="B151" s="14" t="inlineStr">
        <is>
          <t>ely</t>
        </is>
      </c>
      <c r="C151" s="14" t="n">
        <v>46</v>
      </c>
      <c r="D151" s="14" t="inlineStr">
        <is>
          <t>Electricity; steam and air conditioning supply</t>
        </is>
      </c>
      <c r="E151" s="14" t="inlineStr">
        <is>
          <t>ely</t>
        </is>
      </c>
      <c r="F151" s="14" t="n">
        <v>46</v>
      </c>
      <c r="G151" s="14" t="inlineStr">
        <is>
          <t>Electricity supply</t>
        </is>
      </c>
      <c r="H151" s="14" t="inlineStr">
        <is>
          <t>Electricity, gas, steam and air conditioning supply</t>
        </is>
      </c>
      <c r="I151" s="14" t="inlineStr">
        <is>
          <t>D35</t>
        </is>
      </c>
      <c r="J151" s="14" t="inlineStr">
        <is>
          <t>Electricity, Gas and Water</t>
        </is>
      </c>
      <c r="K151" s="14" t="inlineStr">
        <is>
          <t>Main activity producer electricity plants, Autoproducer electricity plants, Main activity producer CHP plants, Autoproducer CHP plants, Energy industry own use</t>
        </is>
      </c>
      <c r="L151" s="14" t="inlineStr">
        <is>
          <t>AUTOCHP, AUTOELEC, MAINCHP, MAINELEC, TOTENGY</t>
        </is>
      </c>
      <c r="M151" s="14" t="n">
        <v>33</v>
      </c>
      <c r="N151" s="14" t="n">
        <v>33</v>
      </c>
      <c r="O151" s="14" t="inlineStr">
        <is>
          <t>Fuel transformation &amp; transportation</t>
        </is>
      </c>
      <c r="P151" s="14" t="inlineStr">
        <is>
          <t>Industry</t>
        </is>
      </c>
      <c r="Q151" s="14" t="inlineStr">
        <is>
          <t>pow</t>
        </is>
      </c>
      <c r="R151" s="14" t="inlineStr">
        <is>
          <t>ely</t>
        </is>
      </c>
      <c r="S151" s="14" t="inlineStr">
        <is>
          <t>ely</t>
        </is>
      </c>
    </row>
    <row r="152">
      <c r="A152" s="14" t="inlineStr">
        <is>
          <t>Steam and hot water supply</t>
        </is>
      </c>
      <c r="B152" s="14" t="inlineStr">
        <is>
          <t>ely</t>
        </is>
      </c>
      <c r="C152" s="14" t="n">
        <v>46</v>
      </c>
      <c r="D152" s="14" t="inlineStr">
        <is>
          <t>Electricity; steam and air conditioning supply</t>
        </is>
      </c>
      <c r="E152" s="14" t="inlineStr">
        <is>
          <t>ely</t>
        </is>
      </c>
      <c r="F152" s="14" t="n">
        <v>46</v>
      </c>
      <c r="G152" s="14" t="inlineStr">
        <is>
          <t>Electricity supply</t>
        </is>
      </c>
      <c r="H152" s="14" t="inlineStr">
        <is>
          <t>Electricity, gas, steam and air conditioning supply</t>
        </is>
      </c>
      <c r="I152" s="14" t="inlineStr">
        <is>
          <t>D35</t>
        </is>
      </c>
      <c r="J152" s="14" t="inlineStr">
        <is>
          <t>Electricity, Gas and Water</t>
        </is>
      </c>
      <c r="K152" s="14" t="inlineStr">
        <is>
          <t>Commercial and public services</t>
        </is>
      </c>
      <c r="L152" s="14" t="inlineStr">
        <is>
          <t>COMMPUB</t>
        </is>
      </c>
      <c r="M152" s="14" t="n">
        <v>33</v>
      </c>
      <c r="N152" s="14" t="n">
        <v>33</v>
      </c>
      <c r="O152" s="14" t="inlineStr">
        <is>
          <t>Fuel transformation &amp; transportation</t>
        </is>
      </c>
      <c r="P152" s="14" t="inlineStr">
        <is>
          <t>Industry</t>
        </is>
      </c>
      <c r="Q152" s="14" t="inlineStr">
        <is>
          <t>pow</t>
        </is>
      </c>
      <c r="R152" s="14" t="inlineStr">
        <is>
          <t>ely</t>
        </is>
      </c>
      <c r="S152" s="14" t="inlineStr">
        <is>
          <t>ely</t>
        </is>
      </c>
    </row>
    <row r="153">
      <c r="A153" s="14" t="inlineStr">
        <is>
          <t>Extraction of crude petroleum</t>
        </is>
      </c>
      <c r="B153" s="14" t="inlineStr">
        <is>
          <t>oil</t>
        </is>
      </c>
      <c r="C153" s="14" t="n">
        <v>16</v>
      </c>
      <c r="D153" s="14" t="inlineStr">
        <is>
          <t>Oil: extraction of crude petroleum, service activities incidental to oil and gas extraction excluding surveying (part)</t>
        </is>
      </c>
      <c r="E153" s="14" t="inlineStr">
        <is>
          <t>oil</t>
        </is>
      </c>
      <c r="F153" s="14" t="n">
        <v>16</v>
      </c>
      <c r="G153" s="14" t="inlineStr">
        <is>
          <t>Oil</t>
        </is>
      </c>
      <c r="H153" s="14" t="inlineStr">
        <is>
          <t xml:space="preserve">Manufacture of coke and refined petroleum products </t>
        </is>
      </c>
      <c r="I153" s="14" t="inlineStr">
        <is>
          <t>C19</t>
        </is>
      </c>
      <c r="J153" s="14" t="inlineStr">
        <is>
          <t>Petroleum, Chemical and Non-Metallic Mineral Products</t>
        </is>
      </c>
      <c r="K153" s="14" t="inlineStr">
        <is>
          <t>Energy industry own use</t>
        </is>
      </c>
      <c r="L153" s="14" t="inlineStr">
        <is>
          <t>TOTENGY</t>
        </is>
      </c>
      <c r="M153" s="14" t="n">
        <v>17</v>
      </c>
      <c r="N153" s="14" t="n">
        <v>3</v>
      </c>
      <c r="O153" s="14" t="inlineStr">
        <is>
          <t>Fuel transformation &amp; transportation</t>
        </is>
      </c>
      <c r="P153" s="14" t="inlineStr">
        <is>
          <t>Industry</t>
        </is>
      </c>
      <c r="Q153" s="14" t="inlineStr">
        <is>
          <t>ftr</t>
        </is>
      </c>
      <c r="R153" s="14" t="inlineStr">
        <is>
          <t>oil</t>
        </is>
      </c>
      <c r="S153" s="14" t="inlineStr">
        <is>
          <t>oil</t>
        </is>
      </c>
    </row>
    <row r="154">
      <c r="A154" s="14" t="inlineStr">
        <is>
          <t>Support activities for petroleum and natural gas extraction (petroleum part)</t>
        </is>
      </c>
      <c r="B154" s="14" t="inlineStr">
        <is>
          <t>oil</t>
        </is>
      </c>
      <c r="C154" s="14" t="n">
        <v>16</v>
      </c>
      <c r="D154" s="14" t="inlineStr">
        <is>
          <t>Oil: extraction of crude petroleum, service activities incidental to oil and gas extraction excluding surveying (part)</t>
        </is>
      </c>
      <c r="E154" s="14" t="inlineStr">
        <is>
          <t>oil</t>
        </is>
      </c>
      <c r="F154" s="14" t="n">
        <v>16</v>
      </c>
      <c r="G154" s="14" t="inlineStr">
        <is>
          <t>Oil</t>
        </is>
      </c>
      <c r="H154" s="14" t="inlineStr">
        <is>
          <t xml:space="preserve">Manufacture of coke and refined petroleum products </t>
        </is>
      </c>
      <c r="I154" s="14" t="inlineStr">
        <is>
          <t>C19</t>
        </is>
      </c>
      <c r="J154" s="14" t="inlineStr">
        <is>
          <t>Petroleum, Chemical and Non-Metallic Mineral Products</t>
        </is>
      </c>
      <c r="K154" s="14" t="inlineStr">
        <is>
          <t>Energy industry own use</t>
        </is>
      </c>
      <c r="L154" s="14" t="inlineStr">
        <is>
          <t>TOTENGY</t>
        </is>
      </c>
      <c r="M154" s="14" t="n">
        <v>17</v>
      </c>
      <c r="N154" s="14" t="n">
        <v>3</v>
      </c>
      <c r="O154" s="14" t="inlineStr">
        <is>
          <t>Fuel transformation &amp; transportation</t>
        </is>
      </c>
      <c r="P154" s="14" t="inlineStr">
        <is>
          <t>Industry</t>
        </is>
      </c>
      <c r="Q154" s="14" t="inlineStr">
        <is>
          <t>ftr</t>
        </is>
      </c>
      <c r="R154" s="14" t="inlineStr">
        <is>
          <t>oil</t>
        </is>
      </c>
      <c r="S154" s="14" t="inlineStr">
        <is>
          <t>oil</t>
        </is>
      </c>
    </row>
    <row r="155">
      <c r="A155" s="14" t="inlineStr">
        <is>
          <t>Support activities for petroleum and natural gas extraction (natural gas part)</t>
        </is>
      </c>
      <c r="B155" s="14" t="inlineStr">
        <is>
          <t>gas</t>
        </is>
      </c>
      <c r="C155" s="14" t="n">
        <v>17</v>
      </c>
      <c r="D155" s="14" t="inlineStr">
        <is>
          <t>Gas: extraction of natural gas, service activities incidental to oil and gas extraction excluding surveying (part)</t>
        </is>
      </c>
      <c r="E155" s="14" t="inlineStr">
        <is>
          <t>gas</t>
        </is>
      </c>
      <c r="F155" s="14" t="n">
        <v>17</v>
      </c>
      <c r="G155" s="14" t="inlineStr">
        <is>
          <t>Gas extraction</t>
        </is>
      </c>
      <c r="H155" s="14" t="inlineStr">
        <is>
          <t xml:space="preserve">Manufacture of coke and refined petroleum products </t>
        </is>
      </c>
      <c r="I155" s="14" t="inlineStr">
        <is>
          <t>C19</t>
        </is>
      </c>
      <c r="J155" s="14" t="inlineStr">
        <is>
          <t>Petroleum, Chemical and Non-Metallic Mineral Products</t>
        </is>
      </c>
      <c r="K155" s="14" t="inlineStr">
        <is>
          <t>Energy industry own use</t>
        </is>
      </c>
      <c r="L155" s="14" t="inlineStr">
        <is>
          <t>TOTENGY</t>
        </is>
      </c>
      <c r="M155" s="14" t="n">
        <v>17</v>
      </c>
      <c r="N155" s="14" t="n">
        <v>3</v>
      </c>
      <c r="O155" s="14" t="inlineStr">
        <is>
          <t>Fuel transformation &amp; transportation</t>
        </is>
      </c>
      <c r="P155" s="14" t="inlineStr">
        <is>
          <t>Industry</t>
        </is>
      </c>
      <c r="Q155" s="14" t="inlineStr">
        <is>
          <t>ftr</t>
        </is>
      </c>
      <c r="R155" s="14" t="inlineStr">
        <is>
          <t>nga</t>
        </is>
      </c>
      <c r="S155" s="14" t="inlineStr">
        <is>
          <t>nga</t>
        </is>
      </c>
    </row>
    <row r="156">
      <c r="A156" s="14" t="inlineStr">
        <is>
          <t>Extraction of natural gas</t>
        </is>
      </c>
      <c r="B156" s="14" t="inlineStr">
        <is>
          <t>gas</t>
        </is>
      </c>
      <c r="C156" s="14" t="n">
        <v>17</v>
      </c>
      <c r="D156" s="14" t="inlineStr">
        <is>
          <t>Gas: extraction of natural gas, service activities incidental to oil and gas extraction excluding surveying (part)</t>
        </is>
      </c>
      <c r="E156" s="14" t="inlineStr">
        <is>
          <t>gas</t>
        </is>
      </c>
      <c r="F156" s="14" t="n">
        <v>17</v>
      </c>
      <c r="G156" s="14" t="inlineStr">
        <is>
          <t>Gas extraction</t>
        </is>
      </c>
      <c r="H156" s="14" t="inlineStr">
        <is>
          <t xml:space="preserve">Manufacture of coke and refined petroleum products </t>
        </is>
      </c>
      <c r="I156" s="14" t="inlineStr">
        <is>
          <t>C19</t>
        </is>
      </c>
      <c r="J156" s="14" t="inlineStr">
        <is>
          <t>Petroleum, Chemical and Non-Metallic Mineral Products</t>
        </is>
      </c>
      <c r="K156" s="14" t="inlineStr">
        <is>
          <t>Energy industry own use</t>
        </is>
      </c>
      <c r="L156" s="14" t="inlineStr">
        <is>
          <t>TOTENGY</t>
        </is>
      </c>
      <c r="M156" s="14" t="n">
        <v>17</v>
      </c>
      <c r="N156" s="14" t="n">
        <v>3</v>
      </c>
      <c r="O156" s="14" t="inlineStr">
        <is>
          <t>Fuel transformation &amp; transportation</t>
        </is>
      </c>
      <c r="P156" s="14" t="inlineStr">
        <is>
          <t>Industry</t>
        </is>
      </c>
      <c r="Q156" s="14" t="inlineStr">
        <is>
          <t>ftr</t>
        </is>
      </c>
      <c r="R156" s="14" t="inlineStr">
        <is>
          <t>nga</t>
        </is>
      </c>
      <c r="S156" s="14" t="inlineStr">
        <is>
          <t>nga</t>
        </is>
      </c>
    </row>
    <row r="157">
      <c r="A157" s="14" t="inlineStr">
        <is>
          <t>Manufacture of coke and refined petroleum products</t>
        </is>
      </c>
      <c r="B157" s="14" t="inlineStr">
        <is>
          <t>p_c</t>
        </is>
      </c>
      <c r="C157" s="14" t="n">
        <v>32</v>
      </c>
      <c r="D157" s="14" t="inlineStr">
        <is>
          <t>Petroleum &amp; Coke: manufacture of coke and refined petroleum products</t>
        </is>
      </c>
      <c r="E157" s="14" t="inlineStr">
        <is>
          <t>p_c</t>
        </is>
      </c>
      <c r="F157" s="14" t="n">
        <v>32</v>
      </c>
      <c r="G157" s="14" t="inlineStr">
        <is>
          <t>Petroleum &amp; Coke</t>
        </is>
      </c>
      <c r="H157" s="14" t="inlineStr">
        <is>
          <t xml:space="preserve">Manufacture of coke and refined petroleum products </t>
        </is>
      </c>
      <c r="I157" s="14" t="inlineStr">
        <is>
          <t>C19</t>
        </is>
      </c>
      <c r="J157" s="14" t="inlineStr">
        <is>
          <t>Petroleum, Chemical and Non-Metallic Mineral Products</t>
        </is>
      </c>
      <c r="K157" s="14" t="inlineStr">
        <is>
          <t>Chemical and petrochemical</t>
        </is>
      </c>
      <c r="L157" s="14" t="inlineStr">
        <is>
          <t>CHEMICAL</t>
        </is>
      </c>
      <c r="M157" s="14" t="n">
        <v>18</v>
      </c>
      <c r="N157" s="14" t="inlineStr">
        <is>
          <t>17, 18, 58, 59</t>
        </is>
      </c>
      <c r="O157" s="14" t="inlineStr">
        <is>
          <t>Fuel transformation &amp; transportation</t>
        </is>
      </c>
      <c r="P157" s="14" t="inlineStr">
        <is>
          <t>Industry</t>
        </is>
      </c>
      <c r="Q157" s="14" t="inlineStr">
        <is>
          <t>ftr</t>
        </is>
      </c>
      <c r="R157" s="14" t="inlineStr">
        <is>
          <t>gso, die, ker, lpg</t>
        </is>
      </c>
      <c r="S157" s="14" t="inlineStr">
        <is>
          <t>gso, die, ker, lpg</t>
        </is>
      </c>
    </row>
    <row r="158">
      <c r="A158" s="14" t="inlineStr">
        <is>
          <t>Human health and social work activities</t>
        </is>
      </c>
      <c r="B158" s="14" t="inlineStr">
        <is>
          <t>hht</t>
        </is>
      </c>
      <c r="C158" s="14" t="n">
        <v>64</v>
      </c>
      <c r="D158" s="14" t="inlineStr">
        <is>
          <t>Human health and social work</t>
        </is>
      </c>
      <c r="E158" s="14" t="inlineStr">
        <is>
          <t>hht</t>
        </is>
      </c>
      <c r="F158" s="14" t="n">
        <v>64</v>
      </c>
      <c r="G158" s="14" t="inlineStr">
        <is>
          <t>Human health &amp; social work</t>
        </is>
      </c>
      <c r="H158" s="14" t="inlineStr">
        <is>
          <t>Human health and social work activities</t>
        </is>
      </c>
      <c r="I158" s="14" t="inlineStr">
        <is>
          <t>Q</t>
        </is>
      </c>
      <c r="J158" s="14" t="inlineStr">
        <is>
          <t>Education, Health and Other Services</t>
        </is>
      </c>
      <c r="K158" s="14" t="inlineStr">
        <is>
          <t>Commercial and public services</t>
        </is>
      </c>
      <c r="L158" s="14" t="inlineStr">
        <is>
          <t>COMMPUB</t>
        </is>
      </c>
      <c r="M158" s="14" t="inlineStr">
        <is>
          <t>Q</t>
        </is>
      </c>
      <c r="N158" s="14" t="inlineStr">
        <is>
          <t>0Q</t>
        </is>
      </c>
      <c r="O158" s="14" t="inlineStr">
        <is>
          <t>Services (public &amp; private)</t>
        </is>
      </c>
      <c r="P158" s="14" t="inlineStr">
        <is>
          <t>Industry</t>
        </is>
      </c>
      <c r="Q158" s="14" t="inlineStr">
        <is>
          <t>srv</t>
        </is>
      </c>
      <c r="R158" s="14" t="inlineStr">
        <is>
          <t>health_srv</t>
        </is>
      </c>
      <c r="S158" s="14" t="inlineStr">
        <is>
          <t>hea</t>
        </is>
      </c>
    </row>
    <row r="159">
      <c r="A159" s="14" t="n"/>
      <c r="B159" s="14" t="n"/>
      <c r="C159" s="14" t="n"/>
      <c r="D159" s="14" t="inlineStr">
        <is>
          <t>Other Business Services nec</t>
        </is>
      </c>
      <c r="E159" s="14" t="inlineStr">
        <is>
          <t>obs</t>
        </is>
      </c>
      <c r="F159" s="14" t="n"/>
      <c r="G159" s="14" t="inlineStr">
        <is>
          <t>Other Business Services</t>
        </is>
      </c>
      <c r="H159" s="14" t="inlineStr">
        <is>
          <t>Legal and accounting activities; activities of head offices; management consultancy activities</t>
        </is>
      </c>
      <c r="I159" s="14" t="inlineStr">
        <is>
          <t>M69_M70</t>
        </is>
      </c>
      <c r="J159" s="14" t="inlineStr">
        <is>
          <t>Education, Health and Other Services</t>
        </is>
      </c>
      <c r="K159" s="14" t="inlineStr">
        <is>
          <t>Commercial and public services</t>
        </is>
      </c>
      <c r="L159" s="14" t="inlineStr">
        <is>
          <t>COMMPUB</t>
        </is>
      </c>
      <c r="M159" s="14" t="inlineStr">
        <is>
          <t>M69_M70</t>
        </is>
      </c>
      <c r="N159" s="14" t="inlineStr">
        <is>
          <t>0M, N</t>
        </is>
      </c>
      <c r="O159" s="14" t="inlineStr">
        <is>
          <t>Services (public &amp; private)</t>
        </is>
      </c>
      <c r="P159" s="14" t="inlineStr">
        <is>
          <t>Industry</t>
        </is>
      </c>
      <c r="Q159" s="14" t="inlineStr">
        <is>
          <t>srv</t>
        </is>
      </c>
      <c r="R159" s="14" t="inlineStr">
        <is>
          <t>other</t>
        </is>
      </c>
      <c r="S159" s="14" t="inlineStr">
        <is>
          <t>oth</t>
        </is>
      </c>
    </row>
    <row r="160">
      <c r="A160" s="14" t="n"/>
      <c r="B160" s="14" t="n"/>
      <c r="C160" s="14" t="n"/>
      <c r="D160" s="14" t="inlineStr">
        <is>
          <t>Other Business Services nec</t>
        </is>
      </c>
      <c r="E160" s="14" t="inlineStr">
        <is>
          <t>obs</t>
        </is>
      </c>
      <c r="F160" s="14" t="n"/>
      <c r="G160" s="14" t="inlineStr">
        <is>
          <t>Other Business Services</t>
        </is>
      </c>
      <c r="H160" s="14" t="inlineStr">
        <is>
          <t>Advertising and market research</t>
        </is>
      </c>
      <c r="I160" s="14" t="inlineStr">
        <is>
          <t>M73</t>
        </is>
      </c>
      <c r="J160" s="14" t="inlineStr">
        <is>
          <t>Education, Health and Other Services</t>
        </is>
      </c>
      <c r="K160" s="14" t="inlineStr">
        <is>
          <t>Commercial and public services</t>
        </is>
      </c>
      <c r="L160" s="14" t="inlineStr">
        <is>
          <t>COMMPUB</t>
        </is>
      </c>
      <c r="M160" s="14" t="inlineStr">
        <is>
          <t>M73</t>
        </is>
      </c>
      <c r="N160" s="14" t="inlineStr">
        <is>
          <t>0M, N</t>
        </is>
      </c>
      <c r="O160" s="14" t="inlineStr">
        <is>
          <t>Services (public &amp; private)</t>
        </is>
      </c>
      <c r="P160" s="14" t="inlineStr">
        <is>
          <t>Industry</t>
        </is>
      </c>
      <c r="Q160" s="14" t="inlineStr">
        <is>
          <t>srv</t>
        </is>
      </c>
      <c r="R160" s="14" t="inlineStr">
        <is>
          <t>other</t>
        </is>
      </c>
      <c r="S160" s="14" t="inlineStr">
        <is>
          <t>oth</t>
        </is>
      </c>
    </row>
    <row r="161">
      <c r="A161" s="14" t="n"/>
      <c r="B161" s="14" t="n"/>
      <c r="C161" s="14" t="n"/>
      <c r="D161" s="14" t="inlineStr">
        <is>
          <t>Other Business Services nec</t>
        </is>
      </c>
      <c r="E161" s="14" t="inlineStr">
        <is>
          <t>obs</t>
        </is>
      </c>
      <c r="F161" s="14" t="n"/>
      <c r="G161" s="14" t="inlineStr">
        <is>
          <t>Other Business Services</t>
        </is>
      </c>
      <c r="H161" s="14" t="inlineStr">
        <is>
          <t>Scientific research and development</t>
        </is>
      </c>
      <c r="I161" s="14" t="inlineStr">
        <is>
          <t>M72</t>
        </is>
      </c>
      <c r="J161" s="14" t="inlineStr">
        <is>
          <t>Education, Health and Other Services</t>
        </is>
      </c>
      <c r="K161" s="14" t="inlineStr">
        <is>
          <t>Commercial and public services</t>
        </is>
      </c>
      <c r="L161" s="14" t="inlineStr">
        <is>
          <t>COMMPUB</t>
        </is>
      </c>
      <c r="M161" s="14" t="inlineStr">
        <is>
          <t>M72</t>
        </is>
      </c>
      <c r="N161" s="14" t="inlineStr">
        <is>
          <t>0M, N</t>
        </is>
      </c>
      <c r="O161" s="14" t="inlineStr">
        <is>
          <t>Services (public &amp; private)</t>
        </is>
      </c>
      <c r="P161" s="14" t="inlineStr">
        <is>
          <t>Industry</t>
        </is>
      </c>
      <c r="Q161" s="14" t="inlineStr">
        <is>
          <t>srv</t>
        </is>
      </c>
      <c r="R161" s="14" t="inlineStr">
        <is>
          <t>other</t>
        </is>
      </c>
      <c r="S161" s="14" t="inlineStr">
        <is>
          <t>oth</t>
        </is>
      </c>
    </row>
    <row r="162">
      <c r="A162" s="14" t="n"/>
      <c r="B162" s="14" t="n"/>
      <c r="C162" s="14" t="n"/>
      <c r="D162" s="14" t="inlineStr">
        <is>
          <t>Other Business Services nec</t>
        </is>
      </c>
      <c r="E162" s="14" t="inlineStr">
        <is>
          <t>obs</t>
        </is>
      </c>
      <c r="F162" s="14" t="n"/>
      <c r="G162" s="14" t="inlineStr">
        <is>
          <t>Other Business Services</t>
        </is>
      </c>
      <c r="H162" s="14" t="inlineStr">
        <is>
          <t>Administrative and support service activities</t>
        </is>
      </c>
      <c r="I162" s="14" t="inlineStr">
        <is>
          <t>N</t>
        </is>
      </c>
      <c r="J162" s="14" t="inlineStr">
        <is>
          <t>Education, Health and Other Services</t>
        </is>
      </c>
      <c r="K162" s="14" t="inlineStr">
        <is>
          <t>Commercial and public services</t>
        </is>
      </c>
      <c r="L162" s="14" t="inlineStr">
        <is>
          <t>COMMPUB</t>
        </is>
      </c>
      <c r="M162" s="14" t="inlineStr">
        <is>
          <t>N</t>
        </is>
      </c>
      <c r="N162" s="14" t="inlineStr">
        <is>
          <t>0M, N</t>
        </is>
      </c>
      <c r="O162" s="14" t="inlineStr">
        <is>
          <t>Services (public &amp; private)</t>
        </is>
      </c>
      <c r="P162" s="14" t="inlineStr">
        <is>
          <t>Industry</t>
        </is>
      </c>
      <c r="Q162" s="14" t="inlineStr">
        <is>
          <t>srv</t>
        </is>
      </c>
      <c r="R162" s="14" t="inlineStr">
        <is>
          <t>other</t>
        </is>
      </c>
      <c r="S162" s="14" t="inlineStr">
        <is>
          <t>oth</t>
        </is>
      </c>
    </row>
    <row r="163">
      <c r="A163" s="14" t="n"/>
      <c r="B163" s="14" t="n"/>
      <c r="C163" s="14" t="n"/>
      <c r="D163" s="14" t="inlineStr">
        <is>
          <t>Dwellings: ownership of dwellings (imputed rents of houses occupied by owners)</t>
        </is>
      </c>
      <c r="E163" s="14" t="inlineStr">
        <is>
          <t>dwe</t>
        </is>
      </c>
      <c r="F163" s="14" t="n">
        <v>65</v>
      </c>
      <c r="G163" s="14" t="inlineStr">
        <is>
          <t>Housing rent</t>
        </is>
      </c>
      <c r="H163" s="14" t="inlineStr">
        <is>
          <t>Other service activities</t>
        </is>
      </c>
      <c r="I163" s="14" t="inlineStr">
        <is>
          <t>R_S</t>
        </is>
      </c>
      <c r="J163" s="14" t="inlineStr">
        <is>
          <t>Education, Health and Other Services</t>
        </is>
      </c>
      <c r="K163" s="14" t="inlineStr">
        <is>
          <t>Commercial and public services</t>
        </is>
      </c>
      <c r="L163" s="14" t="inlineStr">
        <is>
          <t>COMMPUB</t>
        </is>
      </c>
      <c r="M163" s="14" t="inlineStr">
        <is>
          <t>R_S</t>
        </is>
      </c>
      <c r="N163" s="14" t="inlineStr">
        <is>
          <t>0Q</t>
        </is>
      </c>
      <c r="O163" s="14" t="inlineStr">
        <is>
          <t>Services (public &amp; private)</t>
        </is>
      </c>
      <c r="P163" s="14" t="inlineStr">
        <is>
          <t>Industry</t>
        </is>
      </c>
      <c r="Q163" s="14" t="inlineStr">
        <is>
          <t>srv</t>
        </is>
      </c>
      <c r="R163" s="14" t="inlineStr">
        <is>
          <t>housing</t>
        </is>
      </c>
      <c r="S163" s="14" t="inlineStr">
        <is>
          <t>hou</t>
        </is>
      </c>
    </row>
    <row r="164">
      <c r="A164" s="14" t="n"/>
      <c r="B164" s="14" t="n"/>
      <c r="C164" s="14" t="n"/>
      <c r="D164" s="14" t="n"/>
      <c r="E164" s="14" t="n"/>
      <c r="F164" s="14" t="n"/>
      <c r="G164" s="14" t="n"/>
      <c r="H164" s="14" t="n"/>
      <c r="I164" s="14" t="n"/>
      <c r="J164" s="14" t="n"/>
      <c r="K164" s="14" t="n"/>
      <c r="L164" s="14" t="n"/>
      <c r="M164" s="14" t="n"/>
      <c r="N164" s="14" t="n"/>
      <c r="O164" s="14" t="inlineStr">
        <is>
          <t>Other</t>
        </is>
      </c>
      <c r="P164" s="14" t="inlineStr">
        <is>
          <t>Other</t>
        </is>
      </c>
      <c r="Q164" s="14" t="inlineStr">
        <is>
          <t>oen</t>
        </is>
      </c>
      <c r="R164" s="14" t="inlineStr">
        <is>
          <t>other</t>
        </is>
      </c>
      <c r="S164" s="14" t="inlineStr">
        <is>
          <t>oth</t>
        </is>
      </c>
    </row>
    <row r="167">
      <c r="A167" s="2" t="inlineStr">
        <is>
          <t>CPAT sectors to ISIC</t>
        </is>
      </c>
    </row>
    <row r="168">
      <c r="A168" s="13" t="inlineStr">
        <is>
          <t>CPAT_main_sectors_5</t>
        </is>
      </c>
      <c r="B168" s="13" t="inlineStr">
        <is>
          <t>CPAT_code</t>
        </is>
      </c>
      <c r="C168" s="13" t="inlineStr">
        <is>
          <t>CPAT_sub_sectors_15_inc_10_ind__subsectors</t>
        </is>
      </c>
      <c r="D168" s="13" t="inlineStr">
        <is>
          <t>CPAT_code</t>
        </is>
      </c>
      <c r="E168" s="13" t="inlineStr">
        <is>
          <t>ISIC_Rev_4_codes</t>
        </is>
      </c>
    </row>
    <row r="169">
      <c r="A169" s="14" t="inlineStr">
        <is>
          <t>Power sector</t>
        </is>
      </c>
      <c r="B169" s="14" t="inlineStr">
        <is>
          <t>pow</t>
        </is>
      </c>
      <c r="C169" s="14" t="inlineStr">
        <is>
          <t>Electricity production</t>
        </is>
      </c>
      <c r="D169" s="14" t="inlineStr">
        <is>
          <t>pow</t>
        </is>
      </c>
      <c r="E169" s="14" t="inlineStr">
        <is>
          <t>Division 35</t>
        </is>
      </c>
    </row>
    <row r="170">
      <c r="A170" s="14" t="inlineStr">
        <is>
          <t>Transport</t>
        </is>
      </c>
      <c r="B170" s="14" t="inlineStr">
        <is>
          <t>tra</t>
        </is>
      </c>
      <c r="C170" s="14" t="inlineStr">
        <is>
          <t>Rail</t>
        </is>
      </c>
      <c r="D170" s="14" t="inlineStr">
        <is>
          <t>ral</t>
        </is>
      </c>
      <c r="E170" s="14" t="inlineStr">
        <is>
          <t>Division 491</t>
        </is>
      </c>
    </row>
    <row r="171">
      <c r="A171" s="14" t="inlineStr">
        <is>
          <t>Transport</t>
        </is>
      </c>
      <c r="B171" s="14" t="inlineStr">
        <is>
          <t>tra</t>
        </is>
      </c>
      <c r="C171" s="14" t="inlineStr">
        <is>
          <t>Road</t>
        </is>
      </c>
      <c r="D171" s="14" t="inlineStr">
        <is>
          <t>roa</t>
        </is>
      </c>
      <c r="E171" s="14" t="inlineStr">
        <is>
          <t>Division 492</t>
        </is>
      </c>
    </row>
    <row r="172">
      <c r="A172" s="14" t="inlineStr">
        <is>
          <t>Transport</t>
        </is>
      </c>
      <c r="B172" s="14" t="inlineStr">
        <is>
          <t>tra</t>
        </is>
      </c>
      <c r="C172" s="14" t="inlineStr">
        <is>
          <t>Domestic aviation</t>
        </is>
      </c>
      <c r="D172" s="14" t="inlineStr">
        <is>
          <t>avi</t>
        </is>
      </c>
      <c r="E172" s="14" t="inlineStr">
        <is>
          <t>Division 51</t>
        </is>
      </c>
    </row>
    <row r="173">
      <c r="A173" s="14" t="inlineStr">
        <is>
          <t>Transport</t>
        </is>
      </c>
      <c r="B173" s="14" t="inlineStr">
        <is>
          <t>tra</t>
        </is>
      </c>
      <c r="C173" s="14" t="inlineStr">
        <is>
          <t>Domestic navigation</t>
        </is>
      </c>
      <c r="D173" s="14" t="inlineStr">
        <is>
          <t>nav</t>
        </is>
      </c>
      <c r="E173" s="14" t="inlineStr">
        <is>
          <t>Division 50</t>
        </is>
      </c>
    </row>
    <row r="174">
      <c r="A174" s="14" t="inlineStr">
        <is>
          <t>Residential sector</t>
        </is>
      </c>
      <c r="B174" s="14" t="inlineStr">
        <is>
          <t>res</t>
        </is>
      </c>
      <c r="C174" s="14" t="inlineStr">
        <is>
          <t>Residential sector</t>
        </is>
      </c>
      <c r="D174" s="14" t="inlineStr">
        <is>
          <t>res</t>
        </is>
      </c>
      <c r="E174" s="14" t="inlineStr">
        <is>
          <t>Division 97, 98</t>
        </is>
      </c>
    </row>
    <row r="175">
      <c r="A175" s="14" t="inlineStr">
        <is>
          <t>Industry</t>
        </is>
      </c>
      <c r="B175" s="14" t="inlineStr">
        <is>
          <t>ind</t>
        </is>
      </c>
      <c r="C175" s="14" t="inlineStr">
        <is>
          <t>Food &amp; forestry</t>
        </is>
      </c>
      <c r="D175" s="14" t="inlineStr">
        <is>
          <t>foo</t>
        </is>
      </c>
      <c r="E175" s="14" t="inlineStr">
        <is>
          <t>Division 01, 02</t>
        </is>
      </c>
    </row>
    <row r="176">
      <c r="A176" s="14" t="inlineStr">
        <is>
          <t>Industry</t>
        </is>
      </c>
      <c r="B176" s="14" t="inlineStr">
        <is>
          <t>ind</t>
        </is>
      </c>
      <c r="C176" s="14" t="inlineStr">
        <is>
          <t>Food &amp; forestry</t>
        </is>
      </c>
      <c r="D176" s="14" t="inlineStr">
        <is>
          <t>foo</t>
        </is>
      </c>
      <c r="E176" s="14" t="inlineStr">
        <is>
          <t>Division 03</t>
        </is>
      </c>
    </row>
    <row r="177">
      <c r="A177" s="14" t="inlineStr">
        <is>
          <t>Industry</t>
        </is>
      </c>
      <c r="B177" s="14" t="inlineStr">
        <is>
          <t>ind</t>
        </is>
      </c>
      <c r="C177" s="14" t="inlineStr">
        <is>
          <t>Food &amp; forestry</t>
        </is>
      </c>
      <c r="D177" s="14" t="inlineStr">
        <is>
          <t>foo</t>
        </is>
      </c>
      <c r="E177" s="14" t="inlineStr">
        <is>
          <t>Division 10-12</t>
        </is>
      </c>
    </row>
    <row r="178">
      <c r="A178" s="14" t="inlineStr">
        <is>
          <t>Industry</t>
        </is>
      </c>
      <c r="B178" s="14" t="inlineStr">
        <is>
          <t>ind</t>
        </is>
      </c>
      <c r="C178" s="14" t="inlineStr">
        <is>
          <t>Food &amp; forestry</t>
        </is>
      </c>
      <c r="D178" s="14" t="inlineStr">
        <is>
          <t>foo</t>
        </is>
      </c>
      <c r="E178" s="14" t="inlineStr">
        <is>
          <t>Division 16</t>
        </is>
      </c>
    </row>
    <row r="179">
      <c r="A179" s="14" t="inlineStr">
        <is>
          <t>Industry</t>
        </is>
      </c>
      <c r="B179" s="14" t="inlineStr">
        <is>
          <t>ind</t>
        </is>
      </c>
      <c r="C179" s="14" t="inlineStr">
        <is>
          <t>Services (public &amp; private)</t>
        </is>
      </c>
      <c r="D179" s="14" t="inlineStr">
        <is>
          <t>srv</t>
        </is>
      </c>
      <c r="E179" s="14" t="inlineStr">
        <is>
          <t>Division 33, 36-39, 45-47, 52, 53, 55-56, 58-66,
68-75, 77-82, 84 (exl.Class 8422), 85-88, 90-96, 99</t>
        </is>
      </c>
    </row>
    <row r="180">
      <c r="A180" s="14" t="inlineStr">
        <is>
          <t>Industry</t>
        </is>
      </c>
      <c r="B180" s="14" t="inlineStr">
        <is>
          <t>ind</t>
        </is>
      </c>
      <c r="C180" s="14" t="inlineStr">
        <is>
          <t>Mining &amp; Chemicals</t>
        </is>
      </c>
      <c r="D180" s="14" t="inlineStr">
        <is>
          <t>mch</t>
        </is>
      </c>
      <c r="E180" s="14" t="inlineStr">
        <is>
          <t>Division 07, 08, Group 099</t>
        </is>
      </c>
    </row>
    <row r="181">
      <c r="A181" s="14" t="inlineStr">
        <is>
          <t>Industry</t>
        </is>
      </c>
      <c r="B181" s="14" t="inlineStr">
        <is>
          <t>ind</t>
        </is>
      </c>
      <c r="C181" s="14" t="inlineStr">
        <is>
          <t>Mining &amp; Chemicals</t>
        </is>
      </c>
      <c r="D181" s="14" t="inlineStr">
        <is>
          <t>mch</t>
        </is>
      </c>
      <c r="E181" s="14" t="inlineStr">
        <is>
          <t>Division 20, 21</t>
        </is>
      </c>
    </row>
    <row r="182">
      <c r="A182" s="14" t="inlineStr">
        <is>
          <t>Industry</t>
        </is>
      </c>
      <c r="B182" s="14" t="inlineStr">
        <is>
          <t>ind</t>
        </is>
      </c>
      <c r="C182" s="14" t="inlineStr">
        <is>
          <t>Iron and steel</t>
        </is>
      </c>
      <c r="D182" s="14" t="inlineStr">
        <is>
          <t>irn</t>
        </is>
      </c>
      <c r="E182" s="14" t="inlineStr">
        <is>
          <t>Group 241, Class 2431</t>
        </is>
      </c>
    </row>
    <row r="183">
      <c r="A183" s="14" t="inlineStr">
        <is>
          <t>Industry</t>
        </is>
      </c>
      <c r="B183" s="14" t="inlineStr">
        <is>
          <t>ind</t>
        </is>
      </c>
      <c r="C183" s="14" t="inlineStr">
        <is>
          <t>Non-ferrous metals</t>
        </is>
      </c>
      <c r="D183" s="14" t="inlineStr">
        <is>
          <t>nfm</t>
        </is>
      </c>
      <c r="E183" s="14" t="inlineStr">
        <is>
          <t>Group 242, Class2432</t>
        </is>
      </c>
    </row>
    <row r="184">
      <c r="A184" s="14" t="inlineStr">
        <is>
          <t>Industry</t>
        </is>
      </c>
      <c r="B184" s="14" t="inlineStr">
        <is>
          <t>ind</t>
        </is>
      </c>
      <c r="C184" s="14" t="inlineStr">
        <is>
          <t>Machinery</t>
        </is>
      </c>
      <c r="D184" s="14" t="inlineStr">
        <is>
          <t>mac</t>
        </is>
      </c>
      <c r="E184" s="14" t="inlineStr">
        <is>
          <t>Division 25-28</t>
        </is>
      </c>
    </row>
    <row r="185">
      <c r="A185" s="14" t="inlineStr">
        <is>
          <t>Industry</t>
        </is>
      </c>
      <c r="B185" s="14" t="inlineStr">
        <is>
          <t>ind</t>
        </is>
      </c>
      <c r="C185" s="14" t="inlineStr">
        <is>
          <t>Machinery</t>
        </is>
      </c>
      <c r="D185" s="14" t="inlineStr">
        <is>
          <t>mac</t>
        </is>
      </c>
      <c r="E185" s="14" t="inlineStr">
        <is>
          <t>Division 29-30</t>
        </is>
      </c>
    </row>
    <row r="186">
      <c r="A186" s="14" t="inlineStr">
        <is>
          <t>Industry</t>
        </is>
      </c>
      <c r="B186" s="14" t="inlineStr">
        <is>
          <t>ind</t>
        </is>
      </c>
      <c r="C186" s="14" t="inlineStr">
        <is>
          <t>Cement</t>
        </is>
      </c>
      <c r="D186" s="14" t="inlineStr">
        <is>
          <t>cem</t>
        </is>
      </c>
      <c r="E186" s="14" t="inlineStr">
        <is>
          <t>Division 23</t>
        </is>
      </c>
    </row>
    <row r="187">
      <c r="A187" s="14" t="inlineStr">
        <is>
          <t>Industry</t>
        </is>
      </c>
      <c r="B187" s="14" t="inlineStr">
        <is>
          <t>ind</t>
        </is>
      </c>
      <c r="C187" s="14" t="inlineStr">
        <is>
          <t>Other manufacturing</t>
        </is>
      </c>
      <c r="D187" s="14" t="inlineStr">
        <is>
          <t>omn</t>
        </is>
      </c>
      <c r="E187" s="14" t="inlineStr">
        <is>
          <t>Division 13-15</t>
        </is>
      </c>
    </row>
    <row r="188">
      <c r="A188" s="14" t="inlineStr">
        <is>
          <t>Industry</t>
        </is>
      </c>
      <c r="B188" s="14" t="inlineStr">
        <is>
          <t>ind</t>
        </is>
      </c>
      <c r="C188" s="14" t="inlineStr">
        <is>
          <t>Other manufacturing</t>
        </is>
      </c>
      <c r="D188" s="14" t="inlineStr">
        <is>
          <t>omn</t>
        </is>
      </c>
      <c r="E188" s="14" t="inlineStr">
        <is>
          <t>Division 22, 31, 32</t>
        </is>
      </c>
    </row>
    <row r="189">
      <c r="A189" s="14" t="inlineStr">
        <is>
          <t>Industry</t>
        </is>
      </c>
      <c r="B189" s="14" t="inlineStr">
        <is>
          <t>ind</t>
        </is>
      </c>
      <c r="C189" s="14" t="inlineStr">
        <is>
          <t>Other manufacturing</t>
        </is>
      </c>
      <c r="D189" s="14" t="inlineStr">
        <is>
          <t>omn</t>
        </is>
      </c>
      <c r="E189" s="14" t="inlineStr">
        <is>
          <t>Division 17, 18</t>
        </is>
      </c>
    </row>
    <row r="190">
      <c r="A190" s="14" t="inlineStr">
        <is>
          <t>Industry</t>
        </is>
      </c>
      <c r="B190" s="14" t="inlineStr">
        <is>
          <t>ind</t>
        </is>
      </c>
      <c r="C190" s="14" t="inlineStr">
        <is>
          <t>Construction</t>
        </is>
      </c>
      <c r="D190" s="14" t="inlineStr">
        <is>
          <t>cst</t>
        </is>
      </c>
      <c r="E190" s="14" t="inlineStr">
        <is>
          <t>Division 41-43</t>
        </is>
      </c>
    </row>
    <row r="191">
      <c r="A191" s="14" t="inlineStr">
        <is>
          <t>Industry</t>
        </is>
      </c>
      <c r="B191" s="14" t="inlineStr">
        <is>
          <t>ind</t>
        </is>
      </c>
      <c r="C191" s="14" t="inlineStr">
        <is>
          <t>Fuel transformation &amp; transportation</t>
        </is>
      </c>
      <c r="D191" s="14" t="inlineStr">
        <is>
          <t>ftr</t>
        </is>
      </c>
      <c r="E191" s="14" t="inlineStr">
        <is>
          <t>Division 05, 06, 19, Group 091,Class 0892 and 0721 (Calculated: cannot map exactly)</t>
        </is>
      </c>
    </row>
    <row r="192">
      <c r="A192" s="14" t="inlineStr">
        <is>
          <t>Industry</t>
        </is>
      </c>
      <c r="B192" s="14" t="inlineStr">
        <is>
          <t>ind</t>
        </is>
      </c>
      <c r="C192" s="14" t="inlineStr">
        <is>
          <t>Fuel transformation &amp; transportation</t>
        </is>
      </c>
      <c r="D192" s="14" t="inlineStr">
        <is>
          <t>ftr</t>
        </is>
      </c>
      <c r="E192" s="14" t="inlineStr">
        <is>
          <t>Group 493</t>
        </is>
      </c>
    </row>
    <row r="193">
      <c r="A193" s="14" t="inlineStr">
        <is>
          <t>Other</t>
        </is>
      </c>
      <c r="B193" s="14" t="inlineStr">
        <is>
          <t>oth</t>
        </is>
      </c>
      <c r="C193" s="14" t="inlineStr">
        <is>
          <t>Other</t>
        </is>
      </c>
      <c r="D193" s="14" t="inlineStr">
        <is>
          <t>oen</t>
        </is>
      </c>
      <c r="E193" s="14" t="inlineStr">
        <is>
          <t>Class 8422</t>
        </is>
      </c>
    </row>
    <row r="194">
      <c r="A194" s="14" t="inlineStr">
        <is>
          <t>Other</t>
        </is>
      </c>
      <c r="B194" s="14" t="inlineStr">
        <is>
          <t>oth</t>
        </is>
      </c>
      <c r="C194" s="14" t="inlineStr">
        <is>
          <t>Other</t>
        </is>
      </c>
      <c r="D194" s="14" t="inlineStr">
        <is>
          <t>oen</t>
        </is>
      </c>
      <c r="E194" s="14" t="n"/>
    </row>
    <row r="197">
      <c r="A197" s="2" t="inlineStr">
        <is>
          <t>IEA flows to ISIC</t>
        </is>
      </c>
    </row>
    <row r="198">
      <c r="A198" s="13" t="inlineStr">
        <is>
          <t>IEA_flows_29</t>
        </is>
      </c>
      <c r="B198" s="13" t="inlineStr">
        <is>
          <t>IEA_code</t>
        </is>
      </c>
      <c r="C198" s="13" t="inlineStr">
        <is>
          <t>ISIC_Rev__4_codes</t>
        </is>
      </c>
    </row>
    <row r="199">
      <c r="A199" s="14" t="inlineStr">
        <is>
          <t>Autoproducer CHP plants</t>
        </is>
      </c>
      <c r="B199" s="14" t="inlineStr">
        <is>
          <t>AUTOCHP</t>
        </is>
      </c>
      <c r="C199" s="14" t="inlineStr">
        <is>
          <t>Division 35</t>
        </is>
      </c>
    </row>
    <row r="200">
      <c r="A200" s="14" t="inlineStr">
        <is>
          <t>Autoproducer electricity plants</t>
        </is>
      </c>
      <c r="B200" s="14" t="inlineStr">
        <is>
          <t>AUTOELEC</t>
        </is>
      </c>
      <c r="C200" s="14" t="inlineStr">
        <is>
          <t>Division 35</t>
        </is>
      </c>
    </row>
    <row r="201">
      <c r="A201" s="14" t="inlineStr">
        <is>
          <t>Main activity producer CHP plants</t>
        </is>
      </c>
      <c r="B201" s="14" t="inlineStr">
        <is>
          <t>MAINCHP</t>
        </is>
      </c>
      <c r="C201" s="14" t="inlineStr">
        <is>
          <t>Division 35</t>
        </is>
      </c>
    </row>
    <row r="202">
      <c r="A202" s="14" t="inlineStr">
        <is>
          <t>Main activity producer electricity plants</t>
        </is>
      </c>
      <c r="B202" s="14" t="inlineStr">
        <is>
          <t>MAINELEC</t>
        </is>
      </c>
      <c r="C202" s="14" t="inlineStr">
        <is>
          <t>Division 35</t>
        </is>
      </c>
    </row>
    <row r="203">
      <c r="A203" s="14" t="inlineStr">
        <is>
          <t>Rail</t>
        </is>
      </c>
      <c r="B203" s="14" t="inlineStr">
        <is>
          <t>RAIL</t>
        </is>
      </c>
      <c r="C203" s="14" t="inlineStr">
        <is>
          <t>Division 491</t>
        </is>
      </c>
    </row>
    <row r="204">
      <c r="A204" s="14" t="inlineStr">
        <is>
          <t>Road</t>
        </is>
      </c>
      <c r="B204" s="14" t="inlineStr">
        <is>
          <t>ROAD</t>
        </is>
      </c>
      <c r="C204" s="14" t="inlineStr">
        <is>
          <t>Division 492</t>
        </is>
      </c>
    </row>
    <row r="205">
      <c r="A205" s="14" t="inlineStr">
        <is>
          <t>Domestic aviation</t>
        </is>
      </c>
      <c r="B205" s="14" t="inlineStr">
        <is>
          <t>DOMESAIR</t>
        </is>
      </c>
      <c r="C205" s="14" t="inlineStr">
        <is>
          <t>Division 51</t>
        </is>
      </c>
    </row>
    <row r="206">
      <c r="A206" s="14" t="inlineStr">
        <is>
          <t>Domestic navigation</t>
        </is>
      </c>
      <c r="B206" s="14" t="inlineStr">
        <is>
          <t>DOMESNAV</t>
        </is>
      </c>
      <c r="C206" s="14" t="inlineStr">
        <is>
          <t>Division 50</t>
        </is>
      </c>
    </row>
    <row r="207">
      <c r="A207" s="14" t="inlineStr">
        <is>
          <t>Residential</t>
        </is>
      </c>
      <c r="B207" s="14" t="inlineStr">
        <is>
          <t>RESIDENT</t>
        </is>
      </c>
      <c r="C207" s="14" t="inlineStr">
        <is>
          <t>Division 97, 98</t>
        </is>
      </c>
    </row>
    <row r="208">
      <c r="A208" s="14" t="inlineStr">
        <is>
          <t>Agriculture/forestry</t>
        </is>
      </c>
      <c r="B208" s="14" t="inlineStr">
        <is>
          <t>AGRICULT</t>
        </is>
      </c>
      <c r="C208" s="14" t="inlineStr">
        <is>
          <t>Division 01, 02</t>
        </is>
      </c>
    </row>
    <row r="209">
      <c r="A209" s="14" t="inlineStr">
        <is>
          <t>Fishing</t>
        </is>
      </c>
      <c r="B209" s="14" t="inlineStr">
        <is>
          <t>FISHING</t>
        </is>
      </c>
      <c r="C209" s="14" t="inlineStr">
        <is>
          <t>Division 03</t>
        </is>
      </c>
    </row>
    <row r="210">
      <c r="A210" s="14" t="inlineStr">
        <is>
          <t>Food and tobacco</t>
        </is>
      </c>
      <c r="B210" s="14" t="inlineStr">
        <is>
          <t>FOODPRO</t>
        </is>
      </c>
      <c r="C210" s="14" t="inlineStr">
        <is>
          <t>Division 10-12</t>
        </is>
      </c>
    </row>
    <row r="211">
      <c r="A211" s="14" t="inlineStr">
        <is>
          <t>Wood and wood products</t>
        </is>
      </c>
      <c r="B211" s="14" t="inlineStr">
        <is>
          <t>WOODPRO</t>
        </is>
      </c>
      <c r="C211" s="14" t="inlineStr">
        <is>
          <t>Division 16</t>
        </is>
      </c>
    </row>
    <row r="212">
      <c r="A212" s="14" t="inlineStr">
        <is>
          <t>Commercial and public services</t>
        </is>
      </c>
      <c r="B212" s="14" t="inlineStr">
        <is>
          <t>COMMPUB</t>
        </is>
      </c>
      <c r="C212" s="14" t="inlineStr">
        <is>
          <t>Division 33, 36-39, 45-47, 52, 53, 55-56, 58-66,
68-75, 77-82, 84 (exl.Class 8422), 85-88, 90-96, 99</t>
        </is>
      </c>
    </row>
    <row r="213">
      <c r="A213" s="14" t="inlineStr">
        <is>
          <t>Mining and quarrying</t>
        </is>
      </c>
      <c r="B213" s="14" t="inlineStr">
        <is>
          <t>MINING</t>
        </is>
      </c>
      <c r="C213" s="14" t="inlineStr">
        <is>
          <t>Division 07, 08, Group 099</t>
        </is>
      </c>
    </row>
    <row r="214">
      <c r="A214" s="14" t="inlineStr">
        <is>
          <t>Chemical and petrochemical</t>
        </is>
      </c>
      <c r="B214" s="14" t="inlineStr">
        <is>
          <t>CHEMICAL</t>
        </is>
      </c>
      <c r="C214" s="14" t="inlineStr">
        <is>
          <t>Division 20, 21</t>
        </is>
      </c>
    </row>
    <row r="215">
      <c r="A215" s="14" t="inlineStr">
        <is>
          <t>Iron and steel</t>
        </is>
      </c>
      <c r="B215" s="14" t="inlineStr">
        <is>
          <t>IRONSTL</t>
        </is>
      </c>
      <c r="C215" s="14" t="inlineStr">
        <is>
          <t>Group 241, Class 2431</t>
        </is>
      </c>
    </row>
    <row r="216">
      <c r="A216" s="14" t="inlineStr">
        <is>
          <t>Non-ferrous metals</t>
        </is>
      </c>
      <c r="B216" s="14" t="inlineStr">
        <is>
          <t>NONFERR</t>
        </is>
      </c>
      <c r="C216" s="14" t="inlineStr">
        <is>
          <t>Group 242, Class2432</t>
        </is>
      </c>
    </row>
    <row r="217">
      <c r="A217" s="14" t="inlineStr">
        <is>
          <t>Machinery</t>
        </is>
      </c>
      <c r="B217" s="14" t="inlineStr">
        <is>
          <t>MACHINE</t>
        </is>
      </c>
      <c r="C217" s="14" t="inlineStr">
        <is>
          <t>Division 25-28</t>
        </is>
      </c>
    </row>
    <row r="218">
      <c r="A218" s="14" t="inlineStr">
        <is>
          <t>Transport equipment</t>
        </is>
      </c>
      <c r="B218" s="14" t="inlineStr">
        <is>
          <t>TRANSEQ</t>
        </is>
      </c>
      <c r="C218" s="14" t="inlineStr">
        <is>
          <t>Division 29-30</t>
        </is>
      </c>
    </row>
    <row r="219">
      <c r="A219" s="14" t="inlineStr">
        <is>
          <t>Non-metallic minerals</t>
        </is>
      </c>
      <c r="B219" s="14" t="inlineStr">
        <is>
          <t>NONMET</t>
        </is>
      </c>
      <c r="C219" s="14" t="inlineStr">
        <is>
          <t>Division 23</t>
        </is>
      </c>
    </row>
    <row r="220">
      <c r="A220" s="14" t="inlineStr">
        <is>
          <t>Textile and leather</t>
        </is>
      </c>
      <c r="B220" s="14" t="inlineStr">
        <is>
          <t>TEXTILES</t>
        </is>
      </c>
      <c r="C220" s="14" t="inlineStr">
        <is>
          <t>Division 13-15</t>
        </is>
      </c>
    </row>
    <row r="221">
      <c r="A221" s="14" t="inlineStr">
        <is>
          <t>Industry not elsewhere specified</t>
        </is>
      </c>
      <c r="B221" s="14" t="inlineStr">
        <is>
          <t>INONSPEC</t>
        </is>
      </c>
      <c r="C221" s="14" t="inlineStr">
        <is>
          <t>Division 22, 31, 32</t>
        </is>
      </c>
    </row>
    <row r="222">
      <c r="A222" s="14" t="inlineStr">
        <is>
          <t>Paper, pulp and print</t>
        </is>
      </c>
      <c r="B222" s="14" t="inlineStr">
        <is>
          <t>PAPERPRO</t>
        </is>
      </c>
      <c r="C222" s="14" t="inlineStr">
        <is>
          <t>Division 17, 18</t>
        </is>
      </c>
    </row>
    <row r="223">
      <c r="A223" s="14" t="inlineStr">
        <is>
          <t>Construction</t>
        </is>
      </c>
      <c r="B223" s="14" t="inlineStr">
        <is>
          <t>CONSTRUC</t>
        </is>
      </c>
      <c r="C223" s="14" t="inlineStr">
        <is>
          <t>Division 41-43</t>
        </is>
      </c>
    </row>
    <row r="224">
      <c r="A224" s="14" t="inlineStr">
        <is>
          <t>Transformation processes</t>
        </is>
      </c>
      <c r="B224" s="14" t="inlineStr">
        <is>
          <t>-(STATDIFF+TRANSFER+TOTENERGY+DISTLOSS+TOTTRANF-AUTOCHP-AUTOELEC-MAINCHP-MAINELEC)</t>
        </is>
      </c>
      <c r="C224" s="14" t="inlineStr">
        <is>
          <t>Division 05, 06, 19, Group 091,Class 0892 and 0721 (Calculated: cannot map exactly)</t>
        </is>
      </c>
    </row>
    <row r="225">
      <c r="A225" s="14" t="inlineStr">
        <is>
          <t>Pipeline transport</t>
        </is>
      </c>
      <c r="B225" s="14" t="inlineStr">
        <is>
          <t>PIPELINE</t>
        </is>
      </c>
      <c r="C225" s="14" t="inlineStr">
        <is>
          <t>Group 493</t>
        </is>
      </c>
    </row>
    <row r="226">
      <c r="A226" s="14" t="inlineStr">
        <is>
          <t>Final consumption not elsewhere specified</t>
        </is>
      </c>
      <c r="B226" s="14" t="inlineStr">
        <is>
          <t>ONONSPEC</t>
        </is>
      </c>
      <c r="C226" s="14" t="inlineStr">
        <is>
          <t>Class 8422</t>
        </is>
      </c>
    </row>
    <row r="227">
      <c r="A227" s="14" t="inlineStr">
        <is>
          <t>Non-energy use</t>
        </is>
      </c>
      <c r="B227" s="14" t="inlineStr">
        <is>
          <t>NONENUSE</t>
        </is>
      </c>
      <c r="C227" s="14" t="n"/>
    </row>
    <row r="230">
      <c r="A230" s="2" t="inlineStr">
        <is>
          <t>ISIC to CPAT</t>
        </is>
      </c>
    </row>
    <row r="231">
      <c r="A231" s="13" t="inlineStr">
        <is>
          <t>ISIC_Rev__4_codes</t>
        </is>
      </c>
      <c r="B231" s="13" t="inlineStr">
        <is>
          <t>ISIC_Rev__4_Description</t>
        </is>
      </c>
      <c r="C231" s="13" t="inlineStr">
        <is>
          <t>CPAT_code</t>
        </is>
      </c>
      <c r="D231" s="13" t="inlineStr">
        <is>
          <t>CPAT_sector</t>
        </is>
      </c>
    </row>
    <row r="232">
      <c r="A232" s="14" t="inlineStr">
        <is>
          <t>Division 01</t>
        </is>
      </c>
      <c r="B232" s="14" t="inlineStr">
        <is>
          <t>Crop and animal production, hunting and related service activities</t>
        </is>
      </c>
      <c r="C232" s="14" t="inlineStr">
        <is>
          <t>foo</t>
        </is>
      </c>
      <c r="D232" s="14" t="inlineStr">
        <is>
          <t>Food &amp; forestry</t>
        </is>
      </c>
    </row>
    <row r="233">
      <c r="A233" s="14" t="inlineStr">
        <is>
          <t>Division 02</t>
        </is>
      </c>
      <c r="B233" s="14" t="inlineStr">
        <is>
          <t>Forestry and logging</t>
        </is>
      </c>
      <c r="C233" s="14" t="inlineStr">
        <is>
          <t>foo</t>
        </is>
      </c>
      <c r="D233" s="14" t="inlineStr">
        <is>
          <t>Food &amp; forestry</t>
        </is>
      </c>
    </row>
    <row r="234">
      <c r="A234" s="14" t="inlineStr">
        <is>
          <t>Division 03</t>
        </is>
      </c>
      <c r="B234" s="14" t="inlineStr">
        <is>
          <t>Fishing and aquaculture</t>
        </is>
      </c>
      <c r="C234" s="14" t="inlineStr">
        <is>
          <t>foo</t>
        </is>
      </c>
      <c r="D234" s="14" t="inlineStr">
        <is>
          <t>Food &amp; forestry</t>
        </is>
      </c>
    </row>
    <row r="235">
      <c r="A235" s="14" t="inlineStr">
        <is>
          <t>Division 05</t>
        </is>
      </c>
      <c r="B235" s="14" t="inlineStr">
        <is>
          <t>Mining of coal and lignite</t>
        </is>
      </c>
      <c r="C235" s="14" t="inlineStr">
        <is>
          <t>ftr</t>
        </is>
      </c>
      <c r="D235" s="14" t="inlineStr">
        <is>
          <t>Fuel transformation &amp; transportation</t>
        </is>
      </c>
    </row>
    <row r="236">
      <c r="A236" s="14" t="inlineStr">
        <is>
          <t>Division 06</t>
        </is>
      </c>
      <c r="B236" s="14" t="inlineStr">
        <is>
          <t>Extraction of crude petroleum and natural gas</t>
        </is>
      </c>
      <c r="C236" s="14" t="inlineStr">
        <is>
          <t>ftr</t>
        </is>
      </c>
      <c r="D236" s="14" t="inlineStr">
        <is>
          <t>Fuel transformation &amp; transportation</t>
        </is>
      </c>
    </row>
    <row r="237">
      <c r="A237" s="14" t="inlineStr">
        <is>
          <t>Division 07</t>
        </is>
      </c>
      <c r="B237" s="14" t="inlineStr">
        <is>
          <t>Mining of metal ores</t>
        </is>
      </c>
      <c r="C237" s="14" t="inlineStr">
        <is>
          <t>…</t>
        </is>
      </c>
      <c r="D237" s="14" t="inlineStr">
        <is>
          <t>…</t>
        </is>
      </c>
    </row>
    <row r="238">
      <c r="A238" s="14" t="inlineStr">
        <is>
          <t>Group 071</t>
        </is>
      </c>
      <c r="B238" s="14" t="inlineStr">
        <is>
          <t>Mining of iron ores</t>
        </is>
      </c>
      <c r="C238" s="14" t="inlineStr">
        <is>
          <t>mch</t>
        </is>
      </c>
      <c r="D238" s="14" t="inlineStr">
        <is>
          <t>Mining &amp; Chemicals</t>
        </is>
      </c>
    </row>
    <row r="239">
      <c r="A239" s="14" t="inlineStr">
        <is>
          <t>Group 072</t>
        </is>
      </c>
      <c r="B239" s="14" t="inlineStr">
        <is>
          <t>Mining of non-ferrous metal ores</t>
        </is>
      </c>
      <c r="C239" s="14" t="inlineStr">
        <is>
          <t>…</t>
        </is>
      </c>
      <c r="D239" s="14" t="inlineStr">
        <is>
          <t>…</t>
        </is>
      </c>
    </row>
    <row r="240">
      <c r="A240" s="14" t="inlineStr">
        <is>
          <t>Class 0721</t>
        </is>
      </c>
      <c r="B240" s="14" t="inlineStr">
        <is>
          <t>Mining of uranium and thorium ores</t>
        </is>
      </c>
      <c r="C240" s="14" t="inlineStr">
        <is>
          <t>ftr</t>
        </is>
      </c>
      <c r="D240" s="14" t="inlineStr">
        <is>
          <t>Fuel transformation &amp; transportation</t>
        </is>
      </c>
    </row>
    <row r="241">
      <c r="A241" s="14" t="inlineStr">
        <is>
          <t>Class 0729</t>
        </is>
      </c>
      <c r="B241" s="14" t="inlineStr">
        <is>
          <t>Mining of other non-ferrous metal ores</t>
        </is>
      </c>
      <c r="C241" s="14" t="inlineStr">
        <is>
          <t>mch</t>
        </is>
      </c>
      <c r="D241" s="14" t="inlineStr">
        <is>
          <t>Mining &amp; Chemicals</t>
        </is>
      </c>
    </row>
    <row r="242">
      <c r="A242" s="14" t="inlineStr">
        <is>
          <t>Division 08</t>
        </is>
      </c>
      <c r="B242" s="14" t="inlineStr">
        <is>
          <t>Other mining and quarrying</t>
        </is>
      </c>
      <c r="C242" s="14" t="inlineStr">
        <is>
          <t>…</t>
        </is>
      </c>
      <c r="D242" s="14" t="inlineStr">
        <is>
          <t>…</t>
        </is>
      </c>
    </row>
    <row r="243">
      <c r="A243" s="14" t="inlineStr">
        <is>
          <t>Group 081</t>
        </is>
      </c>
      <c r="B243" s="14" t="inlineStr">
        <is>
          <t>Quarrying of stone, sand and clay</t>
        </is>
      </c>
      <c r="C243" s="14" t="inlineStr">
        <is>
          <t>mch</t>
        </is>
      </c>
      <c r="D243" s="14" t="inlineStr">
        <is>
          <t>Mining &amp; Chemicals</t>
        </is>
      </c>
    </row>
    <row r="244">
      <c r="A244" s="14" t="inlineStr">
        <is>
          <t>Group 089</t>
        </is>
      </c>
      <c r="B244" s="14" t="inlineStr">
        <is>
          <t>Mining and quarrying n.e.c.</t>
        </is>
      </c>
      <c r="C244" s="14" t="inlineStr">
        <is>
          <t>mch</t>
        </is>
      </c>
      <c r="D244" s="14" t="inlineStr">
        <is>
          <t>Mining &amp; Chemicals</t>
        </is>
      </c>
    </row>
    <row r="245">
      <c r="A245" s="14" t="inlineStr">
        <is>
          <t>Class 0891</t>
        </is>
      </c>
      <c r="B245" s="14" t="inlineStr">
        <is>
          <t>Mining of chemical and fertilizer minerals</t>
        </is>
      </c>
      <c r="C245" s="14" t="inlineStr">
        <is>
          <t>mch</t>
        </is>
      </c>
      <c r="D245" s="14" t="inlineStr">
        <is>
          <t>Mining &amp; Chemicals</t>
        </is>
      </c>
    </row>
    <row r="246">
      <c r="A246" s="14" t="inlineStr">
        <is>
          <t>Class 0892</t>
        </is>
      </c>
      <c r="B246" s="14" t="inlineStr">
        <is>
          <t>Extraction of peat</t>
        </is>
      </c>
      <c r="C246" s="14" t="inlineStr">
        <is>
          <t>ftr</t>
        </is>
      </c>
      <c r="D246" s="14" t="inlineStr">
        <is>
          <t>Fuel transformation &amp; transportation</t>
        </is>
      </c>
    </row>
    <row r="247">
      <c r="A247" s="14" t="inlineStr">
        <is>
          <t>Class 0893</t>
        </is>
      </c>
      <c r="B247" s="14" t="inlineStr">
        <is>
          <t>Extraction of salt</t>
        </is>
      </c>
      <c r="C247" s="14" t="inlineStr">
        <is>
          <t>mch</t>
        </is>
      </c>
      <c r="D247" s="14" t="inlineStr">
        <is>
          <t>Mining &amp; Chemicals</t>
        </is>
      </c>
    </row>
    <row r="248">
      <c r="A248" s="14" t="inlineStr">
        <is>
          <t>Class 0899</t>
        </is>
      </c>
      <c r="B248" s="14" t="inlineStr">
        <is>
          <t>Other mining and quarrying n.e.c.</t>
        </is>
      </c>
      <c r="C248" s="14" t="inlineStr">
        <is>
          <t>mch</t>
        </is>
      </c>
      <c r="D248" s="14" t="inlineStr">
        <is>
          <t>Mining &amp; Chemicals</t>
        </is>
      </c>
    </row>
    <row r="249">
      <c r="A249" s="14" t="inlineStr">
        <is>
          <t>Division 09</t>
        </is>
      </c>
      <c r="B249" s="14" t="inlineStr">
        <is>
          <t>Mining support service activities</t>
        </is>
      </c>
      <c r="C249" s="14" t="inlineStr">
        <is>
          <t>…</t>
        </is>
      </c>
      <c r="D249" s="14" t="inlineStr">
        <is>
          <t>…</t>
        </is>
      </c>
    </row>
    <row r="250">
      <c r="A250" s="14" t="inlineStr">
        <is>
          <t>Group 091</t>
        </is>
      </c>
      <c r="B250" s="14" t="inlineStr">
        <is>
          <t>Support activities for petroleum and natural gas extraction</t>
        </is>
      </c>
      <c r="C250" s="14" t="inlineStr">
        <is>
          <t>ftr</t>
        </is>
      </c>
      <c r="D250" s="14" t="inlineStr">
        <is>
          <t>Fuel transformation &amp; transportation</t>
        </is>
      </c>
    </row>
    <row r="251">
      <c r="A251" s="14" t="inlineStr">
        <is>
          <t>Group 099</t>
        </is>
      </c>
      <c r="B251" s="14" t="inlineStr">
        <is>
          <t>Support activities for other mining and quarrying</t>
        </is>
      </c>
      <c r="C251" s="14" t="inlineStr">
        <is>
          <t>mch</t>
        </is>
      </c>
      <c r="D251" s="14" t="inlineStr">
        <is>
          <t>Mining &amp; Chemicals</t>
        </is>
      </c>
    </row>
    <row r="252">
      <c r="A252" s="14" t="inlineStr">
        <is>
          <t>Division 10</t>
        </is>
      </c>
      <c r="B252" s="14" t="inlineStr">
        <is>
          <t>Manufacture of food products</t>
        </is>
      </c>
      <c r="C252" s="14" t="inlineStr">
        <is>
          <t>foo</t>
        </is>
      </c>
      <c r="D252" s="14" t="inlineStr">
        <is>
          <t>Food &amp; forestry</t>
        </is>
      </c>
    </row>
    <row r="253">
      <c r="A253" s="14" t="inlineStr">
        <is>
          <t>Division 11</t>
        </is>
      </c>
      <c r="B253" s="14" t="inlineStr">
        <is>
          <t>Manufacture of beverages</t>
        </is>
      </c>
      <c r="C253" s="14" t="inlineStr">
        <is>
          <t>foo</t>
        </is>
      </c>
      <c r="D253" s="14" t="inlineStr">
        <is>
          <t>Food &amp; forestry</t>
        </is>
      </c>
    </row>
    <row r="254">
      <c r="A254" s="14" t="inlineStr">
        <is>
          <t>Division 12</t>
        </is>
      </c>
      <c r="B254" s="14" t="inlineStr">
        <is>
          <t>Manufacture of tobacco products</t>
        </is>
      </c>
      <c r="C254" s="14" t="inlineStr">
        <is>
          <t>foo</t>
        </is>
      </c>
      <c r="D254" s="14" t="inlineStr">
        <is>
          <t>Food &amp; forestry</t>
        </is>
      </c>
    </row>
    <row r="255">
      <c r="A255" s="14" t="inlineStr">
        <is>
          <t>Division 13</t>
        </is>
      </c>
      <c r="B255" s="14" t="inlineStr">
        <is>
          <t>Manufacture of textiles</t>
        </is>
      </c>
      <c r="C255" s="14" t="inlineStr">
        <is>
          <t>omn</t>
        </is>
      </c>
      <c r="D255" s="14" t="inlineStr">
        <is>
          <t>Other manufacturing</t>
        </is>
      </c>
    </row>
    <row r="256">
      <c r="A256" s="14" t="inlineStr">
        <is>
          <t>Division 14</t>
        </is>
      </c>
      <c r="B256" s="14" t="inlineStr">
        <is>
          <t>Manufacture of wearing apparel</t>
        </is>
      </c>
      <c r="C256" s="14" t="inlineStr">
        <is>
          <t>omn</t>
        </is>
      </c>
      <c r="D256" s="14" t="inlineStr">
        <is>
          <t>Other manufacturing</t>
        </is>
      </c>
    </row>
    <row r="257">
      <c r="A257" s="14" t="inlineStr">
        <is>
          <t>Division 15</t>
        </is>
      </c>
      <c r="B257" s="14" t="inlineStr">
        <is>
          <t>Manufacture of leather and related products</t>
        </is>
      </c>
      <c r="C257" s="14" t="inlineStr">
        <is>
          <t>omn</t>
        </is>
      </c>
      <c r="D257" s="14" t="inlineStr">
        <is>
          <t>Other manufacturing</t>
        </is>
      </c>
    </row>
    <row r="258">
      <c r="A258" s="14" t="inlineStr">
        <is>
          <t>Division 16</t>
        </is>
      </c>
      <c r="B258" s="14" t="inlineStr">
        <is>
          <t>Manufacture of wood and of products of wood and cork, except furniture; manufacture of articles of straw and plaiting materials</t>
        </is>
      </c>
      <c r="C258" s="14" t="inlineStr">
        <is>
          <t>foo</t>
        </is>
      </c>
      <c r="D258" s="14" t="inlineStr">
        <is>
          <t>Food &amp; forestry</t>
        </is>
      </c>
    </row>
    <row r="259">
      <c r="A259" s="14" t="inlineStr">
        <is>
          <t>Division 17</t>
        </is>
      </c>
      <c r="B259" s="14" t="inlineStr">
        <is>
          <t>Manufacture of paper and paper products</t>
        </is>
      </c>
      <c r="C259" s="14" t="inlineStr">
        <is>
          <t>omn</t>
        </is>
      </c>
      <c r="D259" s="14" t="inlineStr">
        <is>
          <t>Other manufacturing</t>
        </is>
      </c>
    </row>
    <row r="260">
      <c r="A260" s="14" t="inlineStr">
        <is>
          <t>Division 18</t>
        </is>
      </c>
      <c r="B260" s="14" t="inlineStr">
        <is>
          <t>Printing and reproduction of recorded media</t>
        </is>
      </c>
      <c r="C260" s="14" t="inlineStr">
        <is>
          <t>omn</t>
        </is>
      </c>
      <c r="D260" s="14" t="inlineStr">
        <is>
          <t>Other manufacturing</t>
        </is>
      </c>
    </row>
    <row r="261">
      <c r="A261" s="14" t="inlineStr">
        <is>
          <t>Division 19</t>
        </is>
      </c>
      <c r="B261" s="14" t="inlineStr">
        <is>
          <t>Manufacture of coke and refined petroleum products</t>
        </is>
      </c>
      <c r="C261" s="14" t="inlineStr">
        <is>
          <t>ftr</t>
        </is>
      </c>
      <c r="D261" s="14" t="inlineStr">
        <is>
          <t>Fuel transformation &amp; transportation</t>
        </is>
      </c>
    </row>
    <row r="262">
      <c r="A262" s="14" t="inlineStr">
        <is>
          <t>Division 20</t>
        </is>
      </c>
      <c r="B262" s="14" t="inlineStr">
        <is>
          <t>Manufacture of chemicals and chemical products</t>
        </is>
      </c>
      <c r="C262" s="14" t="inlineStr">
        <is>
          <t>mch</t>
        </is>
      </c>
      <c r="D262" s="14" t="inlineStr">
        <is>
          <t>Mining &amp; Chemicals</t>
        </is>
      </c>
    </row>
    <row r="263">
      <c r="A263" s="14" t="inlineStr">
        <is>
          <t>Division 21</t>
        </is>
      </c>
      <c r="B263" s="14" t="inlineStr">
        <is>
          <t>Manufacture of pharmaceuticals, medicinal chemical and botanical products</t>
        </is>
      </c>
      <c r="C263" s="14" t="inlineStr">
        <is>
          <t>mch</t>
        </is>
      </c>
      <c r="D263" s="14" t="inlineStr">
        <is>
          <t>Mining &amp; Chemicals</t>
        </is>
      </c>
    </row>
    <row r="264">
      <c r="A264" s="14" t="inlineStr">
        <is>
          <t>Division 22</t>
        </is>
      </c>
      <c r="B264" s="14" t="inlineStr">
        <is>
          <t>Manufacture of rubber and plastics products</t>
        </is>
      </c>
      <c r="C264" s="14" t="inlineStr">
        <is>
          <t>omn</t>
        </is>
      </c>
      <c r="D264" s="14" t="inlineStr">
        <is>
          <t>Other manufacturing</t>
        </is>
      </c>
    </row>
    <row r="265">
      <c r="A265" s="14" t="inlineStr">
        <is>
          <t>Division 23</t>
        </is>
      </c>
      <c r="B265" s="14" t="inlineStr">
        <is>
          <t>Manufacture of other non-metallic mineral products</t>
        </is>
      </c>
      <c r="C265" s="14" t="inlineStr">
        <is>
          <t>cem</t>
        </is>
      </c>
      <c r="D265" s="14" t="inlineStr">
        <is>
          <t>Cement</t>
        </is>
      </c>
    </row>
    <row r="266">
      <c r="A266" s="14" t="inlineStr">
        <is>
          <t>Division 24</t>
        </is>
      </c>
      <c r="B266" s="14" t="inlineStr">
        <is>
          <t>Manufacture of basic metals</t>
        </is>
      </c>
      <c r="C266" s="14" t="inlineStr">
        <is>
          <t>…</t>
        </is>
      </c>
      <c r="D266" s="14" t="inlineStr">
        <is>
          <t>…</t>
        </is>
      </c>
    </row>
    <row r="267">
      <c r="A267" s="14" t="inlineStr">
        <is>
          <t>Group 241</t>
        </is>
      </c>
      <c r="B267" s="14" t="inlineStr">
        <is>
          <t>Manufacture of basic iron and steel</t>
        </is>
      </c>
      <c r="C267" s="14" t="inlineStr">
        <is>
          <t>irn</t>
        </is>
      </c>
      <c r="D267" s="14" t="inlineStr">
        <is>
          <t>Iron and steel</t>
        </is>
      </c>
    </row>
    <row r="268">
      <c r="A268" s="14" t="inlineStr">
        <is>
          <t>Class 2431</t>
        </is>
      </c>
      <c r="B268" s="14" t="inlineStr">
        <is>
          <t>Casting of iron and steel</t>
        </is>
      </c>
      <c r="C268" s="14" t="inlineStr">
        <is>
          <t>irn</t>
        </is>
      </c>
      <c r="D268" s="14" t="inlineStr">
        <is>
          <t>Iron and steel</t>
        </is>
      </c>
    </row>
    <row r="269">
      <c r="A269" s="14" t="inlineStr">
        <is>
          <t>Group 242</t>
        </is>
      </c>
      <c r="B269" s="14" t="inlineStr">
        <is>
          <t>Manufacture of basic precious and other non-ferrous metals</t>
        </is>
      </c>
      <c r="C269" s="14" t="inlineStr">
        <is>
          <t>nfm</t>
        </is>
      </c>
      <c r="D269" s="14" t="inlineStr">
        <is>
          <t>Non-ferrous metals</t>
        </is>
      </c>
    </row>
    <row r="270">
      <c r="A270" s="14" t="inlineStr">
        <is>
          <t>Class 2432</t>
        </is>
      </c>
      <c r="B270" s="14" t="inlineStr">
        <is>
          <t>Casting of non-ferrous metals</t>
        </is>
      </c>
      <c r="C270" s="14" t="inlineStr">
        <is>
          <t>nfm</t>
        </is>
      </c>
      <c r="D270" s="14" t="inlineStr">
        <is>
          <t>Non-ferrous metals</t>
        </is>
      </c>
    </row>
    <row r="271">
      <c r="A271" s="14" t="inlineStr">
        <is>
          <t>Division 25</t>
        </is>
      </c>
      <c r="B271" s="14" t="inlineStr">
        <is>
          <t>Manufacture of fabricated metal products, except machinery and equipment</t>
        </is>
      </c>
      <c r="C271" s="14" t="inlineStr">
        <is>
          <t>mac</t>
        </is>
      </c>
      <c r="D271" s="14" t="inlineStr">
        <is>
          <t>Machinery</t>
        </is>
      </c>
    </row>
    <row r="272">
      <c r="A272" s="14" t="inlineStr">
        <is>
          <t>Division 26</t>
        </is>
      </c>
      <c r="B272" s="14" t="inlineStr">
        <is>
          <t>Manufacture of computer, electronic and optical products</t>
        </is>
      </c>
      <c r="C272" s="14" t="inlineStr">
        <is>
          <t>mac</t>
        </is>
      </c>
      <c r="D272" s="14" t="inlineStr">
        <is>
          <t>Machinery</t>
        </is>
      </c>
    </row>
    <row r="273">
      <c r="A273" s="14" t="inlineStr">
        <is>
          <t>Division 27</t>
        </is>
      </c>
      <c r="B273" s="14" t="inlineStr">
        <is>
          <t>Manufacture of electrical equipment</t>
        </is>
      </c>
      <c r="C273" s="14" t="inlineStr">
        <is>
          <t>mac</t>
        </is>
      </c>
      <c r="D273" s="14" t="inlineStr">
        <is>
          <t>Machinery</t>
        </is>
      </c>
    </row>
    <row r="274">
      <c r="A274" s="14" t="inlineStr">
        <is>
          <t>Division 28</t>
        </is>
      </c>
      <c r="B274" s="14" t="inlineStr">
        <is>
          <t>Manufacture of machinery and equipment n.e.c</t>
        </is>
      </c>
      <c r="C274" s="14" t="inlineStr">
        <is>
          <t>mac</t>
        </is>
      </c>
      <c r="D274" s="14" t="inlineStr">
        <is>
          <t>Machinery</t>
        </is>
      </c>
    </row>
    <row r="275">
      <c r="A275" s="14" t="inlineStr">
        <is>
          <t>Division 29</t>
        </is>
      </c>
      <c r="B275" s="14" t="inlineStr">
        <is>
          <t>Manufacture of motor vehicles, trailers and semi-trailers</t>
        </is>
      </c>
      <c r="C275" s="14" t="inlineStr">
        <is>
          <t>mac</t>
        </is>
      </c>
      <c r="D275" s="14" t="inlineStr">
        <is>
          <t>Machinery</t>
        </is>
      </c>
    </row>
    <row r="276">
      <c r="A276" s="14" t="inlineStr">
        <is>
          <t>Division 30</t>
        </is>
      </c>
      <c r="B276" s="14" t="inlineStr">
        <is>
          <t>Manufacture of other transport equipment</t>
        </is>
      </c>
      <c r="C276" s="14" t="inlineStr">
        <is>
          <t>mac</t>
        </is>
      </c>
      <c r="D276" s="14" t="inlineStr">
        <is>
          <t>Machinery</t>
        </is>
      </c>
    </row>
    <row r="277">
      <c r="A277" s="14" t="inlineStr">
        <is>
          <t>Division 31</t>
        </is>
      </c>
      <c r="B277" s="14" t="inlineStr">
        <is>
          <t>Manufacture of furniture</t>
        </is>
      </c>
      <c r="C277" s="14" t="inlineStr">
        <is>
          <t>omn</t>
        </is>
      </c>
      <c r="D277" s="14" t="inlineStr">
        <is>
          <t>Other manufacturing</t>
        </is>
      </c>
    </row>
    <row r="278">
      <c r="A278" s="14" t="inlineStr">
        <is>
          <t>Division 32</t>
        </is>
      </c>
      <c r="B278" s="14" t="inlineStr">
        <is>
          <t>Other manufacturing</t>
        </is>
      </c>
      <c r="C278" s="14" t="inlineStr">
        <is>
          <t>omn</t>
        </is>
      </c>
      <c r="D278" s="14" t="inlineStr">
        <is>
          <t>Other manufacturing</t>
        </is>
      </c>
    </row>
    <row r="279">
      <c r="A279" s="14" t="inlineStr">
        <is>
          <t>Division 33</t>
        </is>
      </c>
      <c r="B279" s="14" t="inlineStr">
        <is>
          <t>Repair and installation of machinery and equipment</t>
        </is>
      </c>
      <c r="C279" s="14" t="inlineStr">
        <is>
          <t>srv</t>
        </is>
      </c>
      <c r="D279" s="14" t="inlineStr">
        <is>
          <t>Services (public &amp; private)</t>
        </is>
      </c>
    </row>
    <row r="280">
      <c r="A280" s="14" t="inlineStr">
        <is>
          <t>Division 35</t>
        </is>
      </c>
      <c r="B280" s="14" t="inlineStr">
        <is>
          <t>Electricity, gas, steam and air conditioning supply</t>
        </is>
      </c>
      <c r="C280" s="14" t="inlineStr">
        <is>
          <t>pow</t>
        </is>
      </c>
      <c r="D280" s="14" t="inlineStr">
        <is>
          <t>Electricity production</t>
        </is>
      </c>
    </row>
    <row r="281">
      <c r="A281" s="14" t="inlineStr">
        <is>
          <t>Division 36</t>
        </is>
      </c>
      <c r="B281" s="14" t="inlineStr">
        <is>
          <t>Water collection, treatment and supply</t>
        </is>
      </c>
      <c r="C281" s="14" t="inlineStr">
        <is>
          <t>srv</t>
        </is>
      </c>
      <c r="D281" s="14" t="inlineStr">
        <is>
          <t>Services (public &amp; private)</t>
        </is>
      </c>
    </row>
    <row r="282">
      <c r="A282" s="14" t="inlineStr">
        <is>
          <t>Division 37</t>
        </is>
      </c>
      <c r="B282" s="14" t="inlineStr">
        <is>
          <t>Sewerage</t>
        </is>
      </c>
      <c r="C282" s="14" t="inlineStr">
        <is>
          <t>srv</t>
        </is>
      </c>
      <c r="D282" s="14" t="inlineStr">
        <is>
          <t>Services (public &amp; private)</t>
        </is>
      </c>
    </row>
    <row r="283">
      <c r="A283" s="14" t="inlineStr">
        <is>
          <t>Division 38</t>
        </is>
      </c>
      <c r="B283" s="14" t="inlineStr">
        <is>
          <t>Waste collection, treatment and disposal activities; materials recovery</t>
        </is>
      </c>
      <c r="C283" s="14" t="inlineStr">
        <is>
          <t>srv</t>
        </is>
      </c>
      <c r="D283" s="14" t="inlineStr">
        <is>
          <t>Services (public &amp; private)</t>
        </is>
      </c>
    </row>
    <row r="284">
      <c r="A284" s="14" t="inlineStr">
        <is>
          <t>Division 39</t>
        </is>
      </c>
      <c r="B284" s="14" t="inlineStr">
        <is>
          <t>Remediation activities and other waste management services</t>
        </is>
      </c>
      <c r="C284" s="14" t="inlineStr">
        <is>
          <t>srv</t>
        </is>
      </c>
      <c r="D284" s="14" t="inlineStr">
        <is>
          <t>Services (public &amp; private)</t>
        </is>
      </c>
    </row>
    <row r="285">
      <c r="A285" s="14" t="inlineStr">
        <is>
          <t>Division 41</t>
        </is>
      </c>
      <c r="B285" s="14" t="inlineStr">
        <is>
          <t>Construction of buildings</t>
        </is>
      </c>
      <c r="C285" s="14" t="inlineStr">
        <is>
          <t>cst</t>
        </is>
      </c>
      <c r="D285" s="14" t="inlineStr">
        <is>
          <t>Construction</t>
        </is>
      </c>
    </row>
    <row r="286">
      <c r="A286" s="14" t="inlineStr">
        <is>
          <t>Division 42</t>
        </is>
      </c>
      <c r="B286" s="14" t="inlineStr">
        <is>
          <t>Civil engineering</t>
        </is>
      </c>
      <c r="C286" s="14" t="inlineStr">
        <is>
          <t>cst</t>
        </is>
      </c>
      <c r="D286" s="14" t="inlineStr">
        <is>
          <t>Construction</t>
        </is>
      </c>
    </row>
    <row r="287">
      <c r="A287" s="14" t="inlineStr">
        <is>
          <t>Division 43</t>
        </is>
      </c>
      <c r="B287" s="14" t="inlineStr">
        <is>
          <t>Specialized construction activities</t>
        </is>
      </c>
      <c r="C287" s="14" t="inlineStr">
        <is>
          <t>cst</t>
        </is>
      </c>
      <c r="D287" s="14" t="inlineStr">
        <is>
          <t>Construction</t>
        </is>
      </c>
    </row>
    <row r="288">
      <c r="A288" s="14" t="inlineStr">
        <is>
          <t>Division 45</t>
        </is>
      </c>
      <c r="B288" s="14" t="inlineStr">
        <is>
          <t>Wholesale and retail trade and repair of motor vehicles and motorcycles</t>
        </is>
      </c>
      <c r="C288" s="14" t="inlineStr">
        <is>
          <t>srv</t>
        </is>
      </c>
      <c r="D288" s="14" t="inlineStr">
        <is>
          <t>Services (public &amp; private)</t>
        </is>
      </c>
    </row>
    <row r="289">
      <c r="A289" s="14" t="inlineStr">
        <is>
          <t>Division 46</t>
        </is>
      </c>
      <c r="B289" s="14" t="inlineStr">
        <is>
          <t>Wholesale trade, except of motor vehicles and motorcycles</t>
        </is>
      </c>
      <c r="C289" s="14" t="inlineStr">
        <is>
          <t>srv</t>
        </is>
      </c>
      <c r="D289" s="14" t="inlineStr">
        <is>
          <t>Services (public &amp; private)</t>
        </is>
      </c>
    </row>
    <row r="290">
      <c r="A290" s="14" t="inlineStr">
        <is>
          <t>Division 47</t>
        </is>
      </c>
      <c r="B290" s="14" t="inlineStr">
        <is>
          <t>Retail trade, except of motor vehicles and motorcycles</t>
        </is>
      </c>
      <c r="C290" s="14" t="inlineStr">
        <is>
          <t>srv</t>
        </is>
      </c>
      <c r="D290" s="14" t="inlineStr">
        <is>
          <t>Services (public &amp; private)</t>
        </is>
      </c>
    </row>
    <row r="291">
      <c r="A291" s="14" t="inlineStr">
        <is>
          <t>Division 49</t>
        </is>
      </c>
      <c r="B291" s="14" t="inlineStr">
        <is>
          <t>Land transport and transport via pipelines</t>
        </is>
      </c>
      <c r="C291" s="14" t="inlineStr">
        <is>
          <t>…</t>
        </is>
      </c>
      <c r="D291" s="14" t="inlineStr">
        <is>
          <t>…</t>
        </is>
      </c>
    </row>
    <row r="292">
      <c r="A292" s="14" t="inlineStr">
        <is>
          <t>Group 491</t>
        </is>
      </c>
      <c r="B292" s="14" t="inlineStr">
        <is>
          <t>Transport via railways</t>
        </is>
      </c>
      <c r="C292" s="14" t="inlineStr">
        <is>
          <t>ral</t>
        </is>
      </c>
      <c r="D292" s="14" t="inlineStr">
        <is>
          <t>Rail</t>
        </is>
      </c>
    </row>
    <row r="293">
      <c r="A293" s="14" t="inlineStr">
        <is>
          <t>Group 492</t>
        </is>
      </c>
      <c r="B293" s="14" t="inlineStr">
        <is>
          <t>Other land transport</t>
        </is>
      </c>
      <c r="C293" s="14" t="inlineStr">
        <is>
          <t>roa</t>
        </is>
      </c>
      <c r="D293" s="14" t="inlineStr">
        <is>
          <t>Road</t>
        </is>
      </c>
    </row>
    <row r="294">
      <c r="A294" s="14" t="inlineStr">
        <is>
          <t>Group 493</t>
        </is>
      </c>
      <c r="B294" s="14" t="inlineStr">
        <is>
          <t>Transport via pipeline</t>
        </is>
      </c>
      <c r="C294" s="14" t="inlineStr">
        <is>
          <t>ftr</t>
        </is>
      </c>
      <c r="D294" s="14" t="inlineStr">
        <is>
          <t>Fuel transformation &amp; transportation</t>
        </is>
      </c>
    </row>
    <row r="295">
      <c r="A295" s="14" t="inlineStr">
        <is>
          <t>Division 50</t>
        </is>
      </c>
      <c r="B295" s="14" t="inlineStr">
        <is>
          <t>Water transport</t>
        </is>
      </c>
      <c r="C295" s="14" t="inlineStr">
        <is>
          <t>nav</t>
        </is>
      </c>
      <c r="D295" s="14" t="inlineStr">
        <is>
          <t>Domestic navigation</t>
        </is>
      </c>
    </row>
    <row r="296">
      <c r="A296" s="14" t="inlineStr">
        <is>
          <t>Division 51</t>
        </is>
      </c>
      <c r="B296" s="14" t="inlineStr">
        <is>
          <t>Air transport</t>
        </is>
      </c>
      <c r="C296" s="14" t="inlineStr">
        <is>
          <t>avi</t>
        </is>
      </c>
      <c r="D296" s="14" t="inlineStr">
        <is>
          <t>Domestic aviation</t>
        </is>
      </c>
    </row>
    <row r="297">
      <c r="A297" s="14" t="inlineStr">
        <is>
          <t>Division 52</t>
        </is>
      </c>
      <c r="B297" s="14" t="inlineStr">
        <is>
          <t>Warehousing and support activities for transportation</t>
        </is>
      </c>
      <c r="C297" s="14" t="inlineStr">
        <is>
          <t>srv</t>
        </is>
      </c>
      <c r="D297" s="14" t="inlineStr">
        <is>
          <t>Services (public &amp; private)</t>
        </is>
      </c>
    </row>
    <row r="298">
      <c r="A298" s="14" t="inlineStr">
        <is>
          <t>Division 53</t>
        </is>
      </c>
      <c r="B298" s="14" t="inlineStr">
        <is>
          <t>Postal and courier activities</t>
        </is>
      </c>
      <c r="C298" s="14" t="inlineStr">
        <is>
          <t>srv</t>
        </is>
      </c>
      <c r="D298" s="14" t="inlineStr">
        <is>
          <t>Services (public &amp; private)</t>
        </is>
      </c>
    </row>
    <row r="299">
      <c r="A299" s="14" t="inlineStr">
        <is>
          <t>Division 55</t>
        </is>
      </c>
      <c r="B299" s="14" t="inlineStr">
        <is>
          <t>Accommodation</t>
        </is>
      </c>
      <c r="C299" s="14" t="inlineStr">
        <is>
          <t>srv</t>
        </is>
      </c>
      <c r="D299" s="14" t="inlineStr">
        <is>
          <t>Services (public &amp; private)</t>
        </is>
      </c>
    </row>
    <row r="300">
      <c r="A300" s="14" t="inlineStr">
        <is>
          <t>Division 56</t>
        </is>
      </c>
      <c r="B300" s="14" t="inlineStr">
        <is>
          <t>Food and beverage service activities</t>
        </is>
      </c>
      <c r="C300" s="14" t="inlineStr">
        <is>
          <t>srv</t>
        </is>
      </c>
      <c r="D300" s="14" t="inlineStr">
        <is>
          <t>Services (public &amp; private)</t>
        </is>
      </c>
    </row>
    <row r="301">
      <c r="A301" s="14" t="inlineStr">
        <is>
          <t>Division 58</t>
        </is>
      </c>
      <c r="B301" s="14" t="inlineStr">
        <is>
          <t>Publishing activities</t>
        </is>
      </c>
      <c r="C301" s="14" t="inlineStr">
        <is>
          <t>srv</t>
        </is>
      </c>
      <c r="D301" s="14" t="inlineStr">
        <is>
          <t>Services (public &amp; private)</t>
        </is>
      </c>
    </row>
    <row r="302">
      <c r="A302" s="14" t="inlineStr">
        <is>
          <t>Division 59</t>
        </is>
      </c>
      <c r="B302" s="14" t="inlineStr">
        <is>
          <t>Motion picture, video and television programme production, sound recording and music publishing activities</t>
        </is>
      </c>
      <c r="C302" s="14" t="inlineStr">
        <is>
          <t>srv</t>
        </is>
      </c>
      <c r="D302" s="14" t="inlineStr">
        <is>
          <t>Services (public &amp; private)</t>
        </is>
      </c>
    </row>
    <row r="303">
      <c r="A303" s="14" t="inlineStr">
        <is>
          <t>Division 60</t>
        </is>
      </c>
      <c r="B303" s="14" t="inlineStr">
        <is>
          <t>Programming and broadcasting activities</t>
        </is>
      </c>
      <c r="C303" s="14" t="inlineStr">
        <is>
          <t>srv</t>
        </is>
      </c>
      <c r="D303" s="14" t="inlineStr">
        <is>
          <t>Services (public &amp; private)</t>
        </is>
      </c>
    </row>
    <row r="304">
      <c r="A304" s="14" t="inlineStr">
        <is>
          <t>Division 61</t>
        </is>
      </c>
      <c r="B304" s="14" t="inlineStr">
        <is>
          <t>Telecommunications</t>
        </is>
      </c>
      <c r="C304" s="14" t="inlineStr">
        <is>
          <t>srv</t>
        </is>
      </c>
      <c r="D304" s="14" t="inlineStr">
        <is>
          <t>Services (public &amp; private)</t>
        </is>
      </c>
    </row>
    <row r="305">
      <c r="A305" s="14" t="inlineStr">
        <is>
          <t>Division 62</t>
        </is>
      </c>
      <c r="B305" s="14" t="inlineStr">
        <is>
          <t>Computer programming, consultancy and related activities</t>
        </is>
      </c>
      <c r="C305" s="14" t="inlineStr">
        <is>
          <t>srv</t>
        </is>
      </c>
      <c r="D305" s="14" t="inlineStr">
        <is>
          <t>Services (public &amp; private)</t>
        </is>
      </c>
    </row>
    <row r="306">
      <c r="A306" s="14" t="inlineStr">
        <is>
          <t>Division 63</t>
        </is>
      </c>
      <c r="B306" s="14" t="inlineStr">
        <is>
          <t>Information service activities</t>
        </is>
      </c>
      <c r="C306" s="14" t="inlineStr">
        <is>
          <t>srv</t>
        </is>
      </c>
      <c r="D306" s="14" t="inlineStr">
        <is>
          <t>Services (public &amp; private)</t>
        </is>
      </c>
    </row>
    <row r="307">
      <c r="A307" s="14" t="inlineStr">
        <is>
          <t>Division 64</t>
        </is>
      </c>
      <c r="B307" s="14" t="inlineStr">
        <is>
          <t>Financial service activities, except insurance and pension funding</t>
        </is>
      </c>
      <c r="C307" s="14" t="inlineStr">
        <is>
          <t>srv</t>
        </is>
      </c>
      <c r="D307" s="14" t="inlineStr">
        <is>
          <t>Services (public &amp; private)</t>
        </is>
      </c>
    </row>
    <row r="308">
      <c r="A308" s="14" t="inlineStr">
        <is>
          <t>Division 65</t>
        </is>
      </c>
      <c r="B308" s="14" t="inlineStr">
        <is>
          <t>Insurance, reinsurance and pension funding, except compulsory social security</t>
        </is>
      </c>
      <c r="C308" s="14" t="inlineStr">
        <is>
          <t>srv</t>
        </is>
      </c>
      <c r="D308" s="14" t="inlineStr">
        <is>
          <t>Services (public &amp; private)</t>
        </is>
      </c>
    </row>
    <row r="309">
      <c r="A309" s="14" t="inlineStr">
        <is>
          <t>Division 66</t>
        </is>
      </c>
      <c r="B309" s="14" t="inlineStr">
        <is>
          <t>Activities auxiliary to financial service and insurance activities</t>
        </is>
      </c>
      <c r="C309" s="14" t="inlineStr">
        <is>
          <t>srv</t>
        </is>
      </c>
      <c r="D309" s="14" t="inlineStr">
        <is>
          <t>Services (public &amp; private)</t>
        </is>
      </c>
    </row>
    <row r="310">
      <c r="A310" s="14" t="inlineStr">
        <is>
          <t>Division 68</t>
        </is>
      </c>
      <c r="B310" s="14" t="inlineStr">
        <is>
          <t>Real estate activities</t>
        </is>
      </c>
      <c r="C310" s="14" t="inlineStr">
        <is>
          <t>srv</t>
        </is>
      </c>
      <c r="D310" s="14" t="inlineStr">
        <is>
          <t>Services (public &amp; private)</t>
        </is>
      </c>
    </row>
    <row r="311">
      <c r="A311" s="14" t="inlineStr">
        <is>
          <t>Division 69</t>
        </is>
      </c>
      <c r="B311" s="14" t="inlineStr">
        <is>
          <t>Legal and accounting activities</t>
        </is>
      </c>
      <c r="C311" s="14" t="inlineStr">
        <is>
          <t>srv</t>
        </is>
      </c>
      <c r="D311" s="14" t="inlineStr">
        <is>
          <t>Services (public &amp; private)</t>
        </is>
      </c>
    </row>
    <row r="312">
      <c r="A312" s="14" t="inlineStr">
        <is>
          <t>Division 70</t>
        </is>
      </c>
      <c r="B312" s="14" t="inlineStr">
        <is>
          <t>Activities of head offices; management consultancy activities</t>
        </is>
      </c>
      <c r="C312" s="14" t="inlineStr">
        <is>
          <t>srv</t>
        </is>
      </c>
      <c r="D312" s="14" t="inlineStr">
        <is>
          <t>Services (public &amp; private)</t>
        </is>
      </c>
    </row>
    <row r="313">
      <c r="A313" s="14" t="inlineStr">
        <is>
          <t>Division 71</t>
        </is>
      </c>
      <c r="B313" s="14" t="inlineStr">
        <is>
          <t>Architectural and engineering activities; technical testing and analysis</t>
        </is>
      </c>
      <c r="C313" s="14" t="inlineStr">
        <is>
          <t>srv</t>
        </is>
      </c>
      <c r="D313" s="14" t="inlineStr">
        <is>
          <t>Services (public &amp; private)</t>
        </is>
      </c>
    </row>
    <row r="314">
      <c r="A314" s="14" t="inlineStr">
        <is>
          <t>Division 72</t>
        </is>
      </c>
      <c r="B314" s="14" t="inlineStr">
        <is>
          <t>Scientific research and development</t>
        </is>
      </c>
      <c r="C314" s="14" t="inlineStr">
        <is>
          <t>srv</t>
        </is>
      </c>
      <c r="D314" s="14" t="inlineStr">
        <is>
          <t>Services (public &amp; private)</t>
        </is>
      </c>
    </row>
    <row r="315">
      <c r="A315" s="14" t="inlineStr">
        <is>
          <t>Division 73</t>
        </is>
      </c>
      <c r="B315" s="14" t="inlineStr">
        <is>
          <t>Advertising and market research</t>
        </is>
      </c>
      <c r="C315" s="14" t="inlineStr">
        <is>
          <t>srv</t>
        </is>
      </c>
      <c r="D315" s="14" t="inlineStr">
        <is>
          <t>Services (public &amp; private)</t>
        </is>
      </c>
    </row>
    <row r="316">
      <c r="A316" s="14" t="inlineStr">
        <is>
          <t>Division 74</t>
        </is>
      </c>
      <c r="B316" s="14" t="inlineStr">
        <is>
          <t>Other professional, scientific and technical activities</t>
        </is>
      </c>
      <c r="C316" s="14" t="inlineStr">
        <is>
          <t>srv</t>
        </is>
      </c>
      <c r="D316" s="14" t="inlineStr">
        <is>
          <t>Services (public &amp; private)</t>
        </is>
      </c>
    </row>
    <row r="317">
      <c r="A317" s="14" t="inlineStr">
        <is>
          <t>Division 75</t>
        </is>
      </c>
      <c r="B317" s="14" t="inlineStr">
        <is>
          <t>Veterinary activities</t>
        </is>
      </c>
      <c r="C317" s="14" t="inlineStr">
        <is>
          <t>srv</t>
        </is>
      </c>
      <c r="D317" s="14" t="inlineStr">
        <is>
          <t>Services (public &amp; private)</t>
        </is>
      </c>
    </row>
    <row r="318">
      <c r="A318" s="14" t="inlineStr">
        <is>
          <t>Division 77</t>
        </is>
      </c>
      <c r="B318" s="14" t="inlineStr">
        <is>
          <t>Rental and leasing activities</t>
        </is>
      </c>
      <c r="C318" s="14" t="inlineStr">
        <is>
          <t>srv</t>
        </is>
      </c>
      <c r="D318" s="14" t="inlineStr">
        <is>
          <t>Services (public &amp; private)</t>
        </is>
      </c>
    </row>
    <row r="319">
      <c r="A319" s="14" t="inlineStr">
        <is>
          <t>Division 78</t>
        </is>
      </c>
      <c r="B319" s="14" t="inlineStr">
        <is>
          <t>Employment activities</t>
        </is>
      </c>
      <c r="C319" s="14" t="inlineStr">
        <is>
          <t>srv</t>
        </is>
      </c>
      <c r="D319" s="14" t="inlineStr">
        <is>
          <t>Services (public &amp; private)</t>
        </is>
      </c>
    </row>
    <row r="320">
      <c r="A320" s="14" t="inlineStr">
        <is>
          <t>Division 79</t>
        </is>
      </c>
      <c r="B320" s="14" t="inlineStr">
        <is>
          <t>Travel agency, tour operator, reservation service and related activities</t>
        </is>
      </c>
      <c r="C320" s="14" t="inlineStr">
        <is>
          <t>srv</t>
        </is>
      </c>
      <c r="D320" s="14" t="inlineStr">
        <is>
          <t>Services (public &amp; private)</t>
        </is>
      </c>
    </row>
    <row r="321">
      <c r="A321" s="14" t="inlineStr">
        <is>
          <t>Division 80</t>
        </is>
      </c>
      <c r="B321" s="14" t="inlineStr">
        <is>
          <t>Security and investigation activities</t>
        </is>
      </c>
      <c r="C321" s="14" t="inlineStr">
        <is>
          <t>srv</t>
        </is>
      </c>
      <c r="D321" s="14" t="inlineStr">
        <is>
          <t>Services (public &amp; private)</t>
        </is>
      </c>
    </row>
    <row r="322">
      <c r="A322" s="14" t="inlineStr">
        <is>
          <t>Division 81</t>
        </is>
      </c>
      <c r="B322" s="14" t="inlineStr">
        <is>
          <t>Services to buildings and landscape activities</t>
        </is>
      </c>
      <c r="C322" s="14" t="inlineStr">
        <is>
          <t>srv</t>
        </is>
      </c>
      <c r="D322" s="14" t="inlineStr">
        <is>
          <t>Services (public &amp; private)</t>
        </is>
      </c>
    </row>
    <row r="323">
      <c r="A323" s="14" t="inlineStr">
        <is>
          <t>Division 82</t>
        </is>
      </c>
      <c r="B323" s="14" t="inlineStr">
        <is>
          <t>Office administrative, office support and other business support activities</t>
        </is>
      </c>
      <c r="C323" s="14" t="inlineStr">
        <is>
          <t>srv</t>
        </is>
      </c>
      <c r="D323" s="14" t="inlineStr">
        <is>
          <t>Services (public &amp; private)</t>
        </is>
      </c>
    </row>
    <row r="324">
      <c r="A324" s="14" t="inlineStr">
        <is>
          <t>Division 84</t>
        </is>
      </c>
      <c r="B324" s="14" t="inlineStr">
        <is>
          <t>Public administration and defence; compulsory social security</t>
        </is>
      </c>
      <c r="C324" s="14" t="inlineStr">
        <is>
          <t>…</t>
        </is>
      </c>
      <c r="D324" s="14" t="inlineStr">
        <is>
          <t>…</t>
        </is>
      </c>
    </row>
    <row r="325">
      <c r="A325" s="14" t="inlineStr">
        <is>
          <t>Group 841</t>
        </is>
      </c>
      <c r="B325" s="14" t="inlineStr">
        <is>
          <t>Administration of the State and the economic and social policy of the community</t>
        </is>
      </c>
      <c r="C325" s="14" t="inlineStr">
        <is>
          <t>srv</t>
        </is>
      </c>
      <c r="D325" s="14" t="inlineStr">
        <is>
          <t>Services (public &amp; private)</t>
        </is>
      </c>
    </row>
    <row r="326">
      <c r="A326" s="14" t="inlineStr">
        <is>
          <t>Group 842</t>
        </is>
      </c>
      <c r="B326" s="14" t="inlineStr">
        <is>
          <t>Provision of services to the community as a whole</t>
        </is>
      </c>
      <c r="C326" s="14" t="inlineStr">
        <is>
          <t>…</t>
        </is>
      </c>
      <c r="D326" s="14" t="inlineStr">
        <is>
          <t>…</t>
        </is>
      </c>
    </row>
    <row r="327">
      <c r="A327" s="14" t="inlineStr">
        <is>
          <t>Class 8421</t>
        </is>
      </c>
      <c r="B327" s="14" t="inlineStr">
        <is>
          <t>Foreign affairs</t>
        </is>
      </c>
      <c r="C327" s="14" t="inlineStr">
        <is>
          <t>srv</t>
        </is>
      </c>
      <c r="D327" s="14" t="inlineStr">
        <is>
          <t>Services (public &amp; private)</t>
        </is>
      </c>
    </row>
    <row r="328">
      <c r="A328" s="14" t="inlineStr">
        <is>
          <t>Class 8422</t>
        </is>
      </c>
      <c r="B328" s="14" t="inlineStr">
        <is>
          <t>Defence activities</t>
        </is>
      </c>
      <c r="C328" s="14" t="inlineStr">
        <is>
          <t>oen</t>
        </is>
      </c>
      <c r="D328" s="14" t="inlineStr">
        <is>
          <t>Other</t>
        </is>
      </c>
    </row>
    <row r="329">
      <c r="A329" s="14" t="inlineStr">
        <is>
          <t>Class 8423</t>
        </is>
      </c>
      <c r="B329" s="14" t="inlineStr">
        <is>
          <t>Public order and safety activities</t>
        </is>
      </c>
      <c r="C329" s="14" t="inlineStr">
        <is>
          <t>srv</t>
        </is>
      </c>
      <c r="D329" s="14" t="inlineStr">
        <is>
          <t>Services (public &amp; private)</t>
        </is>
      </c>
    </row>
    <row r="330">
      <c r="A330" s="14" t="inlineStr">
        <is>
          <t>Group 843</t>
        </is>
      </c>
      <c r="B330" s="14" t="inlineStr">
        <is>
          <t>Compulsory social security activities</t>
        </is>
      </c>
      <c r="C330" s="14" t="inlineStr">
        <is>
          <t>srv</t>
        </is>
      </c>
      <c r="D330" s="14" t="inlineStr">
        <is>
          <t>Services (public &amp; private)</t>
        </is>
      </c>
    </row>
    <row r="331">
      <c r="A331" s="14" t="inlineStr">
        <is>
          <t>Division 85</t>
        </is>
      </c>
      <c r="B331" s="14" t="inlineStr">
        <is>
          <t>Education</t>
        </is>
      </c>
      <c r="C331" s="14" t="inlineStr">
        <is>
          <t>srv</t>
        </is>
      </c>
      <c r="D331" s="14" t="inlineStr">
        <is>
          <t>Services (public &amp; private)</t>
        </is>
      </c>
    </row>
    <row r="332">
      <c r="A332" s="14" t="inlineStr">
        <is>
          <t>Division 86</t>
        </is>
      </c>
      <c r="B332" s="14" t="inlineStr">
        <is>
          <t>Human health activities</t>
        </is>
      </c>
      <c r="C332" s="14" t="inlineStr">
        <is>
          <t>srv</t>
        </is>
      </c>
      <c r="D332" s="14" t="inlineStr">
        <is>
          <t>Services (public &amp; private)</t>
        </is>
      </c>
    </row>
    <row r="333">
      <c r="A333" s="14" t="inlineStr">
        <is>
          <t>Division 87</t>
        </is>
      </c>
      <c r="B333" s="14" t="inlineStr">
        <is>
          <t>Residential care activities</t>
        </is>
      </c>
      <c r="C333" s="14" t="inlineStr">
        <is>
          <t>srv</t>
        </is>
      </c>
      <c r="D333" s="14" t="inlineStr">
        <is>
          <t>Services (public &amp; private)</t>
        </is>
      </c>
    </row>
    <row r="334">
      <c r="A334" s="14" t="inlineStr">
        <is>
          <t>Division 88</t>
        </is>
      </c>
      <c r="B334" s="14" t="inlineStr">
        <is>
          <t>Social work activities without accommodation</t>
        </is>
      </c>
      <c r="C334" s="14" t="inlineStr">
        <is>
          <t>srv</t>
        </is>
      </c>
      <c r="D334" s="14" t="inlineStr">
        <is>
          <t>Services (public &amp; private)</t>
        </is>
      </c>
    </row>
    <row r="335">
      <c r="A335" s="14" t="inlineStr">
        <is>
          <t>Division 90</t>
        </is>
      </c>
      <c r="B335" s="14" t="inlineStr">
        <is>
          <t>Creative, arts and entertainment activities</t>
        </is>
      </c>
      <c r="C335" s="14" t="inlineStr">
        <is>
          <t>srv</t>
        </is>
      </c>
      <c r="D335" s="14" t="inlineStr">
        <is>
          <t>Services (public &amp; private)</t>
        </is>
      </c>
    </row>
    <row r="336">
      <c r="A336" s="14" t="inlineStr">
        <is>
          <t>Division 91</t>
        </is>
      </c>
      <c r="B336" s="14" t="inlineStr">
        <is>
          <t>Libraries, archives, museums and other cultural activities</t>
        </is>
      </c>
      <c r="C336" s="14" t="inlineStr">
        <is>
          <t>srv</t>
        </is>
      </c>
      <c r="D336" s="14" t="inlineStr">
        <is>
          <t>Services (public &amp; private)</t>
        </is>
      </c>
    </row>
    <row r="337">
      <c r="A337" s="14" t="inlineStr">
        <is>
          <t>Division 92</t>
        </is>
      </c>
      <c r="B337" s="14" t="inlineStr">
        <is>
          <t>Gambling and betting activities</t>
        </is>
      </c>
      <c r="C337" s="14" t="inlineStr">
        <is>
          <t>srv</t>
        </is>
      </c>
      <c r="D337" s="14" t="inlineStr">
        <is>
          <t>Services (public &amp; private)</t>
        </is>
      </c>
    </row>
    <row r="338">
      <c r="A338" s="14" t="inlineStr">
        <is>
          <t>Division 93</t>
        </is>
      </c>
      <c r="B338" s="14" t="inlineStr">
        <is>
          <t>Sports activities and amusement and recreation activities</t>
        </is>
      </c>
      <c r="C338" s="14" t="inlineStr">
        <is>
          <t>srv</t>
        </is>
      </c>
      <c r="D338" s="14" t="inlineStr">
        <is>
          <t>Services (public &amp; private)</t>
        </is>
      </c>
    </row>
    <row r="339">
      <c r="A339" s="14" t="inlineStr">
        <is>
          <t>Division 94</t>
        </is>
      </c>
      <c r="B339" s="14" t="inlineStr">
        <is>
          <t>Activities of membership organizations</t>
        </is>
      </c>
      <c r="C339" s="14" t="inlineStr">
        <is>
          <t>srv</t>
        </is>
      </c>
      <c r="D339" s="14" t="inlineStr">
        <is>
          <t>Services (public &amp; private)</t>
        </is>
      </c>
    </row>
    <row r="340">
      <c r="A340" s="14" t="inlineStr">
        <is>
          <t>Division 95</t>
        </is>
      </c>
      <c r="B340" s="14" t="inlineStr">
        <is>
          <t>Repair of computers and personal and household goods</t>
        </is>
      </c>
      <c r="C340" s="14" t="inlineStr">
        <is>
          <t>srv</t>
        </is>
      </c>
      <c r="D340" s="14" t="inlineStr">
        <is>
          <t>Services (public &amp; private)</t>
        </is>
      </c>
    </row>
    <row r="341">
      <c r="A341" s="14" t="inlineStr">
        <is>
          <t>Division 96</t>
        </is>
      </c>
      <c r="B341" s="14" t="inlineStr">
        <is>
          <t>Other personal service activities</t>
        </is>
      </c>
      <c r="C341" s="14" t="inlineStr">
        <is>
          <t>srv</t>
        </is>
      </c>
      <c r="D341" s="14" t="inlineStr">
        <is>
          <t>Services (public &amp; private)</t>
        </is>
      </c>
    </row>
    <row r="342">
      <c r="A342" s="14" t="inlineStr">
        <is>
          <t>Division 97</t>
        </is>
      </c>
      <c r="B342" s="14" t="inlineStr">
        <is>
          <t>Activities of households as employers of domestic personnel</t>
        </is>
      </c>
      <c r="C342" s="14" t="inlineStr">
        <is>
          <t>res</t>
        </is>
      </c>
      <c r="D342" s="14" t="inlineStr">
        <is>
          <t>Residential sector</t>
        </is>
      </c>
    </row>
    <row r="343">
      <c r="A343" s="14" t="inlineStr">
        <is>
          <t>Division 98</t>
        </is>
      </c>
      <c r="B343" s="14" t="inlineStr">
        <is>
          <t>Undifferentiated goods- and services-producing activities of private households for own use</t>
        </is>
      </c>
      <c r="C343" s="14" t="inlineStr">
        <is>
          <t>res</t>
        </is>
      </c>
      <c r="D343" s="14" t="inlineStr">
        <is>
          <t>Residential sector</t>
        </is>
      </c>
    </row>
    <row r="344">
      <c r="A344" s="14" t="inlineStr">
        <is>
          <t>Division 99</t>
        </is>
      </c>
      <c r="B344" s="14" t="inlineStr">
        <is>
          <t>Activities of extraterritorial organizations and bodies</t>
        </is>
      </c>
      <c r="C344" s="14" t="inlineStr">
        <is>
          <t>srv</t>
        </is>
      </c>
      <c r="D344" s="14" t="inlineStr">
        <is>
          <t>Services (public &amp; private)</t>
        </is>
      </c>
    </row>
    <row r="347">
      <c r="A347" s="2" t="inlineStr">
        <is>
          <t>Countries to GTAP-10</t>
        </is>
      </c>
    </row>
    <row r="348">
      <c r="A348" s="13" t="inlineStr">
        <is>
          <t>cname</t>
        </is>
      </c>
      <c r="B348" s="13" t="inlineStr">
        <is>
          <t>iso3</t>
        </is>
      </c>
      <c r="C348" s="13" t="inlineStr">
        <is>
          <t>gtapcode</t>
        </is>
      </c>
    </row>
    <row r="349">
      <c r="A349" s="14" t="inlineStr">
        <is>
          <t>Rest of Oceania</t>
        </is>
      </c>
      <c r="B349" s="14" t="inlineStr">
        <is>
          <t>XOC</t>
        </is>
      </c>
      <c r="C349" s="14" t="inlineStr">
        <is>
          <t>XOC</t>
        </is>
      </c>
    </row>
    <row r="350">
      <c r="A350" s="14" t="inlineStr">
        <is>
          <t>Fiji</t>
        </is>
      </c>
      <c r="B350" s="14" t="inlineStr">
        <is>
          <t>FJI</t>
        </is>
      </c>
      <c r="C350" s="14" t="inlineStr">
        <is>
          <t>XOC</t>
        </is>
      </c>
    </row>
    <row r="351">
      <c r="A351" s="14" t="inlineStr">
        <is>
          <t>Kiribati</t>
        </is>
      </c>
      <c r="B351" s="14" t="inlineStr">
        <is>
          <t>KIR</t>
        </is>
      </c>
      <c r="C351" s="14" t="inlineStr">
        <is>
          <t>XOC</t>
        </is>
      </c>
    </row>
    <row r="352">
      <c r="A352" s="14" t="inlineStr">
        <is>
          <t>Marshall Islands</t>
        </is>
      </c>
      <c r="B352" s="14" t="inlineStr">
        <is>
          <t>MHL</t>
        </is>
      </c>
      <c r="C352" s="14" t="inlineStr">
        <is>
          <t>XOC</t>
        </is>
      </c>
    </row>
    <row r="353">
      <c r="A353" s="14" t="inlineStr">
        <is>
          <t>Micronesia, Fed. Sts.</t>
        </is>
      </c>
      <c r="B353" s="14" t="inlineStr">
        <is>
          <t>FSM</t>
        </is>
      </c>
      <c r="C353" s="14" t="inlineStr">
        <is>
          <t>XOC</t>
        </is>
      </c>
    </row>
    <row r="354">
      <c r="A354" s="14" t="inlineStr">
        <is>
          <t>Nauru</t>
        </is>
      </c>
      <c r="B354" s="14" t="inlineStr">
        <is>
          <t>NRU</t>
        </is>
      </c>
      <c r="C354" s="14" t="inlineStr">
        <is>
          <t>XOC</t>
        </is>
      </c>
    </row>
    <row r="355">
      <c r="A355" s="14" t="inlineStr">
        <is>
          <t>Palau</t>
        </is>
      </c>
      <c r="B355" s="14" t="inlineStr">
        <is>
          <t>PLW</t>
        </is>
      </c>
      <c r="C355" s="14" t="inlineStr">
        <is>
          <t>XOC</t>
        </is>
      </c>
    </row>
    <row r="356">
      <c r="A356" s="14" t="inlineStr">
        <is>
          <t>Papua New Guinea</t>
        </is>
      </c>
      <c r="B356" s="14" t="inlineStr">
        <is>
          <t>PNG</t>
        </is>
      </c>
      <c r="C356" s="14" t="inlineStr">
        <is>
          <t>XOC</t>
        </is>
      </c>
    </row>
    <row r="357">
      <c r="A357" s="14" t="inlineStr">
        <is>
          <t>Samoa</t>
        </is>
      </c>
      <c r="B357" s="14" t="inlineStr">
        <is>
          <t>WSM</t>
        </is>
      </c>
      <c r="C357" s="14" t="inlineStr">
        <is>
          <t>XOC</t>
        </is>
      </c>
    </row>
    <row r="358">
      <c r="A358" s="14" t="inlineStr">
        <is>
          <t>Solomon Islands</t>
        </is>
      </c>
      <c r="B358" s="14" t="inlineStr">
        <is>
          <t>SLB</t>
        </is>
      </c>
      <c r="C358" s="14" t="inlineStr">
        <is>
          <t>XOC</t>
        </is>
      </c>
    </row>
    <row r="359">
      <c r="A359" s="14" t="inlineStr">
        <is>
          <t>Tonga</t>
        </is>
      </c>
      <c r="B359" s="14" t="inlineStr">
        <is>
          <t>TON</t>
        </is>
      </c>
      <c r="C359" s="14" t="inlineStr">
        <is>
          <t>XOC</t>
        </is>
      </c>
    </row>
    <row r="360">
      <c r="A360" s="14" t="inlineStr">
        <is>
          <t>Tuvalu</t>
        </is>
      </c>
      <c r="B360" s="14" t="inlineStr">
        <is>
          <t>TUV</t>
        </is>
      </c>
      <c r="C360" s="14" t="inlineStr">
        <is>
          <t>XOC</t>
        </is>
      </c>
    </row>
    <row r="361">
      <c r="A361" s="14" t="inlineStr">
        <is>
          <t>Vanuatu</t>
        </is>
      </c>
      <c r="B361" s="14" t="inlineStr">
        <is>
          <t>VUT</t>
        </is>
      </c>
      <c r="C361" s="14" t="inlineStr">
        <is>
          <t>XOC</t>
        </is>
      </c>
    </row>
    <row r="362">
      <c r="A362" s="14" t="inlineStr">
        <is>
          <t>Rest of Southeast Asia</t>
        </is>
      </c>
      <c r="B362" s="14" t="inlineStr">
        <is>
          <t>XSE</t>
        </is>
      </c>
      <c r="C362" s="14" t="inlineStr">
        <is>
          <t>XSE</t>
        </is>
      </c>
    </row>
    <row r="363">
      <c r="A363" s="14" t="inlineStr">
        <is>
          <t>Myanmar</t>
        </is>
      </c>
      <c r="B363" s="14" t="inlineStr">
        <is>
          <t>MMR</t>
        </is>
      </c>
      <c r="C363" s="14" t="inlineStr">
        <is>
          <t>XSE</t>
        </is>
      </c>
    </row>
    <row r="364">
      <c r="A364" s="14" t="inlineStr">
        <is>
          <t>Timor-Leste</t>
        </is>
      </c>
      <c r="B364" s="14" t="inlineStr">
        <is>
          <t>TLS</t>
        </is>
      </c>
      <c r="C364" s="14" t="inlineStr">
        <is>
          <t>XSE</t>
        </is>
      </c>
    </row>
    <row r="365">
      <c r="A365" s="14" t="inlineStr">
        <is>
          <t>Rest of South Asia</t>
        </is>
      </c>
      <c r="B365" s="14" t="inlineStr">
        <is>
          <t>XSA</t>
        </is>
      </c>
      <c r="C365" s="14" t="inlineStr">
        <is>
          <t>XSA</t>
        </is>
      </c>
    </row>
    <row r="366">
      <c r="A366" s="14" t="inlineStr">
        <is>
          <t>Afghanistan</t>
        </is>
      </c>
      <c r="B366" s="14" t="inlineStr">
        <is>
          <t>AFG</t>
        </is>
      </c>
      <c r="C366" s="14" t="inlineStr">
        <is>
          <t>XSA</t>
        </is>
      </c>
    </row>
    <row r="367">
      <c r="A367" s="14" t="inlineStr">
        <is>
          <t>Bhutan</t>
        </is>
      </c>
      <c r="B367" s="14" t="inlineStr">
        <is>
          <t>BTN</t>
        </is>
      </c>
      <c r="C367" s="14" t="inlineStr">
        <is>
          <t>XSA</t>
        </is>
      </c>
    </row>
    <row r="368">
      <c r="A368" s="14" t="inlineStr">
        <is>
          <t>Maldives</t>
        </is>
      </c>
      <c r="B368" s="14" t="inlineStr">
        <is>
          <t>MDV</t>
        </is>
      </c>
      <c r="C368" s="14" t="inlineStr">
        <is>
          <t>XSA</t>
        </is>
      </c>
    </row>
    <row r="369">
      <c r="A369" s="14" t="inlineStr">
        <is>
          <t>Rest of South America</t>
        </is>
      </c>
      <c r="B369" s="14" t="inlineStr">
        <is>
          <t>XSM</t>
        </is>
      </c>
      <c r="C369" s="14" t="inlineStr">
        <is>
          <t>XSM</t>
        </is>
      </c>
    </row>
    <row r="370">
      <c r="A370" s="14" t="inlineStr">
        <is>
          <t>Guyana</t>
        </is>
      </c>
      <c r="B370" s="14" t="inlineStr">
        <is>
          <t>GUY</t>
        </is>
      </c>
      <c r="C370" s="14" t="inlineStr">
        <is>
          <t>XSM</t>
        </is>
      </c>
    </row>
    <row r="371">
      <c r="A371" s="14" t="inlineStr">
        <is>
          <t>Suriname</t>
        </is>
      </c>
      <c r="B371" s="14" t="inlineStr">
        <is>
          <t>SUR</t>
        </is>
      </c>
      <c r="C371" s="14" t="inlineStr">
        <is>
          <t>XSM</t>
        </is>
      </c>
    </row>
    <row r="372">
      <c r="A372" s="14" t="inlineStr">
        <is>
          <t>Rest of Caribbean</t>
        </is>
      </c>
      <c r="B372" s="14" t="inlineStr">
        <is>
          <t>XCB</t>
        </is>
      </c>
      <c r="C372" s="14" t="inlineStr">
        <is>
          <t>XCB</t>
        </is>
      </c>
    </row>
    <row r="373">
      <c r="A373" s="14" t="inlineStr">
        <is>
          <t>Antigua and Barbuda</t>
        </is>
      </c>
      <c r="B373" s="14" t="inlineStr">
        <is>
          <t>ATG</t>
        </is>
      </c>
      <c r="C373" s="14" t="inlineStr">
        <is>
          <t>XCB</t>
        </is>
      </c>
    </row>
    <row r="374">
      <c r="A374" s="14" t="inlineStr">
        <is>
          <t>Bahamas, The</t>
        </is>
      </c>
      <c r="B374" s="14" t="inlineStr">
        <is>
          <t>BHS</t>
        </is>
      </c>
      <c r="C374" s="14" t="inlineStr">
        <is>
          <t>XCB</t>
        </is>
      </c>
    </row>
    <row r="375">
      <c r="A375" s="14" t="inlineStr">
        <is>
          <t>Barbados</t>
        </is>
      </c>
      <c r="B375" s="14" t="inlineStr">
        <is>
          <t>BRB</t>
        </is>
      </c>
      <c r="C375" s="14" t="inlineStr">
        <is>
          <t>XCB</t>
        </is>
      </c>
    </row>
    <row r="376">
      <c r="A376" s="14" t="inlineStr">
        <is>
          <t>Dominica</t>
        </is>
      </c>
      <c r="B376" s="14" t="inlineStr">
        <is>
          <t>DMA</t>
        </is>
      </c>
      <c r="C376" s="14" t="inlineStr">
        <is>
          <t>XCB</t>
        </is>
      </c>
    </row>
    <row r="377">
      <c r="A377" s="14" t="inlineStr">
        <is>
          <t>Grenada</t>
        </is>
      </c>
      <c r="B377" s="14" t="inlineStr">
        <is>
          <t>GRD</t>
        </is>
      </c>
      <c r="C377" s="14" t="inlineStr">
        <is>
          <t>XCB</t>
        </is>
      </c>
    </row>
    <row r="378">
      <c r="A378" s="14" t="inlineStr">
        <is>
          <t>Haiti</t>
        </is>
      </c>
      <c r="B378" s="14" t="inlineStr">
        <is>
          <t>HTI</t>
        </is>
      </c>
      <c r="C378" s="14" t="inlineStr">
        <is>
          <t>XCB</t>
        </is>
      </c>
    </row>
    <row r="379">
      <c r="A379" s="14" t="inlineStr">
        <is>
          <t>St. Kitts and Nevis</t>
        </is>
      </c>
      <c r="B379" s="14" t="inlineStr">
        <is>
          <t>KNA</t>
        </is>
      </c>
      <c r="C379" s="14" t="inlineStr">
        <is>
          <t>XCB</t>
        </is>
      </c>
    </row>
    <row r="380">
      <c r="A380" s="14" t="inlineStr">
        <is>
          <t>St. Lucia</t>
        </is>
      </c>
      <c r="B380" s="14" t="inlineStr">
        <is>
          <t>LCA</t>
        </is>
      </c>
      <c r="C380" s="14" t="inlineStr">
        <is>
          <t>XCB</t>
        </is>
      </c>
    </row>
    <row r="381">
      <c r="A381" s="14" t="inlineStr">
        <is>
          <t>St. Vincent and the Grenadines</t>
        </is>
      </c>
      <c r="B381" s="14" t="inlineStr">
        <is>
          <t>VCT</t>
        </is>
      </c>
      <c r="C381" s="14" t="inlineStr">
        <is>
          <t>XCB</t>
        </is>
      </c>
    </row>
    <row r="382">
      <c r="A382" s="14" t="inlineStr">
        <is>
          <t>Rest of European Free Trade Association</t>
        </is>
      </c>
      <c r="B382" s="14" t="inlineStr">
        <is>
          <t>XEF</t>
        </is>
      </c>
      <c r="C382" s="14" t="inlineStr">
        <is>
          <t>XEF</t>
        </is>
      </c>
    </row>
    <row r="383">
      <c r="A383" s="14" t="inlineStr">
        <is>
          <t>Iceland</t>
        </is>
      </c>
      <c r="B383" s="14" t="inlineStr">
        <is>
          <t>ISL</t>
        </is>
      </c>
      <c r="C383" s="14" t="inlineStr">
        <is>
          <t>XEF</t>
        </is>
      </c>
    </row>
    <row r="384">
      <c r="A384" s="14" t="inlineStr">
        <is>
          <t>Rest of Eastern Europe</t>
        </is>
      </c>
      <c r="B384" s="14" t="inlineStr">
        <is>
          <t>XEE</t>
        </is>
      </c>
      <c r="C384" s="14" t="inlineStr">
        <is>
          <t>XEE</t>
        </is>
      </c>
    </row>
    <row r="385">
      <c r="A385" s="14" t="inlineStr">
        <is>
          <t>Moldova</t>
        </is>
      </c>
      <c r="B385" s="14" t="inlineStr">
        <is>
          <t>MDA</t>
        </is>
      </c>
      <c r="C385" s="14" t="inlineStr">
        <is>
          <t>XEE</t>
        </is>
      </c>
    </row>
    <row r="386">
      <c r="A386" s="14" t="inlineStr">
        <is>
          <t>Rest of Europe</t>
        </is>
      </c>
      <c r="B386" s="14" t="inlineStr">
        <is>
          <t>XER</t>
        </is>
      </c>
      <c r="C386" s="14" t="inlineStr">
        <is>
          <t>XER</t>
        </is>
      </c>
    </row>
    <row r="387">
      <c r="A387" s="14" t="inlineStr">
        <is>
          <t>Andorra</t>
        </is>
      </c>
      <c r="B387" s="14" t="inlineStr">
        <is>
          <t>AND</t>
        </is>
      </c>
      <c r="C387" s="14" t="inlineStr">
        <is>
          <t>XER</t>
        </is>
      </c>
    </row>
    <row r="388">
      <c r="A388" s="14" t="inlineStr">
        <is>
          <t>Bosnia and Herzegovina</t>
        </is>
      </c>
      <c r="B388" s="14" t="inlineStr">
        <is>
          <t>BIH</t>
        </is>
      </c>
      <c r="C388" s="14" t="inlineStr">
        <is>
          <t>XER</t>
        </is>
      </c>
    </row>
    <row r="389">
      <c r="A389" s="14" t="inlineStr">
        <is>
          <t>Kosovo</t>
        </is>
      </c>
      <c r="B389" s="14" t="inlineStr">
        <is>
          <t>XKX</t>
        </is>
      </c>
      <c r="C389" s="14" t="inlineStr">
        <is>
          <t>XER</t>
        </is>
      </c>
    </row>
    <row r="390">
      <c r="A390" s="14" t="inlineStr">
        <is>
          <t>Montenegro</t>
        </is>
      </c>
      <c r="B390" s="14" t="inlineStr">
        <is>
          <t>MNE</t>
        </is>
      </c>
      <c r="C390" s="14" t="inlineStr">
        <is>
          <t>XER</t>
        </is>
      </c>
    </row>
    <row r="391">
      <c r="A391" s="14" t="inlineStr">
        <is>
          <t>North Macedonia</t>
        </is>
      </c>
      <c r="B391" s="14" t="inlineStr">
        <is>
          <t>MKD</t>
        </is>
      </c>
      <c r="C391" s="14" t="inlineStr">
        <is>
          <t>XER</t>
        </is>
      </c>
    </row>
    <row r="392">
      <c r="A392" s="14" t="inlineStr">
        <is>
          <t>San Marino</t>
        </is>
      </c>
      <c r="B392" s="14" t="inlineStr">
        <is>
          <t>SMR</t>
        </is>
      </c>
      <c r="C392" s="14" t="inlineStr">
        <is>
          <t>XER</t>
        </is>
      </c>
    </row>
    <row r="393">
      <c r="A393" s="14" t="inlineStr">
        <is>
          <t>Serbia</t>
        </is>
      </c>
      <c r="B393" s="14" t="inlineStr">
        <is>
          <t>SRB</t>
        </is>
      </c>
      <c r="C393" s="14" t="inlineStr">
        <is>
          <t>SRB</t>
        </is>
      </c>
    </row>
    <row r="394">
      <c r="A394" s="14" t="inlineStr">
        <is>
          <t>Rest of Former Soviet Union</t>
        </is>
      </c>
      <c r="B394" s="14" t="inlineStr">
        <is>
          <t>XSU</t>
        </is>
      </c>
      <c r="C394" s="14" t="inlineStr">
        <is>
          <t>XSU</t>
        </is>
      </c>
    </row>
    <row r="395">
      <c r="A395" s="14" t="inlineStr">
        <is>
          <t>Turkmenistan</t>
        </is>
      </c>
      <c r="B395" s="14" t="inlineStr">
        <is>
          <t>TKM</t>
        </is>
      </c>
      <c r="C395" s="14" t="inlineStr">
        <is>
          <t>XSU</t>
        </is>
      </c>
    </row>
    <row r="396">
      <c r="A396" s="14" t="inlineStr">
        <is>
          <t>Uzbekistan</t>
        </is>
      </c>
      <c r="B396" s="14" t="inlineStr">
        <is>
          <t>UZB</t>
        </is>
      </c>
      <c r="C396" s="14" t="inlineStr">
        <is>
          <t>XSU</t>
        </is>
      </c>
    </row>
    <row r="397">
      <c r="A397" s="14" t="inlineStr">
        <is>
          <t>Rest of Western Asia</t>
        </is>
      </c>
      <c r="B397" s="14" t="inlineStr">
        <is>
          <t>XWS</t>
        </is>
      </c>
      <c r="C397" s="14" t="inlineStr">
        <is>
          <t>XWS</t>
        </is>
      </c>
    </row>
    <row r="398">
      <c r="A398" s="14" t="inlineStr">
        <is>
          <t>Iraq</t>
        </is>
      </c>
      <c r="B398" s="14" t="inlineStr">
        <is>
          <t>IRQ</t>
        </is>
      </c>
      <c r="C398" s="14" t="inlineStr">
        <is>
          <t>XWS</t>
        </is>
      </c>
    </row>
    <row r="399">
      <c r="A399" s="14" t="inlineStr">
        <is>
          <t>Lebanon</t>
        </is>
      </c>
      <c r="B399" s="14" t="inlineStr">
        <is>
          <t>LBN</t>
        </is>
      </c>
      <c r="C399" s="14" t="inlineStr">
        <is>
          <t>XWS</t>
        </is>
      </c>
    </row>
    <row r="400">
      <c r="A400" s="14" t="inlineStr">
        <is>
          <t>Syrian Arab Republic</t>
        </is>
      </c>
      <c r="B400" s="14" t="inlineStr">
        <is>
          <t>SYR</t>
        </is>
      </c>
      <c r="C400" s="14" t="inlineStr">
        <is>
          <t>XWS</t>
        </is>
      </c>
    </row>
    <row r="401">
      <c r="A401" s="14" t="inlineStr">
        <is>
          <t>Yemen, Rep.</t>
        </is>
      </c>
      <c r="B401" s="14" t="inlineStr">
        <is>
          <t>YEM</t>
        </is>
      </c>
      <c r="C401" s="14" t="inlineStr">
        <is>
          <t>XWS</t>
        </is>
      </c>
    </row>
    <row r="402">
      <c r="A402" s="14" t="inlineStr">
        <is>
          <t>Rest of North Africa</t>
        </is>
      </c>
      <c r="B402" s="14" t="inlineStr">
        <is>
          <t>XNF</t>
        </is>
      </c>
      <c r="C402" s="14" t="inlineStr">
        <is>
          <t>XNF</t>
        </is>
      </c>
    </row>
    <row r="403">
      <c r="A403" s="14" t="inlineStr">
        <is>
          <t>Algeria</t>
        </is>
      </c>
      <c r="B403" s="14" t="inlineStr">
        <is>
          <t>DZA</t>
        </is>
      </c>
      <c r="C403" s="14" t="inlineStr">
        <is>
          <t>XNF</t>
        </is>
      </c>
    </row>
    <row r="404">
      <c r="A404" s="14" t="inlineStr">
        <is>
          <t>Libya</t>
        </is>
      </c>
      <c r="B404" s="14" t="inlineStr">
        <is>
          <t>LBY</t>
        </is>
      </c>
      <c r="C404" s="14" t="inlineStr">
        <is>
          <t>XNF</t>
        </is>
      </c>
    </row>
    <row r="405">
      <c r="A405" s="14" t="inlineStr">
        <is>
          <t>Rest of South African Customs Union</t>
        </is>
      </c>
      <c r="B405" s="14" t="inlineStr">
        <is>
          <t>XSC</t>
        </is>
      </c>
      <c r="C405" s="14" t="inlineStr">
        <is>
          <t>XSC</t>
        </is>
      </c>
    </row>
    <row r="406">
      <c r="A406" s="14" t="inlineStr">
        <is>
          <t>Eswatini</t>
        </is>
      </c>
      <c r="B406" s="14" t="inlineStr">
        <is>
          <t>SWZ</t>
        </is>
      </c>
      <c r="C406" s="14" t="inlineStr">
        <is>
          <t>XSC</t>
        </is>
      </c>
    </row>
    <row r="407">
      <c r="A407" s="14" t="inlineStr">
        <is>
          <t>Lesotho</t>
        </is>
      </c>
      <c r="B407" s="14" t="inlineStr">
        <is>
          <t>LSO</t>
        </is>
      </c>
      <c r="C407" s="14" t="inlineStr">
        <is>
          <t>XSC</t>
        </is>
      </c>
    </row>
    <row r="408">
      <c r="A408" s="14" t="inlineStr">
        <is>
          <t>Rest of Western Africa</t>
        </is>
      </c>
      <c r="B408" s="14" t="inlineStr">
        <is>
          <t>XWF</t>
        </is>
      </c>
      <c r="C408" s="14" t="inlineStr">
        <is>
          <t>XWF</t>
        </is>
      </c>
    </row>
    <row r="409">
      <c r="A409" s="14" t="inlineStr">
        <is>
          <t>Cabo Verde</t>
        </is>
      </c>
      <c r="B409" s="14" t="inlineStr">
        <is>
          <t>CPV</t>
        </is>
      </c>
      <c r="C409" s="14" t="inlineStr">
        <is>
          <t>XWF</t>
        </is>
      </c>
    </row>
    <row r="410">
      <c r="A410" s="14" t="inlineStr">
        <is>
          <t>Gambia, The</t>
        </is>
      </c>
      <c r="B410" s="14" t="inlineStr">
        <is>
          <t>GMB</t>
        </is>
      </c>
      <c r="C410" s="14" t="inlineStr">
        <is>
          <t>XWF</t>
        </is>
      </c>
    </row>
    <row r="411">
      <c r="A411" s="14" t="inlineStr">
        <is>
          <t>Guinea-Bissau</t>
        </is>
      </c>
      <c r="B411" s="14" t="inlineStr">
        <is>
          <t>GNB</t>
        </is>
      </c>
      <c r="C411" s="14" t="inlineStr">
        <is>
          <t>XWF</t>
        </is>
      </c>
    </row>
    <row r="412">
      <c r="A412" s="14" t="inlineStr">
        <is>
          <t>Liberia</t>
        </is>
      </c>
      <c r="B412" s="14" t="inlineStr">
        <is>
          <t>LBR</t>
        </is>
      </c>
      <c r="C412" s="14" t="inlineStr">
        <is>
          <t>XWF</t>
        </is>
      </c>
    </row>
    <row r="413">
      <c r="A413" s="14" t="inlineStr">
        <is>
          <t>Mali</t>
        </is>
      </c>
      <c r="B413" s="14" t="inlineStr">
        <is>
          <t>MLI</t>
        </is>
      </c>
      <c r="C413" s="14" t="inlineStr">
        <is>
          <t>XWF</t>
        </is>
      </c>
    </row>
    <row r="414">
      <c r="A414" s="14" t="inlineStr">
        <is>
          <t>Mauritania</t>
        </is>
      </c>
      <c r="B414" s="14" t="inlineStr">
        <is>
          <t>MRT</t>
        </is>
      </c>
      <c r="C414" s="14" t="inlineStr">
        <is>
          <t>XWF</t>
        </is>
      </c>
    </row>
    <row r="415">
      <c r="A415" s="14" t="inlineStr">
        <is>
          <t>Niger</t>
        </is>
      </c>
      <c r="B415" s="14" t="inlineStr">
        <is>
          <t>NER</t>
        </is>
      </c>
      <c r="C415" s="14" t="inlineStr">
        <is>
          <t>XWF</t>
        </is>
      </c>
    </row>
    <row r="416">
      <c r="A416" s="14" t="inlineStr">
        <is>
          <t>Rest of Central Africa</t>
        </is>
      </c>
      <c r="B416" s="14" t="inlineStr">
        <is>
          <t>XCF</t>
        </is>
      </c>
      <c r="C416" s="14" t="inlineStr">
        <is>
          <t>XCF</t>
        </is>
      </c>
    </row>
    <row r="417">
      <c r="A417" s="14" t="inlineStr">
        <is>
          <t>Central African Republic</t>
        </is>
      </c>
      <c r="B417" s="14" t="inlineStr">
        <is>
          <t>CAF</t>
        </is>
      </c>
      <c r="C417" s="14" t="inlineStr">
        <is>
          <t>XCF</t>
        </is>
      </c>
    </row>
    <row r="418">
      <c r="A418" s="14" t="inlineStr">
        <is>
          <t>Chad</t>
        </is>
      </c>
      <c r="B418" s="14" t="inlineStr">
        <is>
          <t>TCD</t>
        </is>
      </c>
      <c r="C418" s="14" t="inlineStr">
        <is>
          <t>XCF</t>
        </is>
      </c>
    </row>
    <row r="419">
      <c r="A419" s="14" t="inlineStr">
        <is>
          <t>Congo, Rep.</t>
        </is>
      </c>
      <c r="B419" s="14" t="inlineStr">
        <is>
          <t>COG</t>
        </is>
      </c>
      <c r="C419" s="14" t="inlineStr">
        <is>
          <t>XCF</t>
        </is>
      </c>
    </row>
    <row r="420">
      <c r="A420" s="14" t="inlineStr">
        <is>
          <t>Equatorial Guinea</t>
        </is>
      </c>
      <c r="B420" s="14" t="inlineStr">
        <is>
          <t>GNQ</t>
        </is>
      </c>
      <c r="C420" s="14" t="inlineStr">
        <is>
          <t>XCF</t>
        </is>
      </c>
    </row>
    <row r="421">
      <c r="A421" s="14" t="inlineStr">
        <is>
          <t>Gabon</t>
        </is>
      </c>
      <c r="B421" s="14" t="inlineStr">
        <is>
          <t>GAB</t>
        </is>
      </c>
      <c r="C421" s="14" t="inlineStr">
        <is>
          <t>XCF</t>
        </is>
      </c>
    </row>
    <row r="422">
      <c r="A422" s="14" t="inlineStr">
        <is>
          <t>São Tomé and Principe</t>
        </is>
      </c>
      <c r="B422" s="14" t="inlineStr">
        <is>
          <t>STP</t>
        </is>
      </c>
      <c r="C422" s="14" t="inlineStr">
        <is>
          <t>XCF</t>
        </is>
      </c>
    </row>
    <row r="423">
      <c r="A423" s="14" t="inlineStr">
        <is>
          <t>Rest of South Central Africa</t>
        </is>
      </c>
      <c r="B423" s="14" t="inlineStr">
        <is>
          <t>XAC</t>
        </is>
      </c>
      <c r="C423" s="14" t="inlineStr">
        <is>
          <t>XAC</t>
        </is>
      </c>
    </row>
    <row r="424">
      <c r="A424" s="14" t="inlineStr">
        <is>
          <t>Angola</t>
        </is>
      </c>
      <c r="B424" s="14" t="inlineStr">
        <is>
          <t>AGO</t>
        </is>
      </c>
      <c r="C424" s="14" t="inlineStr">
        <is>
          <t>XAC</t>
        </is>
      </c>
    </row>
    <row r="425">
      <c r="A425" s="14" t="inlineStr">
        <is>
          <t>Congo, Dem. Rep.</t>
        </is>
      </c>
      <c r="B425" s="14" t="inlineStr">
        <is>
          <t>COD</t>
        </is>
      </c>
      <c r="C425" s="14" t="inlineStr">
        <is>
          <t>XAC</t>
        </is>
      </c>
    </row>
    <row r="426">
      <c r="A426" s="14" t="inlineStr">
        <is>
          <t>Rest of Eastern Africa</t>
        </is>
      </c>
      <c r="B426" s="14" t="inlineStr">
        <is>
          <t>XEC</t>
        </is>
      </c>
      <c r="C426" s="14" t="inlineStr">
        <is>
          <t>XEC</t>
        </is>
      </c>
    </row>
    <row r="427">
      <c r="A427" s="14" t="inlineStr">
        <is>
          <t>Burundi</t>
        </is>
      </c>
      <c r="B427" s="14" t="inlineStr">
        <is>
          <t>BDI</t>
        </is>
      </c>
      <c r="C427" s="14" t="inlineStr">
        <is>
          <t>XEC</t>
        </is>
      </c>
    </row>
    <row r="428">
      <c r="A428" s="14" t="inlineStr">
        <is>
          <t>Comoros</t>
        </is>
      </c>
      <c r="B428" s="14" t="inlineStr">
        <is>
          <t>COM</t>
        </is>
      </c>
      <c r="C428" s="14" t="inlineStr">
        <is>
          <t>XEC</t>
        </is>
      </c>
    </row>
    <row r="429">
      <c r="A429" s="14" t="inlineStr">
        <is>
          <t>Djibouti</t>
        </is>
      </c>
      <c r="B429" s="14" t="inlineStr">
        <is>
          <t>DJI</t>
        </is>
      </c>
      <c r="C429" s="14" t="inlineStr">
        <is>
          <t>XEC</t>
        </is>
      </c>
    </row>
    <row r="430">
      <c r="A430" s="14" t="inlineStr">
        <is>
          <t>Eritrea</t>
        </is>
      </c>
      <c r="B430" s="14" t="inlineStr">
        <is>
          <t>ERI</t>
        </is>
      </c>
      <c r="C430" s="14" t="inlineStr">
        <is>
          <t>XEC</t>
        </is>
      </c>
    </row>
    <row r="431">
      <c r="A431" s="14" t="inlineStr">
        <is>
          <t>Seychelles</t>
        </is>
      </c>
      <c r="B431" s="14" t="inlineStr">
        <is>
          <t>SYC</t>
        </is>
      </c>
      <c r="C431" s="14" t="inlineStr">
        <is>
          <t>XEC</t>
        </is>
      </c>
    </row>
    <row r="432">
      <c r="A432" s="14" t="inlineStr">
        <is>
          <t>Somalia</t>
        </is>
      </c>
      <c r="B432" s="14" t="inlineStr">
        <is>
          <t>SOM</t>
        </is>
      </c>
      <c r="C432" s="14" t="inlineStr">
        <is>
          <t>XEC</t>
        </is>
      </c>
    </row>
    <row r="433">
      <c r="A433" s="14" t="inlineStr">
        <is>
          <t>Sudan</t>
        </is>
      </c>
      <c r="B433" s="14" t="inlineStr">
        <is>
          <t>SDN</t>
        </is>
      </c>
      <c r="C433" s="14" t="inlineStr">
        <is>
          <t>XEC</t>
        </is>
      </c>
    </row>
    <row r="434">
      <c r="A434" s="14" t="inlineStr">
        <is>
          <t>Albania</t>
        </is>
      </c>
      <c r="B434" s="14" t="inlineStr">
        <is>
          <t>ALB</t>
        </is>
      </c>
      <c r="C434" s="14" t="inlineStr">
        <is>
          <t>ALB</t>
        </is>
      </c>
    </row>
    <row r="435">
      <c r="A435" s="14" t="inlineStr">
        <is>
          <t>United Arab Emirates</t>
        </is>
      </c>
      <c r="B435" s="14" t="inlineStr">
        <is>
          <t>ARE</t>
        </is>
      </c>
      <c r="C435" s="14" t="inlineStr">
        <is>
          <t>ARE</t>
        </is>
      </c>
    </row>
    <row r="436">
      <c r="A436" s="14" t="inlineStr">
        <is>
          <t>Argentina</t>
        </is>
      </c>
      <c r="B436" s="14" t="inlineStr">
        <is>
          <t>ARG</t>
        </is>
      </c>
      <c r="C436" s="14" t="inlineStr">
        <is>
          <t>ARG</t>
        </is>
      </c>
    </row>
    <row r="437">
      <c r="A437" s="14" t="inlineStr">
        <is>
          <t>Armenia</t>
        </is>
      </c>
      <c r="B437" s="14" t="inlineStr">
        <is>
          <t>ARM</t>
        </is>
      </c>
      <c r="C437" s="14" t="inlineStr">
        <is>
          <t>ARM</t>
        </is>
      </c>
    </row>
    <row r="438">
      <c r="A438" s="14" t="inlineStr">
        <is>
          <t>Australia</t>
        </is>
      </c>
      <c r="B438" s="14" t="inlineStr">
        <is>
          <t>AUS</t>
        </is>
      </c>
      <c r="C438" s="14" t="inlineStr">
        <is>
          <t>AUS</t>
        </is>
      </c>
    </row>
    <row r="439">
      <c r="A439" s="14" t="inlineStr">
        <is>
          <t>Austria</t>
        </is>
      </c>
      <c r="B439" s="14" t="inlineStr">
        <is>
          <t>AUT</t>
        </is>
      </c>
      <c r="C439" s="14" t="inlineStr">
        <is>
          <t>AUT</t>
        </is>
      </c>
    </row>
    <row r="440">
      <c r="A440" s="14" t="inlineStr">
        <is>
          <t>Azerbaijan</t>
        </is>
      </c>
      <c r="B440" s="14" t="inlineStr">
        <is>
          <t>AZE</t>
        </is>
      </c>
      <c r="C440" s="14" t="inlineStr">
        <is>
          <t>AZE</t>
        </is>
      </c>
    </row>
    <row r="441">
      <c r="A441" s="14" t="inlineStr">
        <is>
          <t>Belgium</t>
        </is>
      </c>
      <c r="B441" s="14" t="inlineStr">
        <is>
          <t>BEL</t>
        </is>
      </c>
      <c r="C441" s="14" t="inlineStr">
        <is>
          <t>BEL</t>
        </is>
      </c>
    </row>
    <row r="442">
      <c r="A442" s="14" t="inlineStr">
        <is>
          <t>Benin</t>
        </is>
      </c>
      <c r="B442" s="14" t="inlineStr">
        <is>
          <t>BEN</t>
        </is>
      </c>
      <c r="C442" s="14" t="inlineStr">
        <is>
          <t>BEN</t>
        </is>
      </c>
    </row>
    <row r="443">
      <c r="A443" s="14" t="inlineStr">
        <is>
          <t>Burkina Faso</t>
        </is>
      </c>
      <c r="B443" s="14" t="inlineStr">
        <is>
          <t>BFA</t>
        </is>
      </c>
      <c r="C443" s="14" t="inlineStr">
        <is>
          <t>BFA</t>
        </is>
      </c>
    </row>
    <row r="444">
      <c r="A444" s="14" t="inlineStr">
        <is>
          <t>Bangladesh</t>
        </is>
      </c>
      <c r="B444" s="14" t="inlineStr">
        <is>
          <t>BGD</t>
        </is>
      </c>
      <c r="C444" s="14" t="inlineStr">
        <is>
          <t>BGD</t>
        </is>
      </c>
    </row>
    <row r="445">
      <c r="A445" s="14" t="inlineStr">
        <is>
          <t>Bulgaria</t>
        </is>
      </c>
      <c r="B445" s="14" t="inlineStr">
        <is>
          <t>BGR</t>
        </is>
      </c>
      <c r="C445" s="14" t="inlineStr">
        <is>
          <t>BGR</t>
        </is>
      </c>
    </row>
    <row r="446">
      <c r="A446" s="14" t="inlineStr">
        <is>
          <t>Bahrain</t>
        </is>
      </c>
      <c r="B446" s="14" t="inlineStr">
        <is>
          <t>BHR</t>
        </is>
      </c>
      <c r="C446" s="14" t="inlineStr">
        <is>
          <t>BHR</t>
        </is>
      </c>
    </row>
    <row r="447">
      <c r="A447" s="14" t="inlineStr">
        <is>
          <t>Belarus</t>
        </is>
      </c>
      <c r="B447" s="14" t="inlineStr">
        <is>
          <t>BLR</t>
        </is>
      </c>
      <c r="C447" s="14" t="inlineStr">
        <is>
          <t>BLR</t>
        </is>
      </c>
    </row>
    <row r="448">
      <c r="A448" s="14" t="inlineStr">
        <is>
          <t>Bolivia</t>
        </is>
      </c>
      <c r="B448" s="14" t="inlineStr">
        <is>
          <t>BOL</t>
        </is>
      </c>
      <c r="C448" s="14" t="inlineStr">
        <is>
          <t>BOL</t>
        </is>
      </c>
    </row>
    <row r="449">
      <c r="A449" s="14" t="inlineStr">
        <is>
          <t>Brazil</t>
        </is>
      </c>
      <c r="B449" s="14" t="inlineStr">
        <is>
          <t>BRA</t>
        </is>
      </c>
      <c r="C449" s="14" t="inlineStr">
        <is>
          <t>BRA</t>
        </is>
      </c>
    </row>
    <row r="450">
      <c r="A450" s="14" t="inlineStr">
        <is>
          <t>Brunei Darussalam</t>
        </is>
      </c>
      <c r="B450" s="14" t="inlineStr">
        <is>
          <t>BRN</t>
        </is>
      </c>
      <c r="C450" s="14" t="inlineStr">
        <is>
          <t>BRN</t>
        </is>
      </c>
    </row>
    <row r="451">
      <c r="A451" s="14" t="inlineStr">
        <is>
          <t>Botswana</t>
        </is>
      </c>
      <c r="B451" s="14" t="inlineStr">
        <is>
          <t>BWA</t>
        </is>
      </c>
      <c r="C451" s="14" t="inlineStr">
        <is>
          <t>BWA</t>
        </is>
      </c>
    </row>
    <row r="452">
      <c r="A452" s="14" t="inlineStr">
        <is>
          <t>Canada</t>
        </is>
      </c>
      <c r="B452" s="14" t="inlineStr">
        <is>
          <t>CAN</t>
        </is>
      </c>
      <c r="C452" s="14" t="inlineStr">
        <is>
          <t>CAN</t>
        </is>
      </c>
    </row>
    <row r="453">
      <c r="A453" s="14" t="inlineStr">
        <is>
          <t>Switzerland</t>
        </is>
      </c>
      <c r="B453" s="14" t="inlineStr">
        <is>
          <t>CHE</t>
        </is>
      </c>
      <c r="C453" s="14" t="inlineStr">
        <is>
          <t>CHE</t>
        </is>
      </c>
    </row>
    <row r="454">
      <c r="A454" s="14" t="inlineStr">
        <is>
          <t>Chile</t>
        </is>
      </c>
      <c r="B454" s="14" t="inlineStr">
        <is>
          <t>CHL</t>
        </is>
      </c>
      <c r="C454" s="14" t="inlineStr">
        <is>
          <t>CHL</t>
        </is>
      </c>
    </row>
    <row r="455">
      <c r="A455" s="14" t="inlineStr">
        <is>
          <t>China</t>
        </is>
      </c>
      <c r="B455" s="14" t="inlineStr">
        <is>
          <t>CHN</t>
        </is>
      </c>
      <c r="C455" s="14" t="inlineStr">
        <is>
          <t>CHN</t>
        </is>
      </c>
    </row>
    <row r="456">
      <c r="A456" s="14" t="inlineStr">
        <is>
          <t>Côte d'Ivoire</t>
        </is>
      </c>
      <c r="B456" s="14" t="inlineStr">
        <is>
          <t>CIV</t>
        </is>
      </c>
      <c r="C456" s="14" t="inlineStr">
        <is>
          <t>CIV</t>
        </is>
      </c>
    </row>
    <row r="457">
      <c r="A457" s="14" t="inlineStr">
        <is>
          <t>Cameroon</t>
        </is>
      </c>
      <c r="B457" s="14" t="inlineStr">
        <is>
          <t>CMR</t>
        </is>
      </c>
      <c r="C457" s="14" t="inlineStr">
        <is>
          <t>CMR</t>
        </is>
      </c>
    </row>
    <row r="458">
      <c r="A458" s="14" t="inlineStr">
        <is>
          <t>Colombia</t>
        </is>
      </c>
      <c r="B458" s="14" t="inlineStr">
        <is>
          <t>COL</t>
        </is>
      </c>
      <c r="C458" s="14" t="inlineStr">
        <is>
          <t>COL</t>
        </is>
      </c>
    </row>
    <row r="459">
      <c r="A459" s="14" t="inlineStr">
        <is>
          <t>Costa Rica</t>
        </is>
      </c>
      <c r="B459" s="14" t="inlineStr">
        <is>
          <t>CRI</t>
        </is>
      </c>
      <c r="C459" s="14" t="inlineStr">
        <is>
          <t>CRI</t>
        </is>
      </c>
    </row>
    <row r="460">
      <c r="A460" s="14" t="inlineStr">
        <is>
          <t>Cyprus</t>
        </is>
      </c>
      <c r="B460" s="14" t="inlineStr">
        <is>
          <t>CYP</t>
        </is>
      </c>
      <c r="C460" s="14" t="inlineStr">
        <is>
          <t>CYP</t>
        </is>
      </c>
    </row>
    <row r="461">
      <c r="A461" s="14" t="inlineStr">
        <is>
          <t>Czechia</t>
        </is>
      </c>
      <c r="B461" s="14" t="inlineStr">
        <is>
          <t>CZE</t>
        </is>
      </c>
      <c r="C461" s="14" t="inlineStr">
        <is>
          <t>CZE</t>
        </is>
      </c>
    </row>
    <row r="462">
      <c r="A462" s="14" t="inlineStr">
        <is>
          <t>Germany</t>
        </is>
      </c>
      <c r="B462" s="14" t="inlineStr">
        <is>
          <t>DEU</t>
        </is>
      </c>
      <c r="C462" s="14" t="inlineStr">
        <is>
          <t>DEU</t>
        </is>
      </c>
    </row>
    <row r="463">
      <c r="A463" s="14" t="inlineStr">
        <is>
          <t>Denmark</t>
        </is>
      </c>
      <c r="B463" s="14" t="inlineStr">
        <is>
          <t>DNK</t>
        </is>
      </c>
      <c r="C463" s="14" t="inlineStr">
        <is>
          <t>DNK</t>
        </is>
      </c>
    </row>
    <row r="464">
      <c r="A464" s="14" t="inlineStr">
        <is>
          <t>Dominican Republic</t>
        </is>
      </c>
      <c r="B464" s="14" t="inlineStr">
        <is>
          <t>DOM</t>
        </is>
      </c>
      <c r="C464" s="14" t="inlineStr">
        <is>
          <t>DOM</t>
        </is>
      </c>
    </row>
    <row r="465">
      <c r="A465" s="14" t="inlineStr">
        <is>
          <t>Ecuador</t>
        </is>
      </c>
      <c r="B465" s="14" t="inlineStr">
        <is>
          <t>ECU</t>
        </is>
      </c>
      <c r="C465" s="14" t="inlineStr">
        <is>
          <t>ECU</t>
        </is>
      </c>
    </row>
    <row r="466">
      <c r="A466" s="14" t="inlineStr">
        <is>
          <t>Egypt, Arab Rep.</t>
        </is>
      </c>
      <c r="B466" s="14" t="inlineStr">
        <is>
          <t>EGY</t>
        </is>
      </c>
      <c r="C466" s="14" t="inlineStr">
        <is>
          <t>EGY</t>
        </is>
      </c>
    </row>
    <row r="467">
      <c r="A467" s="14" t="inlineStr">
        <is>
          <t>Spain</t>
        </is>
      </c>
      <c r="B467" s="14" t="inlineStr">
        <is>
          <t>ESP</t>
        </is>
      </c>
      <c r="C467" s="14" t="inlineStr">
        <is>
          <t>ESP</t>
        </is>
      </c>
    </row>
    <row r="468">
      <c r="A468" s="14" t="inlineStr">
        <is>
          <t>Estonia</t>
        </is>
      </c>
      <c r="B468" s="14" t="inlineStr">
        <is>
          <t>EST</t>
        </is>
      </c>
      <c r="C468" s="14" t="inlineStr">
        <is>
          <t>EST</t>
        </is>
      </c>
    </row>
    <row r="469">
      <c r="A469" s="14" t="inlineStr">
        <is>
          <t>Ethiopia</t>
        </is>
      </c>
      <c r="B469" s="14" t="inlineStr">
        <is>
          <t>ETH</t>
        </is>
      </c>
      <c r="C469" s="14" t="inlineStr">
        <is>
          <t>ETH</t>
        </is>
      </c>
    </row>
    <row r="470">
      <c r="A470" s="14" t="inlineStr">
        <is>
          <t>Finland</t>
        </is>
      </c>
      <c r="B470" s="14" t="inlineStr">
        <is>
          <t>FIN</t>
        </is>
      </c>
      <c r="C470" s="14" t="inlineStr">
        <is>
          <t>FIN</t>
        </is>
      </c>
    </row>
    <row r="471">
      <c r="A471" s="14" t="inlineStr">
        <is>
          <t>France</t>
        </is>
      </c>
      <c r="B471" s="14" t="inlineStr">
        <is>
          <t>FRA</t>
        </is>
      </c>
      <c r="C471" s="14" t="inlineStr">
        <is>
          <t>FRA</t>
        </is>
      </c>
    </row>
    <row r="472">
      <c r="A472" s="14" t="inlineStr">
        <is>
          <t>United Kingdom</t>
        </is>
      </c>
      <c r="B472" s="14" t="inlineStr">
        <is>
          <t>GBR</t>
        </is>
      </c>
      <c r="C472" s="14" t="inlineStr">
        <is>
          <t>GBR</t>
        </is>
      </c>
    </row>
    <row r="473">
      <c r="A473" s="14" t="inlineStr">
        <is>
          <t>Georgia</t>
        </is>
      </c>
      <c r="B473" s="14" t="inlineStr">
        <is>
          <t>GEO</t>
        </is>
      </c>
      <c r="C473" s="14" t="inlineStr">
        <is>
          <t>GEO</t>
        </is>
      </c>
    </row>
    <row r="474">
      <c r="A474" s="14" t="inlineStr">
        <is>
          <t>Ghana</t>
        </is>
      </c>
      <c r="B474" s="14" t="inlineStr">
        <is>
          <t>GHA</t>
        </is>
      </c>
      <c r="C474" s="14" t="inlineStr">
        <is>
          <t>GHA</t>
        </is>
      </c>
    </row>
    <row r="475">
      <c r="A475" s="14" t="inlineStr">
        <is>
          <t>Guinea</t>
        </is>
      </c>
      <c r="B475" s="14" t="inlineStr">
        <is>
          <t>GIN</t>
        </is>
      </c>
      <c r="C475" s="14" t="inlineStr">
        <is>
          <t>GIN</t>
        </is>
      </c>
    </row>
    <row r="476">
      <c r="A476" s="14" t="inlineStr">
        <is>
          <t>Greece</t>
        </is>
      </c>
      <c r="B476" s="14" t="inlineStr">
        <is>
          <t>GRC</t>
        </is>
      </c>
      <c r="C476" s="14" t="inlineStr">
        <is>
          <t>GRC</t>
        </is>
      </c>
    </row>
    <row r="477">
      <c r="A477" s="14" t="inlineStr">
        <is>
          <t>Guatemala</t>
        </is>
      </c>
      <c r="B477" s="14" t="inlineStr">
        <is>
          <t>GTM</t>
        </is>
      </c>
      <c r="C477" s="14" t="inlineStr">
        <is>
          <t>GTM</t>
        </is>
      </c>
    </row>
    <row r="478">
      <c r="A478" s="14" t="inlineStr">
        <is>
          <t>Hong Kong SAR, China</t>
        </is>
      </c>
      <c r="B478" s="14" t="inlineStr">
        <is>
          <t>HKG</t>
        </is>
      </c>
      <c r="C478" s="14" t="inlineStr">
        <is>
          <t>HKG</t>
        </is>
      </c>
    </row>
    <row r="479">
      <c r="A479" s="14" t="inlineStr">
        <is>
          <t>Honduras</t>
        </is>
      </c>
      <c r="B479" s="14" t="inlineStr">
        <is>
          <t>HND</t>
        </is>
      </c>
      <c r="C479" s="14" t="inlineStr">
        <is>
          <t>HND</t>
        </is>
      </c>
    </row>
    <row r="480">
      <c r="A480" s="14" t="inlineStr">
        <is>
          <t>Croatia</t>
        </is>
      </c>
      <c r="B480" s="14" t="inlineStr">
        <is>
          <t>HRV</t>
        </is>
      </c>
      <c r="C480" s="14" t="inlineStr">
        <is>
          <t>HRV</t>
        </is>
      </c>
    </row>
    <row r="481">
      <c r="A481" s="14" t="inlineStr">
        <is>
          <t>Hungary</t>
        </is>
      </c>
      <c r="B481" s="14" t="inlineStr">
        <is>
          <t>HUN</t>
        </is>
      </c>
      <c r="C481" s="14" t="inlineStr">
        <is>
          <t>HUN</t>
        </is>
      </c>
    </row>
    <row r="482">
      <c r="A482" s="14" t="inlineStr">
        <is>
          <t>Indonesia</t>
        </is>
      </c>
      <c r="B482" s="14" t="inlineStr">
        <is>
          <t>IDN</t>
        </is>
      </c>
      <c r="C482" s="14" t="inlineStr">
        <is>
          <t>IDN</t>
        </is>
      </c>
    </row>
    <row r="483">
      <c r="A483" s="14" t="inlineStr">
        <is>
          <t>India</t>
        </is>
      </c>
      <c r="B483" s="14" t="inlineStr">
        <is>
          <t>IND</t>
        </is>
      </c>
      <c r="C483" s="14" t="inlineStr">
        <is>
          <t>IND</t>
        </is>
      </c>
    </row>
    <row r="484">
      <c r="A484" s="14" t="inlineStr">
        <is>
          <t>Ireland</t>
        </is>
      </c>
      <c r="B484" s="14" t="inlineStr">
        <is>
          <t>IRL</t>
        </is>
      </c>
      <c r="C484" s="14" t="inlineStr">
        <is>
          <t>IRL</t>
        </is>
      </c>
    </row>
    <row r="485">
      <c r="A485" s="14" t="inlineStr">
        <is>
          <t>Iran, Islamic Rep.</t>
        </is>
      </c>
      <c r="B485" s="14" t="inlineStr">
        <is>
          <t>IRN</t>
        </is>
      </c>
      <c r="C485" s="14" t="inlineStr">
        <is>
          <t>IRN</t>
        </is>
      </c>
    </row>
    <row r="486">
      <c r="A486" s="14" t="inlineStr">
        <is>
          <t>Israel</t>
        </is>
      </c>
      <c r="B486" s="14" t="inlineStr">
        <is>
          <t>ISR</t>
        </is>
      </c>
      <c r="C486" s="14" t="inlineStr">
        <is>
          <t>ISR</t>
        </is>
      </c>
    </row>
    <row r="487">
      <c r="A487" s="14" t="inlineStr">
        <is>
          <t>Italy</t>
        </is>
      </c>
      <c r="B487" s="14" t="inlineStr">
        <is>
          <t>ITA</t>
        </is>
      </c>
      <c r="C487" s="14" t="inlineStr">
        <is>
          <t>ITA</t>
        </is>
      </c>
    </row>
    <row r="488">
      <c r="A488" s="14" t="inlineStr">
        <is>
          <t>Jamaica</t>
        </is>
      </c>
      <c r="B488" s="14" t="inlineStr">
        <is>
          <t>JAM</t>
        </is>
      </c>
      <c r="C488" s="14" t="inlineStr">
        <is>
          <t>JAM</t>
        </is>
      </c>
    </row>
    <row r="489">
      <c r="A489" s="14" t="inlineStr">
        <is>
          <t>Jordan</t>
        </is>
      </c>
      <c r="B489" s="14" t="inlineStr">
        <is>
          <t>JOR</t>
        </is>
      </c>
      <c r="C489" s="14" t="inlineStr">
        <is>
          <t>JOR</t>
        </is>
      </c>
    </row>
    <row r="490">
      <c r="A490" s="14" t="inlineStr">
        <is>
          <t>Japan</t>
        </is>
      </c>
      <c r="B490" s="14" t="inlineStr">
        <is>
          <t>JPN</t>
        </is>
      </c>
      <c r="C490" s="14" t="inlineStr">
        <is>
          <t>JPN</t>
        </is>
      </c>
    </row>
    <row r="491">
      <c r="A491" s="14" t="inlineStr">
        <is>
          <t>Kazakhstan</t>
        </is>
      </c>
      <c r="B491" s="14" t="inlineStr">
        <is>
          <t>KAZ</t>
        </is>
      </c>
      <c r="C491" s="14" t="inlineStr">
        <is>
          <t>KAZ</t>
        </is>
      </c>
    </row>
    <row r="492">
      <c r="A492" s="14" t="inlineStr">
        <is>
          <t>Kenya</t>
        </is>
      </c>
      <c r="B492" s="14" t="inlineStr">
        <is>
          <t>KEN</t>
        </is>
      </c>
      <c r="C492" s="14" t="inlineStr">
        <is>
          <t>KEN</t>
        </is>
      </c>
    </row>
    <row r="493">
      <c r="A493" s="14" t="inlineStr">
        <is>
          <t>Kyrgyz Republic</t>
        </is>
      </c>
      <c r="B493" s="14" t="inlineStr">
        <is>
          <t>KGZ</t>
        </is>
      </c>
      <c r="C493" s="14" t="inlineStr">
        <is>
          <t>KGZ</t>
        </is>
      </c>
    </row>
    <row r="494">
      <c r="A494" s="14" t="inlineStr">
        <is>
          <t>Cambodia</t>
        </is>
      </c>
      <c r="B494" s="14" t="inlineStr">
        <is>
          <t>KHM</t>
        </is>
      </c>
      <c r="C494" s="14" t="inlineStr">
        <is>
          <t>KHM</t>
        </is>
      </c>
    </row>
    <row r="495">
      <c r="A495" s="14" t="inlineStr">
        <is>
          <t>Korea, Rep.</t>
        </is>
      </c>
      <c r="B495" s="14" t="inlineStr">
        <is>
          <t>KOR</t>
        </is>
      </c>
      <c r="C495" s="14" t="inlineStr">
        <is>
          <t>KOR</t>
        </is>
      </c>
    </row>
    <row r="496">
      <c r="A496" s="14" t="inlineStr">
        <is>
          <t>Kuwait</t>
        </is>
      </c>
      <c r="B496" s="14" t="inlineStr">
        <is>
          <t>KWT</t>
        </is>
      </c>
      <c r="C496" s="14" t="inlineStr">
        <is>
          <t>KWT</t>
        </is>
      </c>
    </row>
    <row r="497">
      <c r="A497" s="14" t="inlineStr">
        <is>
          <t>Lao PDR</t>
        </is>
      </c>
      <c r="B497" s="14" t="inlineStr">
        <is>
          <t>LAO</t>
        </is>
      </c>
      <c r="C497" s="14" t="inlineStr">
        <is>
          <t>LAO</t>
        </is>
      </c>
    </row>
    <row r="498">
      <c r="A498" s="14" t="inlineStr">
        <is>
          <t>Sri Lanka</t>
        </is>
      </c>
      <c r="B498" s="14" t="inlineStr">
        <is>
          <t>LKA</t>
        </is>
      </c>
      <c r="C498" s="14" t="inlineStr">
        <is>
          <t>LKA</t>
        </is>
      </c>
    </row>
    <row r="499">
      <c r="A499" s="14" t="inlineStr">
        <is>
          <t>Lithuania</t>
        </is>
      </c>
      <c r="B499" s="14" t="inlineStr">
        <is>
          <t>LTU</t>
        </is>
      </c>
      <c r="C499" s="14" t="inlineStr">
        <is>
          <t>LTU</t>
        </is>
      </c>
    </row>
    <row r="500">
      <c r="A500" s="14" t="inlineStr">
        <is>
          <t>Luxembourg</t>
        </is>
      </c>
      <c r="B500" s="14" t="inlineStr">
        <is>
          <t>LUX</t>
        </is>
      </c>
      <c r="C500" s="14" t="inlineStr">
        <is>
          <t>LUX</t>
        </is>
      </c>
    </row>
    <row r="501">
      <c r="A501" s="14" t="inlineStr">
        <is>
          <t>Latvia</t>
        </is>
      </c>
      <c r="B501" s="14" t="inlineStr">
        <is>
          <t>LVA</t>
        </is>
      </c>
      <c r="C501" s="14" t="inlineStr">
        <is>
          <t>LVA</t>
        </is>
      </c>
    </row>
    <row r="502">
      <c r="A502" s="14" t="inlineStr">
        <is>
          <t>Morocco</t>
        </is>
      </c>
      <c r="B502" s="14" t="inlineStr">
        <is>
          <t>MAR</t>
        </is>
      </c>
      <c r="C502" s="14" t="inlineStr">
        <is>
          <t>MAR</t>
        </is>
      </c>
    </row>
    <row r="503">
      <c r="A503" s="14" t="inlineStr">
        <is>
          <t>Madagascar</t>
        </is>
      </c>
      <c r="B503" s="14" t="inlineStr">
        <is>
          <t>MDG</t>
        </is>
      </c>
      <c r="C503" s="14" t="inlineStr">
        <is>
          <t>MDG</t>
        </is>
      </c>
    </row>
    <row r="504">
      <c r="A504" s="14" t="inlineStr">
        <is>
          <t>Mexico</t>
        </is>
      </c>
      <c r="B504" s="14" t="inlineStr">
        <is>
          <t>MEX</t>
        </is>
      </c>
      <c r="C504" s="14" t="inlineStr">
        <is>
          <t>MEX</t>
        </is>
      </c>
    </row>
    <row r="505">
      <c r="A505" s="14" t="inlineStr">
        <is>
          <t>Malta</t>
        </is>
      </c>
      <c r="B505" s="14" t="inlineStr">
        <is>
          <t>MLT</t>
        </is>
      </c>
      <c r="C505" s="14" t="inlineStr">
        <is>
          <t>MLT</t>
        </is>
      </c>
    </row>
    <row r="506">
      <c r="A506" s="14" t="inlineStr">
        <is>
          <t>Mongolia</t>
        </is>
      </c>
      <c r="B506" s="14" t="inlineStr">
        <is>
          <t>MNG</t>
        </is>
      </c>
      <c r="C506" s="14" t="inlineStr">
        <is>
          <t>MNG</t>
        </is>
      </c>
    </row>
    <row r="507">
      <c r="A507" s="14" t="inlineStr">
        <is>
          <t>Mozambique</t>
        </is>
      </c>
      <c r="B507" s="14" t="inlineStr">
        <is>
          <t>MOZ</t>
        </is>
      </c>
      <c r="C507" s="14" t="inlineStr">
        <is>
          <t>MOZ</t>
        </is>
      </c>
    </row>
    <row r="508">
      <c r="A508" s="14" t="inlineStr">
        <is>
          <t>Mauritius</t>
        </is>
      </c>
      <c r="B508" s="14" t="inlineStr">
        <is>
          <t>MUS</t>
        </is>
      </c>
      <c r="C508" s="14" t="inlineStr">
        <is>
          <t>MUS</t>
        </is>
      </c>
    </row>
    <row r="509">
      <c r="A509" s="14" t="inlineStr">
        <is>
          <t>Malawi</t>
        </is>
      </c>
      <c r="B509" s="14" t="inlineStr">
        <is>
          <t>MWI</t>
        </is>
      </c>
      <c r="C509" s="14" t="inlineStr">
        <is>
          <t>MWI</t>
        </is>
      </c>
    </row>
    <row r="510">
      <c r="A510" s="14" t="inlineStr">
        <is>
          <t>Malaysia</t>
        </is>
      </c>
      <c r="B510" s="14" t="inlineStr">
        <is>
          <t>MYS</t>
        </is>
      </c>
      <c r="C510" s="14" t="inlineStr">
        <is>
          <t>MYS</t>
        </is>
      </c>
    </row>
    <row r="511">
      <c r="A511" s="14" t="inlineStr">
        <is>
          <t>Namibia</t>
        </is>
      </c>
      <c r="B511" s="14" t="inlineStr">
        <is>
          <t>NAM</t>
        </is>
      </c>
      <c r="C511" s="14" t="inlineStr">
        <is>
          <t>NAM</t>
        </is>
      </c>
    </row>
    <row r="512">
      <c r="A512" s="14" t="inlineStr">
        <is>
          <t>Nigeria</t>
        </is>
      </c>
      <c r="B512" s="14" t="inlineStr">
        <is>
          <t>NGA</t>
        </is>
      </c>
      <c r="C512" s="14" t="inlineStr">
        <is>
          <t>NGA</t>
        </is>
      </c>
    </row>
    <row r="513">
      <c r="A513" s="14" t="inlineStr">
        <is>
          <t>Nicaragua</t>
        </is>
      </c>
      <c r="B513" s="14" t="inlineStr">
        <is>
          <t>NIC</t>
        </is>
      </c>
      <c r="C513" s="14" t="inlineStr">
        <is>
          <t>NIC</t>
        </is>
      </c>
    </row>
    <row r="514">
      <c r="A514" s="14" t="inlineStr">
        <is>
          <t>Netherlands</t>
        </is>
      </c>
      <c r="B514" s="14" t="inlineStr">
        <is>
          <t>NLD</t>
        </is>
      </c>
      <c r="C514" s="14" t="inlineStr">
        <is>
          <t>NLD</t>
        </is>
      </c>
    </row>
    <row r="515">
      <c r="A515" s="14" t="inlineStr">
        <is>
          <t>Norway</t>
        </is>
      </c>
      <c r="B515" s="14" t="inlineStr">
        <is>
          <t>NOR</t>
        </is>
      </c>
      <c r="C515" s="14" t="inlineStr">
        <is>
          <t>NOR</t>
        </is>
      </c>
    </row>
    <row r="516">
      <c r="A516" s="14" t="inlineStr">
        <is>
          <t>Nepal</t>
        </is>
      </c>
      <c r="B516" s="14" t="inlineStr">
        <is>
          <t>NPL</t>
        </is>
      </c>
      <c r="C516" s="14" t="inlineStr">
        <is>
          <t>NPL</t>
        </is>
      </c>
    </row>
    <row r="517">
      <c r="A517" s="14" t="inlineStr">
        <is>
          <t>New Zealand</t>
        </is>
      </c>
      <c r="B517" s="14" t="inlineStr">
        <is>
          <t>NZL</t>
        </is>
      </c>
      <c r="C517" s="14" t="inlineStr">
        <is>
          <t>NZL</t>
        </is>
      </c>
    </row>
    <row r="518">
      <c r="A518" s="14" t="inlineStr">
        <is>
          <t>Oman</t>
        </is>
      </c>
      <c r="B518" s="14" t="inlineStr">
        <is>
          <t>OMN</t>
        </is>
      </c>
      <c r="C518" s="14" t="inlineStr">
        <is>
          <t>OMN</t>
        </is>
      </c>
    </row>
    <row r="519">
      <c r="A519" s="14" t="inlineStr">
        <is>
          <t>Pakistan</t>
        </is>
      </c>
      <c r="B519" s="14" t="inlineStr">
        <is>
          <t>PAK</t>
        </is>
      </c>
      <c r="C519" s="14" t="inlineStr">
        <is>
          <t>PAK</t>
        </is>
      </c>
    </row>
    <row r="520">
      <c r="A520" s="14" t="inlineStr">
        <is>
          <t>Panama</t>
        </is>
      </c>
      <c r="B520" s="14" t="inlineStr">
        <is>
          <t>PAN</t>
        </is>
      </c>
      <c r="C520" s="14" t="inlineStr">
        <is>
          <t>PAN</t>
        </is>
      </c>
    </row>
    <row r="521">
      <c r="A521" s="14" t="inlineStr">
        <is>
          <t>Peru</t>
        </is>
      </c>
      <c r="B521" s="14" t="inlineStr">
        <is>
          <t>PER</t>
        </is>
      </c>
      <c r="C521" s="14" t="inlineStr">
        <is>
          <t>PER</t>
        </is>
      </c>
    </row>
    <row r="522">
      <c r="A522" s="14" t="inlineStr">
        <is>
          <t>Philippines</t>
        </is>
      </c>
      <c r="B522" s="14" t="inlineStr">
        <is>
          <t>PHL</t>
        </is>
      </c>
      <c r="C522" s="14" t="inlineStr">
        <is>
          <t>PHL</t>
        </is>
      </c>
    </row>
    <row r="523">
      <c r="A523" s="14" t="inlineStr">
        <is>
          <t>Poland</t>
        </is>
      </c>
      <c r="B523" s="14" t="inlineStr">
        <is>
          <t>POL</t>
        </is>
      </c>
      <c r="C523" s="14" t="inlineStr">
        <is>
          <t>POL</t>
        </is>
      </c>
    </row>
    <row r="524">
      <c r="A524" s="14" t="inlineStr">
        <is>
          <t>Puerto Rico</t>
        </is>
      </c>
      <c r="B524" s="14" t="inlineStr">
        <is>
          <t>PRI</t>
        </is>
      </c>
      <c r="C524" s="14" t="inlineStr">
        <is>
          <t>PRI</t>
        </is>
      </c>
    </row>
    <row r="525">
      <c r="A525" s="14" t="inlineStr">
        <is>
          <t>Portugal</t>
        </is>
      </c>
      <c r="B525" s="14" t="inlineStr">
        <is>
          <t>PRT</t>
        </is>
      </c>
      <c r="C525" s="14" t="inlineStr">
        <is>
          <t>PRT</t>
        </is>
      </c>
    </row>
    <row r="526">
      <c r="A526" s="14" t="inlineStr">
        <is>
          <t>Paraguay</t>
        </is>
      </c>
      <c r="B526" s="14" t="inlineStr">
        <is>
          <t>PRY</t>
        </is>
      </c>
      <c r="C526" s="14" t="inlineStr">
        <is>
          <t>PRY</t>
        </is>
      </c>
    </row>
    <row r="527">
      <c r="A527" s="14" t="inlineStr">
        <is>
          <t>Qatar</t>
        </is>
      </c>
      <c r="B527" s="14" t="inlineStr">
        <is>
          <t>QAT</t>
        </is>
      </c>
      <c r="C527" s="14" t="inlineStr">
        <is>
          <t>QAT</t>
        </is>
      </c>
    </row>
    <row r="528">
      <c r="A528" s="14" t="inlineStr">
        <is>
          <t>Romania</t>
        </is>
      </c>
      <c r="B528" s="14" t="inlineStr">
        <is>
          <t>ROU</t>
        </is>
      </c>
      <c r="C528" s="14" t="inlineStr">
        <is>
          <t>ROU</t>
        </is>
      </c>
    </row>
    <row r="529">
      <c r="A529" s="14" t="inlineStr">
        <is>
          <t>Russian Federation</t>
        </is>
      </c>
      <c r="B529" s="14" t="inlineStr">
        <is>
          <t>RUS</t>
        </is>
      </c>
      <c r="C529" s="14" t="inlineStr">
        <is>
          <t>RUS</t>
        </is>
      </c>
    </row>
    <row r="530">
      <c r="A530" s="14" t="inlineStr">
        <is>
          <t>Rwanda</t>
        </is>
      </c>
      <c r="B530" s="14" t="inlineStr">
        <is>
          <t>RWA</t>
        </is>
      </c>
      <c r="C530" s="14" t="inlineStr">
        <is>
          <t>RWA</t>
        </is>
      </c>
    </row>
    <row r="531">
      <c r="A531" s="14" t="inlineStr">
        <is>
          <t>Saudi Arabia</t>
        </is>
      </c>
      <c r="B531" s="14" t="inlineStr">
        <is>
          <t>SAU</t>
        </is>
      </c>
      <c r="C531" s="14" t="inlineStr">
        <is>
          <t>SAU</t>
        </is>
      </c>
    </row>
    <row r="532">
      <c r="A532" s="14" t="inlineStr">
        <is>
          <t>Senegal</t>
        </is>
      </c>
      <c r="B532" s="14" t="inlineStr">
        <is>
          <t>SEN</t>
        </is>
      </c>
      <c r="C532" s="14" t="inlineStr">
        <is>
          <t>SEN</t>
        </is>
      </c>
    </row>
    <row r="533">
      <c r="A533" s="14" t="inlineStr">
        <is>
          <t>Singapore</t>
        </is>
      </c>
      <c r="B533" s="14" t="inlineStr">
        <is>
          <t>SGP</t>
        </is>
      </c>
      <c r="C533" s="14" t="inlineStr">
        <is>
          <t>SGP</t>
        </is>
      </c>
    </row>
    <row r="534">
      <c r="A534" s="14" t="inlineStr">
        <is>
          <t>El Salvador</t>
        </is>
      </c>
      <c r="B534" s="14" t="inlineStr">
        <is>
          <t>SLV</t>
        </is>
      </c>
      <c r="C534" s="14" t="inlineStr">
        <is>
          <t>SLV</t>
        </is>
      </c>
    </row>
    <row r="535">
      <c r="A535" s="14" t="inlineStr">
        <is>
          <t>Slovak Republic</t>
        </is>
      </c>
      <c r="B535" s="14" t="inlineStr">
        <is>
          <t>SVK</t>
        </is>
      </c>
      <c r="C535" s="14" t="inlineStr">
        <is>
          <t>SVK</t>
        </is>
      </c>
    </row>
    <row r="536">
      <c r="A536" s="14" t="inlineStr">
        <is>
          <t>Slovenia</t>
        </is>
      </c>
      <c r="B536" s="14" t="inlineStr">
        <is>
          <t>SVN</t>
        </is>
      </c>
      <c r="C536" s="14" t="inlineStr">
        <is>
          <t>SVN</t>
        </is>
      </c>
    </row>
    <row r="537">
      <c r="A537" s="14" t="inlineStr">
        <is>
          <t>Sweden</t>
        </is>
      </c>
      <c r="B537" s="14" t="inlineStr">
        <is>
          <t>SWE</t>
        </is>
      </c>
      <c r="C537" s="14" t="inlineStr">
        <is>
          <t>SWE</t>
        </is>
      </c>
    </row>
    <row r="538">
      <c r="A538" s="14" t="inlineStr">
        <is>
          <t>Togo</t>
        </is>
      </c>
      <c r="B538" s="14" t="inlineStr">
        <is>
          <t>TGO</t>
        </is>
      </c>
      <c r="C538" s="14" t="inlineStr">
        <is>
          <t>TGO</t>
        </is>
      </c>
    </row>
    <row r="539">
      <c r="A539" s="14" t="inlineStr">
        <is>
          <t>Thailand</t>
        </is>
      </c>
      <c r="B539" s="14" t="inlineStr">
        <is>
          <t>THA</t>
        </is>
      </c>
      <c r="C539" s="14" t="inlineStr">
        <is>
          <t>THA</t>
        </is>
      </c>
    </row>
    <row r="540">
      <c r="A540" s="14" t="inlineStr">
        <is>
          <t>Tajikistan</t>
        </is>
      </c>
      <c r="B540" s="14" t="inlineStr">
        <is>
          <t>TJK</t>
        </is>
      </c>
      <c r="C540" s="14" t="inlineStr">
        <is>
          <t>TJK</t>
        </is>
      </c>
    </row>
    <row r="541">
      <c r="A541" s="14" t="inlineStr">
        <is>
          <t>Trinidad and Tobago</t>
        </is>
      </c>
      <c r="B541" s="14" t="inlineStr">
        <is>
          <t>TTO</t>
        </is>
      </c>
      <c r="C541" s="14" t="inlineStr">
        <is>
          <t>TTO</t>
        </is>
      </c>
    </row>
    <row r="542">
      <c r="A542" s="14" t="inlineStr">
        <is>
          <t>Tunisia</t>
        </is>
      </c>
      <c r="B542" s="14" t="inlineStr">
        <is>
          <t>TUN</t>
        </is>
      </c>
      <c r="C542" s="14" t="inlineStr">
        <is>
          <t>TUN</t>
        </is>
      </c>
    </row>
    <row r="543">
      <c r="A543" s="14" t="inlineStr">
        <is>
          <t>Turkiye</t>
        </is>
      </c>
      <c r="B543" s="14" t="inlineStr">
        <is>
          <t>TUR</t>
        </is>
      </c>
      <c r="C543" s="14" t="inlineStr">
        <is>
          <t>TUR</t>
        </is>
      </c>
    </row>
    <row r="544">
      <c r="A544" s="14" t="inlineStr">
        <is>
          <t>Taiwan, China</t>
        </is>
      </c>
      <c r="B544" s="14" t="inlineStr">
        <is>
          <t>TWN</t>
        </is>
      </c>
      <c r="C544" s="14" t="inlineStr">
        <is>
          <t>TWN</t>
        </is>
      </c>
    </row>
    <row r="545">
      <c r="A545" s="14" t="inlineStr">
        <is>
          <t>Tanzania</t>
        </is>
      </c>
      <c r="B545" s="14" t="inlineStr">
        <is>
          <t>TZA</t>
        </is>
      </c>
      <c r="C545" s="14" t="inlineStr">
        <is>
          <t>TZA</t>
        </is>
      </c>
    </row>
    <row r="546">
      <c r="A546" s="14" t="inlineStr">
        <is>
          <t>Uganda</t>
        </is>
      </c>
      <c r="B546" s="14" t="inlineStr">
        <is>
          <t>UGA</t>
        </is>
      </c>
      <c r="C546" s="14" t="inlineStr">
        <is>
          <t>UGA</t>
        </is>
      </c>
    </row>
    <row r="547">
      <c r="A547" s="14" t="inlineStr">
        <is>
          <t>Ukraine</t>
        </is>
      </c>
      <c r="B547" s="14" t="inlineStr">
        <is>
          <t>UKR</t>
        </is>
      </c>
      <c r="C547" s="14" t="inlineStr">
        <is>
          <t>UKR</t>
        </is>
      </c>
    </row>
    <row r="548">
      <c r="A548" s="14" t="inlineStr">
        <is>
          <t>Uruguay</t>
        </is>
      </c>
      <c r="B548" s="14" t="inlineStr">
        <is>
          <t>URY</t>
        </is>
      </c>
      <c r="C548" s="14" t="inlineStr">
        <is>
          <t>URY</t>
        </is>
      </c>
    </row>
    <row r="549">
      <c r="A549" s="14" t="inlineStr">
        <is>
          <t>United States</t>
        </is>
      </c>
      <c r="B549" s="14" t="inlineStr">
        <is>
          <t>USA</t>
        </is>
      </c>
      <c r="C549" s="14" t="inlineStr">
        <is>
          <t>USA</t>
        </is>
      </c>
    </row>
    <row r="550">
      <c r="A550" s="14" t="inlineStr">
        <is>
          <t>Venezuela, RB</t>
        </is>
      </c>
      <c r="B550" s="14" t="inlineStr">
        <is>
          <t>VEN</t>
        </is>
      </c>
      <c r="C550" s="14" t="inlineStr">
        <is>
          <t>VEN</t>
        </is>
      </c>
    </row>
    <row r="551">
      <c r="A551" s="14" t="inlineStr">
        <is>
          <t>Vietnam</t>
        </is>
      </c>
      <c r="B551" s="14" t="inlineStr">
        <is>
          <t>VNM</t>
        </is>
      </c>
      <c r="C551" s="14" t="inlineStr">
        <is>
          <t>VNM</t>
        </is>
      </c>
    </row>
    <row r="552">
      <c r="A552" s="14" t="inlineStr">
        <is>
          <t>South Africa</t>
        </is>
      </c>
      <c r="B552" s="14" t="inlineStr">
        <is>
          <t>ZAF</t>
        </is>
      </c>
      <c r="C552" s="14" t="inlineStr">
        <is>
          <t>ZAF</t>
        </is>
      </c>
    </row>
    <row r="553">
      <c r="A553" s="14" t="inlineStr">
        <is>
          <t>Zambia</t>
        </is>
      </c>
      <c r="B553" s="14" t="inlineStr">
        <is>
          <t>ZMB</t>
        </is>
      </c>
      <c r="C553" s="14" t="inlineStr">
        <is>
          <t>ZMB</t>
        </is>
      </c>
    </row>
    <row r="554">
      <c r="A554" s="14" t="inlineStr">
        <is>
          <t>Zimbabwe</t>
        </is>
      </c>
      <c r="B554" s="14" t="inlineStr">
        <is>
          <t>ZWE</t>
        </is>
      </c>
      <c r="C554" s="14" t="inlineStr">
        <is>
          <t>ZWE</t>
        </is>
      </c>
    </row>
  </sheetData>
  <pageMargins left="0.75" right="0.75" top="1" bottom="1" header="0.5" footer="0.5"/>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2026-09-21T23:32:43Z</dcterms:created>
  <dcterms:modified xmlns:dcterms="http://purl.org/dc/terms/" xmlns:xsi="http://www.w3.org/2001/XMLSchema-instance" xsi:type="dcterms:W3CDTF">2026-09-21T23:32:43Z</dcterms:modified>
</cp:coreProperties>
</file>